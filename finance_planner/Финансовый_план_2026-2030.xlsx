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🏠 Главная" sheetId="1" state="visible" r:id="rId1"/>
    <sheet name="💸 Расходы" sheetId="2" state="visible" r:id="rId2"/>
    <sheet name="💰 Доходы" sheetId="3" state="visible" r:id="rId3"/>
    <sheet name="📅 По месяцам" sheetId="4" state="visible" r:id="rId4"/>
    <sheet name="📊 По годам" sheetId="5" state="visible" r:id="rId5"/>
    <sheet name="✨ Хотелки" sheetId="6" state="visible" r:id="rId6"/>
    <sheet name="📚 Справочник" sheetId="7" state="visible" r:id="rId7"/>
  </sheets>
  <definedNames>
    <definedName name="lst_years">'📚 Справочник'!$A$5:$A$9</definedName>
    <definedName name="lst_months">'📚 Справочник'!$B$5:$B$16</definedName>
    <definedName name="lst_cats">'📚 Справочник'!$D$5:$D$29</definedName>
    <definedName name="lst_cat_wish">'📚 Справочник'!$E$5:$E$29</definedName>
    <definedName name="lst_exp_items">'📚 Справочник'!$H$5:$H$104</definedName>
    <definedName name="lst_inc_types">'📚 Справочник'!$J$5:$J$24</definedName>
    <definedName name="lst_inc_items">'📚 Справочник'!$L$5:$L$104</definedName>
    <definedName name="lst_exp_status">'📚 Справочник'!$N$5:$N$8</definedName>
    <definedName name="lst_inc_status">'📚 Справочник'!$O$5:$O$7</definedName>
    <definedName name="lst_priority">'📚 Справочник'!$Q$5:$Q$7</definedName>
    <definedName name="exp_year">'💸 Расходы'!$A$5:$A$504</definedName>
    <definedName name="exp_month">'💸 Расходы'!$B$5:$B$504</definedName>
    <definedName name="exp_item">'💸 Расходы'!$C$5:$C$504</definedName>
    <definedName name="exp_cat">'💸 Расходы'!$D$5:$D$504</definedName>
    <definedName name="exp_desc">'💸 Расходы'!$E$5:$E$504</definedName>
    <definedName name="exp_prio">'💸 Расходы'!$F$5:$F$504</definedName>
    <definedName name="exp_plan">'💸 Расходы'!$G$5:$G$504</definedName>
    <definedName name="exp_fact">'💸 Расходы'!$H$5:$H$504</definedName>
    <definedName name="exp_status">'💸 Расходы'!$J$5:$J$504</definedName>
    <definedName name="exp_wishno">'💸 Расходы'!$L$5:$L$504</definedName>
    <definedName name="inc_year">'💰 Доходы'!$A$5:$A$304</definedName>
    <definedName name="inc_month">'💰 Доходы'!$B$5:$B$304</definedName>
    <definedName name="inc_type">'💰 Доходы'!$D$5:$D$304</definedName>
    <definedName name="inc_plan">'💰 Доходы'!$F$5:$F$304</definedName>
    <definedName name="inc_fact">'💰 Доходы'!$G$5:$G$304</definedName>
    <definedName name="inc_status">'💰 Доходы'!$I$5:$I$304</definedName>
    <definedName name="_xlnm._FilterDatabase" localSheetId="1" hidden="1">'💸 Расходы'!$A$4:$K$504</definedName>
    <definedName name="_xlnm._FilterDatabase" localSheetId="2" hidden="1">'💰 Доходы'!$A$4:$J$304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₸&quot;;[Red]-#,##0 &quot;₸&quot;;&quot;–&quot;"/>
    <numFmt numFmtId="165" formatCode="0%;-0%;&quot;–&quot;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8D99AE"/>
      <sz val="9"/>
    </font>
    <font>
      <name val="Arial"/>
      <b val="1"/>
      <color rgb="00FFFFFF"/>
    </font>
    <font>
      <name val="Arial"/>
      <color rgb="002B2D42"/>
      <sz val="10"/>
    </font>
    <font>
      <name val="Arial"/>
      <color rgb="000000FF"/>
      <sz val="10"/>
    </font>
    <font>
      <name val="Arial"/>
      <i val="1"/>
      <color rgb="008D99AE"/>
      <sz val="10"/>
    </font>
    <font>
      <name val="Arial"/>
      <i val="1"/>
      <color rgb="008D99AE"/>
      <sz val="8"/>
    </font>
    <font>
      <name val="Arial"/>
      <b val="1"/>
      <color rgb="00FFFFFF"/>
      <sz val="10"/>
    </font>
    <font>
      <name val="Arial"/>
      <b val="1"/>
      <color rgb="008D99AE"/>
      <sz val="9"/>
    </font>
    <font>
      <name val="Arial"/>
      <b val="1"/>
      <color rgb="002B2D42"/>
      <sz val="10"/>
    </font>
    <font>
      <name val="Arial"/>
      <b val="1"/>
      <color rgb="002B2D42"/>
      <sz val="11"/>
    </font>
    <font>
      <name val="Arial"/>
      <b val="1"/>
      <color rgb="008338EC"/>
      <sz val="13"/>
    </font>
    <font>
      <name val="Arial"/>
      <b val="1"/>
      <color rgb="00FF5D8F"/>
      <sz val="14"/>
    </font>
    <font>
      <name val="Arial"/>
      <b val="1"/>
      <color rgb="004B3F9E"/>
      <sz val="12"/>
    </font>
    <font>
      <name val="Arial"/>
      <b val="1"/>
      <color rgb="00008000"/>
      <sz val="11"/>
    </font>
    <font>
      <name val="Arial"/>
      <b val="1"/>
      <color rgb="003A86FF"/>
      <sz val="12"/>
    </font>
    <font>
      <name val="Arial"/>
      <b val="1"/>
      <color rgb="003A86FF"/>
      <sz val="11"/>
    </font>
    <font>
      <name val="Arial"/>
      <b val="1"/>
      <color rgb="00FF5D8F"/>
      <sz val="12"/>
    </font>
    <font>
      <name val="Arial"/>
      <b val="1"/>
      <color rgb="001155CC"/>
      <sz val="11"/>
      <u val="single"/>
    </font>
    <font>
      <name val="Arial"/>
      <b val="1"/>
      <color rgb="004A90E2"/>
      <sz val="9"/>
    </font>
    <font>
      <name val="Arial"/>
      <b val="1"/>
      <color rgb="002E9E5B"/>
      <sz val="9"/>
    </font>
    <font>
      <name val="Arial"/>
      <b val="1"/>
      <color rgb="000000FF"/>
      <sz val="9"/>
    </font>
    <font>
      <name val="Arial"/>
      <strike val="1"/>
      <color rgb="008D99AE"/>
      <sz val="9"/>
    </font>
    <font>
      <name val="Arial"/>
      <b val="1"/>
      <color rgb="002B2D42"/>
      <sz val="9"/>
    </font>
  </fonts>
  <fills count="20">
    <fill>
      <patternFill/>
    </fill>
    <fill>
      <patternFill patternType="gray125"/>
    </fill>
    <fill>
      <patternFill patternType="solid">
        <fgColor rgb="00495057"/>
        <bgColor rgb="00495057"/>
      </patternFill>
    </fill>
    <fill>
      <patternFill patternType="solid">
        <fgColor rgb="00FFFBEA"/>
        <bgColor rgb="00FFFBEA"/>
      </patternFill>
    </fill>
    <fill>
      <patternFill patternType="solid">
        <fgColor rgb="00E76F51"/>
        <bgColor rgb="00E76F51"/>
      </patternFill>
    </fill>
    <fill>
      <patternFill patternType="solid">
        <fgColor rgb="004A90E2"/>
        <bgColor rgb="004A90E2"/>
      </patternFill>
    </fill>
    <fill>
      <patternFill patternType="solid">
        <fgColor rgb="002E9E5B"/>
        <bgColor rgb="002E9E5B"/>
      </patternFill>
    </fill>
    <fill>
      <patternFill patternType="solid">
        <fgColor rgb="00EAF3FF"/>
        <bgColor rgb="00EAF3FF"/>
      </patternFill>
    </fill>
    <fill>
      <patternFill patternType="solid">
        <fgColor rgb="00E6F6EC"/>
        <bgColor rgb="00E6F6EC"/>
      </patternFill>
    </fill>
    <fill>
      <patternFill patternType="solid">
        <fgColor rgb="002A9D8F"/>
        <bgColor rgb="002A9D8F"/>
      </patternFill>
    </fill>
    <fill>
      <patternFill patternType="solid">
        <fgColor rgb="003A86FF"/>
        <bgColor rgb="003A86FF"/>
      </patternFill>
    </fill>
    <fill>
      <patternFill patternType="solid">
        <fgColor rgb="00E3ECFF"/>
        <bgColor rgb="00E3ECFF"/>
      </patternFill>
    </fill>
    <fill>
      <patternFill patternType="solid">
        <fgColor rgb="008338EC"/>
        <bgColor rgb="008338EC"/>
      </patternFill>
    </fill>
    <fill>
      <patternFill patternType="solid">
        <fgColor rgb="00EDE3FF"/>
        <bgColor rgb="00EDE3FF"/>
      </patternFill>
    </fill>
    <fill>
      <patternFill patternType="solid">
        <fgColor rgb="00FF5D8F"/>
        <bgColor rgb="00FF5D8F"/>
      </patternFill>
    </fill>
    <fill>
      <patternFill patternType="solid">
        <fgColor rgb="00FFF0F5"/>
        <bgColor rgb="00FFF0F5"/>
      </patternFill>
    </fill>
    <fill>
      <patternFill patternType="solid">
        <fgColor rgb="004B3F9E"/>
        <bgColor rgb="004B3F9E"/>
      </patternFill>
    </fill>
    <fill>
      <patternFill patternType="solid">
        <fgColor rgb="00EFEFEF"/>
        <bgColor rgb="00EFEFEF"/>
      </patternFill>
    </fill>
    <fill>
      <patternFill patternType="solid">
        <fgColor rgb="00FFF3BF"/>
        <bgColor rgb="00FFF3BF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9DCE3"/>
      </left>
      <right style="thin">
        <color rgb="00D9DCE3"/>
      </right>
      <top style="thin">
        <color rgb="00D9DCE3"/>
      </top>
      <bottom style="thin">
        <color rgb="00D9DCE3"/>
      </bottom>
    </border>
    <border>
      <left style="thin">
        <color rgb="00D9DCE3"/>
      </left>
      <right style="thin">
        <color rgb="00D9DCE3"/>
      </right>
      <top style="medium">
        <color rgb="003A86FF"/>
      </top>
      <bottom style="thin">
        <color rgb="00D9DCE3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16" borderId="0" applyAlignment="1" pivotButton="0" quotePrefix="0" xfId="0">
      <alignment vertical="center" indent="1"/>
    </xf>
    <xf numFmtId="0" fontId="0" fillId="16" borderId="0" pivotButton="0" quotePrefix="0" xfId="0"/>
    <xf numFmtId="0" fontId="2" fillId="0" borderId="0" applyAlignment="1" pivotButton="0" quotePrefix="0" xfId="0">
      <alignment vertical="center" wrapText="1" indent="1"/>
    </xf>
    <xf numFmtId="0" fontId="14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3" fillId="16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11" fillId="0" borderId="1" pivotButton="0" quotePrefix="0" xfId="0"/>
    <xf numFmtId="164" fontId="15" fillId="7" borderId="1" pivotButton="0" quotePrefix="0" xfId="0"/>
    <xf numFmtId="164" fontId="15" fillId="8" borderId="1" pivotButton="0" quotePrefix="0" xfId="0"/>
    <xf numFmtId="165" fontId="0" fillId="0" borderId="1" pivotButton="0" quotePrefix="0" xfId="0"/>
    <xf numFmtId="0" fontId="18" fillId="0" borderId="0" pivotButton="0" quotePrefix="0" xfId="0"/>
    <xf numFmtId="0" fontId="9" fillId="0" borderId="0" applyAlignment="1" pivotButton="0" quotePrefix="0" xfId="0">
      <alignment horizontal="center"/>
    </xf>
    <xf numFmtId="0" fontId="19" fillId="0" borderId="0" pivotButton="0" quotePrefix="0" xfId="0"/>
    <xf numFmtId="0" fontId="2" fillId="0" borderId="0" pivotButton="0" quotePrefix="0" xfId="0"/>
    <xf numFmtId="1" fontId="13" fillId="15" borderId="1" applyAlignment="1" pivotButton="0" quotePrefix="0" xfId="0">
      <alignment horizontal="center"/>
    </xf>
    <xf numFmtId="165" fontId="13" fillId="15" borderId="1" applyAlignment="1" pivotButton="0" quotePrefix="0" xfId="0">
      <alignment horizontal="center"/>
    </xf>
    <xf numFmtId="0" fontId="20" fillId="7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21" fillId="8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center" vertical="center"/>
    </xf>
    <xf numFmtId="0" fontId="23" fillId="17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0" fillId="19" borderId="1" pivotButton="0" quotePrefix="0" xfId="0"/>
    <xf numFmtId="0" fontId="1" fillId="4" borderId="0" applyAlignment="1" pivotButton="0" quotePrefix="0" xfId="0">
      <alignment vertical="center" indent="1"/>
    </xf>
    <xf numFmtId="0" fontId="0" fillId="4" borderId="0" pivotButton="0" quotePrefix="0" xfId="0"/>
    <xf numFmtId="0" fontId="9" fillId="0" borderId="0" applyAlignment="1" pivotButton="0" quotePrefix="0" xfId="0">
      <alignment horizontal="right"/>
    </xf>
    <xf numFmtId="164" fontId="10" fillId="7" borderId="0" pivotButton="0" quotePrefix="0" xfId="0"/>
    <xf numFmtId="164" fontId="10" fillId="8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164" fontId="5" fillId="7" borderId="1" applyAlignment="1" pivotButton="0" quotePrefix="0" xfId="0">
      <alignment vertical="center"/>
    </xf>
    <xf numFmtId="164" fontId="5" fillId="8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1" fillId="9" borderId="0" applyAlignment="1" pivotButton="0" quotePrefix="0" xfId="0">
      <alignment vertical="center" indent="1"/>
    </xf>
    <xf numFmtId="0" fontId="0" fillId="9" borderId="0" pivotButton="0" quotePrefix="0" xfId="0"/>
    <xf numFmtId="0" fontId="8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vertical="center" indent="1"/>
    </xf>
    <xf numFmtId="0" fontId="0" fillId="10" borderId="0" pivotButton="0" quotePrefix="0" xfId="0"/>
    <xf numFmtId="0" fontId="8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7" borderId="1" pivotButton="0" quotePrefix="0" xfId="0"/>
    <xf numFmtId="164" fontId="4" fillId="8" borderId="1" pivotButton="0" quotePrefix="0" xfId="0"/>
    <xf numFmtId="165" fontId="4" fillId="0" borderId="1" pivotButton="0" quotePrefix="0" xfId="0"/>
    <xf numFmtId="0" fontId="4" fillId="0" borderId="2" applyAlignment="1" pivotButton="0" quotePrefix="0" xfId="0">
      <alignment horizontal="center"/>
    </xf>
    <xf numFmtId="0" fontId="4" fillId="0" borderId="2" pivotButton="0" quotePrefix="0" xfId="0"/>
    <xf numFmtId="164" fontId="4" fillId="7" borderId="2" pivotButton="0" quotePrefix="0" xfId="0"/>
    <xf numFmtId="164" fontId="4" fillId="8" borderId="2" pivotButton="0" quotePrefix="0" xfId="0"/>
    <xf numFmtId="165" fontId="4" fillId="0" borderId="2" pivotButton="0" quotePrefix="0" xfId="0"/>
    <xf numFmtId="0" fontId="10" fillId="11" borderId="1" pivotButton="0" quotePrefix="0" xfId="0"/>
    <xf numFmtId="164" fontId="10" fillId="11" borderId="1" pivotButton="0" quotePrefix="0" xfId="0"/>
    <xf numFmtId="165" fontId="10" fillId="11" borderId="1" pivotButton="0" quotePrefix="0" xfId="0"/>
    <xf numFmtId="0" fontId="1" fillId="12" borderId="0" applyAlignment="1" pivotButton="0" quotePrefix="0" xfId="0">
      <alignment vertical="center" indent="1"/>
    </xf>
    <xf numFmtId="0" fontId="0" fillId="12" borderId="0" pivotButton="0" quotePrefix="0" xfId="0"/>
    <xf numFmtId="0" fontId="8" fillId="1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/>
    </xf>
    <xf numFmtId="165" fontId="4" fillId="7" borderId="1" pivotButton="0" quotePrefix="0" xfId="0"/>
    <xf numFmtId="165" fontId="4" fillId="8" borderId="1" pivotButton="0" quotePrefix="0" xfId="0"/>
    <xf numFmtId="0" fontId="10" fillId="13" borderId="1" applyAlignment="1" pivotButton="0" quotePrefix="0" xfId="0">
      <alignment horizontal="center"/>
    </xf>
    <xf numFmtId="164" fontId="10" fillId="13" borderId="1" pivotButton="0" quotePrefix="0" xfId="0"/>
    <xf numFmtId="165" fontId="10" fillId="13" borderId="1" pivotButton="0" quotePrefix="0" xfId="0"/>
    <xf numFmtId="0" fontId="12" fillId="0" borderId="0" pivotButton="0" quotePrefix="0" xfId="0"/>
    <xf numFmtId="0" fontId="3" fillId="1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4" fontId="10" fillId="7" borderId="1" pivotButton="0" quotePrefix="0" xfId="0"/>
    <xf numFmtId="164" fontId="10" fillId="8" borderId="1" pivotButton="0" quotePrefix="0" xfId="0"/>
    <xf numFmtId="0" fontId="1" fillId="14" borderId="0" applyAlignment="1" pivotButton="0" quotePrefix="0" xfId="0">
      <alignment vertical="center" indent="1"/>
    </xf>
    <xf numFmtId="0" fontId="0" fillId="14" borderId="0" pivotButton="0" quotePrefix="0" xfId="0"/>
    <xf numFmtId="164" fontId="13" fillId="15" borderId="1" applyAlignment="1" pivotButton="0" quotePrefix="0" xfId="0">
      <alignment horizontal="center"/>
    </xf>
    <xf numFmtId="0" fontId="8" fillId="1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4" fontId="4" fillId="7" borderId="1" applyAlignment="1" pivotButton="0" quotePrefix="0" xfId="0">
      <alignment vertical="center"/>
    </xf>
    <xf numFmtId="164" fontId="4" fillId="8" borderId="1" applyAlignment="1" pivotButton="0" quotePrefix="0" xfId="0">
      <alignment vertical="center"/>
    </xf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6" fillId="3" borderId="1" pivotButton="0" quotePrefix="0" xfId="0"/>
  </cellXfs>
  <cellStyles count="1">
    <cellStyle name="Normal" xfId="0" builtinId="0" hidden="0"/>
  </cellStyles>
  <dxfs count="13">
    <dxf>
      <font>
        <b val="1"/>
        <color rgb="00D62839"/>
      </font>
    </dxf>
    <dxf>
      <font>
        <strike val="1"/>
        <color rgb="008D99AE"/>
      </font>
      <fill>
        <patternFill patternType="solid">
          <fgColor rgb="00EFEFEF"/>
          <bgColor rgb="00EFEFEF"/>
        </patternFill>
      </fill>
    </dxf>
    <dxf>
      <font>
        <i val="1"/>
        <strike val="1"/>
        <color rgb="00C0C0C0"/>
      </font>
    </dxf>
    <dxf>
      <font>
        <b val="1"/>
        <color rgb="001B9E5A"/>
      </font>
    </dxf>
    <dxf>
      <fill>
        <patternFill patternType="solid">
          <fgColor rgb="00FFE3E3"/>
          <bgColor rgb="00FFE3E3"/>
        </patternFill>
      </fill>
    </dxf>
    <dxf>
      <font>
        <i val="1"/>
        <strike val="1"/>
        <color rgb="00D62839"/>
      </font>
    </dxf>
    <dxf>
      <font>
        <b val="1"/>
      </font>
      <fill>
        <patternFill patternType="solid">
          <fgColor rgb="00FFF3BF"/>
          <bgColor rgb="00FFF3BF"/>
        </patternFill>
      </fill>
    </dxf>
    <dxf>
      <font>
        <color rgb="001B9E5A"/>
      </font>
    </dxf>
    <dxf>
      <font>
        <b val="1"/>
        <color rgb="00D62839"/>
      </font>
      <fill>
        <patternFill patternType="solid">
          <fgColor rgb="00FFE3E3"/>
          <bgColor rgb="00FFE3E3"/>
        </patternFill>
      </fill>
    </dxf>
    <dxf>
      <font>
        <b val="1"/>
        <color rgb="008338EC"/>
      </font>
    </dxf>
    <dxf>
      <fill>
        <patternFill patternType="solid">
          <fgColor rgb="00FFF4D6"/>
          <bgColor rgb="00FFF4D6"/>
        </patternFill>
      </fill>
    </dxf>
    <dxf>
      <fill>
        <patternFill patternType="solid">
          <fgColor rgb="00F3E8FF"/>
          <bgColor rgb="00F3E8FF"/>
        </patternFill>
      </fill>
    </dxf>
    <dxf>
      <fill>
        <patternFill patternType="solid">
          <fgColor rgb="00FFEAF1"/>
          <bgColor rgb="00FFEA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💰 Доход по месяцам: план vs факт</a:t>
            </a:r>
          </a:p>
        </rich>
      </tx>
    </title>
    <plotArea>
      <lineChart>
        <grouping val="standard"/>
        <ser>
          <idx val="0"/>
          <order val="0"/>
          <tx>
            <strRef>
              <f>'📅 По месяцам'!D4</f>
            </strRef>
          </tx>
          <spPr>
            <a:ln w="28000">
              <a:solidFill>
                <a:srgbClr val="4A90E2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По месяцам'!$C$5:$C$64</f>
            </numRef>
          </cat>
          <val>
            <numRef>
              <f>'📅 По месяцам'!$D$5:$D$64</f>
            </numRef>
          </val>
          <smooth val="0"/>
        </ser>
        <ser>
          <idx val="1"/>
          <order val="1"/>
          <tx>
            <strRef>
              <f>'📅 По месяцам'!E4</f>
            </strRef>
          </tx>
          <spPr>
            <a:ln w="28000">
              <a:solidFill>
                <a:srgbClr val="2E9E5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По месяцам'!$C$5:$C$64</f>
            </numRef>
          </cat>
          <val>
            <numRef>
              <f>'📅 По месяцам'!$E$5:$E$64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₸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📈 Доход и расход по годам (план/факт)</a:t>
            </a:r>
          </a:p>
        </rich>
      </tx>
    </title>
    <plotArea>
      <lineChart>
        <grouping val="standard"/>
        <ser>
          <idx val="0"/>
          <order val="0"/>
          <tx>
            <strRef>
              <f>'📊 По годам'!B4</f>
            </strRef>
          </tx>
          <spPr>
            <a:ln w="28000">
              <a:solidFill>
                <a:srgbClr val="4A90E2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'📊 По годам'!$A$5:$A$9</f>
            </numRef>
          </cat>
          <val>
            <numRef>
              <f>'📊 По годам'!$B$5:$B$9</f>
            </numRef>
          </val>
          <smooth val="0"/>
        </ser>
        <ser>
          <idx val="1"/>
          <order val="1"/>
          <tx>
            <strRef>
              <f>'📊 По годам'!C4</f>
            </strRef>
          </tx>
          <spPr>
            <a:ln w="28000">
              <a:solidFill>
                <a:srgbClr val="2E9E5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'📊 По годам'!$A$5:$A$9</f>
            </numRef>
          </cat>
          <val>
            <numRef>
              <f>'📊 По годам'!$C$5:$C$9</f>
            </numRef>
          </val>
          <smooth val="0"/>
        </ser>
        <ser>
          <idx val="2"/>
          <order val="2"/>
          <tx>
            <strRef>
              <f>'📊 По годам'!E4</f>
            </strRef>
          </tx>
          <spPr>
            <a:ln w="28000">
              <a:solidFill>
                <a:srgbClr val="F4A261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'📊 По годам'!$A$5:$A$9</f>
            </numRef>
          </cat>
          <val>
            <numRef>
              <f>'📊 По годам'!$E$5:$E$9</f>
            </numRef>
          </val>
          <smooth val="0"/>
        </ser>
        <ser>
          <idx val="3"/>
          <order val="3"/>
          <tx>
            <strRef>
              <f>'📊 По годам'!F4</f>
            </strRef>
          </tx>
          <spPr>
            <a:ln w="28000">
              <a:solidFill>
                <a:srgbClr val="D6283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'📊 По годам'!$A$5:$A$9</f>
            </numRef>
          </cat>
          <val>
            <numRef>
              <f>'📊 По годам'!$F$5:$F$9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₸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💰 Доход по месяцам: план vs факт</a:t>
            </a:r>
          </a:p>
        </rich>
      </tx>
    </title>
    <plotArea>
      <lineChart>
        <grouping val="standard"/>
        <ser>
          <idx val="0"/>
          <order val="0"/>
          <tx>
            <strRef>
              <f>'📅 По месяцам'!D4</f>
            </strRef>
          </tx>
          <spPr>
            <a:ln w="28000">
              <a:solidFill>
                <a:srgbClr val="4A90E2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По месяцам'!$C$5:$C$64</f>
            </numRef>
          </cat>
          <val>
            <numRef>
              <f>'📅 По месяцам'!$D$5:$D$64</f>
            </numRef>
          </val>
          <smooth val="0"/>
        </ser>
        <ser>
          <idx val="1"/>
          <order val="1"/>
          <tx>
            <strRef>
              <f>'📅 По месяцам'!E4</f>
            </strRef>
          </tx>
          <spPr>
            <a:ln w="28000">
              <a:solidFill>
                <a:srgbClr val="2E9E5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По месяцам'!$C$5:$C$64</f>
            </numRef>
          </cat>
          <val>
            <numRef>
              <f>'📅 По месяцам'!$E$5:$E$64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₸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💸 Расход по месяцам: план vs факт</a:t>
            </a:r>
          </a:p>
        </rich>
      </tx>
    </title>
    <plotArea>
      <lineChart>
        <grouping val="standard"/>
        <ser>
          <idx val="0"/>
          <order val="0"/>
          <tx>
            <strRef>
              <f>'📅 По месяцам'!G4</f>
            </strRef>
          </tx>
          <spPr>
            <a:ln w="28000">
              <a:solidFill>
                <a:srgbClr val="F4A261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По месяцам'!$C$5:$C$64</f>
            </numRef>
          </cat>
          <val>
            <numRef>
              <f>'📅 По месяцам'!$G$5:$G$64</f>
            </numRef>
          </val>
          <smooth val="0"/>
        </ser>
        <ser>
          <idx val="1"/>
          <order val="1"/>
          <tx>
            <strRef>
              <f>'📅 По месяцам'!H4</f>
            </strRef>
          </tx>
          <spPr>
            <a:ln w="28000">
              <a:solidFill>
                <a:srgbClr val="D6283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По месяцам'!$C$5:$C$64</f>
            </numRef>
          </cat>
          <val>
            <numRef>
              <f>'📅 По месяцам'!$H$5:$H$64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₸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🏦 Накопленный остаток: план vs факт</a:t>
            </a:r>
          </a:p>
        </rich>
      </tx>
    </title>
    <plotArea>
      <lineChart>
        <grouping val="standard"/>
        <ser>
          <idx val="0"/>
          <order val="0"/>
          <tx>
            <strRef>
              <f>'📅 По месяцам'!L4</f>
            </strRef>
          </tx>
          <spPr>
            <a:ln w="28000">
              <a:solidFill>
                <a:srgbClr val="8338EC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По месяцам'!$C$5:$C$64</f>
            </numRef>
          </cat>
          <val>
            <numRef>
              <f>'📅 По месяцам'!$L$5:$L$64</f>
            </numRef>
          </val>
          <smooth val="0"/>
        </ser>
        <ser>
          <idx val="1"/>
          <order val="1"/>
          <tx>
            <strRef>
              <f>'📅 По месяцам'!M4</f>
            </strRef>
          </tx>
          <spPr>
            <a:ln w="28000">
              <a:solidFill>
                <a:srgbClr val="2A9D8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По месяцам'!$C$5:$C$64</f>
            </numRef>
          </cat>
          <val>
            <numRef>
              <f>'📅 По месяцам'!$M$5:$M$64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₸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📈 Доход по годам: план vs факт</a:t>
            </a:r>
          </a:p>
        </rich>
      </tx>
    </title>
    <plotArea>
      <lineChart>
        <grouping val="standard"/>
        <ser>
          <idx val="0"/>
          <order val="0"/>
          <tx>
            <strRef>
              <f>'📊 По годам'!B4</f>
            </strRef>
          </tx>
          <spPr>
            <a:ln w="28000">
              <a:solidFill>
                <a:srgbClr val="4A90E2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'📊 По годам'!$A$5:$A$9</f>
            </numRef>
          </cat>
          <val>
            <numRef>
              <f>'📊 По годам'!$B$5:$B$9</f>
            </numRef>
          </val>
          <smooth val="0"/>
        </ser>
        <ser>
          <idx val="1"/>
          <order val="1"/>
          <tx>
            <strRef>
              <f>'📊 По годам'!C4</f>
            </strRef>
          </tx>
          <spPr>
            <a:ln w="28000">
              <a:solidFill>
                <a:srgbClr val="2E9E5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'📊 По годам'!$A$5:$A$9</f>
            </numRef>
          </cat>
          <val>
            <numRef>
              <f>'📊 По годам'!$C$5:$C$9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₸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📉 Расход по годам: план vs факт</a:t>
            </a:r>
          </a:p>
        </rich>
      </tx>
    </title>
    <plotArea>
      <lineChart>
        <grouping val="standard"/>
        <ser>
          <idx val="0"/>
          <order val="0"/>
          <tx>
            <strRef>
              <f>'📊 По годам'!E4</f>
            </strRef>
          </tx>
          <spPr>
            <a:ln w="28000">
              <a:solidFill>
                <a:srgbClr val="F4A261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'📊 По годам'!$A$5:$A$9</f>
            </numRef>
          </cat>
          <val>
            <numRef>
              <f>'📊 По годам'!$E$5:$E$9</f>
            </numRef>
          </val>
          <smooth val="0"/>
        </ser>
        <ser>
          <idx val="1"/>
          <order val="1"/>
          <tx>
            <strRef>
              <f>'📊 По годам'!F4</f>
            </strRef>
          </tx>
          <spPr>
            <a:ln w="28000">
              <a:solidFill>
                <a:srgbClr val="D6283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'📊 По годам'!$A$5:$A$9</f>
            </numRef>
          </cat>
          <val>
            <numRef>
              <f>'📊 По годам'!$F$5:$F$9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₸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Планер</author>
  </authors>
  <commentList>
    <comment ref="G4" authorId="0" shapeId="0">
      <text>
        <t>Сумма, которую ПЛАНИРУЕТЕ потратить. Заполняется заранее.</t>
      </text>
    </comment>
    <comment ref="H4" authorId="0" shapeId="0">
      <text>
        <t>Сколько РЕАЛЬНО потратили. Заполняется по факту.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26</row>
      <rowOff>0</rowOff>
    </from>
    <ext cx="61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26</row>
      <rowOff>0</rowOff>
    </from>
    <ext cx="61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3</row>
      <rowOff>0</rowOff>
    </from>
    <ext cx="93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15</col>
      <colOff>0</colOff>
      <row>22</row>
      <rowOff>0</rowOff>
    </from>
    <ext cx="93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15</col>
      <colOff>0</colOff>
      <row>41</row>
      <rowOff>0</rowOff>
    </from>
    <ext cx="936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20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28184; &#1056;&#1072;&#1089;&#1093;&#1086;&#1076;&#1099;'!A1" TargetMode="External" Id="rId1" /><Relationship Type="http://schemas.openxmlformats.org/officeDocument/2006/relationships/hyperlink" Target="#'&#128176; &#1044;&#1086;&#1093;&#1086;&#1076;&#1099;'!A1" TargetMode="External" Id="rId2" /><Relationship Type="http://schemas.openxmlformats.org/officeDocument/2006/relationships/hyperlink" Target="#'&#128197; &#1055;&#1086; &#1084;&#1077;&#1089;&#1103;&#1094;&#1072;&#1084;'!A1" TargetMode="External" Id="rId3" /><Relationship Type="http://schemas.openxmlformats.org/officeDocument/2006/relationships/hyperlink" Target="#'&#128202; &#1055;&#1086; &#1075;&#1086;&#1076;&#1072;&#1084;'!A1" TargetMode="External" Id="rId4" /><Relationship Type="http://schemas.openxmlformats.org/officeDocument/2006/relationships/hyperlink" Target="#'&#10024; &#1061;&#1086;&#1090;&#1077;&#1083;&#1082;&#1080;'!A1" TargetMode="External" Id="rId5" /><Relationship Type="http://schemas.openxmlformats.org/officeDocument/2006/relationships/hyperlink" Target="#'&#128218; &#1057;&#1087;&#1088;&#1072;&#1074;&#1086;&#1095;&#1085;&#1080;&#1082;'!A1" TargetMode="External" Id="rId6" /><Relationship Type="http://schemas.openxmlformats.org/officeDocument/2006/relationships/drawing" Target="/xl/drawings/drawing1.xml" Id="rId7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4B3F9E"/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18" customWidth="1" min="4" max="4"/>
    <col width="18" customWidth="1" min="5" max="5"/>
    <col width="3" customWidth="1" min="6" max="6"/>
    <col width="26" customWidth="1" min="7" max="7"/>
    <col width="18" customWidth="1" min="8" max="8"/>
    <col width="18" customWidth="1" min="9" max="9"/>
    <col width="18" customWidth="1" min="10" max="10"/>
    <col width="3" customWidth="1" min="11" max="11"/>
    <col width="3" customWidth="1" min="12" max="12"/>
  </cols>
  <sheetData>
    <row r="1" ht="36" customHeight="1">
      <c r="A1" s="1" t="inlineStr">
        <is>
          <t>🏠 Финансовый план 2026 – 2030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30" customHeight="1">
      <c r="A2" s="3" t="inlineStr">
        <is>
          <t>Личный планер доходов и расходов: план vs факт по месяцам и годам, хотелки и мечты.</t>
        </is>
      </c>
    </row>
    <row r="4">
      <c r="B4" s="4" t="inlineStr">
        <is>
          <t>📌 Итого за 2026–2030</t>
        </is>
      </c>
      <c r="G4" s="5" t="inlineStr">
        <is>
          <t>🗓 Текущий месяц</t>
        </is>
      </c>
      <c r="I4" s="6">
        <f>INDEX(lst_months,MONTH(TODAY()))&amp;" "&amp;YEAR(TODAY())</f>
        <v/>
      </c>
    </row>
    <row r="5">
      <c r="B5" s="7" t="inlineStr"/>
      <c r="C5" s="8" t="inlineStr">
        <is>
          <t>📝 ПЛАН</t>
        </is>
      </c>
      <c r="D5" s="9" t="inlineStr">
        <is>
          <t>✅ ФАКТ</t>
        </is>
      </c>
      <c r="E5" s="7" t="inlineStr">
        <is>
          <t>% выполнения</t>
        </is>
      </c>
      <c r="G5" s="10" t="inlineStr"/>
      <c r="H5" s="8" t="inlineStr">
        <is>
          <t>📝 ПЛАН</t>
        </is>
      </c>
      <c r="I5" s="9" t="inlineStr">
        <is>
          <t>✅ ФАКТ</t>
        </is>
      </c>
      <c r="J5" s="10" t="inlineStr">
        <is>
          <t>% выполнения</t>
        </is>
      </c>
    </row>
    <row r="6" ht="22" customHeight="1">
      <c r="B6" s="11" t="inlineStr">
        <is>
          <t>💰 Доходы</t>
        </is>
      </c>
      <c r="C6" s="12">
        <f>'📊 По годам'!B10</f>
        <v/>
      </c>
      <c r="D6" s="13">
        <f>'📊 По годам'!C10</f>
        <v/>
      </c>
      <c r="E6" s="14">
        <f>IF(C6=0,"",D6/C6)</f>
        <v/>
      </c>
      <c r="G6" s="11" t="inlineStr">
        <is>
          <t>💰 Доходы</t>
        </is>
      </c>
      <c r="H6" s="12">
        <f>IFERROR(INDEX('📅 По месяцам'!$D$5:$D$64,((YEAR(TODAY())-2026)*12+MONTH(TODAY()))),0)</f>
        <v/>
      </c>
      <c r="I6" s="13">
        <f>IFERROR(INDEX('📅 По месяцам'!$E$5:$E$64,((YEAR(TODAY())-2026)*12+MONTH(TODAY()))),0)</f>
        <v/>
      </c>
      <c r="J6" s="14">
        <f>IF(H6=0,"",I6/H6)</f>
        <v/>
      </c>
    </row>
    <row r="7" ht="22" customHeight="1">
      <c r="B7" s="11" t="inlineStr">
        <is>
          <t>💸 Расходы</t>
        </is>
      </c>
      <c r="C7" s="12">
        <f>'📊 По годам'!E10</f>
        <v/>
      </c>
      <c r="D7" s="13">
        <f>'📊 По годам'!F10</f>
        <v/>
      </c>
      <c r="E7" s="14">
        <f>IF(C7=0,"",D7/C7)</f>
        <v/>
      </c>
      <c r="G7" s="11" t="inlineStr">
        <is>
          <t>💸 Расходы</t>
        </is>
      </c>
      <c r="H7" s="12">
        <f>IFERROR(INDEX('📅 По месяцам'!$G$5:$G$64,((YEAR(TODAY())-2026)*12+MONTH(TODAY()))),0)</f>
        <v/>
      </c>
      <c r="I7" s="13">
        <f>IFERROR(INDEX('📅 По месяцам'!$H$5:$H$64,((YEAR(TODAY())-2026)*12+MONTH(TODAY()))),0)</f>
        <v/>
      </c>
      <c r="J7" s="14">
        <f>IF(H7=0,"",I7/H7)</f>
        <v/>
      </c>
    </row>
    <row r="8" ht="22" customHeight="1">
      <c r="B8" s="11" t="inlineStr">
        <is>
          <t>⚖️ Остаток</t>
        </is>
      </c>
      <c r="C8" s="12">
        <f>'📊 По годам'!H10</f>
        <v/>
      </c>
      <c r="D8" s="13">
        <f>'📊 По годам'!I10</f>
        <v/>
      </c>
      <c r="E8" s="14">
        <f>IF(C8=0,"",D8/C8)</f>
        <v/>
      </c>
      <c r="G8" s="11" t="inlineStr">
        <is>
          <t>⚖️ Остаток</t>
        </is>
      </c>
      <c r="H8" s="12">
        <f>IFERROR(INDEX('📅 По месяцам'!$J$5:$J$64,((YEAR(TODAY())-2026)*12+MONTH(TODAY()))),0)</f>
        <v/>
      </c>
      <c r="I8" s="13">
        <f>IFERROR(INDEX('📅 По месяцам'!$K$5:$K$64,((YEAR(TODAY())-2026)*12+MONTH(TODAY()))),0)</f>
        <v/>
      </c>
      <c r="J8" s="14">
        <f>IF(H8=0,"",I8/H8)</f>
        <v/>
      </c>
    </row>
    <row r="10">
      <c r="B10" s="15" t="inlineStr">
        <is>
          <t>✨ Хотелки</t>
        </is>
      </c>
      <c r="G10" s="4" t="inlineStr">
        <is>
          <t>🧭 Навигация</t>
        </is>
      </c>
    </row>
    <row r="11">
      <c r="C11" s="16" t="inlineStr">
        <is>
          <t>Всего</t>
        </is>
      </c>
      <c r="D11" s="16" t="inlineStr">
        <is>
          <t>Исполнено</t>
        </is>
      </c>
      <c r="E11" s="16" t="inlineStr">
        <is>
          <t>Прогресс</t>
        </is>
      </c>
      <c r="G11" s="17" t="inlineStr">
        <is>
          <t>💸 Расходы</t>
        </is>
      </c>
      <c r="H11" s="18" t="inlineStr">
        <is>
          <t>вносить траты (план и факт)</t>
        </is>
      </c>
    </row>
    <row r="12">
      <c r="C12" s="19">
        <f>'✨ Хотелки'!B4</f>
        <v/>
      </c>
      <c r="D12" s="19">
        <f>'✨ Хотелки'!C4</f>
        <v/>
      </c>
      <c r="E12" s="20">
        <f>'✨ Хотелки'!D4</f>
        <v/>
      </c>
      <c r="G12" s="17" t="inlineStr">
        <is>
          <t>💰 Доходы</t>
        </is>
      </c>
      <c r="H12" s="18" t="inlineStr">
        <is>
          <t>вносить доходы (план и факт)</t>
        </is>
      </c>
    </row>
    <row r="13">
      <c r="G13" s="17" t="inlineStr">
        <is>
          <t>📅 По месяцам</t>
        </is>
      </c>
      <c r="H13" s="18" t="inlineStr">
        <is>
          <t>сводка по месяцам + графики</t>
        </is>
      </c>
    </row>
    <row r="14">
      <c r="G14" s="17" t="inlineStr">
        <is>
          <t>📊 По годам</t>
        </is>
      </c>
      <c r="H14" s="18" t="inlineStr">
        <is>
          <t>сводка по годам и категориям</t>
        </is>
      </c>
    </row>
    <row r="15">
      <c r="G15" s="17" t="inlineStr">
        <is>
          <t>✨ Хотелки</t>
        </is>
      </c>
      <c r="H15" s="18" t="inlineStr">
        <is>
          <t>список хотелок и мечт</t>
        </is>
      </c>
    </row>
    <row r="16">
      <c r="G16" s="17" t="inlineStr">
        <is>
          <t>📚 Справочник</t>
        </is>
      </c>
      <c r="H16" s="18" t="inlineStr">
        <is>
          <t>справочник для выпадающих списков</t>
        </is>
      </c>
    </row>
    <row r="18">
      <c r="B18" s="4" t="inlineStr">
        <is>
          <t>🎨 Как пользоваться</t>
        </is>
      </c>
    </row>
    <row r="19" ht="20" customHeight="1">
      <c r="B19" s="21" t="inlineStr">
        <is>
          <t>ПЛАН</t>
        </is>
      </c>
      <c r="C19" s="22" t="inlineStr">
        <is>
          <t>📝 ПЛАН — синие колонки. Заполняете заранее: сколько собираетесь потратить / потенциально заработать.</t>
        </is>
      </c>
    </row>
    <row r="20" ht="20" customHeight="1">
      <c r="B20" s="23" t="inlineStr">
        <is>
          <t>ФАКТ</t>
        </is>
      </c>
      <c r="C20" s="22" t="inlineStr">
        <is>
          <t>✅ ФАКТ — зелёные колонки. Заполняете по факту: сколько реально потратили / получили.</t>
        </is>
      </c>
    </row>
    <row r="21" ht="20" customHeight="1">
      <c r="B21" s="24" t="inlineStr">
        <is>
          <t>ввод</t>
        </is>
      </c>
      <c r="C21" s="22" t="inlineStr">
        <is>
          <t>Жёлтые ячейки в «Справочнике» — ваши статьи, категории и типы дохода. Синий шрифт = ввод вручную.</t>
        </is>
      </c>
    </row>
    <row r="22" ht="20" customHeight="1">
      <c r="B22" s="25" t="inlineStr">
        <is>
          <t>зачёркнуто</t>
        </is>
      </c>
      <c r="C22" s="22" t="inlineStr">
        <is>
          <t>Статус «✅ Выполнено» / «✅ Получено» автоматически зачёркивает строку (и хотелку в списке).</t>
        </is>
      </c>
    </row>
    <row r="23" ht="20" customHeight="1">
      <c r="B23" s="26" t="inlineStr">
        <is>
          <t>сейчас</t>
        </is>
      </c>
      <c r="C23" s="22" t="inlineStr">
        <is>
          <t>Жёлтая строка в «По месяцам» — текущий месяц. Красный шрифт — перерасход или минус.</t>
        </is>
      </c>
    </row>
    <row r="24" ht="20" customHeight="1">
      <c r="B24" s="27" t="n"/>
      <c r="C24" s="22" t="inlineStr">
        <is>
          <t>Листы «По месяцам», «По годам», «Хотелки» и «Главная» считаются сами — в них ничего вводить не нужно.</t>
        </is>
      </c>
    </row>
    <row r="25" ht="20" customHeight="1">
      <c r="B25" s="27" t="n"/>
      <c r="C25" s="22" t="inlineStr">
        <is>
          <t>В листах «Расходы» и «Доходы» есть строки-ПРИМЕРЫ — замените или удалите их.</t>
        </is>
      </c>
    </row>
  </sheetData>
  <mergeCells count="9">
    <mergeCell ref="A2:L2"/>
    <mergeCell ref="C21:J21"/>
    <mergeCell ref="C20:J20"/>
    <mergeCell ref="C25:J25"/>
    <mergeCell ref="A1:L1"/>
    <mergeCell ref="C24:J24"/>
    <mergeCell ref="C19:J19"/>
    <mergeCell ref="C22:J22"/>
    <mergeCell ref="C23:J23"/>
  </mergeCells>
  <conditionalFormatting sqref="E6:E8">
    <cfRule type="dataBar" priority="1">
      <dataBar>
        <cfvo type="num" val="0"/>
        <cfvo type="num" val="1"/>
        <color rgb="004B3F9E"/>
      </dataBar>
    </cfRule>
  </conditionalFormatting>
  <conditionalFormatting sqref="J6:J8">
    <cfRule type="dataBar" priority="2">
      <dataBar>
        <cfvo type="num" val="0"/>
        <cfvo type="num" val="1"/>
        <color rgb="004B3F9E"/>
      </dataBar>
    </cfRule>
  </conditionalFormatting>
  <conditionalFormatting sqref="C8:D8">
    <cfRule type="cellIs" priority="3" operator="lessThan" dxfId="0">
      <formula>0</formula>
    </cfRule>
  </conditionalFormatting>
  <conditionalFormatting sqref="H8:I8">
    <cfRule type="cellIs" priority="4" operator="lessThan" dxfId="0">
      <formula>0</formula>
    </cfRule>
  </conditionalFormatting>
  <conditionalFormatting sqref="E12">
    <cfRule type="dataBar" priority="5">
      <dataBar>
        <cfvo type="num" val="0"/>
        <cfvo type="num" val="1"/>
        <color rgb="00FF5D8F"/>
      </dataBar>
    </cfRule>
  </conditionalFormatting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</hyperlinks>
  <pageMargins left="0.75" right="0.75" top="1" bottom="1" header="0.5" footer="0.5"/>
  <drawing xmlns:r="http://schemas.openxmlformats.org/officeDocument/2006/relationships" r:id="rId7"/>
</worksheet>
</file>

<file path=xl/worksheets/sheet2.xml><?xml version="1.0" encoding="utf-8"?>
<worksheet xmlns="http://schemas.openxmlformats.org/spreadsheetml/2006/main">
  <sheetPr>
    <tabColor rgb="00E76F51"/>
    <outlinePr summaryBelow="1" summaryRight="1"/>
    <pageSetUpPr/>
  </sheetPr>
  <dimension ref="A1:L5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22" customWidth="1" min="4" max="4"/>
    <col width="32" customWidth="1" min="5" max="5"/>
    <col width="13" customWidth="1" min="6" max="6"/>
    <col width="14" customWidth="1" min="7" max="7"/>
    <col width="14" customWidth="1" min="8" max="8"/>
    <col width="14" customWidth="1" min="9" max="9"/>
    <col width="17" customWidth="1" min="10" max="10"/>
    <col width="26" customWidth="1" min="11" max="11"/>
    <col hidden="1" width="6" customWidth="1" min="12" max="12"/>
  </cols>
  <sheetData>
    <row r="1" ht="36" customHeight="1">
      <c r="A1" s="28" t="inlineStr">
        <is>
          <t>💸 Расходы — план и факт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</row>
    <row r="2" ht="30" customHeight="1">
      <c r="A2" s="3" t="inlineStr">
        <is>
          <t>Одна строка = одна трата. Синяя колонка «ПЛАН» — сколько собираетесь потратить, зелёная «ФАКТ» — сколько реально ушло. Статус «✅ Выполнено» зачёркивает строку. Год, месяц, статья, категория — из списков.</t>
        </is>
      </c>
    </row>
    <row r="3">
      <c r="F3" s="30" t="inlineStr">
        <is>
          <t>Σ видимых →</t>
        </is>
      </c>
      <c r="G3" s="31">
        <f>SUBTOTAL(9,G5:G504)</f>
        <v/>
      </c>
      <c r="H3" s="32">
        <f>SUBTOTAL(9,H5:H504)</f>
        <v/>
      </c>
    </row>
    <row r="4" ht="34" customHeight="1">
      <c r="A4" s="33" t="inlineStr">
        <is>
          <t>📆 Год</t>
        </is>
      </c>
      <c r="B4" s="33" t="inlineStr">
        <is>
          <t>🗓 Месяц</t>
        </is>
      </c>
      <c r="C4" s="33" t="inlineStr">
        <is>
          <t>📝 Статья</t>
        </is>
      </c>
      <c r="D4" s="33" t="inlineStr">
        <is>
          <t>🏷 Категория</t>
        </is>
      </c>
      <c r="E4" s="33" t="inlineStr">
        <is>
          <t>✏️ Описание</t>
        </is>
      </c>
      <c r="F4" s="33" t="inlineStr">
        <is>
          <t>🎯 Приоритет</t>
        </is>
      </c>
      <c r="G4" s="34" t="inlineStr">
        <is>
          <t>📝 ПЛАН, ₸</t>
        </is>
      </c>
      <c r="H4" s="35" t="inlineStr">
        <is>
          <t>✅ ФАКТ, ₸</t>
        </is>
      </c>
      <c r="I4" s="33" t="inlineStr">
        <is>
          <t>± Разница
(план − факт)</t>
        </is>
      </c>
      <c r="J4" s="33" t="inlineStr">
        <is>
          <t>🚦 Статус</t>
        </is>
      </c>
      <c r="K4" s="33" t="inlineStr">
        <is>
          <t>💬 Комментарий</t>
        </is>
      </c>
      <c r="L4" s="33" t="inlineStr">
        <is>
          <t>служ. №хотелки</t>
        </is>
      </c>
    </row>
    <row r="5">
      <c r="A5" s="36" t="n">
        <v>2026</v>
      </c>
      <c r="B5" s="36" t="inlineStr">
        <is>
          <t>Октябрь</t>
        </is>
      </c>
      <c r="C5" s="37" t="inlineStr">
        <is>
          <t>Продукты</t>
        </is>
      </c>
      <c r="D5" s="37" t="inlineStr">
        <is>
          <t>🛒 Нужда</t>
        </is>
      </c>
      <c r="E5" s="37" t="inlineStr">
        <is>
          <t>Продукты на месяц</t>
        </is>
      </c>
      <c r="F5" s="36" t="inlineStr">
        <is>
          <t>🔥 Высокий</t>
        </is>
      </c>
      <c r="G5" s="38" t="n">
        <v>120000</v>
      </c>
      <c r="H5" s="39" t="n">
        <v>131500</v>
      </c>
      <c r="I5" s="40">
        <f>IF(OR(G5="",H5=""),"",G5-H5)</f>
        <v/>
      </c>
      <c r="J5" s="37" t="inlineStr">
        <is>
          <t>✅ Выполнено</t>
        </is>
      </c>
      <c r="K5" s="37" t="n"/>
      <c r="L5" s="41">
        <f>IF(IFERROR(INDEX(lst_cat_wish,MATCH(D5,lst_cats,0))="Да",FALSE),MAX($L$4:L4)+1,"")</f>
        <v/>
      </c>
    </row>
    <row r="6">
      <c r="A6" s="36" t="n">
        <v>2026</v>
      </c>
      <c r="B6" s="36" t="inlineStr">
        <is>
          <t>Октябрь</t>
        </is>
      </c>
      <c r="C6" s="37" t="inlineStr">
        <is>
          <t>Аренда / ипотека</t>
        </is>
      </c>
      <c r="D6" s="37" t="inlineStr">
        <is>
          <t>🧾 Обязательный платёж</t>
        </is>
      </c>
      <c r="E6" s="37" t="inlineStr">
        <is>
          <t>Аренда квартиры</t>
        </is>
      </c>
      <c r="F6" s="36" t="inlineStr">
        <is>
          <t>🔥 Высокий</t>
        </is>
      </c>
      <c r="G6" s="38" t="n">
        <v>250000</v>
      </c>
      <c r="H6" s="39" t="n">
        <v>250000</v>
      </c>
      <c r="I6" s="40">
        <f>IF(OR(G6="",H6=""),"",G6-H6)</f>
        <v/>
      </c>
      <c r="J6" s="37" t="inlineStr">
        <is>
          <t>✅ Выполнено</t>
        </is>
      </c>
      <c r="K6" s="37" t="n"/>
      <c r="L6" s="41">
        <f>IF(IFERROR(INDEX(lst_cat_wish,MATCH(D6,lst_cats,0))="Да",FALSE),MAX($L$4:L5)+1,"")</f>
        <v/>
      </c>
    </row>
    <row r="7">
      <c r="A7" s="36" t="n">
        <v>2026</v>
      </c>
      <c r="B7" s="36" t="inlineStr">
        <is>
          <t>Октябрь</t>
        </is>
      </c>
      <c r="C7" s="37" t="inlineStr">
        <is>
          <t>Подушка безопасности</t>
        </is>
      </c>
      <c r="D7" s="37" t="inlineStr">
        <is>
          <t>🏦 Накопление</t>
        </is>
      </c>
      <c r="E7" s="37" t="inlineStr">
        <is>
          <t>10% от дохода</t>
        </is>
      </c>
      <c r="F7" s="36" t="inlineStr">
        <is>
          <t>⭐ Средний</t>
        </is>
      </c>
      <c r="G7" s="38" t="n">
        <v>60000</v>
      </c>
      <c r="H7" s="39" t="n">
        <v>60000</v>
      </c>
      <c r="I7" s="40">
        <f>IF(OR(G7="",H7=""),"",G7-H7)</f>
        <v/>
      </c>
      <c r="J7" s="37" t="inlineStr">
        <is>
          <t>✅ Выполнено</t>
        </is>
      </c>
      <c r="K7" s="37" t="n"/>
      <c r="L7" s="41">
        <f>IF(IFERROR(INDEX(lst_cat_wish,MATCH(D7,lst_cats,0))="Да",FALSE),MAX($L$4:L6)+1,"")</f>
        <v/>
      </c>
    </row>
    <row r="8">
      <c r="A8" s="36" t="n">
        <v>2026</v>
      </c>
      <c r="B8" s="36" t="inlineStr">
        <is>
          <t>Октябрь</t>
        </is>
      </c>
      <c r="C8" s="37" t="inlineStr">
        <is>
          <t>Техника</t>
        </is>
      </c>
      <c r="D8" s="37" t="inlineStr">
        <is>
          <t>🍭 Хотелка</t>
        </is>
      </c>
      <c r="E8" s="37" t="inlineStr">
        <is>
          <t>Беспроводные наушники</t>
        </is>
      </c>
      <c r="F8" s="36" t="inlineStr">
        <is>
          <t>⭐ Средний</t>
        </is>
      </c>
      <c r="G8" s="38" t="n">
        <v>45000</v>
      </c>
      <c r="H8" s="39" t="n">
        <v>42000</v>
      </c>
      <c r="I8" s="40">
        <f>IF(OR(G8="",H8=""),"",G8-H8)</f>
        <v/>
      </c>
      <c r="J8" s="37" t="inlineStr">
        <is>
          <t>✅ Выполнено</t>
        </is>
      </c>
      <c r="K8" s="37" t="n"/>
      <c r="L8" s="41">
        <f>IF(IFERROR(INDEX(lst_cat_wish,MATCH(D8,lst_cats,0))="Да",FALSE),MAX($L$4:L7)+1,"")</f>
        <v/>
      </c>
    </row>
    <row r="9">
      <c r="A9" s="36" t="n">
        <v>2026</v>
      </c>
      <c r="B9" s="36" t="inlineStr">
        <is>
          <t>Ноябрь</t>
        </is>
      </c>
      <c r="C9" s="37" t="inlineStr">
        <is>
          <t>Продукты</t>
        </is>
      </c>
      <c r="D9" s="37" t="inlineStr">
        <is>
          <t>🛒 Нужда</t>
        </is>
      </c>
      <c r="E9" s="37" t="inlineStr">
        <is>
          <t>Продукты на месяц</t>
        </is>
      </c>
      <c r="F9" s="36" t="inlineStr">
        <is>
          <t>🔥 Высокий</t>
        </is>
      </c>
      <c r="G9" s="38" t="n">
        <v>120000</v>
      </c>
      <c r="H9" s="39" t="n"/>
      <c r="I9" s="40">
        <f>IF(OR(G9="",H9=""),"",G9-H9)</f>
        <v/>
      </c>
      <c r="J9" s="37" t="inlineStr">
        <is>
          <t>⏳ Запланировано</t>
        </is>
      </c>
      <c r="K9" s="37" t="n"/>
      <c r="L9" s="41">
        <f>IF(IFERROR(INDEX(lst_cat_wish,MATCH(D9,lst_cats,0))="Да",FALSE),MAX($L$4:L8)+1,"")</f>
        <v/>
      </c>
    </row>
    <row r="10">
      <c r="A10" s="36" t="n">
        <v>2026</v>
      </c>
      <c r="B10" s="36" t="inlineStr">
        <is>
          <t>Ноябрь</t>
        </is>
      </c>
      <c r="C10" s="37" t="inlineStr">
        <is>
          <t>Аренда / ипотека</t>
        </is>
      </c>
      <c r="D10" s="37" t="inlineStr">
        <is>
          <t>🧾 Обязательный платёж</t>
        </is>
      </c>
      <c r="E10" s="37" t="inlineStr">
        <is>
          <t>Аренда квартиры</t>
        </is>
      </c>
      <c r="F10" s="36" t="inlineStr">
        <is>
          <t>🔥 Высокий</t>
        </is>
      </c>
      <c r="G10" s="38" t="n">
        <v>250000</v>
      </c>
      <c r="H10" s="39" t="n"/>
      <c r="I10" s="40">
        <f>IF(OR(G10="",H10=""),"",G10-H10)</f>
        <v/>
      </c>
      <c r="J10" s="37" t="inlineStr">
        <is>
          <t>⏳ Запланировано</t>
        </is>
      </c>
      <c r="K10" s="37" t="n"/>
      <c r="L10" s="41">
        <f>IF(IFERROR(INDEX(lst_cat_wish,MATCH(D10,lst_cats,0))="Да",FALSE),MAX($L$4:L9)+1,"")</f>
        <v/>
      </c>
    </row>
    <row r="11">
      <c r="A11" s="36" t="n">
        <v>2026</v>
      </c>
      <c r="B11" s="36" t="inlineStr">
        <is>
          <t>Декабрь</t>
        </is>
      </c>
      <c r="C11" s="37" t="inlineStr">
        <is>
          <t>Подарки</t>
        </is>
      </c>
      <c r="D11" s="37" t="inlineStr">
        <is>
          <t>🎁 Подарок</t>
        </is>
      </c>
      <c r="E11" s="37" t="inlineStr">
        <is>
          <t>Новогодние подарки семье</t>
        </is>
      </c>
      <c r="F11" s="36" t="inlineStr">
        <is>
          <t>⭐ Средний</t>
        </is>
      </c>
      <c r="G11" s="38" t="n">
        <v>80000</v>
      </c>
      <c r="H11" s="39" t="n"/>
      <c r="I11" s="40">
        <f>IF(OR(G11="",H11=""),"",G11-H11)</f>
        <v/>
      </c>
      <c r="J11" s="37" t="inlineStr">
        <is>
          <t>⏳ Запланировано</t>
        </is>
      </c>
      <c r="K11" s="37" t="n"/>
      <c r="L11" s="41">
        <f>IF(IFERROR(INDEX(lst_cat_wish,MATCH(D11,lst_cats,0))="Да",FALSE),MAX($L$4:L10)+1,"")</f>
        <v/>
      </c>
    </row>
    <row r="12">
      <c r="A12" s="36" t="n">
        <v>2027</v>
      </c>
      <c r="B12" s="36" t="inlineStr">
        <is>
          <t>Март</t>
        </is>
      </c>
      <c r="C12" s="37" t="inlineStr">
        <is>
          <t>Одежда</t>
        </is>
      </c>
      <c r="D12" s="37" t="inlineStr">
        <is>
          <t>💫 Желание</t>
        </is>
      </c>
      <c r="E12" s="37" t="inlineStr">
        <is>
          <t>Новое пальто</t>
        </is>
      </c>
      <c r="F12" s="36" t="inlineStr">
        <is>
          <t>💤 Низкий</t>
        </is>
      </c>
      <c r="G12" s="38" t="n">
        <v>90000</v>
      </c>
      <c r="H12" s="39" t="n"/>
      <c r="I12" s="40">
        <f>IF(OR(G12="",H12=""),"",G12-H12)</f>
        <v/>
      </c>
      <c r="J12" s="37" t="inlineStr">
        <is>
          <t>⏳ Запланировано</t>
        </is>
      </c>
      <c r="K12" s="37" t="n"/>
      <c r="L12" s="41">
        <f>IF(IFERROR(INDEX(lst_cat_wish,MATCH(D12,lst_cats,0))="Да",FALSE),MAX($L$4:L11)+1,"")</f>
        <v/>
      </c>
    </row>
    <row r="13">
      <c r="A13" s="36" t="n">
        <v>2027</v>
      </c>
      <c r="B13" s="36" t="inlineStr">
        <is>
          <t>Июль</t>
        </is>
      </c>
      <c r="C13" s="37" t="inlineStr">
        <is>
          <t>Путешествия</t>
        </is>
      </c>
      <c r="D13" s="37" t="inlineStr">
        <is>
          <t>🌟 Мечта</t>
        </is>
      </c>
      <c r="E13" s="37" t="inlineStr">
        <is>
          <t>Отпуск в Грузии</t>
        </is>
      </c>
      <c r="F13" s="36" t="inlineStr">
        <is>
          <t>🔥 Высокий</t>
        </is>
      </c>
      <c r="G13" s="38" t="n">
        <v>600000</v>
      </c>
      <c r="H13" s="39" t="n"/>
      <c r="I13" s="40">
        <f>IF(OR(G13="",H13=""),"",G13-H13)</f>
        <v/>
      </c>
      <c r="J13" s="37" t="inlineStr">
        <is>
          <t>⏳ Запланировано</t>
        </is>
      </c>
      <c r="K13" s="37" t="n"/>
      <c r="L13" s="41">
        <f>IF(IFERROR(INDEX(lst_cat_wish,MATCH(D13,lst_cats,0))="Да",FALSE),MAX($L$4:L12)+1,"")</f>
        <v/>
      </c>
    </row>
    <row r="14">
      <c r="A14" s="36" t="n">
        <v>2028</v>
      </c>
      <c r="B14" s="36" t="inlineStr">
        <is>
          <t>Май</t>
        </is>
      </c>
      <c r="C14" s="37" t="inlineStr">
        <is>
          <t>Курсы</t>
        </is>
      </c>
      <c r="D14" s="37" t="inlineStr">
        <is>
          <t>🎓 Образование</t>
        </is>
      </c>
      <c r="E14" s="37" t="inlineStr">
        <is>
          <t>Курс английского</t>
        </is>
      </c>
      <c r="F14" s="36" t="inlineStr">
        <is>
          <t>⭐ Средний</t>
        </is>
      </c>
      <c r="G14" s="38" t="n">
        <v>150000</v>
      </c>
      <c r="H14" s="39" t="n"/>
      <c r="I14" s="40">
        <f>IF(OR(G14="",H14=""),"",G14-H14)</f>
        <v/>
      </c>
      <c r="J14" s="37" t="inlineStr">
        <is>
          <t>⏳ Запланировано</t>
        </is>
      </c>
      <c r="K14" s="37" t="n"/>
      <c r="L14" s="41">
        <f>IF(IFERROR(INDEX(lst_cat_wish,MATCH(D14,lst_cats,0))="Да",FALSE),MAX($L$4:L13)+1,"")</f>
        <v/>
      </c>
    </row>
    <row r="15">
      <c r="A15" s="36" t="n"/>
      <c r="B15" s="36" t="n"/>
      <c r="C15" s="37" t="n"/>
      <c r="D15" s="37" t="n"/>
      <c r="E15" s="37" t="n"/>
      <c r="F15" s="36" t="n"/>
      <c r="G15" s="38" t="n"/>
      <c r="H15" s="39" t="n"/>
      <c r="I15" s="40">
        <f>IF(OR(G15="",H15=""),"",G15-H15)</f>
        <v/>
      </c>
      <c r="J15" s="37" t="n"/>
      <c r="K15" s="37" t="n"/>
      <c r="L15" s="41">
        <f>IF(IFERROR(INDEX(lst_cat_wish,MATCH(D15,lst_cats,0))="Да",FALSE),MAX($L$4:L14)+1,"")</f>
        <v/>
      </c>
    </row>
    <row r="16">
      <c r="A16" s="36" t="n"/>
      <c r="B16" s="36" t="n"/>
      <c r="C16" s="37" t="n"/>
      <c r="D16" s="37" t="n"/>
      <c r="E16" s="37" t="n"/>
      <c r="F16" s="36" t="n"/>
      <c r="G16" s="38" t="n"/>
      <c r="H16" s="39" t="n"/>
      <c r="I16" s="40">
        <f>IF(OR(G16="",H16=""),"",G16-H16)</f>
        <v/>
      </c>
      <c r="J16" s="37" t="n"/>
      <c r="K16" s="37" t="n"/>
      <c r="L16" s="41">
        <f>IF(IFERROR(INDEX(lst_cat_wish,MATCH(D16,lst_cats,0))="Да",FALSE),MAX($L$4:L15)+1,"")</f>
        <v/>
      </c>
    </row>
    <row r="17">
      <c r="A17" s="36" t="n"/>
      <c r="B17" s="36" t="n"/>
      <c r="C17" s="37" t="n"/>
      <c r="D17" s="37" t="n"/>
      <c r="E17" s="37" t="n"/>
      <c r="F17" s="36" t="n"/>
      <c r="G17" s="38" t="n"/>
      <c r="H17" s="39" t="n"/>
      <c r="I17" s="40">
        <f>IF(OR(G17="",H17=""),"",G17-H17)</f>
        <v/>
      </c>
      <c r="J17" s="37" t="n"/>
      <c r="K17" s="37" t="n"/>
      <c r="L17" s="41">
        <f>IF(IFERROR(INDEX(lst_cat_wish,MATCH(D17,lst_cats,0))="Да",FALSE),MAX($L$4:L16)+1,"")</f>
        <v/>
      </c>
    </row>
    <row r="18">
      <c r="A18" s="36" t="n"/>
      <c r="B18" s="36" t="n"/>
      <c r="C18" s="37" t="n"/>
      <c r="D18" s="37" t="n"/>
      <c r="E18" s="37" t="n"/>
      <c r="F18" s="36" t="n"/>
      <c r="G18" s="38" t="n"/>
      <c r="H18" s="39" t="n"/>
      <c r="I18" s="40">
        <f>IF(OR(G18="",H18=""),"",G18-H18)</f>
        <v/>
      </c>
      <c r="J18" s="37" t="n"/>
      <c r="K18" s="37" t="n"/>
      <c r="L18" s="41">
        <f>IF(IFERROR(INDEX(lst_cat_wish,MATCH(D18,lst_cats,0))="Да",FALSE),MAX($L$4:L17)+1,"")</f>
        <v/>
      </c>
    </row>
    <row r="19">
      <c r="A19" s="36" t="n"/>
      <c r="B19" s="36" t="n"/>
      <c r="C19" s="37" t="n"/>
      <c r="D19" s="37" t="n"/>
      <c r="E19" s="37" t="n"/>
      <c r="F19" s="36" t="n"/>
      <c r="G19" s="38" t="n"/>
      <c r="H19" s="39" t="n"/>
      <c r="I19" s="40">
        <f>IF(OR(G19="",H19=""),"",G19-H19)</f>
        <v/>
      </c>
      <c r="J19" s="37" t="n"/>
      <c r="K19" s="37" t="n"/>
      <c r="L19" s="41">
        <f>IF(IFERROR(INDEX(lst_cat_wish,MATCH(D19,lst_cats,0))="Да",FALSE),MAX($L$4:L18)+1,"")</f>
        <v/>
      </c>
    </row>
    <row r="20">
      <c r="A20" s="36" t="n"/>
      <c r="B20" s="36" t="n"/>
      <c r="C20" s="37" t="n"/>
      <c r="D20" s="37" t="n"/>
      <c r="E20" s="37" t="n"/>
      <c r="F20" s="36" t="n"/>
      <c r="G20" s="38" t="n"/>
      <c r="H20" s="39" t="n"/>
      <c r="I20" s="40">
        <f>IF(OR(G20="",H20=""),"",G20-H20)</f>
        <v/>
      </c>
      <c r="J20" s="37" t="n"/>
      <c r="K20" s="37" t="n"/>
      <c r="L20" s="41">
        <f>IF(IFERROR(INDEX(lst_cat_wish,MATCH(D20,lst_cats,0))="Да",FALSE),MAX($L$4:L19)+1,"")</f>
        <v/>
      </c>
    </row>
    <row r="21">
      <c r="A21" s="36" t="n"/>
      <c r="B21" s="36" t="n"/>
      <c r="C21" s="37" t="n"/>
      <c r="D21" s="37" t="n"/>
      <c r="E21" s="37" t="n"/>
      <c r="F21" s="36" t="n"/>
      <c r="G21" s="38" t="n"/>
      <c r="H21" s="39" t="n"/>
      <c r="I21" s="40">
        <f>IF(OR(G21="",H21=""),"",G21-H21)</f>
        <v/>
      </c>
      <c r="J21" s="37" t="n"/>
      <c r="K21" s="37" t="n"/>
      <c r="L21" s="41">
        <f>IF(IFERROR(INDEX(lst_cat_wish,MATCH(D21,lst_cats,0))="Да",FALSE),MAX($L$4:L20)+1,"")</f>
        <v/>
      </c>
    </row>
    <row r="22">
      <c r="A22" s="36" t="n"/>
      <c r="B22" s="36" t="n"/>
      <c r="C22" s="37" t="n"/>
      <c r="D22" s="37" t="n"/>
      <c r="E22" s="37" t="n"/>
      <c r="F22" s="36" t="n"/>
      <c r="G22" s="38" t="n"/>
      <c r="H22" s="39" t="n"/>
      <c r="I22" s="40">
        <f>IF(OR(G22="",H22=""),"",G22-H22)</f>
        <v/>
      </c>
      <c r="J22" s="37" t="n"/>
      <c r="K22" s="37" t="n"/>
      <c r="L22" s="41">
        <f>IF(IFERROR(INDEX(lst_cat_wish,MATCH(D22,lst_cats,0))="Да",FALSE),MAX($L$4:L21)+1,"")</f>
        <v/>
      </c>
    </row>
    <row r="23">
      <c r="A23" s="36" t="n"/>
      <c r="B23" s="36" t="n"/>
      <c r="C23" s="37" t="n"/>
      <c r="D23" s="37" t="n"/>
      <c r="E23" s="37" t="n"/>
      <c r="F23" s="36" t="n"/>
      <c r="G23" s="38" t="n"/>
      <c r="H23" s="39" t="n"/>
      <c r="I23" s="40">
        <f>IF(OR(G23="",H23=""),"",G23-H23)</f>
        <v/>
      </c>
      <c r="J23" s="37" t="n"/>
      <c r="K23" s="37" t="n"/>
      <c r="L23" s="41">
        <f>IF(IFERROR(INDEX(lst_cat_wish,MATCH(D23,lst_cats,0))="Да",FALSE),MAX($L$4:L22)+1,"")</f>
        <v/>
      </c>
    </row>
    <row r="24">
      <c r="A24" s="36" t="n"/>
      <c r="B24" s="36" t="n"/>
      <c r="C24" s="37" t="n"/>
      <c r="D24" s="37" t="n"/>
      <c r="E24" s="37" t="n"/>
      <c r="F24" s="36" t="n"/>
      <c r="G24" s="38" t="n"/>
      <c r="H24" s="39" t="n"/>
      <c r="I24" s="40">
        <f>IF(OR(G24="",H24=""),"",G24-H24)</f>
        <v/>
      </c>
      <c r="J24" s="37" t="n"/>
      <c r="K24" s="37" t="n"/>
      <c r="L24" s="41">
        <f>IF(IFERROR(INDEX(lst_cat_wish,MATCH(D24,lst_cats,0))="Да",FALSE),MAX($L$4:L23)+1,"")</f>
        <v/>
      </c>
    </row>
    <row r="25">
      <c r="A25" s="36" t="n"/>
      <c r="B25" s="36" t="n"/>
      <c r="C25" s="37" t="n"/>
      <c r="D25" s="37" t="n"/>
      <c r="E25" s="37" t="n"/>
      <c r="F25" s="36" t="n"/>
      <c r="G25" s="38" t="n"/>
      <c r="H25" s="39" t="n"/>
      <c r="I25" s="40">
        <f>IF(OR(G25="",H25=""),"",G25-H25)</f>
        <v/>
      </c>
      <c r="J25" s="37" t="n"/>
      <c r="K25" s="37" t="n"/>
      <c r="L25" s="41">
        <f>IF(IFERROR(INDEX(lst_cat_wish,MATCH(D25,lst_cats,0))="Да",FALSE),MAX($L$4:L24)+1,"")</f>
        <v/>
      </c>
    </row>
    <row r="26">
      <c r="A26" s="36" t="n"/>
      <c r="B26" s="36" t="n"/>
      <c r="C26" s="37" t="n"/>
      <c r="D26" s="37" t="n"/>
      <c r="E26" s="37" t="n"/>
      <c r="F26" s="36" t="n"/>
      <c r="G26" s="38" t="n"/>
      <c r="H26" s="39" t="n"/>
      <c r="I26" s="40">
        <f>IF(OR(G26="",H26=""),"",G26-H26)</f>
        <v/>
      </c>
      <c r="J26" s="37" t="n"/>
      <c r="K26" s="37" t="n"/>
      <c r="L26" s="41">
        <f>IF(IFERROR(INDEX(lst_cat_wish,MATCH(D26,lst_cats,0))="Да",FALSE),MAX($L$4:L25)+1,"")</f>
        <v/>
      </c>
    </row>
    <row r="27">
      <c r="A27" s="36" t="n"/>
      <c r="B27" s="36" t="n"/>
      <c r="C27" s="37" t="n"/>
      <c r="D27" s="37" t="n"/>
      <c r="E27" s="37" t="n"/>
      <c r="F27" s="36" t="n"/>
      <c r="G27" s="38" t="n"/>
      <c r="H27" s="39" t="n"/>
      <c r="I27" s="40">
        <f>IF(OR(G27="",H27=""),"",G27-H27)</f>
        <v/>
      </c>
      <c r="J27" s="37" t="n"/>
      <c r="K27" s="37" t="n"/>
      <c r="L27" s="41">
        <f>IF(IFERROR(INDEX(lst_cat_wish,MATCH(D27,lst_cats,0))="Да",FALSE),MAX($L$4:L26)+1,"")</f>
        <v/>
      </c>
    </row>
    <row r="28">
      <c r="A28" s="36" t="n"/>
      <c r="B28" s="36" t="n"/>
      <c r="C28" s="37" t="n"/>
      <c r="D28" s="37" t="n"/>
      <c r="E28" s="37" t="n"/>
      <c r="F28" s="36" t="n"/>
      <c r="G28" s="38" t="n"/>
      <c r="H28" s="39" t="n"/>
      <c r="I28" s="40">
        <f>IF(OR(G28="",H28=""),"",G28-H28)</f>
        <v/>
      </c>
      <c r="J28" s="37" t="n"/>
      <c r="K28" s="37" t="n"/>
      <c r="L28" s="41">
        <f>IF(IFERROR(INDEX(lst_cat_wish,MATCH(D28,lst_cats,0))="Да",FALSE),MAX($L$4:L27)+1,"")</f>
        <v/>
      </c>
    </row>
    <row r="29">
      <c r="A29" s="36" t="n"/>
      <c r="B29" s="36" t="n"/>
      <c r="C29" s="37" t="n"/>
      <c r="D29" s="37" t="n"/>
      <c r="E29" s="37" t="n"/>
      <c r="F29" s="36" t="n"/>
      <c r="G29" s="38" t="n"/>
      <c r="H29" s="39" t="n"/>
      <c r="I29" s="40">
        <f>IF(OR(G29="",H29=""),"",G29-H29)</f>
        <v/>
      </c>
      <c r="J29" s="37" t="n"/>
      <c r="K29" s="37" t="n"/>
      <c r="L29" s="41">
        <f>IF(IFERROR(INDEX(lst_cat_wish,MATCH(D29,lst_cats,0))="Да",FALSE),MAX($L$4:L28)+1,"")</f>
        <v/>
      </c>
    </row>
    <row r="30">
      <c r="A30" s="36" t="n"/>
      <c r="B30" s="36" t="n"/>
      <c r="C30" s="37" t="n"/>
      <c r="D30" s="37" t="n"/>
      <c r="E30" s="37" t="n"/>
      <c r="F30" s="36" t="n"/>
      <c r="G30" s="38" t="n"/>
      <c r="H30" s="39" t="n"/>
      <c r="I30" s="40">
        <f>IF(OR(G30="",H30=""),"",G30-H30)</f>
        <v/>
      </c>
      <c r="J30" s="37" t="n"/>
      <c r="K30" s="37" t="n"/>
      <c r="L30" s="41">
        <f>IF(IFERROR(INDEX(lst_cat_wish,MATCH(D30,lst_cats,0))="Да",FALSE),MAX($L$4:L29)+1,"")</f>
        <v/>
      </c>
    </row>
    <row r="31">
      <c r="A31" s="36" t="n"/>
      <c r="B31" s="36" t="n"/>
      <c r="C31" s="37" t="n"/>
      <c r="D31" s="37" t="n"/>
      <c r="E31" s="37" t="n"/>
      <c r="F31" s="36" t="n"/>
      <c r="G31" s="38" t="n"/>
      <c r="H31" s="39" t="n"/>
      <c r="I31" s="40">
        <f>IF(OR(G31="",H31=""),"",G31-H31)</f>
        <v/>
      </c>
      <c r="J31" s="37" t="n"/>
      <c r="K31" s="37" t="n"/>
      <c r="L31" s="41">
        <f>IF(IFERROR(INDEX(lst_cat_wish,MATCH(D31,lst_cats,0))="Да",FALSE),MAX($L$4:L30)+1,"")</f>
        <v/>
      </c>
    </row>
    <row r="32">
      <c r="A32" s="36" t="n"/>
      <c r="B32" s="36" t="n"/>
      <c r="C32" s="37" t="n"/>
      <c r="D32" s="37" t="n"/>
      <c r="E32" s="37" t="n"/>
      <c r="F32" s="36" t="n"/>
      <c r="G32" s="38" t="n"/>
      <c r="H32" s="39" t="n"/>
      <c r="I32" s="40">
        <f>IF(OR(G32="",H32=""),"",G32-H32)</f>
        <v/>
      </c>
      <c r="J32" s="37" t="n"/>
      <c r="K32" s="37" t="n"/>
      <c r="L32" s="41">
        <f>IF(IFERROR(INDEX(lst_cat_wish,MATCH(D32,lst_cats,0))="Да",FALSE),MAX($L$4:L31)+1,"")</f>
        <v/>
      </c>
    </row>
    <row r="33">
      <c r="A33" s="36" t="n"/>
      <c r="B33" s="36" t="n"/>
      <c r="C33" s="37" t="n"/>
      <c r="D33" s="37" t="n"/>
      <c r="E33" s="37" t="n"/>
      <c r="F33" s="36" t="n"/>
      <c r="G33" s="38" t="n"/>
      <c r="H33" s="39" t="n"/>
      <c r="I33" s="40">
        <f>IF(OR(G33="",H33=""),"",G33-H33)</f>
        <v/>
      </c>
      <c r="J33" s="37" t="n"/>
      <c r="K33" s="37" t="n"/>
      <c r="L33" s="41">
        <f>IF(IFERROR(INDEX(lst_cat_wish,MATCH(D33,lst_cats,0))="Да",FALSE),MAX($L$4:L32)+1,"")</f>
        <v/>
      </c>
    </row>
    <row r="34">
      <c r="A34" s="36" t="n"/>
      <c r="B34" s="36" t="n"/>
      <c r="C34" s="37" t="n"/>
      <c r="D34" s="37" t="n"/>
      <c r="E34" s="37" t="n"/>
      <c r="F34" s="36" t="n"/>
      <c r="G34" s="38" t="n"/>
      <c r="H34" s="39" t="n"/>
      <c r="I34" s="40">
        <f>IF(OR(G34="",H34=""),"",G34-H34)</f>
        <v/>
      </c>
      <c r="J34" s="37" t="n"/>
      <c r="K34" s="37" t="n"/>
      <c r="L34" s="41">
        <f>IF(IFERROR(INDEX(lst_cat_wish,MATCH(D34,lst_cats,0))="Да",FALSE),MAX($L$4:L33)+1,"")</f>
        <v/>
      </c>
    </row>
    <row r="35">
      <c r="A35" s="36" t="n"/>
      <c r="B35" s="36" t="n"/>
      <c r="C35" s="37" t="n"/>
      <c r="D35" s="37" t="n"/>
      <c r="E35" s="37" t="n"/>
      <c r="F35" s="36" t="n"/>
      <c r="G35" s="38" t="n"/>
      <c r="H35" s="39" t="n"/>
      <c r="I35" s="40">
        <f>IF(OR(G35="",H35=""),"",G35-H35)</f>
        <v/>
      </c>
      <c r="J35" s="37" t="n"/>
      <c r="K35" s="37" t="n"/>
      <c r="L35" s="41">
        <f>IF(IFERROR(INDEX(lst_cat_wish,MATCH(D35,lst_cats,0))="Да",FALSE),MAX($L$4:L34)+1,"")</f>
        <v/>
      </c>
    </row>
    <row r="36">
      <c r="A36" s="36" t="n"/>
      <c r="B36" s="36" t="n"/>
      <c r="C36" s="37" t="n"/>
      <c r="D36" s="37" t="n"/>
      <c r="E36" s="37" t="n"/>
      <c r="F36" s="36" t="n"/>
      <c r="G36" s="38" t="n"/>
      <c r="H36" s="39" t="n"/>
      <c r="I36" s="40">
        <f>IF(OR(G36="",H36=""),"",G36-H36)</f>
        <v/>
      </c>
      <c r="J36" s="37" t="n"/>
      <c r="K36" s="37" t="n"/>
      <c r="L36" s="41">
        <f>IF(IFERROR(INDEX(lst_cat_wish,MATCH(D36,lst_cats,0))="Да",FALSE),MAX($L$4:L35)+1,"")</f>
        <v/>
      </c>
    </row>
    <row r="37">
      <c r="A37" s="36" t="n"/>
      <c r="B37" s="36" t="n"/>
      <c r="C37" s="37" t="n"/>
      <c r="D37" s="37" t="n"/>
      <c r="E37" s="37" t="n"/>
      <c r="F37" s="36" t="n"/>
      <c r="G37" s="38" t="n"/>
      <c r="H37" s="39" t="n"/>
      <c r="I37" s="40">
        <f>IF(OR(G37="",H37=""),"",G37-H37)</f>
        <v/>
      </c>
      <c r="J37" s="37" t="n"/>
      <c r="K37" s="37" t="n"/>
      <c r="L37" s="41">
        <f>IF(IFERROR(INDEX(lst_cat_wish,MATCH(D37,lst_cats,0))="Да",FALSE),MAX($L$4:L36)+1,"")</f>
        <v/>
      </c>
    </row>
    <row r="38">
      <c r="A38" s="36" t="n"/>
      <c r="B38" s="36" t="n"/>
      <c r="C38" s="37" t="n"/>
      <c r="D38" s="37" t="n"/>
      <c r="E38" s="37" t="n"/>
      <c r="F38" s="36" t="n"/>
      <c r="G38" s="38" t="n"/>
      <c r="H38" s="39" t="n"/>
      <c r="I38" s="40">
        <f>IF(OR(G38="",H38=""),"",G38-H38)</f>
        <v/>
      </c>
      <c r="J38" s="37" t="n"/>
      <c r="K38" s="37" t="n"/>
      <c r="L38" s="41">
        <f>IF(IFERROR(INDEX(lst_cat_wish,MATCH(D38,lst_cats,0))="Да",FALSE),MAX($L$4:L37)+1,"")</f>
        <v/>
      </c>
    </row>
    <row r="39">
      <c r="A39" s="36" t="n"/>
      <c r="B39" s="36" t="n"/>
      <c r="C39" s="37" t="n"/>
      <c r="D39" s="37" t="n"/>
      <c r="E39" s="37" t="n"/>
      <c r="F39" s="36" t="n"/>
      <c r="G39" s="38" t="n"/>
      <c r="H39" s="39" t="n"/>
      <c r="I39" s="40">
        <f>IF(OR(G39="",H39=""),"",G39-H39)</f>
        <v/>
      </c>
      <c r="J39" s="37" t="n"/>
      <c r="K39" s="37" t="n"/>
      <c r="L39" s="41">
        <f>IF(IFERROR(INDEX(lst_cat_wish,MATCH(D39,lst_cats,0))="Да",FALSE),MAX($L$4:L38)+1,"")</f>
        <v/>
      </c>
    </row>
    <row r="40">
      <c r="A40" s="36" t="n"/>
      <c r="B40" s="36" t="n"/>
      <c r="C40" s="37" t="n"/>
      <c r="D40" s="37" t="n"/>
      <c r="E40" s="37" t="n"/>
      <c r="F40" s="36" t="n"/>
      <c r="G40" s="38" t="n"/>
      <c r="H40" s="39" t="n"/>
      <c r="I40" s="40">
        <f>IF(OR(G40="",H40=""),"",G40-H40)</f>
        <v/>
      </c>
      <c r="J40" s="37" t="n"/>
      <c r="K40" s="37" t="n"/>
      <c r="L40" s="41">
        <f>IF(IFERROR(INDEX(lst_cat_wish,MATCH(D40,lst_cats,0))="Да",FALSE),MAX($L$4:L39)+1,"")</f>
        <v/>
      </c>
    </row>
    <row r="41">
      <c r="A41" s="36" t="n"/>
      <c r="B41" s="36" t="n"/>
      <c r="C41" s="37" t="n"/>
      <c r="D41" s="37" t="n"/>
      <c r="E41" s="37" t="n"/>
      <c r="F41" s="36" t="n"/>
      <c r="G41" s="38" t="n"/>
      <c r="H41" s="39" t="n"/>
      <c r="I41" s="40">
        <f>IF(OR(G41="",H41=""),"",G41-H41)</f>
        <v/>
      </c>
      <c r="J41" s="37" t="n"/>
      <c r="K41" s="37" t="n"/>
      <c r="L41" s="41">
        <f>IF(IFERROR(INDEX(lst_cat_wish,MATCH(D41,lst_cats,0))="Да",FALSE),MAX($L$4:L40)+1,"")</f>
        <v/>
      </c>
    </row>
    <row r="42">
      <c r="A42" s="36" t="n"/>
      <c r="B42" s="36" t="n"/>
      <c r="C42" s="37" t="n"/>
      <c r="D42" s="37" t="n"/>
      <c r="E42" s="37" t="n"/>
      <c r="F42" s="36" t="n"/>
      <c r="G42" s="38" t="n"/>
      <c r="H42" s="39" t="n"/>
      <c r="I42" s="40">
        <f>IF(OR(G42="",H42=""),"",G42-H42)</f>
        <v/>
      </c>
      <c r="J42" s="37" t="n"/>
      <c r="K42" s="37" t="n"/>
      <c r="L42" s="41">
        <f>IF(IFERROR(INDEX(lst_cat_wish,MATCH(D42,lst_cats,0))="Да",FALSE),MAX($L$4:L41)+1,"")</f>
        <v/>
      </c>
    </row>
    <row r="43">
      <c r="A43" s="36" t="n"/>
      <c r="B43" s="36" t="n"/>
      <c r="C43" s="37" t="n"/>
      <c r="D43" s="37" t="n"/>
      <c r="E43" s="37" t="n"/>
      <c r="F43" s="36" t="n"/>
      <c r="G43" s="38" t="n"/>
      <c r="H43" s="39" t="n"/>
      <c r="I43" s="40">
        <f>IF(OR(G43="",H43=""),"",G43-H43)</f>
        <v/>
      </c>
      <c r="J43" s="37" t="n"/>
      <c r="K43" s="37" t="n"/>
      <c r="L43" s="41">
        <f>IF(IFERROR(INDEX(lst_cat_wish,MATCH(D43,lst_cats,0))="Да",FALSE),MAX($L$4:L42)+1,"")</f>
        <v/>
      </c>
    </row>
    <row r="44">
      <c r="A44" s="36" t="n"/>
      <c r="B44" s="36" t="n"/>
      <c r="C44" s="37" t="n"/>
      <c r="D44" s="37" t="n"/>
      <c r="E44" s="37" t="n"/>
      <c r="F44" s="36" t="n"/>
      <c r="G44" s="38" t="n"/>
      <c r="H44" s="39" t="n"/>
      <c r="I44" s="40">
        <f>IF(OR(G44="",H44=""),"",G44-H44)</f>
        <v/>
      </c>
      <c r="J44" s="37" t="n"/>
      <c r="K44" s="37" t="n"/>
      <c r="L44" s="41">
        <f>IF(IFERROR(INDEX(lst_cat_wish,MATCH(D44,lst_cats,0))="Да",FALSE),MAX($L$4:L43)+1,"")</f>
        <v/>
      </c>
    </row>
    <row r="45">
      <c r="A45" s="36" t="n"/>
      <c r="B45" s="36" t="n"/>
      <c r="C45" s="37" t="n"/>
      <c r="D45" s="37" t="n"/>
      <c r="E45" s="37" t="n"/>
      <c r="F45" s="36" t="n"/>
      <c r="G45" s="38" t="n"/>
      <c r="H45" s="39" t="n"/>
      <c r="I45" s="40">
        <f>IF(OR(G45="",H45=""),"",G45-H45)</f>
        <v/>
      </c>
      <c r="J45" s="37" t="n"/>
      <c r="K45" s="37" t="n"/>
      <c r="L45" s="41">
        <f>IF(IFERROR(INDEX(lst_cat_wish,MATCH(D45,lst_cats,0))="Да",FALSE),MAX($L$4:L44)+1,"")</f>
        <v/>
      </c>
    </row>
    <row r="46">
      <c r="A46" s="36" t="n"/>
      <c r="B46" s="36" t="n"/>
      <c r="C46" s="37" t="n"/>
      <c r="D46" s="37" t="n"/>
      <c r="E46" s="37" t="n"/>
      <c r="F46" s="36" t="n"/>
      <c r="G46" s="38" t="n"/>
      <c r="H46" s="39" t="n"/>
      <c r="I46" s="40">
        <f>IF(OR(G46="",H46=""),"",G46-H46)</f>
        <v/>
      </c>
      <c r="J46" s="37" t="n"/>
      <c r="K46" s="37" t="n"/>
      <c r="L46" s="41">
        <f>IF(IFERROR(INDEX(lst_cat_wish,MATCH(D46,lst_cats,0))="Да",FALSE),MAX($L$4:L45)+1,"")</f>
        <v/>
      </c>
    </row>
    <row r="47">
      <c r="A47" s="36" t="n"/>
      <c r="B47" s="36" t="n"/>
      <c r="C47" s="37" t="n"/>
      <c r="D47" s="37" t="n"/>
      <c r="E47" s="37" t="n"/>
      <c r="F47" s="36" t="n"/>
      <c r="G47" s="38" t="n"/>
      <c r="H47" s="39" t="n"/>
      <c r="I47" s="40">
        <f>IF(OR(G47="",H47=""),"",G47-H47)</f>
        <v/>
      </c>
      <c r="J47" s="37" t="n"/>
      <c r="K47" s="37" t="n"/>
      <c r="L47" s="41">
        <f>IF(IFERROR(INDEX(lst_cat_wish,MATCH(D47,lst_cats,0))="Да",FALSE),MAX($L$4:L46)+1,"")</f>
        <v/>
      </c>
    </row>
    <row r="48">
      <c r="A48" s="36" t="n"/>
      <c r="B48" s="36" t="n"/>
      <c r="C48" s="37" t="n"/>
      <c r="D48" s="37" t="n"/>
      <c r="E48" s="37" t="n"/>
      <c r="F48" s="36" t="n"/>
      <c r="G48" s="38" t="n"/>
      <c r="H48" s="39" t="n"/>
      <c r="I48" s="40">
        <f>IF(OR(G48="",H48=""),"",G48-H48)</f>
        <v/>
      </c>
      <c r="J48" s="37" t="n"/>
      <c r="K48" s="37" t="n"/>
      <c r="L48" s="41">
        <f>IF(IFERROR(INDEX(lst_cat_wish,MATCH(D48,lst_cats,0))="Да",FALSE),MAX($L$4:L47)+1,"")</f>
        <v/>
      </c>
    </row>
    <row r="49">
      <c r="A49" s="36" t="n"/>
      <c r="B49" s="36" t="n"/>
      <c r="C49" s="37" t="n"/>
      <c r="D49" s="37" t="n"/>
      <c r="E49" s="37" t="n"/>
      <c r="F49" s="36" t="n"/>
      <c r="G49" s="38" t="n"/>
      <c r="H49" s="39" t="n"/>
      <c r="I49" s="40">
        <f>IF(OR(G49="",H49=""),"",G49-H49)</f>
        <v/>
      </c>
      <c r="J49" s="37" t="n"/>
      <c r="K49" s="37" t="n"/>
      <c r="L49" s="41">
        <f>IF(IFERROR(INDEX(lst_cat_wish,MATCH(D49,lst_cats,0))="Да",FALSE),MAX($L$4:L48)+1,"")</f>
        <v/>
      </c>
    </row>
    <row r="50">
      <c r="A50" s="36" t="n"/>
      <c r="B50" s="36" t="n"/>
      <c r="C50" s="37" t="n"/>
      <c r="D50" s="37" t="n"/>
      <c r="E50" s="37" t="n"/>
      <c r="F50" s="36" t="n"/>
      <c r="G50" s="38" t="n"/>
      <c r="H50" s="39" t="n"/>
      <c r="I50" s="40">
        <f>IF(OR(G50="",H50=""),"",G50-H50)</f>
        <v/>
      </c>
      <c r="J50" s="37" t="n"/>
      <c r="K50" s="37" t="n"/>
      <c r="L50" s="41">
        <f>IF(IFERROR(INDEX(lst_cat_wish,MATCH(D50,lst_cats,0))="Да",FALSE),MAX($L$4:L49)+1,"")</f>
        <v/>
      </c>
    </row>
    <row r="51">
      <c r="A51" s="36" t="n"/>
      <c r="B51" s="36" t="n"/>
      <c r="C51" s="37" t="n"/>
      <c r="D51" s="37" t="n"/>
      <c r="E51" s="37" t="n"/>
      <c r="F51" s="36" t="n"/>
      <c r="G51" s="38" t="n"/>
      <c r="H51" s="39" t="n"/>
      <c r="I51" s="40">
        <f>IF(OR(G51="",H51=""),"",G51-H51)</f>
        <v/>
      </c>
      <c r="J51" s="37" t="n"/>
      <c r="K51" s="37" t="n"/>
      <c r="L51" s="41">
        <f>IF(IFERROR(INDEX(lst_cat_wish,MATCH(D51,lst_cats,0))="Да",FALSE),MAX($L$4:L50)+1,"")</f>
        <v/>
      </c>
    </row>
    <row r="52">
      <c r="A52" s="36" t="n"/>
      <c r="B52" s="36" t="n"/>
      <c r="C52" s="37" t="n"/>
      <c r="D52" s="37" t="n"/>
      <c r="E52" s="37" t="n"/>
      <c r="F52" s="36" t="n"/>
      <c r="G52" s="38" t="n"/>
      <c r="H52" s="39" t="n"/>
      <c r="I52" s="40">
        <f>IF(OR(G52="",H52=""),"",G52-H52)</f>
        <v/>
      </c>
      <c r="J52" s="37" t="n"/>
      <c r="K52" s="37" t="n"/>
      <c r="L52" s="41">
        <f>IF(IFERROR(INDEX(lst_cat_wish,MATCH(D52,lst_cats,0))="Да",FALSE),MAX($L$4:L51)+1,"")</f>
        <v/>
      </c>
    </row>
    <row r="53">
      <c r="A53" s="36" t="n"/>
      <c r="B53" s="36" t="n"/>
      <c r="C53" s="37" t="n"/>
      <c r="D53" s="37" t="n"/>
      <c r="E53" s="37" t="n"/>
      <c r="F53" s="36" t="n"/>
      <c r="G53" s="38" t="n"/>
      <c r="H53" s="39" t="n"/>
      <c r="I53" s="40">
        <f>IF(OR(G53="",H53=""),"",G53-H53)</f>
        <v/>
      </c>
      <c r="J53" s="37" t="n"/>
      <c r="K53" s="37" t="n"/>
      <c r="L53" s="41">
        <f>IF(IFERROR(INDEX(lst_cat_wish,MATCH(D53,lst_cats,0))="Да",FALSE),MAX($L$4:L52)+1,"")</f>
        <v/>
      </c>
    </row>
    <row r="54">
      <c r="A54" s="36" t="n"/>
      <c r="B54" s="36" t="n"/>
      <c r="C54" s="37" t="n"/>
      <c r="D54" s="37" t="n"/>
      <c r="E54" s="37" t="n"/>
      <c r="F54" s="36" t="n"/>
      <c r="G54" s="38" t="n"/>
      <c r="H54" s="39" t="n"/>
      <c r="I54" s="40">
        <f>IF(OR(G54="",H54=""),"",G54-H54)</f>
        <v/>
      </c>
      <c r="J54" s="37" t="n"/>
      <c r="K54" s="37" t="n"/>
      <c r="L54" s="41">
        <f>IF(IFERROR(INDEX(lst_cat_wish,MATCH(D54,lst_cats,0))="Да",FALSE),MAX($L$4:L53)+1,"")</f>
        <v/>
      </c>
    </row>
    <row r="55">
      <c r="A55" s="36" t="n"/>
      <c r="B55" s="36" t="n"/>
      <c r="C55" s="37" t="n"/>
      <c r="D55" s="37" t="n"/>
      <c r="E55" s="37" t="n"/>
      <c r="F55" s="36" t="n"/>
      <c r="G55" s="38" t="n"/>
      <c r="H55" s="39" t="n"/>
      <c r="I55" s="40">
        <f>IF(OR(G55="",H55=""),"",G55-H55)</f>
        <v/>
      </c>
      <c r="J55" s="37" t="n"/>
      <c r="K55" s="37" t="n"/>
      <c r="L55" s="41">
        <f>IF(IFERROR(INDEX(lst_cat_wish,MATCH(D55,lst_cats,0))="Да",FALSE),MAX($L$4:L54)+1,"")</f>
        <v/>
      </c>
    </row>
    <row r="56">
      <c r="A56" s="36" t="n"/>
      <c r="B56" s="36" t="n"/>
      <c r="C56" s="37" t="n"/>
      <c r="D56" s="37" t="n"/>
      <c r="E56" s="37" t="n"/>
      <c r="F56" s="36" t="n"/>
      <c r="G56" s="38" t="n"/>
      <c r="H56" s="39" t="n"/>
      <c r="I56" s="40">
        <f>IF(OR(G56="",H56=""),"",G56-H56)</f>
        <v/>
      </c>
      <c r="J56" s="37" t="n"/>
      <c r="K56" s="37" t="n"/>
      <c r="L56" s="41">
        <f>IF(IFERROR(INDEX(lst_cat_wish,MATCH(D56,lst_cats,0))="Да",FALSE),MAX($L$4:L55)+1,"")</f>
        <v/>
      </c>
    </row>
    <row r="57">
      <c r="A57" s="36" t="n"/>
      <c r="B57" s="36" t="n"/>
      <c r="C57" s="37" t="n"/>
      <c r="D57" s="37" t="n"/>
      <c r="E57" s="37" t="n"/>
      <c r="F57" s="36" t="n"/>
      <c r="G57" s="38" t="n"/>
      <c r="H57" s="39" t="n"/>
      <c r="I57" s="40">
        <f>IF(OR(G57="",H57=""),"",G57-H57)</f>
        <v/>
      </c>
      <c r="J57" s="37" t="n"/>
      <c r="K57" s="37" t="n"/>
      <c r="L57" s="41">
        <f>IF(IFERROR(INDEX(lst_cat_wish,MATCH(D57,lst_cats,0))="Да",FALSE),MAX($L$4:L56)+1,"")</f>
        <v/>
      </c>
    </row>
    <row r="58">
      <c r="A58" s="36" t="n"/>
      <c r="B58" s="36" t="n"/>
      <c r="C58" s="37" t="n"/>
      <c r="D58" s="37" t="n"/>
      <c r="E58" s="37" t="n"/>
      <c r="F58" s="36" t="n"/>
      <c r="G58" s="38" t="n"/>
      <c r="H58" s="39" t="n"/>
      <c r="I58" s="40">
        <f>IF(OR(G58="",H58=""),"",G58-H58)</f>
        <v/>
      </c>
      <c r="J58" s="37" t="n"/>
      <c r="K58" s="37" t="n"/>
      <c r="L58" s="41">
        <f>IF(IFERROR(INDEX(lst_cat_wish,MATCH(D58,lst_cats,0))="Да",FALSE),MAX($L$4:L57)+1,"")</f>
        <v/>
      </c>
    </row>
    <row r="59">
      <c r="A59" s="36" t="n"/>
      <c r="B59" s="36" t="n"/>
      <c r="C59" s="37" t="n"/>
      <c r="D59" s="37" t="n"/>
      <c r="E59" s="37" t="n"/>
      <c r="F59" s="36" t="n"/>
      <c r="G59" s="38" t="n"/>
      <c r="H59" s="39" t="n"/>
      <c r="I59" s="40">
        <f>IF(OR(G59="",H59=""),"",G59-H59)</f>
        <v/>
      </c>
      <c r="J59" s="37" t="n"/>
      <c r="K59" s="37" t="n"/>
      <c r="L59" s="41">
        <f>IF(IFERROR(INDEX(lst_cat_wish,MATCH(D59,lst_cats,0))="Да",FALSE),MAX($L$4:L58)+1,"")</f>
        <v/>
      </c>
    </row>
    <row r="60">
      <c r="A60" s="36" t="n"/>
      <c r="B60" s="36" t="n"/>
      <c r="C60" s="37" t="n"/>
      <c r="D60" s="37" t="n"/>
      <c r="E60" s="37" t="n"/>
      <c r="F60" s="36" t="n"/>
      <c r="G60" s="38" t="n"/>
      <c r="H60" s="39" t="n"/>
      <c r="I60" s="40">
        <f>IF(OR(G60="",H60=""),"",G60-H60)</f>
        <v/>
      </c>
      <c r="J60" s="37" t="n"/>
      <c r="K60" s="37" t="n"/>
      <c r="L60" s="41">
        <f>IF(IFERROR(INDEX(lst_cat_wish,MATCH(D60,lst_cats,0))="Да",FALSE),MAX($L$4:L59)+1,"")</f>
        <v/>
      </c>
    </row>
    <row r="61">
      <c r="A61" s="36" t="n"/>
      <c r="B61" s="36" t="n"/>
      <c r="C61" s="37" t="n"/>
      <c r="D61" s="37" t="n"/>
      <c r="E61" s="37" t="n"/>
      <c r="F61" s="36" t="n"/>
      <c r="G61" s="38" t="n"/>
      <c r="H61" s="39" t="n"/>
      <c r="I61" s="40">
        <f>IF(OR(G61="",H61=""),"",G61-H61)</f>
        <v/>
      </c>
      <c r="J61" s="37" t="n"/>
      <c r="K61" s="37" t="n"/>
      <c r="L61" s="41">
        <f>IF(IFERROR(INDEX(lst_cat_wish,MATCH(D61,lst_cats,0))="Да",FALSE),MAX($L$4:L60)+1,"")</f>
        <v/>
      </c>
    </row>
    <row r="62">
      <c r="A62" s="36" t="n"/>
      <c r="B62" s="36" t="n"/>
      <c r="C62" s="37" t="n"/>
      <c r="D62" s="37" t="n"/>
      <c r="E62" s="37" t="n"/>
      <c r="F62" s="36" t="n"/>
      <c r="G62" s="38" t="n"/>
      <c r="H62" s="39" t="n"/>
      <c r="I62" s="40">
        <f>IF(OR(G62="",H62=""),"",G62-H62)</f>
        <v/>
      </c>
      <c r="J62" s="37" t="n"/>
      <c r="K62" s="37" t="n"/>
      <c r="L62" s="41">
        <f>IF(IFERROR(INDEX(lst_cat_wish,MATCH(D62,lst_cats,0))="Да",FALSE),MAX($L$4:L61)+1,"")</f>
        <v/>
      </c>
    </row>
    <row r="63">
      <c r="A63" s="36" t="n"/>
      <c r="B63" s="36" t="n"/>
      <c r="C63" s="37" t="n"/>
      <c r="D63" s="37" t="n"/>
      <c r="E63" s="37" t="n"/>
      <c r="F63" s="36" t="n"/>
      <c r="G63" s="38" t="n"/>
      <c r="H63" s="39" t="n"/>
      <c r="I63" s="40">
        <f>IF(OR(G63="",H63=""),"",G63-H63)</f>
        <v/>
      </c>
      <c r="J63" s="37" t="n"/>
      <c r="K63" s="37" t="n"/>
      <c r="L63" s="41">
        <f>IF(IFERROR(INDEX(lst_cat_wish,MATCH(D63,lst_cats,0))="Да",FALSE),MAX($L$4:L62)+1,"")</f>
        <v/>
      </c>
    </row>
    <row r="64">
      <c r="A64" s="36" t="n"/>
      <c r="B64" s="36" t="n"/>
      <c r="C64" s="37" t="n"/>
      <c r="D64" s="37" t="n"/>
      <c r="E64" s="37" t="n"/>
      <c r="F64" s="36" t="n"/>
      <c r="G64" s="38" t="n"/>
      <c r="H64" s="39" t="n"/>
      <c r="I64" s="40">
        <f>IF(OR(G64="",H64=""),"",G64-H64)</f>
        <v/>
      </c>
      <c r="J64" s="37" t="n"/>
      <c r="K64" s="37" t="n"/>
      <c r="L64" s="41">
        <f>IF(IFERROR(INDEX(lst_cat_wish,MATCH(D64,lst_cats,0))="Да",FALSE),MAX($L$4:L63)+1,"")</f>
        <v/>
      </c>
    </row>
    <row r="65">
      <c r="A65" s="36" t="n"/>
      <c r="B65" s="36" t="n"/>
      <c r="C65" s="37" t="n"/>
      <c r="D65" s="37" t="n"/>
      <c r="E65" s="37" t="n"/>
      <c r="F65" s="36" t="n"/>
      <c r="G65" s="38" t="n"/>
      <c r="H65" s="39" t="n"/>
      <c r="I65" s="40">
        <f>IF(OR(G65="",H65=""),"",G65-H65)</f>
        <v/>
      </c>
      <c r="J65" s="37" t="n"/>
      <c r="K65" s="37" t="n"/>
      <c r="L65" s="41">
        <f>IF(IFERROR(INDEX(lst_cat_wish,MATCH(D65,lst_cats,0))="Да",FALSE),MAX($L$4:L64)+1,"")</f>
        <v/>
      </c>
    </row>
    <row r="66">
      <c r="A66" s="36" t="n"/>
      <c r="B66" s="36" t="n"/>
      <c r="C66" s="37" t="n"/>
      <c r="D66" s="37" t="n"/>
      <c r="E66" s="37" t="n"/>
      <c r="F66" s="36" t="n"/>
      <c r="G66" s="38" t="n"/>
      <c r="H66" s="39" t="n"/>
      <c r="I66" s="40">
        <f>IF(OR(G66="",H66=""),"",G66-H66)</f>
        <v/>
      </c>
      <c r="J66" s="37" t="n"/>
      <c r="K66" s="37" t="n"/>
      <c r="L66" s="41">
        <f>IF(IFERROR(INDEX(lst_cat_wish,MATCH(D66,lst_cats,0))="Да",FALSE),MAX($L$4:L65)+1,"")</f>
        <v/>
      </c>
    </row>
    <row r="67">
      <c r="A67" s="36" t="n"/>
      <c r="B67" s="36" t="n"/>
      <c r="C67" s="37" t="n"/>
      <c r="D67" s="37" t="n"/>
      <c r="E67" s="37" t="n"/>
      <c r="F67" s="36" t="n"/>
      <c r="G67" s="38" t="n"/>
      <c r="H67" s="39" t="n"/>
      <c r="I67" s="40">
        <f>IF(OR(G67="",H67=""),"",G67-H67)</f>
        <v/>
      </c>
      <c r="J67" s="37" t="n"/>
      <c r="K67" s="37" t="n"/>
      <c r="L67" s="41">
        <f>IF(IFERROR(INDEX(lst_cat_wish,MATCH(D67,lst_cats,0))="Да",FALSE),MAX($L$4:L66)+1,"")</f>
        <v/>
      </c>
    </row>
    <row r="68">
      <c r="A68" s="36" t="n"/>
      <c r="B68" s="36" t="n"/>
      <c r="C68" s="37" t="n"/>
      <c r="D68" s="37" t="n"/>
      <c r="E68" s="37" t="n"/>
      <c r="F68" s="36" t="n"/>
      <c r="G68" s="38" t="n"/>
      <c r="H68" s="39" t="n"/>
      <c r="I68" s="40">
        <f>IF(OR(G68="",H68=""),"",G68-H68)</f>
        <v/>
      </c>
      <c r="J68" s="37" t="n"/>
      <c r="K68" s="37" t="n"/>
      <c r="L68" s="41">
        <f>IF(IFERROR(INDEX(lst_cat_wish,MATCH(D68,lst_cats,0))="Да",FALSE),MAX($L$4:L67)+1,"")</f>
        <v/>
      </c>
    </row>
    <row r="69">
      <c r="A69" s="36" t="n"/>
      <c r="B69" s="36" t="n"/>
      <c r="C69" s="37" t="n"/>
      <c r="D69" s="37" t="n"/>
      <c r="E69" s="37" t="n"/>
      <c r="F69" s="36" t="n"/>
      <c r="G69" s="38" t="n"/>
      <c r="H69" s="39" t="n"/>
      <c r="I69" s="40">
        <f>IF(OR(G69="",H69=""),"",G69-H69)</f>
        <v/>
      </c>
      <c r="J69" s="37" t="n"/>
      <c r="K69" s="37" t="n"/>
      <c r="L69" s="41">
        <f>IF(IFERROR(INDEX(lst_cat_wish,MATCH(D69,lst_cats,0))="Да",FALSE),MAX($L$4:L68)+1,"")</f>
        <v/>
      </c>
    </row>
    <row r="70">
      <c r="A70" s="36" t="n"/>
      <c r="B70" s="36" t="n"/>
      <c r="C70" s="37" t="n"/>
      <c r="D70" s="37" t="n"/>
      <c r="E70" s="37" t="n"/>
      <c r="F70" s="36" t="n"/>
      <c r="G70" s="38" t="n"/>
      <c r="H70" s="39" t="n"/>
      <c r="I70" s="40">
        <f>IF(OR(G70="",H70=""),"",G70-H70)</f>
        <v/>
      </c>
      <c r="J70" s="37" t="n"/>
      <c r="K70" s="37" t="n"/>
      <c r="L70" s="41">
        <f>IF(IFERROR(INDEX(lst_cat_wish,MATCH(D70,lst_cats,0))="Да",FALSE),MAX($L$4:L69)+1,"")</f>
        <v/>
      </c>
    </row>
    <row r="71">
      <c r="A71" s="36" t="n"/>
      <c r="B71" s="36" t="n"/>
      <c r="C71" s="37" t="n"/>
      <c r="D71" s="37" t="n"/>
      <c r="E71" s="37" t="n"/>
      <c r="F71" s="36" t="n"/>
      <c r="G71" s="38" t="n"/>
      <c r="H71" s="39" t="n"/>
      <c r="I71" s="40">
        <f>IF(OR(G71="",H71=""),"",G71-H71)</f>
        <v/>
      </c>
      <c r="J71" s="37" t="n"/>
      <c r="K71" s="37" t="n"/>
      <c r="L71" s="41">
        <f>IF(IFERROR(INDEX(lst_cat_wish,MATCH(D71,lst_cats,0))="Да",FALSE),MAX($L$4:L70)+1,"")</f>
        <v/>
      </c>
    </row>
    <row r="72">
      <c r="A72" s="36" t="n"/>
      <c r="B72" s="36" t="n"/>
      <c r="C72" s="37" t="n"/>
      <c r="D72" s="37" t="n"/>
      <c r="E72" s="37" t="n"/>
      <c r="F72" s="36" t="n"/>
      <c r="G72" s="38" t="n"/>
      <c r="H72" s="39" t="n"/>
      <c r="I72" s="40">
        <f>IF(OR(G72="",H72=""),"",G72-H72)</f>
        <v/>
      </c>
      <c r="J72" s="37" t="n"/>
      <c r="K72" s="37" t="n"/>
      <c r="L72" s="41">
        <f>IF(IFERROR(INDEX(lst_cat_wish,MATCH(D72,lst_cats,0))="Да",FALSE),MAX($L$4:L71)+1,"")</f>
        <v/>
      </c>
    </row>
    <row r="73">
      <c r="A73" s="36" t="n"/>
      <c r="B73" s="36" t="n"/>
      <c r="C73" s="37" t="n"/>
      <c r="D73" s="37" t="n"/>
      <c r="E73" s="37" t="n"/>
      <c r="F73" s="36" t="n"/>
      <c r="G73" s="38" t="n"/>
      <c r="H73" s="39" t="n"/>
      <c r="I73" s="40">
        <f>IF(OR(G73="",H73=""),"",G73-H73)</f>
        <v/>
      </c>
      <c r="J73" s="37" t="n"/>
      <c r="K73" s="37" t="n"/>
      <c r="L73" s="41">
        <f>IF(IFERROR(INDEX(lst_cat_wish,MATCH(D73,lst_cats,0))="Да",FALSE),MAX($L$4:L72)+1,"")</f>
        <v/>
      </c>
    </row>
    <row r="74">
      <c r="A74" s="36" t="n"/>
      <c r="B74" s="36" t="n"/>
      <c r="C74" s="37" t="n"/>
      <c r="D74" s="37" t="n"/>
      <c r="E74" s="37" t="n"/>
      <c r="F74" s="36" t="n"/>
      <c r="G74" s="38" t="n"/>
      <c r="H74" s="39" t="n"/>
      <c r="I74" s="40">
        <f>IF(OR(G74="",H74=""),"",G74-H74)</f>
        <v/>
      </c>
      <c r="J74" s="37" t="n"/>
      <c r="K74" s="37" t="n"/>
      <c r="L74" s="41">
        <f>IF(IFERROR(INDEX(lst_cat_wish,MATCH(D74,lst_cats,0))="Да",FALSE),MAX($L$4:L73)+1,"")</f>
        <v/>
      </c>
    </row>
    <row r="75">
      <c r="A75" s="36" t="n"/>
      <c r="B75" s="36" t="n"/>
      <c r="C75" s="37" t="n"/>
      <c r="D75" s="37" t="n"/>
      <c r="E75" s="37" t="n"/>
      <c r="F75" s="36" t="n"/>
      <c r="G75" s="38" t="n"/>
      <c r="H75" s="39" t="n"/>
      <c r="I75" s="40">
        <f>IF(OR(G75="",H75=""),"",G75-H75)</f>
        <v/>
      </c>
      <c r="J75" s="37" t="n"/>
      <c r="K75" s="37" t="n"/>
      <c r="L75" s="41">
        <f>IF(IFERROR(INDEX(lst_cat_wish,MATCH(D75,lst_cats,0))="Да",FALSE),MAX($L$4:L74)+1,"")</f>
        <v/>
      </c>
    </row>
    <row r="76">
      <c r="A76" s="36" t="n"/>
      <c r="B76" s="36" t="n"/>
      <c r="C76" s="37" t="n"/>
      <c r="D76" s="37" t="n"/>
      <c r="E76" s="37" t="n"/>
      <c r="F76" s="36" t="n"/>
      <c r="G76" s="38" t="n"/>
      <c r="H76" s="39" t="n"/>
      <c r="I76" s="40">
        <f>IF(OR(G76="",H76=""),"",G76-H76)</f>
        <v/>
      </c>
      <c r="J76" s="37" t="n"/>
      <c r="K76" s="37" t="n"/>
      <c r="L76" s="41">
        <f>IF(IFERROR(INDEX(lst_cat_wish,MATCH(D76,lst_cats,0))="Да",FALSE),MAX($L$4:L75)+1,"")</f>
        <v/>
      </c>
    </row>
    <row r="77">
      <c r="A77" s="36" t="n"/>
      <c r="B77" s="36" t="n"/>
      <c r="C77" s="37" t="n"/>
      <c r="D77" s="37" t="n"/>
      <c r="E77" s="37" t="n"/>
      <c r="F77" s="36" t="n"/>
      <c r="G77" s="38" t="n"/>
      <c r="H77" s="39" t="n"/>
      <c r="I77" s="40">
        <f>IF(OR(G77="",H77=""),"",G77-H77)</f>
        <v/>
      </c>
      <c r="J77" s="37" t="n"/>
      <c r="K77" s="37" t="n"/>
      <c r="L77" s="41">
        <f>IF(IFERROR(INDEX(lst_cat_wish,MATCH(D77,lst_cats,0))="Да",FALSE),MAX($L$4:L76)+1,"")</f>
        <v/>
      </c>
    </row>
    <row r="78">
      <c r="A78" s="36" t="n"/>
      <c r="B78" s="36" t="n"/>
      <c r="C78" s="37" t="n"/>
      <c r="D78" s="37" t="n"/>
      <c r="E78" s="37" t="n"/>
      <c r="F78" s="36" t="n"/>
      <c r="G78" s="38" t="n"/>
      <c r="H78" s="39" t="n"/>
      <c r="I78" s="40">
        <f>IF(OR(G78="",H78=""),"",G78-H78)</f>
        <v/>
      </c>
      <c r="J78" s="37" t="n"/>
      <c r="K78" s="37" t="n"/>
      <c r="L78" s="41">
        <f>IF(IFERROR(INDEX(lst_cat_wish,MATCH(D78,lst_cats,0))="Да",FALSE),MAX($L$4:L77)+1,"")</f>
        <v/>
      </c>
    </row>
    <row r="79">
      <c r="A79" s="36" t="n"/>
      <c r="B79" s="36" t="n"/>
      <c r="C79" s="37" t="n"/>
      <c r="D79" s="37" t="n"/>
      <c r="E79" s="37" t="n"/>
      <c r="F79" s="36" t="n"/>
      <c r="G79" s="38" t="n"/>
      <c r="H79" s="39" t="n"/>
      <c r="I79" s="40">
        <f>IF(OR(G79="",H79=""),"",G79-H79)</f>
        <v/>
      </c>
      <c r="J79" s="37" t="n"/>
      <c r="K79" s="37" t="n"/>
      <c r="L79" s="41">
        <f>IF(IFERROR(INDEX(lst_cat_wish,MATCH(D79,lst_cats,0))="Да",FALSE),MAX($L$4:L78)+1,"")</f>
        <v/>
      </c>
    </row>
    <row r="80">
      <c r="A80" s="36" t="n"/>
      <c r="B80" s="36" t="n"/>
      <c r="C80" s="37" t="n"/>
      <c r="D80" s="37" t="n"/>
      <c r="E80" s="37" t="n"/>
      <c r="F80" s="36" t="n"/>
      <c r="G80" s="38" t="n"/>
      <c r="H80" s="39" t="n"/>
      <c r="I80" s="40">
        <f>IF(OR(G80="",H80=""),"",G80-H80)</f>
        <v/>
      </c>
      <c r="J80" s="37" t="n"/>
      <c r="K80" s="37" t="n"/>
      <c r="L80" s="41">
        <f>IF(IFERROR(INDEX(lst_cat_wish,MATCH(D80,lst_cats,0))="Да",FALSE),MAX($L$4:L79)+1,"")</f>
        <v/>
      </c>
    </row>
    <row r="81">
      <c r="A81" s="36" t="n"/>
      <c r="B81" s="36" t="n"/>
      <c r="C81" s="37" t="n"/>
      <c r="D81" s="37" t="n"/>
      <c r="E81" s="37" t="n"/>
      <c r="F81" s="36" t="n"/>
      <c r="G81" s="38" t="n"/>
      <c r="H81" s="39" t="n"/>
      <c r="I81" s="40">
        <f>IF(OR(G81="",H81=""),"",G81-H81)</f>
        <v/>
      </c>
      <c r="J81" s="37" t="n"/>
      <c r="K81" s="37" t="n"/>
      <c r="L81" s="41">
        <f>IF(IFERROR(INDEX(lst_cat_wish,MATCH(D81,lst_cats,0))="Да",FALSE),MAX($L$4:L80)+1,"")</f>
        <v/>
      </c>
    </row>
    <row r="82">
      <c r="A82" s="36" t="n"/>
      <c r="B82" s="36" t="n"/>
      <c r="C82" s="37" t="n"/>
      <c r="D82" s="37" t="n"/>
      <c r="E82" s="37" t="n"/>
      <c r="F82" s="36" t="n"/>
      <c r="G82" s="38" t="n"/>
      <c r="H82" s="39" t="n"/>
      <c r="I82" s="40">
        <f>IF(OR(G82="",H82=""),"",G82-H82)</f>
        <v/>
      </c>
      <c r="J82" s="37" t="n"/>
      <c r="K82" s="37" t="n"/>
      <c r="L82" s="41">
        <f>IF(IFERROR(INDEX(lst_cat_wish,MATCH(D82,lst_cats,0))="Да",FALSE),MAX($L$4:L81)+1,"")</f>
        <v/>
      </c>
    </row>
    <row r="83">
      <c r="A83" s="36" t="n"/>
      <c r="B83" s="36" t="n"/>
      <c r="C83" s="37" t="n"/>
      <c r="D83" s="37" t="n"/>
      <c r="E83" s="37" t="n"/>
      <c r="F83" s="36" t="n"/>
      <c r="G83" s="38" t="n"/>
      <c r="H83" s="39" t="n"/>
      <c r="I83" s="40">
        <f>IF(OR(G83="",H83=""),"",G83-H83)</f>
        <v/>
      </c>
      <c r="J83" s="37" t="n"/>
      <c r="K83" s="37" t="n"/>
      <c r="L83" s="41">
        <f>IF(IFERROR(INDEX(lst_cat_wish,MATCH(D83,lst_cats,0))="Да",FALSE),MAX($L$4:L82)+1,"")</f>
        <v/>
      </c>
    </row>
    <row r="84">
      <c r="A84" s="36" t="n"/>
      <c r="B84" s="36" t="n"/>
      <c r="C84" s="37" t="n"/>
      <c r="D84" s="37" t="n"/>
      <c r="E84" s="37" t="n"/>
      <c r="F84" s="36" t="n"/>
      <c r="G84" s="38" t="n"/>
      <c r="H84" s="39" t="n"/>
      <c r="I84" s="40">
        <f>IF(OR(G84="",H84=""),"",G84-H84)</f>
        <v/>
      </c>
      <c r="J84" s="37" t="n"/>
      <c r="K84" s="37" t="n"/>
      <c r="L84" s="41">
        <f>IF(IFERROR(INDEX(lst_cat_wish,MATCH(D84,lst_cats,0))="Да",FALSE),MAX($L$4:L83)+1,"")</f>
        <v/>
      </c>
    </row>
    <row r="85">
      <c r="A85" s="36" t="n"/>
      <c r="B85" s="36" t="n"/>
      <c r="C85" s="37" t="n"/>
      <c r="D85" s="37" t="n"/>
      <c r="E85" s="37" t="n"/>
      <c r="F85" s="36" t="n"/>
      <c r="G85" s="38" t="n"/>
      <c r="H85" s="39" t="n"/>
      <c r="I85" s="40">
        <f>IF(OR(G85="",H85=""),"",G85-H85)</f>
        <v/>
      </c>
      <c r="J85" s="37" t="n"/>
      <c r="K85" s="37" t="n"/>
      <c r="L85" s="41">
        <f>IF(IFERROR(INDEX(lst_cat_wish,MATCH(D85,lst_cats,0))="Да",FALSE),MAX($L$4:L84)+1,"")</f>
        <v/>
      </c>
    </row>
    <row r="86">
      <c r="A86" s="36" t="n"/>
      <c r="B86" s="36" t="n"/>
      <c r="C86" s="37" t="n"/>
      <c r="D86" s="37" t="n"/>
      <c r="E86" s="37" t="n"/>
      <c r="F86" s="36" t="n"/>
      <c r="G86" s="38" t="n"/>
      <c r="H86" s="39" t="n"/>
      <c r="I86" s="40">
        <f>IF(OR(G86="",H86=""),"",G86-H86)</f>
        <v/>
      </c>
      <c r="J86" s="37" t="n"/>
      <c r="K86" s="37" t="n"/>
      <c r="L86" s="41">
        <f>IF(IFERROR(INDEX(lst_cat_wish,MATCH(D86,lst_cats,0))="Да",FALSE),MAX($L$4:L85)+1,"")</f>
        <v/>
      </c>
    </row>
    <row r="87">
      <c r="A87" s="36" t="n"/>
      <c r="B87" s="36" t="n"/>
      <c r="C87" s="37" t="n"/>
      <c r="D87" s="37" t="n"/>
      <c r="E87" s="37" t="n"/>
      <c r="F87" s="36" t="n"/>
      <c r="G87" s="38" t="n"/>
      <c r="H87" s="39" t="n"/>
      <c r="I87" s="40">
        <f>IF(OR(G87="",H87=""),"",G87-H87)</f>
        <v/>
      </c>
      <c r="J87" s="37" t="n"/>
      <c r="K87" s="37" t="n"/>
      <c r="L87" s="41">
        <f>IF(IFERROR(INDEX(lst_cat_wish,MATCH(D87,lst_cats,0))="Да",FALSE),MAX($L$4:L86)+1,"")</f>
        <v/>
      </c>
    </row>
    <row r="88">
      <c r="A88" s="36" t="n"/>
      <c r="B88" s="36" t="n"/>
      <c r="C88" s="37" t="n"/>
      <c r="D88" s="37" t="n"/>
      <c r="E88" s="37" t="n"/>
      <c r="F88" s="36" t="n"/>
      <c r="G88" s="38" t="n"/>
      <c r="H88" s="39" t="n"/>
      <c r="I88" s="40">
        <f>IF(OR(G88="",H88=""),"",G88-H88)</f>
        <v/>
      </c>
      <c r="J88" s="37" t="n"/>
      <c r="K88" s="37" t="n"/>
      <c r="L88" s="41">
        <f>IF(IFERROR(INDEX(lst_cat_wish,MATCH(D88,lst_cats,0))="Да",FALSE),MAX($L$4:L87)+1,"")</f>
        <v/>
      </c>
    </row>
    <row r="89">
      <c r="A89" s="36" t="n"/>
      <c r="B89" s="36" t="n"/>
      <c r="C89" s="37" t="n"/>
      <c r="D89" s="37" t="n"/>
      <c r="E89" s="37" t="n"/>
      <c r="F89" s="36" t="n"/>
      <c r="G89" s="38" t="n"/>
      <c r="H89" s="39" t="n"/>
      <c r="I89" s="40">
        <f>IF(OR(G89="",H89=""),"",G89-H89)</f>
        <v/>
      </c>
      <c r="J89" s="37" t="n"/>
      <c r="K89" s="37" t="n"/>
      <c r="L89" s="41">
        <f>IF(IFERROR(INDEX(lst_cat_wish,MATCH(D89,lst_cats,0))="Да",FALSE),MAX($L$4:L88)+1,"")</f>
        <v/>
      </c>
    </row>
    <row r="90">
      <c r="A90" s="36" t="n"/>
      <c r="B90" s="36" t="n"/>
      <c r="C90" s="37" t="n"/>
      <c r="D90" s="37" t="n"/>
      <c r="E90" s="37" t="n"/>
      <c r="F90" s="36" t="n"/>
      <c r="G90" s="38" t="n"/>
      <c r="H90" s="39" t="n"/>
      <c r="I90" s="40">
        <f>IF(OR(G90="",H90=""),"",G90-H90)</f>
        <v/>
      </c>
      <c r="J90" s="37" t="n"/>
      <c r="K90" s="37" t="n"/>
      <c r="L90" s="41">
        <f>IF(IFERROR(INDEX(lst_cat_wish,MATCH(D90,lst_cats,0))="Да",FALSE),MAX($L$4:L89)+1,"")</f>
        <v/>
      </c>
    </row>
    <row r="91">
      <c r="A91" s="36" t="n"/>
      <c r="B91" s="36" t="n"/>
      <c r="C91" s="37" t="n"/>
      <c r="D91" s="37" t="n"/>
      <c r="E91" s="37" t="n"/>
      <c r="F91" s="36" t="n"/>
      <c r="G91" s="38" t="n"/>
      <c r="H91" s="39" t="n"/>
      <c r="I91" s="40">
        <f>IF(OR(G91="",H91=""),"",G91-H91)</f>
        <v/>
      </c>
      <c r="J91" s="37" t="n"/>
      <c r="K91" s="37" t="n"/>
      <c r="L91" s="41">
        <f>IF(IFERROR(INDEX(lst_cat_wish,MATCH(D91,lst_cats,0))="Да",FALSE),MAX($L$4:L90)+1,"")</f>
        <v/>
      </c>
    </row>
    <row r="92">
      <c r="A92" s="36" t="n"/>
      <c r="B92" s="36" t="n"/>
      <c r="C92" s="37" t="n"/>
      <c r="D92" s="37" t="n"/>
      <c r="E92" s="37" t="n"/>
      <c r="F92" s="36" t="n"/>
      <c r="G92" s="38" t="n"/>
      <c r="H92" s="39" t="n"/>
      <c r="I92" s="40">
        <f>IF(OR(G92="",H92=""),"",G92-H92)</f>
        <v/>
      </c>
      <c r="J92" s="37" t="n"/>
      <c r="K92" s="37" t="n"/>
      <c r="L92" s="41">
        <f>IF(IFERROR(INDEX(lst_cat_wish,MATCH(D92,lst_cats,0))="Да",FALSE),MAX($L$4:L91)+1,"")</f>
        <v/>
      </c>
    </row>
    <row r="93">
      <c r="A93" s="36" t="n"/>
      <c r="B93" s="36" t="n"/>
      <c r="C93" s="37" t="n"/>
      <c r="D93" s="37" t="n"/>
      <c r="E93" s="37" t="n"/>
      <c r="F93" s="36" t="n"/>
      <c r="G93" s="38" t="n"/>
      <c r="H93" s="39" t="n"/>
      <c r="I93" s="40">
        <f>IF(OR(G93="",H93=""),"",G93-H93)</f>
        <v/>
      </c>
      <c r="J93" s="37" t="n"/>
      <c r="K93" s="37" t="n"/>
      <c r="L93" s="41">
        <f>IF(IFERROR(INDEX(lst_cat_wish,MATCH(D93,lst_cats,0))="Да",FALSE),MAX($L$4:L92)+1,"")</f>
        <v/>
      </c>
    </row>
    <row r="94">
      <c r="A94" s="36" t="n"/>
      <c r="B94" s="36" t="n"/>
      <c r="C94" s="37" t="n"/>
      <c r="D94" s="37" t="n"/>
      <c r="E94" s="37" t="n"/>
      <c r="F94" s="36" t="n"/>
      <c r="G94" s="38" t="n"/>
      <c r="H94" s="39" t="n"/>
      <c r="I94" s="40">
        <f>IF(OR(G94="",H94=""),"",G94-H94)</f>
        <v/>
      </c>
      <c r="J94" s="37" t="n"/>
      <c r="K94" s="37" t="n"/>
      <c r="L94" s="41">
        <f>IF(IFERROR(INDEX(lst_cat_wish,MATCH(D94,lst_cats,0))="Да",FALSE),MAX($L$4:L93)+1,"")</f>
        <v/>
      </c>
    </row>
    <row r="95">
      <c r="A95" s="36" t="n"/>
      <c r="B95" s="36" t="n"/>
      <c r="C95" s="37" t="n"/>
      <c r="D95" s="37" t="n"/>
      <c r="E95" s="37" t="n"/>
      <c r="F95" s="36" t="n"/>
      <c r="G95" s="38" t="n"/>
      <c r="H95" s="39" t="n"/>
      <c r="I95" s="40">
        <f>IF(OR(G95="",H95=""),"",G95-H95)</f>
        <v/>
      </c>
      <c r="J95" s="37" t="n"/>
      <c r="K95" s="37" t="n"/>
      <c r="L95" s="41">
        <f>IF(IFERROR(INDEX(lst_cat_wish,MATCH(D95,lst_cats,0))="Да",FALSE),MAX($L$4:L94)+1,"")</f>
        <v/>
      </c>
    </row>
    <row r="96">
      <c r="A96" s="36" t="n"/>
      <c r="B96" s="36" t="n"/>
      <c r="C96" s="37" t="n"/>
      <c r="D96" s="37" t="n"/>
      <c r="E96" s="37" t="n"/>
      <c r="F96" s="36" t="n"/>
      <c r="G96" s="38" t="n"/>
      <c r="H96" s="39" t="n"/>
      <c r="I96" s="40">
        <f>IF(OR(G96="",H96=""),"",G96-H96)</f>
        <v/>
      </c>
      <c r="J96" s="37" t="n"/>
      <c r="K96" s="37" t="n"/>
      <c r="L96" s="41">
        <f>IF(IFERROR(INDEX(lst_cat_wish,MATCH(D96,lst_cats,0))="Да",FALSE),MAX($L$4:L95)+1,"")</f>
        <v/>
      </c>
    </row>
    <row r="97">
      <c r="A97" s="36" t="n"/>
      <c r="B97" s="36" t="n"/>
      <c r="C97" s="37" t="n"/>
      <c r="D97" s="37" t="n"/>
      <c r="E97" s="37" t="n"/>
      <c r="F97" s="36" t="n"/>
      <c r="G97" s="38" t="n"/>
      <c r="H97" s="39" t="n"/>
      <c r="I97" s="40">
        <f>IF(OR(G97="",H97=""),"",G97-H97)</f>
        <v/>
      </c>
      <c r="J97" s="37" t="n"/>
      <c r="K97" s="37" t="n"/>
      <c r="L97" s="41">
        <f>IF(IFERROR(INDEX(lst_cat_wish,MATCH(D97,lst_cats,0))="Да",FALSE),MAX($L$4:L96)+1,"")</f>
        <v/>
      </c>
    </row>
    <row r="98">
      <c r="A98" s="36" t="n"/>
      <c r="B98" s="36" t="n"/>
      <c r="C98" s="37" t="n"/>
      <c r="D98" s="37" t="n"/>
      <c r="E98" s="37" t="n"/>
      <c r="F98" s="36" t="n"/>
      <c r="G98" s="38" t="n"/>
      <c r="H98" s="39" t="n"/>
      <c r="I98" s="40">
        <f>IF(OR(G98="",H98=""),"",G98-H98)</f>
        <v/>
      </c>
      <c r="J98" s="37" t="n"/>
      <c r="K98" s="37" t="n"/>
      <c r="L98" s="41">
        <f>IF(IFERROR(INDEX(lst_cat_wish,MATCH(D98,lst_cats,0))="Да",FALSE),MAX($L$4:L97)+1,"")</f>
        <v/>
      </c>
    </row>
    <row r="99">
      <c r="A99" s="36" t="n"/>
      <c r="B99" s="36" t="n"/>
      <c r="C99" s="37" t="n"/>
      <c r="D99" s="37" t="n"/>
      <c r="E99" s="37" t="n"/>
      <c r="F99" s="36" t="n"/>
      <c r="G99" s="38" t="n"/>
      <c r="H99" s="39" t="n"/>
      <c r="I99" s="40">
        <f>IF(OR(G99="",H99=""),"",G99-H99)</f>
        <v/>
      </c>
      <c r="J99" s="37" t="n"/>
      <c r="K99" s="37" t="n"/>
      <c r="L99" s="41">
        <f>IF(IFERROR(INDEX(lst_cat_wish,MATCH(D99,lst_cats,0))="Да",FALSE),MAX($L$4:L98)+1,"")</f>
        <v/>
      </c>
    </row>
    <row r="100">
      <c r="A100" s="36" t="n"/>
      <c r="B100" s="36" t="n"/>
      <c r="C100" s="37" t="n"/>
      <c r="D100" s="37" t="n"/>
      <c r="E100" s="37" t="n"/>
      <c r="F100" s="36" t="n"/>
      <c r="G100" s="38" t="n"/>
      <c r="H100" s="39" t="n"/>
      <c r="I100" s="40">
        <f>IF(OR(G100="",H100=""),"",G100-H100)</f>
        <v/>
      </c>
      <c r="J100" s="37" t="n"/>
      <c r="K100" s="37" t="n"/>
      <c r="L100" s="41">
        <f>IF(IFERROR(INDEX(lst_cat_wish,MATCH(D100,lst_cats,0))="Да",FALSE),MAX($L$4:L99)+1,"")</f>
        <v/>
      </c>
    </row>
    <row r="101">
      <c r="A101" s="36" t="n"/>
      <c r="B101" s="36" t="n"/>
      <c r="C101" s="37" t="n"/>
      <c r="D101" s="37" t="n"/>
      <c r="E101" s="37" t="n"/>
      <c r="F101" s="36" t="n"/>
      <c r="G101" s="38" t="n"/>
      <c r="H101" s="39" t="n"/>
      <c r="I101" s="40">
        <f>IF(OR(G101="",H101=""),"",G101-H101)</f>
        <v/>
      </c>
      <c r="J101" s="37" t="n"/>
      <c r="K101" s="37" t="n"/>
      <c r="L101" s="41">
        <f>IF(IFERROR(INDEX(lst_cat_wish,MATCH(D101,lst_cats,0))="Да",FALSE),MAX($L$4:L100)+1,"")</f>
        <v/>
      </c>
    </row>
    <row r="102">
      <c r="A102" s="36" t="n"/>
      <c r="B102" s="36" t="n"/>
      <c r="C102" s="37" t="n"/>
      <c r="D102" s="37" t="n"/>
      <c r="E102" s="37" t="n"/>
      <c r="F102" s="36" t="n"/>
      <c r="G102" s="38" t="n"/>
      <c r="H102" s="39" t="n"/>
      <c r="I102" s="40">
        <f>IF(OR(G102="",H102=""),"",G102-H102)</f>
        <v/>
      </c>
      <c r="J102" s="37" t="n"/>
      <c r="K102" s="37" t="n"/>
      <c r="L102" s="41">
        <f>IF(IFERROR(INDEX(lst_cat_wish,MATCH(D102,lst_cats,0))="Да",FALSE),MAX($L$4:L101)+1,"")</f>
        <v/>
      </c>
    </row>
    <row r="103">
      <c r="A103" s="36" t="n"/>
      <c r="B103" s="36" t="n"/>
      <c r="C103" s="37" t="n"/>
      <c r="D103" s="37" t="n"/>
      <c r="E103" s="37" t="n"/>
      <c r="F103" s="36" t="n"/>
      <c r="G103" s="38" t="n"/>
      <c r="H103" s="39" t="n"/>
      <c r="I103" s="40">
        <f>IF(OR(G103="",H103=""),"",G103-H103)</f>
        <v/>
      </c>
      <c r="J103" s="37" t="n"/>
      <c r="K103" s="37" t="n"/>
      <c r="L103" s="41">
        <f>IF(IFERROR(INDEX(lst_cat_wish,MATCH(D103,lst_cats,0))="Да",FALSE),MAX($L$4:L102)+1,"")</f>
        <v/>
      </c>
    </row>
    <row r="104">
      <c r="A104" s="36" t="n"/>
      <c r="B104" s="36" t="n"/>
      <c r="C104" s="37" t="n"/>
      <c r="D104" s="37" t="n"/>
      <c r="E104" s="37" t="n"/>
      <c r="F104" s="36" t="n"/>
      <c r="G104" s="38" t="n"/>
      <c r="H104" s="39" t="n"/>
      <c r="I104" s="40">
        <f>IF(OR(G104="",H104=""),"",G104-H104)</f>
        <v/>
      </c>
      <c r="J104" s="37" t="n"/>
      <c r="K104" s="37" t="n"/>
      <c r="L104" s="41">
        <f>IF(IFERROR(INDEX(lst_cat_wish,MATCH(D104,lst_cats,0))="Да",FALSE),MAX($L$4:L103)+1,"")</f>
        <v/>
      </c>
    </row>
    <row r="105">
      <c r="A105" s="36" t="n"/>
      <c r="B105" s="36" t="n"/>
      <c r="C105" s="37" t="n"/>
      <c r="D105" s="37" t="n"/>
      <c r="E105" s="37" t="n"/>
      <c r="F105" s="36" t="n"/>
      <c r="G105" s="38" t="n"/>
      <c r="H105" s="39" t="n"/>
      <c r="I105" s="40">
        <f>IF(OR(G105="",H105=""),"",G105-H105)</f>
        <v/>
      </c>
      <c r="J105" s="37" t="n"/>
      <c r="K105" s="37" t="n"/>
      <c r="L105" s="41">
        <f>IF(IFERROR(INDEX(lst_cat_wish,MATCH(D105,lst_cats,0))="Да",FALSE),MAX($L$4:L104)+1,"")</f>
        <v/>
      </c>
    </row>
    <row r="106">
      <c r="A106" s="36" t="n"/>
      <c r="B106" s="36" t="n"/>
      <c r="C106" s="37" t="n"/>
      <c r="D106" s="37" t="n"/>
      <c r="E106" s="37" t="n"/>
      <c r="F106" s="36" t="n"/>
      <c r="G106" s="38" t="n"/>
      <c r="H106" s="39" t="n"/>
      <c r="I106" s="40">
        <f>IF(OR(G106="",H106=""),"",G106-H106)</f>
        <v/>
      </c>
      <c r="J106" s="37" t="n"/>
      <c r="K106" s="37" t="n"/>
      <c r="L106" s="41">
        <f>IF(IFERROR(INDEX(lst_cat_wish,MATCH(D106,lst_cats,0))="Да",FALSE),MAX($L$4:L105)+1,"")</f>
        <v/>
      </c>
    </row>
    <row r="107">
      <c r="A107" s="36" t="n"/>
      <c r="B107" s="36" t="n"/>
      <c r="C107" s="37" t="n"/>
      <c r="D107" s="37" t="n"/>
      <c r="E107" s="37" t="n"/>
      <c r="F107" s="36" t="n"/>
      <c r="G107" s="38" t="n"/>
      <c r="H107" s="39" t="n"/>
      <c r="I107" s="40">
        <f>IF(OR(G107="",H107=""),"",G107-H107)</f>
        <v/>
      </c>
      <c r="J107" s="37" t="n"/>
      <c r="K107" s="37" t="n"/>
      <c r="L107" s="41">
        <f>IF(IFERROR(INDEX(lst_cat_wish,MATCH(D107,lst_cats,0))="Да",FALSE),MAX($L$4:L106)+1,"")</f>
        <v/>
      </c>
    </row>
    <row r="108">
      <c r="A108" s="36" t="n"/>
      <c r="B108" s="36" t="n"/>
      <c r="C108" s="37" t="n"/>
      <c r="D108" s="37" t="n"/>
      <c r="E108" s="37" t="n"/>
      <c r="F108" s="36" t="n"/>
      <c r="G108" s="38" t="n"/>
      <c r="H108" s="39" t="n"/>
      <c r="I108" s="40">
        <f>IF(OR(G108="",H108=""),"",G108-H108)</f>
        <v/>
      </c>
      <c r="J108" s="37" t="n"/>
      <c r="K108" s="37" t="n"/>
      <c r="L108" s="41">
        <f>IF(IFERROR(INDEX(lst_cat_wish,MATCH(D108,lst_cats,0))="Да",FALSE),MAX($L$4:L107)+1,"")</f>
        <v/>
      </c>
    </row>
    <row r="109">
      <c r="A109" s="36" t="n"/>
      <c r="B109" s="36" t="n"/>
      <c r="C109" s="37" t="n"/>
      <c r="D109" s="37" t="n"/>
      <c r="E109" s="37" t="n"/>
      <c r="F109" s="36" t="n"/>
      <c r="G109" s="38" t="n"/>
      <c r="H109" s="39" t="n"/>
      <c r="I109" s="40">
        <f>IF(OR(G109="",H109=""),"",G109-H109)</f>
        <v/>
      </c>
      <c r="J109" s="37" t="n"/>
      <c r="K109" s="37" t="n"/>
      <c r="L109" s="41">
        <f>IF(IFERROR(INDEX(lst_cat_wish,MATCH(D109,lst_cats,0))="Да",FALSE),MAX($L$4:L108)+1,"")</f>
        <v/>
      </c>
    </row>
    <row r="110">
      <c r="A110" s="36" t="n"/>
      <c r="B110" s="36" t="n"/>
      <c r="C110" s="37" t="n"/>
      <c r="D110" s="37" t="n"/>
      <c r="E110" s="37" t="n"/>
      <c r="F110" s="36" t="n"/>
      <c r="G110" s="38" t="n"/>
      <c r="H110" s="39" t="n"/>
      <c r="I110" s="40">
        <f>IF(OR(G110="",H110=""),"",G110-H110)</f>
        <v/>
      </c>
      <c r="J110" s="37" t="n"/>
      <c r="K110" s="37" t="n"/>
      <c r="L110" s="41">
        <f>IF(IFERROR(INDEX(lst_cat_wish,MATCH(D110,lst_cats,0))="Да",FALSE),MAX($L$4:L109)+1,"")</f>
        <v/>
      </c>
    </row>
    <row r="111">
      <c r="A111" s="36" t="n"/>
      <c r="B111" s="36" t="n"/>
      <c r="C111" s="37" t="n"/>
      <c r="D111" s="37" t="n"/>
      <c r="E111" s="37" t="n"/>
      <c r="F111" s="36" t="n"/>
      <c r="G111" s="38" t="n"/>
      <c r="H111" s="39" t="n"/>
      <c r="I111" s="40">
        <f>IF(OR(G111="",H111=""),"",G111-H111)</f>
        <v/>
      </c>
      <c r="J111" s="37" t="n"/>
      <c r="K111" s="37" t="n"/>
      <c r="L111" s="41">
        <f>IF(IFERROR(INDEX(lst_cat_wish,MATCH(D111,lst_cats,0))="Да",FALSE),MAX($L$4:L110)+1,"")</f>
        <v/>
      </c>
    </row>
    <row r="112">
      <c r="A112" s="36" t="n"/>
      <c r="B112" s="36" t="n"/>
      <c r="C112" s="37" t="n"/>
      <c r="D112" s="37" t="n"/>
      <c r="E112" s="37" t="n"/>
      <c r="F112" s="36" t="n"/>
      <c r="G112" s="38" t="n"/>
      <c r="H112" s="39" t="n"/>
      <c r="I112" s="40">
        <f>IF(OR(G112="",H112=""),"",G112-H112)</f>
        <v/>
      </c>
      <c r="J112" s="37" t="n"/>
      <c r="K112" s="37" t="n"/>
      <c r="L112" s="41">
        <f>IF(IFERROR(INDEX(lst_cat_wish,MATCH(D112,lst_cats,0))="Да",FALSE),MAX($L$4:L111)+1,"")</f>
        <v/>
      </c>
    </row>
    <row r="113">
      <c r="A113" s="36" t="n"/>
      <c r="B113" s="36" t="n"/>
      <c r="C113" s="37" t="n"/>
      <c r="D113" s="37" t="n"/>
      <c r="E113" s="37" t="n"/>
      <c r="F113" s="36" t="n"/>
      <c r="G113" s="38" t="n"/>
      <c r="H113" s="39" t="n"/>
      <c r="I113" s="40">
        <f>IF(OR(G113="",H113=""),"",G113-H113)</f>
        <v/>
      </c>
      <c r="J113" s="37" t="n"/>
      <c r="K113" s="37" t="n"/>
      <c r="L113" s="41">
        <f>IF(IFERROR(INDEX(lst_cat_wish,MATCH(D113,lst_cats,0))="Да",FALSE),MAX($L$4:L112)+1,"")</f>
        <v/>
      </c>
    </row>
    <row r="114">
      <c r="A114" s="36" t="n"/>
      <c r="B114" s="36" t="n"/>
      <c r="C114" s="37" t="n"/>
      <c r="D114" s="37" t="n"/>
      <c r="E114" s="37" t="n"/>
      <c r="F114" s="36" t="n"/>
      <c r="G114" s="38" t="n"/>
      <c r="H114" s="39" t="n"/>
      <c r="I114" s="40">
        <f>IF(OR(G114="",H114=""),"",G114-H114)</f>
        <v/>
      </c>
      <c r="J114" s="37" t="n"/>
      <c r="K114" s="37" t="n"/>
      <c r="L114" s="41">
        <f>IF(IFERROR(INDEX(lst_cat_wish,MATCH(D114,lst_cats,0))="Да",FALSE),MAX($L$4:L113)+1,"")</f>
        <v/>
      </c>
    </row>
    <row r="115">
      <c r="A115" s="36" t="n"/>
      <c r="B115" s="36" t="n"/>
      <c r="C115" s="37" t="n"/>
      <c r="D115" s="37" t="n"/>
      <c r="E115" s="37" t="n"/>
      <c r="F115" s="36" t="n"/>
      <c r="G115" s="38" t="n"/>
      <c r="H115" s="39" t="n"/>
      <c r="I115" s="40">
        <f>IF(OR(G115="",H115=""),"",G115-H115)</f>
        <v/>
      </c>
      <c r="J115" s="37" t="n"/>
      <c r="K115" s="37" t="n"/>
      <c r="L115" s="41">
        <f>IF(IFERROR(INDEX(lst_cat_wish,MATCH(D115,lst_cats,0))="Да",FALSE),MAX($L$4:L114)+1,"")</f>
        <v/>
      </c>
    </row>
    <row r="116">
      <c r="A116" s="36" t="n"/>
      <c r="B116" s="36" t="n"/>
      <c r="C116" s="37" t="n"/>
      <c r="D116" s="37" t="n"/>
      <c r="E116" s="37" t="n"/>
      <c r="F116" s="36" t="n"/>
      <c r="G116" s="38" t="n"/>
      <c r="H116" s="39" t="n"/>
      <c r="I116" s="40">
        <f>IF(OR(G116="",H116=""),"",G116-H116)</f>
        <v/>
      </c>
      <c r="J116" s="37" t="n"/>
      <c r="K116" s="37" t="n"/>
      <c r="L116" s="41">
        <f>IF(IFERROR(INDEX(lst_cat_wish,MATCH(D116,lst_cats,0))="Да",FALSE),MAX($L$4:L115)+1,"")</f>
        <v/>
      </c>
    </row>
    <row r="117">
      <c r="A117" s="36" t="n"/>
      <c r="B117" s="36" t="n"/>
      <c r="C117" s="37" t="n"/>
      <c r="D117" s="37" t="n"/>
      <c r="E117" s="37" t="n"/>
      <c r="F117" s="36" t="n"/>
      <c r="G117" s="38" t="n"/>
      <c r="H117" s="39" t="n"/>
      <c r="I117" s="40">
        <f>IF(OR(G117="",H117=""),"",G117-H117)</f>
        <v/>
      </c>
      <c r="J117" s="37" t="n"/>
      <c r="K117" s="37" t="n"/>
      <c r="L117" s="41">
        <f>IF(IFERROR(INDEX(lst_cat_wish,MATCH(D117,lst_cats,0))="Да",FALSE),MAX($L$4:L116)+1,"")</f>
        <v/>
      </c>
    </row>
    <row r="118">
      <c r="A118" s="36" t="n"/>
      <c r="B118" s="36" t="n"/>
      <c r="C118" s="37" t="n"/>
      <c r="D118" s="37" t="n"/>
      <c r="E118" s="37" t="n"/>
      <c r="F118" s="36" t="n"/>
      <c r="G118" s="38" t="n"/>
      <c r="H118" s="39" t="n"/>
      <c r="I118" s="40">
        <f>IF(OR(G118="",H118=""),"",G118-H118)</f>
        <v/>
      </c>
      <c r="J118" s="37" t="n"/>
      <c r="K118" s="37" t="n"/>
      <c r="L118" s="41">
        <f>IF(IFERROR(INDEX(lst_cat_wish,MATCH(D118,lst_cats,0))="Да",FALSE),MAX($L$4:L117)+1,"")</f>
        <v/>
      </c>
    </row>
    <row r="119">
      <c r="A119" s="36" t="n"/>
      <c r="B119" s="36" t="n"/>
      <c r="C119" s="37" t="n"/>
      <c r="D119" s="37" t="n"/>
      <c r="E119" s="37" t="n"/>
      <c r="F119" s="36" t="n"/>
      <c r="G119" s="38" t="n"/>
      <c r="H119" s="39" t="n"/>
      <c r="I119" s="40">
        <f>IF(OR(G119="",H119=""),"",G119-H119)</f>
        <v/>
      </c>
      <c r="J119" s="37" t="n"/>
      <c r="K119" s="37" t="n"/>
      <c r="L119" s="41">
        <f>IF(IFERROR(INDEX(lst_cat_wish,MATCH(D119,lst_cats,0))="Да",FALSE),MAX($L$4:L118)+1,"")</f>
        <v/>
      </c>
    </row>
    <row r="120">
      <c r="A120" s="36" t="n"/>
      <c r="B120" s="36" t="n"/>
      <c r="C120" s="37" t="n"/>
      <c r="D120" s="37" t="n"/>
      <c r="E120" s="37" t="n"/>
      <c r="F120" s="36" t="n"/>
      <c r="G120" s="38" t="n"/>
      <c r="H120" s="39" t="n"/>
      <c r="I120" s="40">
        <f>IF(OR(G120="",H120=""),"",G120-H120)</f>
        <v/>
      </c>
      <c r="J120" s="37" t="n"/>
      <c r="K120" s="37" t="n"/>
      <c r="L120" s="41">
        <f>IF(IFERROR(INDEX(lst_cat_wish,MATCH(D120,lst_cats,0))="Да",FALSE),MAX($L$4:L119)+1,"")</f>
        <v/>
      </c>
    </row>
    <row r="121">
      <c r="A121" s="36" t="n"/>
      <c r="B121" s="36" t="n"/>
      <c r="C121" s="37" t="n"/>
      <c r="D121" s="37" t="n"/>
      <c r="E121" s="37" t="n"/>
      <c r="F121" s="36" t="n"/>
      <c r="G121" s="38" t="n"/>
      <c r="H121" s="39" t="n"/>
      <c r="I121" s="40">
        <f>IF(OR(G121="",H121=""),"",G121-H121)</f>
        <v/>
      </c>
      <c r="J121" s="37" t="n"/>
      <c r="K121" s="37" t="n"/>
      <c r="L121" s="41">
        <f>IF(IFERROR(INDEX(lst_cat_wish,MATCH(D121,lst_cats,0))="Да",FALSE),MAX($L$4:L120)+1,"")</f>
        <v/>
      </c>
    </row>
    <row r="122">
      <c r="A122" s="36" t="n"/>
      <c r="B122" s="36" t="n"/>
      <c r="C122" s="37" t="n"/>
      <c r="D122" s="37" t="n"/>
      <c r="E122" s="37" t="n"/>
      <c r="F122" s="36" t="n"/>
      <c r="G122" s="38" t="n"/>
      <c r="H122" s="39" t="n"/>
      <c r="I122" s="40">
        <f>IF(OR(G122="",H122=""),"",G122-H122)</f>
        <v/>
      </c>
      <c r="J122" s="37" t="n"/>
      <c r="K122" s="37" t="n"/>
      <c r="L122" s="41">
        <f>IF(IFERROR(INDEX(lst_cat_wish,MATCH(D122,lst_cats,0))="Да",FALSE),MAX($L$4:L121)+1,"")</f>
        <v/>
      </c>
    </row>
    <row r="123">
      <c r="A123" s="36" t="n"/>
      <c r="B123" s="36" t="n"/>
      <c r="C123" s="37" t="n"/>
      <c r="D123" s="37" t="n"/>
      <c r="E123" s="37" t="n"/>
      <c r="F123" s="36" t="n"/>
      <c r="G123" s="38" t="n"/>
      <c r="H123" s="39" t="n"/>
      <c r="I123" s="40">
        <f>IF(OR(G123="",H123=""),"",G123-H123)</f>
        <v/>
      </c>
      <c r="J123" s="37" t="n"/>
      <c r="K123" s="37" t="n"/>
      <c r="L123" s="41">
        <f>IF(IFERROR(INDEX(lst_cat_wish,MATCH(D123,lst_cats,0))="Да",FALSE),MAX($L$4:L122)+1,"")</f>
        <v/>
      </c>
    </row>
    <row r="124">
      <c r="A124" s="36" t="n"/>
      <c r="B124" s="36" t="n"/>
      <c r="C124" s="37" t="n"/>
      <c r="D124" s="37" t="n"/>
      <c r="E124" s="37" t="n"/>
      <c r="F124" s="36" t="n"/>
      <c r="G124" s="38" t="n"/>
      <c r="H124" s="39" t="n"/>
      <c r="I124" s="40">
        <f>IF(OR(G124="",H124=""),"",G124-H124)</f>
        <v/>
      </c>
      <c r="J124" s="37" t="n"/>
      <c r="K124" s="37" t="n"/>
      <c r="L124" s="41">
        <f>IF(IFERROR(INDEX(lst_cat_wish,MATCH(D124,lst_cats,0))="Да",FALSE),MAX($L$4:L123)+1,"")</f>
        <v/>
      </c>
    </row>
    <row r="125">
      <c r="A125" s="36" t="n"/>
      <c r="B125" s="36" t="n"/>
      <c r="C125" s="37" t="n"/>
      <c r="D125" s="37" t="n"/>
      <c r="E125" s="37" t="n"/>
      <c r="F125" s="36" t="n"/>
      <c r="G125" s="38" t="n"/>
      <c r="H125" s="39" t="n"/>
      <c r="I125" s="40">
        <f>IF(OR(G125="",H125=""),"",G125-H125)</f>
        <v/>
      </c>
      <c r="J125" s="37" t="n"/>
      <c r="K125" s="37" t="n"/>
      <c r="L125" s="41">
        <f>IF(IFERROR(INDEX(lst_cat_wish,MATCH(D125,lst_cats,0))="Да",FALSE),MAX($L$4:L124)+1,"")</f>
        <v/>
      </c>
    </row>
    <row r="126">
      <c r="A126" s="36" t="n"/>
      <c r="B126" s="36" t="n"/>
      <c r="C126" s="37" t="n"/>
      <c r="D126" s="37" t="n"/>
      <c r="E126" s="37" t="n"/>
      <c r="F126" s="36" t="n"/>
      <c r="G126" s="38" t="n"/>
      <c r="H126" s="39" t="n"/>
      <c r="I126" s="40">
        <f>IF(OR(G126="",H126=""),"",G126-H126)</f>
        <v/>
      </c>
      <c r="J126" s="37" t="n"/>
      <c r="K126" s="37" t="n"/>
      <c r="L126" s="41">
        <f>IF(IFERROR(INDEX(lst_cat_wish,MATCH(D126,lst_cats,0))="Да",FALSE),MAX($L$4:L125)+1,"")</f>
        <v/>
      </c>
    </row>
    <row r="127">
      <c r="A127" s="36" t="n"/>
      <c r="B127" s="36" t="n"/>
      <c r="C127" s="37" t="n"/>
      <c r="D127" s="37" t="n"/>
      <c r="E127" s="37" t="n"/>
      <c r="F127" s="36" t="n"/>
      <c r="G127" s="38" t="n"/>
      <c r="H127" s="39" t="n"/>
      <c r="I127" s="40">
        <f>IF(OR(G127="",H127=""),"",G127-H127)</f>
        <v/>
      </c>
      <c r="J127" s="37" t="n"/>
      <c r="K127" s="37" t="n"/>
      <c r="L127" s="41">
        <f>IF(IFERROR(INDEX(lst_cat_wish,MATCH(D127,lst_cats,0))="Да",FALSE),MAX($L$4:L126)+1,"")</f>
        <v/>
      </c>
    </row>
    <row r="128">
      <c r="A128" s="36" t="n"/>
      <c r="B128" s="36" t="n"/>
      <c r="C128" s="37" t="n"/>
      <c r="D128" s="37" t="n"/>
      <c r="E128" s="37" t="n"/>
      <c r="F128" s="36" t="n"/>
      <c r="G128" s="38" t="n"/>
      <c r="H128" s="39" t="n"/>
      <c r="I128" s="40">
        <f>IF(OR(G128="",H128=""),"",G128-H128)</f>
        <v/>
      </c>
      <c r="J128" s="37" t="n"/>
      <c r="K128" s="37" t="n"/>
      <c r="L128" s="41">
        <f>IF(IFERROR(INDEX(lst_cat_wish,MATCH(D128,lst_cats,0))="Да",FALSE),MAX($L$4:L127)+1,"")</f>
        <v/>
      </c>
    </row>
    <row r="129">
      <c r="A129" s="36" t="n"/>
      <c r="B129" s="36" t="n"/>
      <c r="C129" s="37" t="n"/>
      <c r="D129" s="37" t="n"/>
      <c r="E129" s="37" t="n"/>
      <c r="F129" s="36" t="n"/>
      <c r="G129" s="38" t="n"/>
      <c r="H129" s="39" t="n"/>
      <c r="I129" s="40">
        <f>IF(OR(G129="",H129=""),"",G129-H129)</f>
        <v/>
      </c>
      <c r="J129" s="37" t="n"/>
      <c r="K129" s="37" t="n"/>
      <c r="L129" s="41">
        <f>IF(IFERROR(INDEX(lst_cat_wish,MATCH(D129,lst_cats,0))="Да",FALSE),MAX($L$4:L128)+1,"")</f>
        <v/>
      </c>
    </row>
    <row r="130">
      <c r="A130" s="36" t="n"/>
      <c r="B130" s="36" t="n"/>
      <c r="C130" s="37" t="n"/>
      <c r="D130" s="37" t="n"/>
      <c r="E130" s="37" t="n"/>
      <c r="F130" s="36" t="n"/>
      <c r="G130" s="38" t="n"/>
      <c r="H130" s="39" t="n"/>
      <c r="I130" s="40">
        <f>IF(OR(G130="",H130=""),"",G130-H130)</f>
        <v/>
      </c>
      <c r="J130" s="37" t="n"/>
      <c r="K130" s="37" t="n"/>
      <c r="L130" s="41">
        <f>IF(IFERROR(INDEX(lst_cat_wish,MATCH(D130,lst_cats,0))="Да",FALSE),MAX($L$4:L129)+1,"")</f>
        <v/>
      </c>
    </row>
    <row r="131">
      <c r="A131" s="36" t="n"/>
      <c r="B131" s="36" t="n"/>
      <c r="C131" s="37" t="n"/>
      <c r="D131" s="37" t="n"/>
      <c r="E131" s="37" t="n"/>
      <c r="F131" s="36" t="n"/>
      <c r="G131" s="38" t="n"/>
      <c r="H131" s="39" t="n"/>
      <c r="I131" s="40">
        <f>IF(OR(G131="",H131=""),"",G131-H131)</f>
        <v/>
      </c>
      <c r="J131" s="37" t="n"/>
      <c r="K131" s="37" t="n"/>
      <c r="L131" s="41">
        <f>IF(IFERROR(INDEX(lst_cat_wish,MATCH(D131,lst_cats,0))="Да",FALSE),MAX($L$4:L130)+1,"")</f>
        <v/>
      </c>
    </row>
    <row r="132">
      <c r="A132" s="36" t="n"/>
      <c r="B132" s="36" t="n"/>
      <c r="C132" s="37" t="n"/>
      <c r="D132" s="37" t="n"/>
      <c r="E132" s="37" t="n"/>
      <c r="F132" s="36" t="n"/>
      <c r="G132" s="38" t="n"/>
      <c r="H132" s="39" t="n"/>
      <c r="I132" s="40">
        <f>IF(OR(G132="",H132=""),"",G132-H132)</f>
        <v/>
      </c>
      <c r="J132" s="37" t="n"/>
      <c r="K132" s="37" t="n"/>
      <c r="L132" s="41">
        <f>IF(IFERROR(INDEX(lst_cat_wish,MATCH(D132,lst_cats,0))="Да",FALSE),MAX($L$4:L131)+1,"")</f>
        <v/>
      </c>
    </row>
    <row r="133">
      <c r="A133" s="36" t="n"/>
      <c r="B133" s="36" t="n"/>
      <c r="C133" s="37" t="n"/>
      <c r="D133" s="37" t="n"/>
      <c r="E133" s="37" t="n"/>
      <c r="F133" s="36" t="n"/>
      <c r="G133" s="38" t="n"/>
      <c r="H133" s="39" t="n"/>
      <c r="I133" s="40">
        <f>IF(OR(G133="",H133=""),"",G133-H133)</f>
        <v/>
      </c>
      <c r="J133" s="37" t="n"/>
      <c r="K133" s="37" t="n"/>
      <c r="L133" s="41">
        <f>IF(IFERROR(INDEX(lst_cat_wish,MATCH(D133,lst_cats,0))="Да",FALSE),MAX($L$4:L132)+1,"")</f>
        <v/>
      </c>
    </row>
    <row r="134">
      <c r="A134" s="36" t="n"/>
      <c r="B134" s="36" t="n"/>
      <c r="C134" s="37" t="n"/>
      <c r="D134" s="37" t="n"/>
      <c r="E134" s="37" t="n"/>
      <c r="F134" s="36" t="n"/>
      <c r="G134" s="38" t="n"/>
      <c r="H134" s="39" t="n"/>
      <c r="I134" s="40">
        <f>IF(OR(G134="",H134=""),"",G134-H134)</f>
        <v/>
      </c>
      <c r="J134" s="37" t="n"/>
      <c r="K134" s="37" t="n"/>
      <c r="L134" s="41">
        <f>IF(IFERROR(INDEX(lst_cat_wish,MATCH(D134,lst_cats,0))="Да",FALSE),MAX($L$4:L133)+1,"")</f>
        <v/>
      </c>
    </row>
    <row r="135">
      <c r="A135" s="36" t="n"/>
      <c r="B135" s="36" t="n"/>
      <c r="C135" s="37" t="n"/>
      <c r="D135" s="37" t="n"/>
      <c r="E135" s="37" t="n"/>
      <c r="F135" s="36" t="n"/>
      <c r="G135" s="38" t="n"/>
      <c r="H135" s="39" t="n"/>
      <c r="I135" s="40">
        <f>IF(OR(G135="",H135=""),"",G135-H135)</f>
        <v/>
      </c>
      <c r="J135" s="37" t="n"/>
      <c r="K135" s="37" t="n"/>
      <c r="L135" s="41">
        <f>IF(IFERROR(INDEX(lst_cat_wish,MATCH(D135,lst_cats,0))="Да",FALSE),MAX($L$4:L134)+1,"")</f>
        <v/>
      </c>
    </row>
    <row r="136">
      <c r="A136" s="36" t="n"/>
      <c r="B136" s="36" t="n"/>
      <c r="C136" s="37" t="n"/>
      <c r="D136" s="37" t="n"/>
      <c r="E136" s="37" t="n"/>
      <c r="F136" s="36" t="n"/>
      <c r="G136" s="38" t="n"/>
      <c r="H136" s="39" t="n"/>
      <c r="I136" s="40">
        <f>IF(OR(G136="",H136=""),"",G136-H136)</f>
        <v/>
      </c>
      <c r="J136" s="37" t="n"/>
      <c r="K136" s="37" t="n"/>
      <c r="L136" s="41">
        <f>IF(IFERROR(INDEX(lst_cat_wish,MATCH(D136,lst_cats,0))="Да",FALSE),MAX($L$4:L135)+1,"")</f>
        <v/>
      </c>
    </row>
    <row r="137">
      <c r="A137" s="36" t="n"/>
      <c r="B137" s="36" t="n"/>
      <c r="C137" s="37" t="n"/>
      <c r="D137" s="37" t="n"/>
      <c r="E137" s="37" t="n"/>
      <c r="F137" s="36" t="n"/>
      <c r="G137" s="38" t="n"/>
      <c r="H137" s="39" t="n"/>
      <c r="I137" s="40">
        <f>IF(OR(G137="",H137=""),"",G137-H137)</f>
        <v/>
      </c>
      <c r="J137" s="37" t="n"/>
      <c r="K137" s="37" t="n"/>
      <c r="L137" s="41">
        <f>IF(IFERROR(INDEX(lst_cat_wish,MATCH(D137,lst_cats,0))="Да",FALSE),MAX($L$4:L136)+1,"")</f>
        <v/>
      </c>
    </row>
    <row r="138">
      <c r="A138" s="36" t="n"/>
      <c r="B138" s="36" t="n"/>
      <c r="C138" s="37" t="n"/>
      <c r="D138" s="37" t="n"/>
      <c r="E138" s="37" t="n"/>
      <c r="F138" s="36" t="n"/>
      <c r="G138" s="38" t="n"/>
      <c r="H138" s="39" t="n"/>
      <c r="I138" s="40">
        <f>IF(OR(G138="",H138=""),"",G138-H138)</f>
        <v/>
      </c>
      <c r="J138" s="37" t="n"/>
      <c r="K138" s="37" t="n"/>
      <c r="L138" s="41">
        <f>IF(IFERROR(INDEX(lst_cat_wish,MATCH(D138,lst_cats,0))="Да",FALSE),MAX($L$4:L137)+1,"")</f>
        <v/>
      </c>
    </row>
    <row r="139">
      <c r="A139" s="36" t="n"/>
      <c r="B139" s="36" t="n"/>
      <c r="C139" s="37" t="n"/>
      <c r="D139" s="37" t="n"/>
      <c r="E139" s="37" t="n"/>
      <c r="F139" s="36" t="n"/>
      <c r="G139" s="38" t="n"/>
      <c r="H139" s="39" t="n"/>
      <c r="I139" s="40">
        <f>IF(OR(G139="",H139=""),"",G139-H139)</f>
        <v/>
      </c>
      <c r="J139" s="37" t="n"/>
      <c r="K139" s="37" t="n"/>
      <c r="L139" s="41">
        <f>IF(IFERROR(INDEX(lst_cat_wish,MATCH(D139,lst_cats,0))="Да",FALSE),MAX($L$4:L138)+1,"")</f>
        <v/>
      </c>
    </row>
    <row r="140">
      <c r="A140" s="36" t="n"/>
      <c r="B140" s="36" t="n"/>
      <c r="C140" s="37" t="n"/>
      <c r="D140" s="37" t="n"/>
      <c r="E140" s="37" t="n"/>
      <c r="F140" s="36" t="n"/>
      <c r="G140" s="38" t="n"/>
      <c r="H140" s="39" t="n"/>
      <c r="I140" s="40">
        <f>IF(OR(G140="",H140=""),"",G140-H140)</f>
        <v/>
      </c>
      <c r="J140" s="37" t="n"/>
      <c r="K140" s="37" t="n"/>
      <c r="L140" s="41">
        <f>IF(IFERROR(INDEX(lst_cat_wish,MATCH(D140,lst_cats,0))="Да",FALSE),MAX($L$4:L139)+1,"")</f>
        <v/>
      </c>
    </row>
    <row r="141">
      <c r="A141" s="36" t="n"/>
      <c r="B141" s="36" t="n"/>
      <c r="C141" s="37" t="n"/>
      <c r="D141" s="37" t="n"/>
      <c r="E141" s="37" t="n"/>
      <c r="F141" s="36" t="n"/>
      <c r="G141" s="38" t="n"/>
      <c r="H141" s="39" t="n"/>
      <c r="I141" s="40">
        <f>IF(OR(G141="",H141=""),"",G141-H141)</f>
        <v/>
      </c>
      <c r="J141" s="37" t="n"/>
      <c r="K141" s="37" t="n"/>
      <c r="L141" s="41">
        <f>IF(IFERROR(INDEX(lst_cat_wish,MATCH(D141,lst_cats,0))="Да",FALSE),MAX($L$4:L140)+1,"")</f>
        <v/>
      </c>
    </row>
    <row r="142">
      <c r="A142" s="36" t="n"/>
      <c r="B142" s="36" t="n"/>
      <c r="C142" s="37" t="n"/>
      <c r="D142" s="37" t="n"/>
      <c r="E142" s="37" t="n"/>
      <c r="F142" s="36" t="n"/>
      <c r="G142" s="38" t="n"/>
      <c r="H142" s="39" t="n"/>
      <c r="I142" s="40">
        <f>IF(OR(G142="",H142=""),"",G142-H142)</f>
        <v/>
      </c>
      <c r="J142" s="37" t="n"/>
      <c r="K142" s="37" t="n"/>
      <c r="L142" s="41">
        <f>IF(IFERROR(INDEX(lst_cat_wish,MATCH(D142,lst_cats,0))="Да",FALSE),MAX($L$4:L141)+1,"")</f>
        <v/>
      </c>
    </row>
    <row r="143">
      <c r="A143" s="36" t="n"/>
      <c r="B143" s="36" t="n"/>
      <c r="C143" s="37" t="n"/>
      <c r="D143" s="37" t="n"/>
      <c r="E143" s="37" t="n"/>
      <c r="F143" s="36" t="n"/>
      <c r="G143" s="38" t="n"/>
      <c r="H143" s="39" t="n"/>
      <c r="I143" s="40">
        <f>IF(OR(G143="",H143=""),"",G143-H143)</f>
        <v/>
      </c>
      <c r="J143" s="37" t="n"/>
      <c r="K143" s="37" t="n"/>
      <c r="L143" s="41">
        <f>IF(IFERROR(INDEX(lst_cat_wish,MATCH(D143,lst_cats,0))="Да",FALSE),MAX($L$4:L142)+1,"")</f>
        <v/>
      </c>
    </row>
    <row r="144">
      <c r="A144" s="36" t="n"/>
      <c r="B144" s="36" t="n"/>
      <c r="C144" s="37" t="n"/>
      <c r="D144" s="37" t="n"/>
      <c r="E144" s="37" t="n"/>
      <c r="F144" s="36" t="n"/>
      <c r="G144" s="38" t="n"/>
      <c r="H144" s="39" t="n"/>
      <c r="I144" s="40">
        <f>IF(OR(G144="",H144=""),"",G144-H144)</f>
        <v/>
      </c>
      <c r="J144" s="37" t="n"/>
      <c r="K144" s="37" t="n"/>
      <c r="L144" s="41">
        <f>IF(IFERROR(INDEX(lst_cat_wish,MATCH(D144,lst_cats,0))="Да",FALSE),MAX($L$4:L143)+1,"")</f>
        <v/>
      </c>
    </row>
    <row r="145">
      <c r="A145" s="36" t="n"/>
      <c r="B145" s="36" t="n"/>
      <c r="C145" s="37" t="n"/>
      <c r="D145" s="37" t="n"/>
      <c r="E145" s="37" t="n"/>
      <c r="F145" s="36" t="n"/>
      <c r="G145" s="38" t="n"/>
      <c r="H145" s="39" t="n"/>
      <c r="I145" s="40">
        <f>IF(OR(G145="",H145=""),"",G145-H145)</f>
        <v/>
      </c>
      <c r="J145" s="37" t="n"/>
      <c r="K145" s="37" t="n"/>
      <c r="L145" s="41">
        <f>IF(IFERROR(INDEX(lst_cat_wish,MATCH(D145,lst_cats,0))="Да",FALSE),MAX($L$4:L144)+1,"")</f>
        <v/>
      </c>
    </row>
    <row r="146">
      <c r="A146" s="36" t="n"/>
      <c r="B146" s="36" t="n"/>
      <c r="C146" s="37" t="n"/>
      <c r="D146" s="37" t="n"/>
      <c r="E146" s="37" t="n"/>
      <c r="F146" s="36" t="n"/>
      <c r="G146" s="38" t="n"/>
      <c r="H146" s="39" t="n"/>
      <c r="I146" s="40">
        <f>IF(OR(G146="",H146=""),"",G146-H146)</f>
        <v/>
      </c>
      <c r="J146" s="37" t="n"/>
      <c r="K146" s="37" t="n"/>
      <c r="L146" s="41">
        <f>IF(IFERROR(INDEX(lst_cat_wish,MATCH(D146,lst_cats,0))="Да",FALSE),MAX($L$4:L145)+1,"")</f>
        <v/>
      </c>
    </row>
    <row r="147">
      <c r="A147" s="36" t="n"/>
      <c r="B147" s="36" t="n"/>
      <c r="C147" s="37" t="n"/>
      <c r="D147" s="37" t="n"/>
      <c r="E147" s="37" t="n"/>
      <c r="F147" s="36" t="n"/>
      <c r="G147" s="38" t="n"/>
      <c r="H147" s="39" t="n"/>
      <c r="I147" s="40">
        <f>IF(OR(G147="",H147=""),"",G147-H147)</f>
        <v/>
      </c>
      <c r="J147" s="37" t="n"/>
      <c r="K147" s="37" t="n"/>
      <c r="L147" s="41">
        <f>IF(IFERROR(INDEX(lst_cat_wish,MATCH(D147,lst_cats,0))="Да",FALSE),MAX($L$4:L146)+1,"")</f>
        <v/>
      </c>
    </row>
    <row r="148">
      <c r="A148" s="36" t="n"/>
      <c r="B148" s="36" t="n"/>
      <c r="C148" s="37" t="n"/>
      <c r="D148" s="37" t="n"/>
      <c r="E148" s="37" t="n"/>
      <c r="F148" s="36" t="n"/>
      <c r="G148" s="38" t="n"/>
      <c r="H148" s="39" t="n"/>
      <c r="I148" s="40">
        <f>IF(OR(G148="",H148=""),"",G148-H148)</f>
        <v/>
      </c>
      <c r="J148" s="37" t="n"/>
      <c r="K148" s="37" t="n"/>
      <c r="L148" s="41">
        <f>IF(IFERROR(INDEX(lst_cat_wish,MATCH(D148,lst_cats,0))="Да",FALSE),MAX($L$4:L147)+1,"")</f>
        <v/>
      </c>
    </row>
    <row r="149">
      <c r="A149" s="36" t="n"/>
      <c r="B149" s="36" t="n"/>
      <c r="C149" s="37" t="n"/>
      <c r="D149" s="37" t="n"/>
      <c r="E149" s="37" t="n"/>
      <c r="F149" s="36" t="n"/>
      <c r="G149" s="38" t="n"/>
      <c r="H149" s="39" t="n"/>
      <c r="I149" s="40">
        <f>IF(OR(G149="",H149=""),"",G149-H149)</f>
        <v/>
      </c>
      <c r="J149" s="37" t="n"/>
      <c r="K149" s="37" t="n"/>
      <c r="L149" s="41">
        <f>IF(IFERROR(INDEX(lst_cat_wish,MATCH(D149,lst_cats,0))="Да",FALSE),MAX($L$4:L148)+1,"")</f>
        <v/>
      </c>
    </row>
    <row r="150">
      <c r="A150" s="36" t="n"/>
      <c r="B150" s="36" t="n"/>
      <c r="C150" s="37" t="n"/>
      <c r="D150" s="37" t="n"/>
      <c r="E150" s="37" t="n"/>
      <c r="F150" s="36" t="n"/>
      <c r="G150" s="38" t="n"/>
      <c r="H150" s="39" t="n"/>
      <c r="I150" s="40">
        <f>IF(OR(G150="",H150=""),"",G150-H150)</f>
        <v/>
      </c>
      <c r="J150" s="37" t="n"/>
      <c r="K150" s="37" t="n"/>
      <c r="L150" s="41">
        <f>IF(IFERROR(INDEX(lst_cat_wish,MATCH(D150,lst_cats,0))="Да",FALSE),MAX($L$4:L149)+1,"")</f>
        <v/>
      </c>
    </row>
    <row r="151">
      <c r="A151" s="36" t="n"/>
      <c r="B151" s="36" t="n"/>
      <c r="C151" s="37" t="n"/>
      <c r="D151" s="37" t="n"/>
      <c r="E151" s="37" t="n"/>
      <c r="F151" s="36" t="n"/>
      <c r="G151" s="38" t="n"/>
      <c r="H151" s="39" t="n"/>
      <c r="I151" s="40">
        <f>IF(OR(G151="",H151=""),"",G151-H151)</f>
        <v/>
      </c>
      <c r="J151" s="37" t="n"/>
      <c r="K151" s="37" t="n"/>
      <c r="L151" s="41">
        <f>IF(IFERROR(INDEX(lst_cat_wish,MATCH(D151,lst_cats,0))="Да",FALSE),MAX($L$4:L150)+1,"")</f>
        <v/>
      </c>
    </row>
    <row r="152">
      <c r="A152" s="36" t="n"/>
      <c r="B152" s="36" t="n"/>
      <c r="C152" s="37" t="n"/>
      <c r="D152" s="37" t="n"/>
      <c r="E152" s="37" t="n"/>
      <c r="F152" s="36" t="n"/>
      <c r="G152" s="38" t="n"/>
      <c r="H152" s="39" t="n"/>
      <c r="I152" s="40">
        <f>IF(OR(G152="",H152=""),"",G152-H152)</f>
        <v/>
      </c>
      <c r="J152" s="37" t="n"/>
      <c r="K152" s="37" t="n"/>
      <c r="L152" s="41">
        <f>IF(IFERROR(INDEX(lst_cat_wish,MATCH(D152,lst_cats,0))="Да",FALSE),MAX($L$4:L151)+1,"")</f>
        <v/>
      </c>
    </row>
    <row r="153">
      <c r="A153" s="36" t="n"/>
      <c r="B153" s="36" t="n"/>
      <c r="C153" s="37" t="n"/>
      <c r="D153" s="37" t="n"/>
      <c r="E153" s="37" t="n"/>
      <c r="F153" s="36" t="n"/>
      <c r="G153" s="38" t="n"/>
      <c r="H153" s="39" t="n"/>
      <c r="I153" s="40">
        <f>IF(OR(G153="",H153=""),"",G153-H153)</f>
        <v/>
      </c>
      <c r="J153" s="37" t="n"/>
      <c r="K153" s="37" t="n"/>
      <c r="L153" s="41">
        <f>IF(IFERROR(INDEX(lst_cat_wish,MATCH(D153,lst_cats,0))="Да",FALSE),MAX($L$4:L152)+1,"")</f>
        <v/>
      </c>
    </row>
    <row r="154">
      <c r="A154" s="36" t="n"/>
      <c r="B154" s="36" t="n"/>
      <c r="C154" s="37" t="n"/>
      <c r="D154" s="37" t="n"/>
      <c r="E154" s="37" t="n"/>
      <c r="F154" s="36" t="n"/>
      <c r="G154" s="38" t="n"/>
      <c r="H154" s="39" t="n"/>
      <c r="I154" s="40">
        <f>IF(OR(G154="",H154=""),"",G154-H154)</f>
        <v/>
      </c>
      <c r="J154" s="37" t="n"/>
      <c r="K154" s="37" t="n"/>
      <c r="L154" s="41">
        <f>IF(IFERROR(INDEX(lst_cat_wish,MATCH(D154,lst_cats,0))="Да",FALSE),MAX($L$4:L153)+1,"")</f>
        <v/>
      </c>
    </row>
    <row r="155">
      <c r="A155" s="36" t="n"/>
      <c r="B155" s="36" t="n"/>
      <c r="C155" s="37" t="n"/>
      <c r="D155" s="37" t="n"/>
      <c r="E155" s="37" t="n"/>
      <c r="F155" s="36" t="n"/>
      <c r="G155" s="38" t="n"/>
      <c r="H155" s="39" t="n"/>
      <c r="I155" s="40">
        <f>IF(OR(G155="",H155=""),"",G155-H155)</f>
        <v/>
      </c>
      <c r="J155" s="37" t="n"/>
      <c r="K155" s="37" t="n"/>
      <c r="L155" s="41">
        <f>IF(IFERROR(INDEX(lst_cat_wish,MATCH(D155,lst_cats,0))="Да",FALSE),MAX($L$4:L154)+1,"")</f>
        <v/>
      </c>
    </row>
    <row r="156">
      <c r="A156" s="36" t="n"/>
      <c r="B156" s="36" t="n"/>
      <c r="C156" s="37" t="n"/>
      <c r="D156" s="37" t="n"/>
      <c r="E156" s="37" t="n"/>
      <c r="F156" s="36" t="n"/>
      <c r="G156" s="38" t="n"/>
      <c r="H156" s="39" t="n"/>
      <c r="I156" s="40">
        <f>IF(OR(G156="",H156=""),"",G156-H156)</f>
        <v/>
      </c>
      <c r="J156" s="37" t="n"/>
      <c r="K156" s="37" t="n"/>
      <c r="L156" s="41">
        <f>IF(IFERROR(INDEX(lst_cat_wish,MATCH(D156,lst_cats,0))="Да",FALSE),MAX($L$4:L155)+1,"")</f>
        <v/>
      </c>
    </row>
    <row r="157">
      <c r="A157" s="36" t="n"/>
      <c r="B157" s="36" t="n"/>
      <c r="C157" s="37" t="n"/>
      <c r="D157" s="37" t="n"/>
      <c r="E157" s="37" t="n"/>
      <c r="F157" s="36" t="n"/>
      <c r="G157" s="38" t="n"/>
      <c r="H157" s="39" t="n"/>
      <c r="I157" s="40">
        <f>IF(OR(G157="",H157=""),"",G157-H157)</f>
        <v/>
      </c>
      <c r="J157" s="37" t="n"/>
      <c r="K157" s="37" t="n"/>
      <c r="L157" s="41">
        <f>IF(IFERROR(INDEX(lst_cat_wish,MATCH(D157,lst_cats,0))="Да",FALSE),MAX($L$4:L156)+1,"")</f>
        <v/>
      </c>
    </row>
    <row r="158">
      <c r="A158" s="36" t="n"/>
      <c r="B158" s="36" t="n"/>
      <c r="C158" s="37" t="n"/>
      <c r="D158" s="37" t="n"/>
      <c r="E158" s="37" t="n"/>
      <c r="F158" s="36" t="n"/>
      <c r="G158" s="38" t="n"/>
      <c r="H158" s="39" t="n"/>
      <c r="I158" s="40">
        <f>IF(OR(G158="",H158=""),"",G158-H158)</f>
        <v/>
      </c>
      <c r="J158" s="37" t="n"/>
      <c r="K158" s="37" t="n"/>
      <c r="L158" s="41">
        <f>IF(IFERROR(INDEX(lst_cat_wish,MATCH(D158,lst_cats,0))="Да",FALSE),MAX($L$4:L157)+1,"")</f>
        <v/>
      </c>
    </row>
    <row r="159">
      <c r="A159" s="36" t="n"/>
      <c r="B159" s="36" t="n"/>
      <c r="C159" s="37" t="n"/>
      <c r="D159" s="37" t="n"/>
      <c r="E159" s="37" t="n"/>
      <c r="F159" s="36" t="n"/>
      <c r="G159" s="38" t="n"/>
      <c r="H159" s="39" t="n"/>
      <c r="I159" s="40">
        <f>IF(OR(G159="",H159=""),"",G159-H159)</f>
        <v/>
      </c>
      <c r="J159" s="37" t="n"/>
      <c r="K159" s="37" t="n"/>
      <c r="L159" s="41">
        <f>IF(IFERROR(INDEX(lst_cat_wish,MATCH(D159,lst_cats,0))="Да",FALSE),MAX($L$4:L158)+1,"")</f>
        <v/>
      </c>
    </row>
    <row r="160">
      <c r="A160" s="36" t="n"/>
      <c r="B160" s="36" t="n"/>
      <c r="C160" s="37" t="n"/>
      <c r="D160" s="37" t="n"/>
      <c r="E160" s="37" t="n"/>
      <c r="F160" s="36" t="n"/>
      <c r="G160" s="38" t="n"/>
      <c r="H160" s="39" t="n"/>
      <c r="I160" s="40">
        <f>IF(OR(G160="",H160=""),"",G160-H160)</f>
        <v/>
      </c>
      <c r="J160" s="37" t="n"/>
      <c r="K160" s="37" t="n"/>
      <c r="L160" s="41">
        <f>IF(IFERROR(INDEX(lst_cat_wish,MATCH(D160,lst_cats,0))="Да",FALSE),MAX($L$4:L159)+1,"")</f>
        <v/>
      </c>
    </row>
    <row r="161">
      <c r="A161" s="36" t="n"/>
      <c r="B161" s="36" t="n"/>
      <c r="C161" s="37" t="n"/>
      <c r="D161" s="37" t="n"/>
      <c r="E161" s="37" t="n"/>
      <c r="F161" s="36" t="n"/>
      <c r="G161" s="38" t="n"/>
      <c r="H161" s="39" t="n"/>
      <c r="I161" s="40">
        <f>IF(OR(G161="",H161=""),"",G161-H161)</f>
        <v/>
      </c>
      <c r="J161" s="37" t="n"/>
      <c r="K161" s="37" t="n"/>
      <c r="L161" s="41">
        <f>IF(IFERROR(INDEX(lst_cat_wish,MATCH(D161,lst_cats,0))="Да",FALSE),MAX($L$4:L160)+1,"")</f>
        <v/>
      </c>
    </row>
    <row r="162">
      <c r="A162" s="36" t="n"/>
      <c r="B162" s="36" t="n"/>
      <c r="C162" s="37" t="n"/>
      <c r="D162" s="37" t="n"/>
      <c r="E162" s="37" t="n"/>
      <c r="F162" s="36" t="n"/>
      <c r="G162" s="38" t="n"/>
      <c r="H162" s="39" t="n"/>
      <c r="I162" s="40">
        <f>IF(OR(G162="",H162=""),"",G162-H162)</f>
        <v/>
      </c>
      <c r="J162" s="37" t="n"/>
      <c r="K162" s="37" t="n"/>
      <c r="L162" s="41">
        <f>IF(IFERROR(INDEX(lst_cat_wish,MATCH(D162,lst_cats,0))="Да",FALSE),MAX($L$4:L161)+1,"")</f>
        <v/>
      </c>
    </row>
    <row r="163">
      <c r="A163" s="36" t="n"/>
      <c r="B163" s="36" t="n"/>
      <c r="C163" s="37" t="n"/>
      <c r="D163" s="37" t="n"/>
      <c r="E163" s="37" t="n"/>
      <c r="F163" s="36" t="n"/>
      <c r="G163" s="38" t="n"/>
      <c r="H163" s="39" t="n"/>
      <c r="I163" s="40">
        <f>IF(OR(G163="",H163=""),"",G163-H163)</f>
        <v/>
      </c>
      <c r="J163" s="37" t="n"/>
      <c r="K163" s="37" t="n"/>
      <c r="L163" s="41">
        <f>IF(IFERROR(INDEX(lst_cat_wish,MATCH(D163,lst_cats,0))="Да",FALSE),MAX($L$4:L162)+1,"")</f>
        <v/>
      </c>
    </row>
    <row r="164">
      <c r="A164" s="36" t="n"/>
      <c r="B164" s="36" t="n"/>
      <c r="C164" s="37" t="n"/>
      <c r="D164" s="37" t="n"/>
      <c r="E164" s="37" t="n"/>
      <c r="F164" s="36" t="n"/>
      <c r="G164" s="38" t="n"/>
      <c r="H164" s="39" t="n"/>
      <c r="I164" s="40">
        <f>IF(OR(G164="",H164=""),"",G164-H164)</f>
        <v/>
      </c>
      <c r="J164" s="37" t="n"/>
      <c r="K164" s="37" t="n"/>
      <c r="L164" s="41">
        <f>IF(IFERROR(INDEX(lst_cat_wish,MATCH(D164,lst_cats,0))="Да",FALSE),MAX($L$4:L163)+1,"")</f>
        <v/>
      </c>
    </row>
    <row r="165">
      <c r="A165" s="36" t="n"/>
      <c r="B165" s="36" t="n"/>
      <c r="C165" s="37" t="n"/>
      <c r="D165" s="37" t="n"/>
      <c r="E165" s="37" t="n"/>
      <c r="F165" s="36" t="n"/>
      <c r="G165" s="38" t="n"/>
      <c r="H165" s="39" t="n"/>
      <c r="I165" s="40">
        <f>IF(OR(G165="",H165=""),"",G165-H165)</f>
        <v/>
      </c>
      <c r="J165" s="37" t="n"/>
      <c r="K165" s="37" t="n"/>
      <c r="L165" s="41">
        <f>IF(IFERROR(INDEX(lst_cat_wish,MATCH(D165,lst_cats,0))="Да",FALSE),MAX($L$4:L164)+1,"")</f>
        <v/>
      </c>
    </row>
    <row r="166">
      <c r="A166" s="36" t="n"/>
      <c r="B166" s="36" t="n"/>
      <c r="C166" s="37" t="n"/>
      <c r="D166" s="37" t="n"/>
      <c r="E166" s="37" t="n"/>
      <c r="F166" s="36" t="n"/>
      <c r="G166" s="38" t="n"/>
      <c r="H166" s="39" t="n"/>
      <c r="I166" s="40">
        <f>IF(OR(G166="",H166=""),"",G166-H166)</f>
        <v/>
      </c>
      <c r="J166" s="37" t="n"/>
      <c r="K166" s="37" t="n"/>
      <c r="L166" s="41">
        <f>IF(IFERROR(INDEX(lst_cat_wish,MATCH(D166,lst_cats,0))="Да",FALSE),MAX($L$4:L165)+1,"")</f>
        <v/>
      </c>
    </row>
    <row r="167">
      <c r="A167" s="36" t="n"/>
      <c r="B167" s="36" t="n"/>
      <c r="C167" s="37" t="n"/>
      <c r="D167" s="37" t="n"/>
      <c r="E167" s="37" t="n"/>
      <c r="F167" s="36" t="n"/>
      <c r="G167" s="38" t="n"/>
      <c r="H167" s="39" t="n"/>
      <c r="I167" s="40">
        <f>IF(OR(G167="",H167=""),"",G167-H167)</f>
        <v/>
      </c>
      <c r="J167" s="37" t="n"/>
      <c r="K167" s="37" t="n"/>
      <c r="L167" s="41">
        <f>IF(IFERROR(INDEX(lst_cat_wish,MATCH(D167,lst_cats,0))="Да",FALSE),MAX($L$4:L166)+1,"")</f>
        <v/>
      </c>
    </row>
    <row r="168">
      <c r="A168" s="36" t="n"/>
      <c r="B168" s="36" t="n"/>
      <c r="C168" s="37" t="n"/>
      <c r="D168" s="37" t="n"/>
      <c r="E168" s="37" t="n"/>
      <c r="F168" s="36" t="n"/>
      <c r="G168" s="38" t="n"/>
      <c r="H168" s="39" t="n"/>
      <c r="I168" s="40">
        <f>IF(OR(G168="",H168=""),"",G168-H168)</f>
        <v/>
      </c>
      <c r="J168" s="37" t="n"/>
      <c r="K168" s="37" t="n"/>
      <c r="L168" s="41">
        <f>IF(IFERROR(INDEX(lst_cat_wish,MATCH(D168,lst_cats,0))="Да",FALSE),MAX($L$4:L167)+1,"")</f>
        <v/>
      </c>
    </row>
    <row r="169">
      <c r="A169" s="36" t="n"/>
      <c r="B169" s="36" t="n"/>
      <c r="C169" s="37" t="n"/>
      <c r="D169" s="37" t="n"/>
      <c r="E169" s="37" t="n"/>
      <c r="F169" s="36" t="n"/>
      <c r="G169" s="38" t="n"/>
      <c r="H169" s="39" t="n"/>
      <c r="I169" s="40">
        <f>IF(OR(G169="",H169=""),"",G169-H169)</f>
        <v/>
      </c>
      <c r="J169" s="37" t="n"/>
      <c r="K169" s="37" t="n"/>
      <c r="L169" s="41">
        <f>IF(IFERROR(INDEX(lst_cat_wish,MATCH(D169,lst_cats,0))="Да",FALSE),MAX($L$4:L168)+1,"")</f>
        <v/>
      </c>
    </row>
    <row r="170">
      <c r="A170" s="36" t="n"/>
      <c r="B170" s="36" t="n"/>
      <c r="C170" s="37" t="n"/>
      <c r="D170" s="37" t="n"/>
      <c r="E170" s="37" t="n"/>
      <c r="F170" s="36" t="n"/>
      <c r="G170" s="38" t="n"/>
      <c r="H170" s="39" t="n"/>
      <c r="I170" s="40">
        <f>IF(OR(G170="",H170=""),"",G170-H170)</f>
        <v/>
      </c>
      <c r="J170" s="37" t="n"/>
      <c r="K170" s="37" t="n"/>
      <c r="L170" s="41">
        <f>IF(IFERROR(INDEX(lst_cat_wish,MATCH(D170,lst_cats,0))="Да",FALSE),MAX($L$4:L169)+1,"")</f>
        <v/>
      </c>
    </row>
    <row r="171">
      <c r="A171" s="36" t="n"/>
      <c r="B171" s="36" t="n"/>
      <c r="C171" s="37" t="n"/>
      <c r="D171" s="37" t="n"/>
      <c r="E171" s="37" t="n"/>
      <c r="F171" s="36" t="n"/>
      <c r="G171" s="38" t="n"/>
      <c r="H171" s="39" t="n"/>
      <c r="I171" s="40">
        <f>IF(OR(G171="",H171=""),"",G171-H171)</f>
        <v/>
      </c>
      <c r="J171" s="37" t="n"/>
      <c r="K171" s="37" t="n"/>
      <c r="L171" s="41">
        <f>IF(IFERROR(INDEX(lst_cat_wish,MATCH(D171,lst_cats,0))="Да",FALSE),MAX($L$4:L170)+1,"")</f>
        <v/>
      </c>
    </row>
    <row r="172">
      <c r="A172" s="36" t="n"/>
      <c r="B172" s="36" t="n"/>
      <c r="C172" s="37" t="n"/>
      <c r="D172" s="37" t="n"/>
      <c r="E172" s="37" t="n"/>
      <c r="F172" s="36" t="n"/>
      <c r="G172" s="38" t="n"/>
      <c r="H172" s="39" t="n"/>
      <c r="I172" s="40">
        <f>IF(OR(G172="",H172=""),"",G172-H172)</f>
        <v/>
      </c>
      <c r="J172" s="37" t="n"/>
      <c r="K172" s="37" t="n"/>
      <c r="L172" s="41">
        <f>IF(IFERROR(INDEX(lst_cat_wish,MATCH(D172,lst_cats,0))="Да",FALSE),MAX($L$4:L171)+1,"")</f>
        <v/>
      </c>
    </row>
    <row r="173">
      <c r="A173" s="36" t="n"/>
      <c r="B173" s="36" t="n"/>
      <c r="C173" s="37" t="n"/>
      <c r="D173" s="37" t="n"/>
      <c r="E173" s="37" t="n"/>
      <c r="F173" s="36" t="n"/>
      <c r="G173" s="38" t="n"/>
      <c r="H173" s="39" t="n"/>
      <c r="I173" s="40">
        <f>IF(OR(G173="",H173=""),"",G173-H173)</f>
        <v/>
      </c>
      <c r="J173" s="37" t="n"/>
      <c r="K173" s="37" t="n"/>
      <c r="L173" s="41">
        <f>IF(IFERROR(INDEX(lst_cat_wish,MATCH(D173,lst_cats,0))="Да",FALSE),MAX($L$4:L172)+1,"")</f>
        <v/>
      </c>
    </row>
    <row r="174">
      <c r="A174" s="36" t="n"/>
      <c r="B174" s="36" t="n"/>
      <c r="C174" s="37" t="n"/>
      <c r="D174" s="37" t="n"/>
      <c r="E174" s="37" t="n"/>
      <c r="F174" s="36" t="n"/>
      <c r="G174" s="38" t="n"/>
      <c r="H174" s="39" t="n"/>
      <c r="I174" s="40">
        <f>IF(OR(G174="",H174=""),"",G174-H174)</f>
        <v/>
      </c>
      <c r="J174" s="37" t="n"/>
      <c r="K174" s="37" t="n"/>
      <c r="L174" s="41">
        <f>IF(IFERROR(INDEX(lst_cat_wish,MATCH(D174,lst_cats,0))="Да",FALSE),MAX($L$4:L173)+1,"")</f>
        <v/>
      </c>
    </row>
    <row r="175">
      <c r="A175" s="36" t="n"/>
      <c r="B175" s="36" t="n"/>
      <c r="C175" s="37" t="n"/>
      <c r="D175" s="37" t="n"/>
      <c r="E175" s="37" t="n"/>
      <c r="F175" s="36" t="n"/>
      <c r="G175" s="38" t="n"/>
      <c r="H175" s="39" t="n"/>
      <c r="I175" s="40">
        <f>IF(OR(G175="",H175=""),"",G175-H175)</f>
        <v/>
      </c>
      <c r="J175" s="37" t="n"/>
      <c r="K175" s="37" t="n"/>
      <c r="L175" s="41">
        <f>IF(IFERROR(INDEX(lst_cat_wish,MATCH(D175,lst_cats,0))="Да",FALSE),MAX($L$4:L174)+1,"")</f>
        <v/>
      </c>
    </row>
    <row r="176">
      <c r="A176" s="36" t="n"/>
      <c r="B176" s="36" t="n"/>
      <c r="C176" s="37" t="n"/>
      <c r="D176" s="37" t="n"/>
      <c r="E176" s="37" t="n"/>
      <c r="F176" s="36" t="n"/>
      <c r="G176" s="38" t="n"/>
      <c r="H176" s="39" t="n"/>
      <c r="I176" s="40">
        <f>IF(OR(G176="",H176=""),"",G176-H176)</f>
        <v/>
      </c>
      <c r="J176" s="37" t="n"/>
      <c r="K176" s="37" t="n"/>
      <c r="L176" s="41">
        <f>IF(IFERROR(INDEX(lst_cat_wish,MATCH(D176,lst_cats,0))="Да",FALSE),MAX($L$4:L175)+1,"")</f>
        <v/>
      </c>
    </row>
    <row r="177">
      <c r="A177" s="36" t="n"/>
      <c r="B177" s="36" t="n"/>
      <c r="C177" s="37" t="n"/>
      <c r="D177" s="37" t="n"/>
      <c r="E177" s="37" t="n"/>
      <c r="F177" s="36" t="n"/>
      <c r="G177" s="38" t="n"/>
      <c r="H177" s="39" t="n"/>
      <c r="I177" s="40">
        <f>IF(OR(G177="",H177=""),"",G177-H177)</f>
        <v/>
      </c>
      <c r="J177" s="37" t="n"/>
      <c r="K177" s="37" t="n"/>
      <c r="L177" s="41">
        <f>IF(IFERROR(INDEX(lst_cat_wish,MATCH(D177,lst_cats,0))="Да",FALSE),MAX($L$4:L176)+1,"")</f>
        <v/>
      </c>
    </row>
    <row r="178">
      <c r="A178" s="36" t="n"/>
      <c r="B178" s="36" t="n"/>
      <c r="C178" s="37" t="n"/>
      <c r="D178" s="37" t="n"/>
      <c r="E178" s="37" t="n"/>
      <c r="F178" s="36" t="n"/>
      <c r="G178" s="38" t="n"/>
      <c r="H178" s="39" t="n"/>
      <c r="I178" s="40">
        <f>IF(OR(G178="",H178=""),"",G178-H178)</f>
        <v/>
      </c>
      <c r="J178" s="37" t="n"/>
      <c r="K178" s="37" t="n"/>
      <c r="L178" s="41">
        <f>IF(IFERROR(INDEX(lst_cat_wish,MATCH(D178,lst_cats,0))="Да",FALSE),MAX($L$4:L177)+1,"")</f>
        <v/>
      </c>
    </row>
    <row r="179">
      <c r="A179" s="36" t="n"/>
      <c r="B179" s="36" t="n"/>
      <c r="C179" s="37" t="n"/>
      <c r="D179" s="37" t="n"/>
      <c r="E179" s="37" t="n"/>
      <c r="F179" s="36" t="n"/>
      <c r="G179" s="38" t="n"/>
      <c r="H179" s="39" t="n"/>
      <c r="I179" s="40">
        <f>IF(OR(G179="",H179=""),"",G179-H179)</f>
        <v/>
      </c>
      <c r="J179" s="37" t="n"/>
      <c r="K179" s="37" t="n"/>
      <c r="L179" s="41">
        <f>IF(IFERROR(INDEX(lst_cat_wish,MATCH(D179,lst_cats,0))="Да",FALSE),MAX($L$4:L178)+1,"")</f>
        <v/>
      </c>
    </row>
    <row r="180">
      <c r="A180" s="36" t="n"/>
      <c r="B180" s="36" t="n"/>
      <c r="C180" s="37" t="n"/>
      <c r="D180" s="37" t="n"/>
      <c r="E180" s="37" t="n"/>
      <c r="F180" s="36" t="n"/>
      <c r="G180" s="38" t="n"/>
      <c r="H180" s="39" t="n"/>
      <c r="I180" s="40">
        <f>IF(OR(G180="",H180=""),"",G180-H180)</f>
        <v/>
      </c>
      <c r="J180" s="37" t="n"/>
      <c r="K180" s="37" t="n"/>
      <c r="L180" s="41">
        <f>IF(IFERROR(INDEX(lst_cat_wish,MATCH(D180,lst_cats,0))="Да",FALSE),MAX($L$4:L179)+1,"")</f>
        <v/>
      </c>
    </row>
    <row r="181">
      <c r="A181" s="36" t="n"/>
      <c r="B181" s="36" t="n"/>
      <c r="C181" s="37" t="n"/>
      <c r="D181" s="37" t="n"/>
      <c r="E181" s="37" t="n"/>
      <c r="F181" s="36" t="n"/>
      <c r="G181" s="38" t="n"/>
      <c r="H181" s="39" t="n"/>
      <c r="I181" s="40">
        <f>IF(OR(G181="",H181=""),"",G181-H181)</f>
        <v/>
      </c>
      <c r="J181" s="37" t="n"/>
      <c r="K181" s="37" t="n"/>
      <c r="L181" s="41">
        <f>IF(IFERROR(INDEX(lst_cat_wish,MATCH(D181,lst_cats,0))="Да",FALSE),MAX($L$4:L180)+1,"")</f>
        <v/>
      </c>
    </row>
    <row r="182">
      <c r="A182" s="36" t="n"/>
      <c r="B182" s="36" t="n"/>
      <c r="C182" s="37" t="n"/>
      <c r="D182" s="37" t="n"/>
      <c r="E182" s="37" t="n"/>
      <c r="F182" s="36" t="n"/>
      <c r="G182" s="38" t="n"/>
      <c r="H182" s="39" t="n"/>
      <c r="I182" s="40">
        <f>IF(OR(G182="",H182=""),"",G182-H182)</f>
        <v/>
      </c>
      <c r="J182" s="37" t="n"/>
      <c r="K182" s="37" t="n"/>
      <c r="L182" s="41">
        <f>IF(IFERROR(INDEX(lst_cat_wish,MATCH(D182,lst_cats,0))="Да",FALSE),MAX($L$4:L181)+1,"")</f>
        <v/>
      </c>
    </row>
    <row r="183">
      <c r="A183" s="36" t="n"/>
      <c r="B183" s="36" t="n"/>
      <c r="C183" s="37" t="n"/>
      <c r="D183" s="37" t="n"/>
      <c r="E183" s="37" t="n"/>
      <c r="F183" s="36" t="n"/>
      <c r="G183" s="38" t="n"/>
      <c r="H183" s="39" t="n"/>
      <c r="I183" s="40">
        <f>IF(OR(G183="",H183=""),"",G183-H183)</f>
        <v/>
      </c>
      <c r="J183" s="37" t="n"/>
      <c r="K183" s="37" t="n"/>
      <c r="L183" s="41">
        <f>IF(IFERROR(INDEX(lst_cat_wish,MATCH(D183,lst_cats,0))="Да",FALSE),MAX($L$4:L182)+1,"")</f>
        <v/>
      </c>
    </row>
    <row r="184">
      <c r="A184" s="36" t="n"/>
      <c r="B184" s="36" t="n"/>
      <c r="C184" s="37" t="n"/>
      <c r="D184" s="37" t="n"/>
      <c r="E184" s="37" t="n"/>
      <c r="F184" s="36" t="n"/>
      <c r="G184" s="38" t="n"/>
      <c r="H184" s="39" t="n"/>
      <c r="I184" s="40">
        <f>IF(OR(G184="",H184=""),"",G184-H184)</f>
        <v/>
      </c>
      <c r="J184" s="37" t="n"/>
      <c r="K184" s="37" t="n"/>
      <c r="L184" s="41">
        <f>IF(IFERROR(INDEX(lst_cat_wish,MATCH(D184,lst_cats,0))="Да",FALSE),MAX($L$4:L183)+1,"")</f>
        <v/>
      </c>
    </row>
    <row r="185">
      <c r="A185" s="36" t="n"/>
      <c r="B185" s="36" t="n"/>
      <c r="C185" s="37" t="n"/>
      <c r="D185" s="37" t="n"/>
      <c r="E185" s="37" t="n"/>
      <c r="F185" s="36" t="n"/>
      <c r="G185" s="38" t="n"/>
      <c r="H185" s="39" t="n"/>
      <c r="I185" s="40">
        <f>IF(OR(G185="",H185=""),"",G185-H185)</f>
        <v/>
      </c>
      <c r="J185" s="37" t="n"/>
      <c r="K185" s="37" t="n"/>
      <c r="L185" s="41">
        <f>IF(IFERROR(INDEX(lst_cat_wish,MATCH(D185,lst_cats,0))="Да",FALSE),MAX($L$4:L184)+1,"")</f>
        <v/>
      </c>
    </row>
    <row r="186">
      <c r="A186" s="36" t="n"/>
      <c r="B186" s="36" t="n"/>
      <c r="C186" s="37" t="n"/>
      <c r="D186" s="37" t="n"/>
      <c r="E186" s="37" t="n"/>
      <c r="F186" s="36" t="n"/>
      <c r="G186" s="38" t="n"/>
      <c r="H186" s="39" t="n"/>
      <c r="I186" s="40">
        <f>IF(OR(G186="",H186=""),"",G186-H186)</f>
        <v/>
      </c>
      <c r="J186" s="37" t="n"/>
      <c r="K186" s="37" t="n"/>
      <c r="L186" s="41">
        <f>IF(IFERROR(INDEX(lst_cat_wish,MATCH(D186,lst_cats,0))="Да",FALSE),MAX($L$4:L185)+1,"")</f>
        <v/>
      </c>
    </row>
    <row r="187">
      <c r="A187" s="36" t="n"/>
      <c r="B187" s="36" t="n"/>
      <c r="C187" s="37" t="n"/>
      <c r="D187" s="37" t="n"/>
      <c r="E187" s="37" t="n"/>
      <c r="F187" s="36" t="n"/>
      <c r="G187" s="38" t="n"/>
      <c r="H187" s="39" t="n"/>
      <c r="I187" s="40">
        <f>IF(OR(G187="",H187=""),"",G187-H187)</f>
        <v/>
      </c>
      <c r="J187" s="37" t="n"/>
      <c r="K187" s="37" t="n"/>
      <c r="L187" s="41">
        <f>IF(IFERROR(INDEX(lst_cat_wish,MATCH(D187,lst_cats,0))="Да",FALSE),MAX($L$4:L186)+1,"")</f>
        <v/>
      </c>
    </row>
    <row r="188">
      <c r="A188" s="36" t="n"/>
      <c r="B188" s="36" t="n"/>
      <c r="C188" s="37" t="n"/>
      <c r="D188" s="37" t="n"/>
      <c r="E188" s="37" t="n"/>
      <c r="F188" s="36" t="n"/>
      <c r="G188" s="38" t="n"/>
      <c r="H188" s="39" t="n"/>
      <c r="I188" s="40">
        <f>IF(OR(G188="",H188=""),"",G188-H188)</f>
        <v/>
      </c>
      <c r="J188" s="37" t="n"/>
      <c r="K188" s="37" t="n"/>
      <c r="L188" s="41">
        <f>IF(IFERROR(INDEX(lst_cat_wish,MATCH(D188,lst_cats,0))="Да",FALSE),MAX($L$4:L187)+1,"")</f>
        <v/>
      </c>
    </row>
    <row r="189">
      <c r="A189" s="36" t="n"/>
      <c r="B189" s="36" t="n"/>
      <c r="C189" s="37" t="n"/>
      <c r="D189" s="37" t="n"/>
      <c r="E189" s="37" t="n"/>
      <c r="F189" s="36" t="n"/>
      <c r="G189" s="38" t="n"/>
      <c r="H189" s="39" t="n"/>
      <c r="I189" s="40">
        <f>IF(OR(G189="",H189=""),"",G189-H189)</f>
        <v/>
      </c>
      <c r="J189" s="37" t="n"/>
      <c r="K189" s="37" t="n"/>
      <c r="L189" s="41">
        <f>IF(IFERROR(INDEX(lst_cat_wish,MATCH(D189,lst_cats,0))="Да",FALSE),MAX($L$4:L188)+1,"")</f>
        <v/>
      </c>
    </row>
    <row r="190">
      <c r="A190" s="36" t="n"/>
      <c r="B190" s="36" t="n"/>
      <c r="C190" s="37" t="n"/>
      <c r="D190" s="37" t="n"/>
      <c r="E190" s="37" t="n"/>
      <c r="F190" s="36" t="n"/>
      <c r="G190" s="38" t="n"/>
      <c r="H190" s="39" t="n"/>
      <c r="I190" s="40">
        <f>IF(OR(G190="",H190=""),"",G190-H190)</f>
        <v/>
      </c>
      <c r="J190" s="37" t="n"/>
      <c r="K190" s="37" t="n"/>
      <c r="L190" s="41">
        <f>IF(IFERROR(INDEX(lst_cat_wish,MATCH(D190,lst_cats,0))="Да",FALSE),MAX($L$4:L189)+1,"")</f>
        <v/>
      </c>
    </row>
    <row r="191">
      <c r="A191" s="36" t="n"/>
      <c r="B191" s="36" t="n"/>
      <c r="C191" s="37" t="n"/>
      <c r="D191" s="37" t="n"/>
      <c r="E191" s="37" t="n"/>
      <c r="F191" s="36" t="n"/>
      <c r="G191" s="38" t="n"/>
      <c r="H191" s="39" t="n"/>
      <c r="I191" s="40">
        <f>IF(OR(G191="",H191=""),"",G191-H191)</f>
        <v/>
      </c>
      <c r="J191" s="37" t="n"/>
      <c r="K191" s="37" t="n"/>
      <c r="L191" s="41">
        <f>IF(IFERROR(INDEX(lst_cat_wish,MATCH(D191,lst_cats,0))="Да",FALSE),MAX($L$4:L190)+1,"")</f>
        <v/>
      </c>
    </row>
    <row r="192">
      <c r="A192" s="36" t="n"/>
      <c r="B192" s="36" t="n"/>
      <c r="C192" s="37" t="n"/>
      <c r="D192" s="37" t="n"/>
      <c r="E192" s="37" t="n"/>
      <c r="F192" s="36" t="n"/>
      <c r="G192" s="38" t="n"/>
      <c r="H192" s="39" t="n"/>
      <c r="I192" s="40">
        <f>IF(OR(G192="",H192=""),"",G192-H192)</f>
        <v/>
      </c>
      <c r="J192" s="37" t="n"/>
      <c r="K192" s="37" t="n"/>
      <c r="L192" s="41">
        <f>IF(IFERROR(INDEX(lst_cat_wish,MATCH(D192,lst_cats,0))="Да",FALSE),MAX($L$4:L191)+1,"")</f>
        <v/>
      </c>
    </row>
    <row r="193">
      <c r="A193" s="36" t="n"/>
      <c r="B193" s="36" t="n"/>
      <c r="C193" s="37" t="n"/>
      <c r="D193" s="37" t="n"/>
      <c r="E193" s="37" t="n"/>
      <c r="F193" s="36" t="n"/>
      <c r="G193" s="38" t="n"/>
      <c r="H193" s="39" t="n"/>
      <c r="I193" s="40">
        <f>IF(OR(G193="",H193=""),"",G193-H193)</f>
        <v/>
      </c>
      <c r="J193" s="37" t="n"/>
      <c r="K193" s="37" t="n"/>
      <c r="L193" s="41">
        <f>IF(IFERROR(INDEX(lst_cat_wish,MATCH(D193,lst_cats,0))="Да",FALSE),MAX($L$4:L192)+1,"")</f>
        <v/>
      </c>
    </row>
    <row r="194">
      <c r="A194" s="36" t="n"/>
      <c r="B194" s="36" t="n"/>
      <c r="C194" s="37" t="n"/>
      <c r="D194" s="37" t="n"/>
      <c r="E194" s="37" t="n"/>
      <c r="F194" s="36" t="n"/>
      <c r="G194" s="38" t="n"/>
      <c r="H194" s="39" t="n"/>
      <c r="I194" s="40">
        <f>IF(OR(G194="",H194=""),"",G194-H194)</f>
        <v/>
      </c>
      <c r="J194" s="37" t="n"/>
      <c r="K194" s="37" t="n"/>
      <c r="L194" s="41">
        <f>IF(IFERROR(INDEX(lst_cat_wish,MATCH(D194,lst_cats,0))="Да",FALSE),MAX($L$4:L193)+1,"")</f>
        <v/>
      </c>
    </row>
    <row r="195">
      <c r="A195" s="36" t="n"/>
      <c r="B195" s="36" t="n"/>
      <c r="C195" s="37" t="n"/>
      <c r="D195" s="37" t="n"/>
      <c r="E195" s="37" t="n"/>
      <c r="F195" s="36" t="n"/>
      <c r="G195" s="38" t="n"/>
      <c r="H195" s="39" t="n"/>
      <c r="I195" s="40">
        <f>IF(OR(G195="",H195=""),"",G195-H195)</f>
        <v/>
      </c>
      <c r="J195" s="37" t="n"/>
      <c r="K195" s="37" t="n"/>
      <c r="L195" s="41">
        <f>IF(IFERROR(INDEX(lst_cat_wish,MATCH(D195,lst_cats,0))="Да",FALSE),MAX($L$4:L194)+1,"")</f>
        <v/>
      </c>
    </row>
    <row r="196">
      <c r="A196" s="36" t="n"/>
      <c r="B196" s="36" t="n"/>
      <c r="C196" s="37" t="n"/>
      <c r="D196" s="37" t="n"/>
      <c r="E196" s="37" t="n"/>
      <c r="F196" s="36" t="n"/>
      <c r="G196" s="38" t="n"/>
      <c r="H196" s="39" t="n"/>
      <c r="I196" s="40">
        <f>IF(OR(G196="",H196=""),"",G196-H196)</f>
        <v/>
      </c>
      <c r="J196" s="37" t="n"/>
      <c r="K196" s="37" t="n"/>
      <c r="L196" s="41">
        <f>IF(IFERROR(INDEX(lst_cat_wish,MATCH(D196,lst_cats,0))="Да",FALSE),MAX($L$4:L195)+1,"")</f>
        <v/>
      </c>
    </row>
    <row r="197">
      <c r="A197" s="36" t="n"/>
      <c r="B197" s="36" t="n"/>
      <c r="C197" s="37" t="n"/>
      <c r="D197" s="37" t="n"/>
      <c r="E197" s="37" t="n"/>
      <c r="F197" s="36" t="n"/>
      <c r="G197" s="38" t="n"/>
      <c r="H197" s="39" t="n"/>
      <c r="I197" s="40">
        <f>IF(OR(G197="",H197=""),"",G197-H197)</f>
        <v/>
      </c>
      <c r="J197" s="37" t="n"/>
      <c r="K197" s="37" t="n"/>
      <c r="L197" s="41">
        <f>IF(IFERROR(INDEX(lst_cat_wish,MATCH(D197,lst_cats,0))="Да",FALSE),MAX($L$4:L196)+1,"")</f>
        <v/>
      </c>
    </row>
    <row r="198">
      <c r="A198" s="36" t="n"/>
      <c r="B198" s="36" t="n"/>
      <c r="C198" s="37" t="n"/>
      <c r="D198" s="37" t="n"/>
      <c r="E198" s="37" t="n"/>
      <c r="F198" s="36" t="n"/>
      <c r="G198" s="38" t="n"/>
      <c r="H198" s="39" t="n"/>
      <c r="I198" s="40">
        <f>IF(OR(G198="",H198=""),"",G198-H198)</f>
        <v/>
      </c>
      <c r="J198" s="37" t="n"/>
      <c r="K198" s="37" t="n"/>
      <c r="L198" s="41">
        <f>IF(IFERROR(INDEX(lst_cat_wish,MATCH(D198,lst_cats,0))="Да",FALSE),MAX($L$4:L197)+1,"")</f>
        <v/>
      </c>
    </row>
    <row r="199">
      <c r="A199" s="36" t="n"/>
      <c r="B199" s="36" t="n"/>
      <c r="C199" s="37" t="n"/>
      <c r="D199" s="37" t="n"/>
      <c r="E199" s="37" t="n"/>
      <c r="F199" s="36" t="n"/>
      <c r="G199" s="38" t="n"/>
      <c r="H199" s="39" t="n"/>
      <c r="I199" s="40">
        <f>IF(OR(G199="",H199=""),"",G199-H199)</f>
        <v/>
      </c>
      <c r="J199" s="37" t="n"/>
      <c r="K199" s="37" t="n"/>
      <c r="L199" s="41">
        <f>IF(IFERROR(INDEX(lst_cat_wish,MATCH(D199,lst_cats,0))="Да",FALSE),MAX($L$4:L198)+1,"")</f>
        <v/>
      </c>
    </row>
    <row r="200">
      <c r="A200" s="36" t="n"/>
      <c r="B200" s="36" t="n"/>
      <c r="C200" s="37" t="n"/>
      <c r="D200" s="37" t="n"/>
      <c r="E200" s="37" t="n"/>
      <c r="F200" s="36" t="n"/>
      <c r="G200" s="38" t="n"/>
      <c r="H200" s="39" t="n"/>
      <c r="I200" s="40">
        <f>IF(OR(G200="",H200=""),"",G200-H200)</f>
        <v/>
      </c>
      <c r="J200" s="37" t="n"/>
      <c r="K200" s="37" t="n"/>
      <c r="L200" s="41">
        <f>IF(IFERROR(INDEX(lst_cat_wish,MATCH(D200,lst_cats,0))="Да",FALSE),MAX($L$4:L199)+1,"")</f>
        <v/>
      </c>
    </row>
    <row r="201">
      <c r="A201" s="36" t="n"/>
      <c r="B201" s="36" t="n"/>
      <c r="C201" s="37" t="n"/>
      <c r="D201" s="37" t="n"/>
      <c r="E201" s="37" t="n"/>
      <c r="F201" s="36" t="n"/>
      <c r="G201" s="38" t="n"/>
      <c r="H201" s="39" t="n"/>
      <c r="I201" s="40">
        <f>IF(OR(G201="",H201=""),"",G201-H201)</f>
        <v/>
      </c>
      <c r="J201" s="37" t="n"/>
      <c r="K201" s="37" t="n"/>
      <c r="L201" s="41">
        <f>IF(IFERROR(INDEX(lst_cat_wish,MATCH(D201,lst_cats,0))="Да",FALSE),MAX($L$4:L200)+1,"")</f>
        <v/>
      </c>
    </row>
    <row r="202">
      <c r="A202" s="36" t="n"/>
      <c r="B202" s="36" t="n"/>
      <c r="C202" s="37" t="n"/>
      <c r="D202" s="37" t="n"/>
      <c r="E202" s="37" t="n"/>
      <c r="F202" s="36" t="n"/>
      <c r="G202" s="38" t="n"/>
      <c r="H202" s="39" t="n"/>
      <c r="I202" s="40">
        <f>IF(OR(G202="",H202=""),"",G202-H202)</f>
        <v/>
      </c>
      <c r="J202" s="37" t="n"/>
      <c r="K202" s="37" t="n"/>
      <c r="L202" s="41">
        <f>IF(IFERROR(INDEX(lst_cat_wish,MATCH(D202,lst_cats,0))="Да",FALSE),MAX($L$4:L201)+1,"")</f>
        <v/>
      </c>
    </row>
    <row r="203">
      <c r="A203" s="36" t="n"/>
      <c r="B203" s="36" t="n"/>
      <c r="C203" s="37" t="n"/>
      <c r="D203" s="37" t="n"/>
      <c r="E203" s="37" t="n"/>
      <c r="F203" s="36" t="n"/>
      <c r="G203" s="38" t="n"/>
      <c r="H203" s="39" t="n"/>
      <c r="I203" s="40">
        <f>IF(OR(G203="",H203=""),"",G203-H203)</f>
        <v/>
      </c>
      <c r="J203" s="37" t="n"/>
      <c r="K203" s="37" t="n"/>
      <c r="L203" s="41">
        <f>IF(IFERROR(INDEX(lst_cat_wish,MATCH(D203,lst_cats,0))="Да",FALSE),MAX($L$4:L202)+1,"")</f>
        <v/>
      </c>
    </row>
    <row r="204">
      <c r="A204" s="36" t="n"/>
      <c r="B204" s="36" t="n"/>
      <c r="C204" s="37" t="n"/>
      <c r="D204" s="37" t="n"/>
      <c r="E204" s="37" t="n"/>
      <c r="F204" s="36" t="n"/>
      <c r="G204" s="38" t="n"/>
      <c r="H204" s="39" t="n"/>
      <c r="I204" s="40">
        <f>IF(OR(G204="",H204=""),"",G204-H204)</f>
        <v/>
      </c>
      <c r="J204" s="37" t="n"/>
      <c r="K204" s="37" t="n"/>
      <c r="L204" s="41">
        <f>IF(IFERROR(INDEX(lst_cat_wish,MATCH(D204,lst_cats,0))="Да",FALSE),MAX($L$4:L203)+1,"")</f>
        <v/>
      </c>
    </row>
    <row r="205">
      <c r="A205" s="36" t="n"/>
      <c r="B205" s="36" t="n"/>
      <c r="C205" s="37" t="n"/>
      <c r="D205" s="37" t="n"/>
      <c r="E205" s="37" t="n"/>
      <c r="F205" s="36" t="n"/>
      <c r="G205" s="38" t="n"/>
      <c r="H205" s="39" t="n"/>
      <c r="I205" s="40">
        <f>IF(OR(G205="",H205=""),"",G205-H205)</f>
        <v/>
      </c>
      <c r="J205" s="37" t="n"/>
      <c r="K205" s="37" t="n"/>
      <c r="L205" s="41">
        <f>IF(IFERROR(INDEX(lst_cat_wish,MATCH(D205,lst_cats,0))="Да",FALSE),MAX($L$4:L204)+1,"")</f>
        <v/>
      </c>
    </row>
    <row r="206">
      <c r="A206" s="36" t="n"/>
      <c r="B206" s="36" t="n"/>
      <c r="C206" s="37" t="n"/>
      <c r="D206" s="37" t="n"/>
      <c r="E206" s="37" t="n"/>
      <c r="F206" s="36" t="n"/>
      <c r="G206" s="38" t="n"/>
      <c r="H206" s="39" t="n"/>
      <c r="I206" s="40">
        <f>IF(OR(G206="",H206=""),"",G206-H206)</f>
        <v/>
      </c>
      <c r="J206" s="37" t="n"/>
      <c r="K206" s="37" t="n"/>
      <c r="L206" s="41">
        <f>IF(IFERROR(INDEX(lst_cat_wish,MATCH(D206,lst_cats,0))="Да",FALSE),MAX($L$4:L205)+1,"")</f>
        <v/>
      </c>
    </row>
    <row r="207">
      <c r="A207" s="36" t="n"/>
      <c r="B207" s="36" t="n"/>
      <c r="C207" s="37" t="n"/>
      <c r="D207" s="37" t="n"/>
      <c r="E207" s="37" t="n"/>
      <c r="F207" s="36" t="n"/>
      <c r="G207" s="38" t="n"/>
      <c r="H207" s="39" t="n"/>
      <c r="I207" s="40">
        <f>IF(OR(G207="",H207=""),"",G207-H207)</f>
        <v/>
      </c>
      <c r="J207" s="37" t="n"/>
      <c r="K207" s="37" t="n"/>
      <c r="L207" s="41">
        <f>IF(IFERROR(INDEX(lst_cat_wish,MATCH(D207,lst_cats,0))="Да",FALSE),MAX($L$4:L206)+1,"")</f>
        <v/>
      </c>
    </row>
    <row r="208">
      <c r="A208" s="36" t="n"/>
      <c r="B208" s="36" t="n"/>
      <c r="C208" s="37" t="n"/>
      <c r="D208" s="37" t="n"/>
      <c r="E208" s="37" t="n"/>
      <c r="F208" s="36" t="n"/>
      <c r="G208" s="38" t="n"/>
      <c r="H208" s="39" t="n"/>
      <c r="I208" s="40">
        <f>IF(OR(G208="",H208=""),"",G208-H208)</f>
        <v/>
      </c>
      <c r="J208" s="37" t="n"/>
      <c r="K208" s="37" t="n"/>
      <c r="L208" s="41">
        <f>IF(IFERROR(INDEX(lst_cat_wish,MATCH(D208,lst_cats,0))="Да",FALSE),MAX($L$4:L207)+1,"")</f>
        <v/>
      </c>
    </row>
    <row r="209">
      <c r="A209" s="36" t="n"/>
      <c r="B209" s="36" t="n"/>
      <c r="C209" s="37" t="n"/>
      <c r="D209" s="37" t="n"/>
      <c r="E209" s="37" t="n"/>
      <c r="F209" s="36" t="n"/>
      <c r="G209" s="38" t="n"/>
      <c r="H209" s="39" t="n"/>
      <c r="I209" s="40">
        <f>IF(OR(G209="",H209=""),"",G209-H209)</f>
        <v/>
      </c>
      <c r="J209" s="37" t="n"/>
      <c r="K209" s="37" t="n"/>
      <c r="L209" s="41">
        <f>IF(IFERROR(INDEX(lst_cat_wish,MATCH(D209,lst_cats,0))="Да",FALSE),MAX($L$4:L208)+1,"")</f>
        <v/>
      </c>
    </row>
    <row r="210">
      <c r="A210" s="36" t="n"/>
      <c r="B210" s="36" t="n"/>
      <c r="C210" s="37" t="n"/>
      <c r="D210" s="37" t="n"/>
      <c r="E210" s="37" t="n"/>
      <c r="F210" s="36" t="n"/>
      <c r="G210" s="38" t="n"/>
      <c r="H210" s="39" t="n"/>
      <c r="I210" s="40">
        <f>IF(OR(G210="",H210=""),"",G210-H210)</f>
        <v/>
      </c>
      <c r="J210" s="37" t="n"/>
      <c r="K210" s="37" t="n"/>
      <c r="L210" s="41">
        <f>IF(IFERROR(INDEX(lst_cat_wish,MATCH(D210,lst_cats,0))="Да",FALSE),MAX($L$4:L209)+1,"")</f>
        <v/>
      </c>
    </row>
    <row r="211">
      <c r="A211" s="36" t="n"/>
      <c r="B211" s="36" t="n"/>
      <c r="C211" s="37" t="n"/>
      <c r="D211" s="37" t="n"/>
      <c r="E211" s="37" t="n"/>
      <c r="F211" s="36" t="n"/>
      <c r="G211" s="38" t="n"/>
      <c r="H211" s="39" t="n"/>
      <c r="I211" s="40">
        <f>IF(OR(G211="",H211=""),"",G211-H211)</f>
        <v/>
      </c>
      <c r="J211" s="37" t="n"/>
      <c r="K211" s="37" t="n"/>
      <c r="L211" s="41">
        <f>IF(IFERROR(INDEX(lst_cat_wish,MATCH(D211,lst_cats,0))="Да",FALSE),MAX($L$4:L210)+1,"")</f>
        <v/>
      </c>
    </row>
    <row r="212">
      <c r="A212" s="36" t="n"/>
      <c r="B212" s="36" t="n"/>
      <c r="C212" s="37" t="n"/>
      <c r="D212" s="37" t="n"/>
      <c r="E212" s="37" t="n"/>
      <c r="F212" s="36" t="n"/>
      <c r="G212" s="38" t="n"/>
      <c r="H212" s="39" t="n"/>
      <c r="I212" s="40">
        <f>IF(OR(G212="",H212=""),"",G212-H212)</f>
        <v/>
      </c>
      <c r="J212" s="37" t="n"/>
      <c r="K212" s="37" t="n"/>
      <c r="L212" s="41">
        <f>IF(IFERROR(INDEX(lst_cat_wish,MATCH(D212,lst_cats,0))="Да",FALSE),MAX($L$4:L211)+1,"")</f>
        <v/>
      </c>
    </row>
    <row r="213">
      <c r="A213" s="36" t="n"/>
      <c r="B213" s="36" t="n"/>
      <c r="C213" s="37" t="n"/>
      <c r="D213" s="37" t="n"/>
      <c r="E213" s="37" t="n"/>
      <c r="F213" s="36" t="n"/>
      <c r="G213" s="38" t="n"/>
      <c r="H213" s="39" t="n"/>
      <c r="I213" s="40">
        <f>IF(OR(G213="",H213=""),"",G213-H213)</f>
        <v/>
      </c>
      <c r="J213" s="37" t="n"/>
      <c r="K213" s="37" t="n"/>
      <c r="L213" s="41">
        <f>IF(IFERROR(INDEX(lst_cat_wish,MATCH(D213,lst_cats,0))="Да",FALSE),MAX($L$4:L212)+1,"")</f>
        <v/>
      </c>
    </row>
    <row r="214">
      <c r="A214" s="36" t="n"/>
      <c r="B214" s="36" t="n"/>
      <c r="C214" s="37" t="n"/>
      <c r="D214" s="37" t="n"/>
      <c r="E214" s="37" t="n"/>
      <c r="F214" s="36" t="n"/>
      <c r="G214" s="38" t="n"/>
      <c r="H214" s="39" t="n"/>
      <c r="I214" s="40">
        <f>IF(OR(G214="",H214=""),"",G214-H214)</f>
        <v/>
      </c>
      <c r="J214" s="37" t="n"/>
      <c r="K214" s="37" t="n"/>
      <c r="L214" s="41">
        <f>IF(IFERROR(INDEX(lst_cat_wish,MATCH(D214,lst_cats,0))="Да",FALSE),MAX($L$4:L213)+1,"")</f>
        <v/>
      </c>
    </row>
    <row r="215">
      <c r="A215" s="36" t="n"/>
      <c r="B215" s="36" t="n"/>
      <c r="C215" s="37" t="n"/>
      <c r="D215" s="37" t="n"/>
      <c r="E215" s="37" t="n"/>
      <c r="F215" s="36" t="n"/>
      <c r="G215" s="38" t="n"/>
      <c r="H215" s="39" t="n"/>
      <c r="I215" s="40">
        <f>IF(OR(G215="",H215=""),"",G215-H215)</f>
        <v/>
      </c>
      <c r="J215" s="37" t="n"/>
      <c r="K215" s="37" t="n"/>
      <c r="L215" s="41">
        <f>IF(IFERROR(INDEX(lst_cat_wish,MATCH(D215,lst_cats,0))="Да",FALSE),MAX($L$4:L214)+1,"")</f>
        <v/>
      </c>
    </row>
    <row r="216">
      <c r="A216" s="36" t="n"/>
      <c r="B216" s="36" t="n"/>
      <c r="C216" s="37" t="n"/>
      <c r="D216" s="37" t="n"/>
      <c r="E216" s="37" t="n"/>
      <c r="F216" s="36" t="n"/>
      <c r="G216" s="38" t="n"/>
      <c r="H216" s="39" t="n"/>
      <c r="I216" s="40">
        <f>IF(OR(G216="",H216=""),"",G216-H216)</f>
        <v/>
      </c>
      <c r="J216" s="37" t="n"/>
      <c r="K216" s="37" t="n"/>
      <c r="L216" s="41">
        <f>IF(IFERROR(INDEX(lst_cat_wish,MATCH(D216,lst_cats,0))="Да",FALSE),MAX($L$4:L215)+1,"")</f>
        <v/>
      </c>
    </row>
    <row r="217">
      <c r="A217" s="36" t="n"/>
      <c r="B217" s="36" t="n"/>
      <c r="C217" s="37" t="n"/>
      <c r="D217" s="37" t="n"/>
      <c r="E217" s="37" t="n"/>
      <c r="F217" s="36" t="n"/>
      <c r="G217" s="38" t="n"/>
      <c r="H217" s="39" t="n"/>
      <c r="I217" s="40">
        <f>IF(OR(G217="",H217=""),"",G217-H217)</f>
        <v/>
      </c>
      <c r="J217" s="37" t="n"/>
      <c r="K217" s="37" t="n"/>
      <c r="L217" s="41">
        <f>IF(IFERROR(INDEX(lst_cat_wish,MATCH(D217,lst_cats,0))="Да",FALSE),MAX($L$4:L216)+1,"")</f>
        <v/>
      </c>
    </row>
    <row r="218">
      <c r="A218" s="36" t="n"/>
      <c r="B218" s="36" t="n"/>
      <c r="C218" s="37" t="n"/>
      <c r="D218" s="37" t="n"/>
      <c r="E218" s="37" t="n"/>
      <c r="F218" s="36" t="n"/>
      <c r="G218" s="38" t="n"/>
      <c r="H218" s="39" t="n"/>
      <c r="I218" s="40">
        <f>IF(OR(G218="",H218=""),"",G218-H218)</f>
        <v/>
      </c>
      <c r="J218" s="37" t="n"/>
      <c r="K218" s="37" t="n"/>
      <c r="L218" s="41">
        <f>IF(IFERROR(INDEX(lst_cat_wish,MATCH(D218,lst_cats,0))="Да",FALSE),MAX($L$4:L217)+1,"")</f>
        <v/>
      </c>
    </row>
    <row r="219">
      <c r="A219" s="36" t="n"/>
      <c r="B219" s="36" t="n"/>
      <c r="C219" s="37" t="n"/>
      <c r="D219" s="37" t="n"/>
      <c r="E219" s="37" t="n"/>
      <c r="F219" s="36" t="n"/>
      <c r="G219" s="38" t="n"/>
      <c r="H219" s="39" t="n"/>
      <c r="I219" s="40">
        <f>IF(OR(G219="",H219=""),"",G219-H219)</f>
        <v/>
      </c>
      <c r="J219" s="37" t="n"/>
      <c r="K219" s="37" t="n"/>
      <c r="L219" s="41">
        <f>IF(IFERROR(INDEX(lst_cat_wish,MATCH(D219,lst_cats,0))="Да",FALSE),MAX($L$4:L218)+1,"")</f>
        <v/>
      </c>
    </row>
    <row r="220">
      <c r="A220" s="36" t="n"/>
      <c r="B220" s="36" t="n"/>
      <c r="C220" s="37" t="n"/>
      <c r="D220" s="37" t="n"/>
      <c r="E220" s="37" t="n"/>
      <c r="F220" s="36" t="n"/>
      <c r="G220" s="38" t="n"/>
      <c r="H220" s="39" t="n"/>
      <c r="I220" s="40">
        <f>IF(OR(G220="",H220=""),"",G220-H220)</f>
        <v/>
      </c>
      <c r="J220" s="37" t="n"/>
      <c r="K220" s="37" t="n"/>
      <c r="L220" s="41">
        <f>IF(IFERROR(INDEX(lst_cat_wish,MATCH(D220,lst_cats,0))="Да",FALSE),MAX($L$4:L219)+1,"")</f>
        <v/>
      </c>
    </row>
    <row r="221">
      <c r="A221" s="36" t="n"/>
      <c r="B221" s="36" t="n"/>
      <c r="C221" s="37" t="n"/>
      <c r="D221" s="37" t="n"/>
      <c r="E221" s="37" t="n"/>
      <c r="F221" s="36" t="n"/>
      <c r="G221" s="38" t="n"/>
      <c r="H221" s="39" t="n"/>
      <c r="I221" s="40">
        <f>IF(OR(G221="",H221=""),"",G221-H221)</f>
        <v/>
      </c>
      <c r="J221" s="37" t="n"/>
      <c r="K221" s="37" t="n"/>
      <c r="L221" s="41">
        <f>IF(IFERROR(INDEX(lst_cat_wish,MATCH(D221,lst_cats,0))="Да",FALSE),MAX($L$4:L220)+1,"")</f>
        <v/>
      </c>
    </row>
    <row r="222">
      <c r="A222" s="36" t="n"/>
      <c r="B222" s="36" t="n"/>
      <c r="C222" s="37" t="n"/>
      <c r="D222" s="37" t="n"/>
      <c r="E222" s="37" t="n"/>
      <c r="F222" s="36" t="n"/>
      <c r="G222" s="38" t="n"/>
      <c r="H222" s="39" t="n"/>
      <c r="I222" s="40">
        <f>IF(OR(G222="",H222=""),"",G222-H222)</f>
        <v/>
      </c>
      <c r="J222" s="37" t="n"/>
      <c r="K222" s="37" t="n"/>
      <c r="L222" s="41">
        <f>IF(IFERROR(INDEX(lst_cat_wish,MATCH(D222,lst_cats,0))="Да",FALSE),MAX($L$4:L221)+1,"")</f>
        <v/>
      </c>
    </row>
    <row r="223">
      <c r="A223" s="36" t="n"/>
      <c r="B223" s="36" t="n"/>
      <c r="C223" s="37" t="n"/>
      <c r="D223" s="37" t="n"/>
      <c r="E223" s="37" t="n"/>
      <c r="F223" s="36" t="n"/>
      <c r="G223" s="38" t="n"/>
      <c r="H223" s="39" t="n"/>
      <c r="I223" s="40">
        <f>IF(OR(G223="",H223=""),"",G223-H223)</f>
        <v/>
      </c>
      <c r="J223" s="37" t="n"/>
      <c r="K223" s="37" t="n"/>
      <c r="L223" s="41">
        <f>IF(IFERROR(INDEX(lst_cat_wish,MATCH(D223,lst_cats,0))="Да",FALSE),MAX($L$4:L222)+1,"")</f>
        <v/>
      </c>
    </row>
    <row r="224">
      <c r="A224" s="36" t="n"/>
      <c r="B224" s="36" t="n"/>
      <c r="C224" s="37" t="n"/>
      <c r="D224" s="37" t="n"/>
      <c r="E224" s="37" t="n"/>
      <c r="F224" s="36" t="n"/>
      <c r="G224" s="38" t="n"/>
      <c r="H224" s="39" t="n"/>
      <c r="I224" s="40">
        <f>IF(OR(G224="",H224=""),"",G224-H224)</f>
        <v/>
      </c>
      <c r="J224" s="37" t="n"/>
      <c r="K224" s="37" t="n"/>
      <c r="L224" s="41">
        <f>IF(IFERROR(INDEX(lst_cat_wish,MATCH(D224,lst_cats,0))="Да",FALSE),MAX($L$4:L223)+1,"")</f>
        <v/>
      </c>
    </row>
    <row r="225">
      <c r="A225" s="36" t="n"/>
      <c r="B225" s="36" t="n"/>
      <c r="C225" s="37" t="n"/>
      <c r="D225" s="37" t="n"/>
      <c r="E225" s="37" t="n"/>
      <c r="F225" s="36" t="n"/>
      <c r="G225" s="38" t="n"/>
      <c r="H225" s="39" t="n"/>
      <c r="I225" s="40">
        <f>IF(OR(G225="",H225=""),"",G225-H225)</f>
        <v/>
      </c>
      <c r="J225" s="37" t="n"/>
      <c r="K225" s="37" t="n"/>
      <c r="L225" s="41">
        <f>IF(IFERROR(INDEX(lst_cat_wish,MATCH(D225,lst_cats,0))="Да",FALSE),MAX($L$4:L224)+1,"")</f>
        <v/>
      </c>
    </row>
    <row r="226">
      <c r="A226" s="36" t="n"/>
      <c r="B226" s="36" t="n"/>
      <c r="C226" s="37" t="n"/>
      <c r="D226" s="37" t="n"/>
      <c r="E226" s="37" t="n"/>
      <c r="F226" s="36" t="n"/>
      <c r="G226" s="38" t="n"/>
      <c r="H226" s="39" t="n"/>
      <c r="I226" s="40">
        <f>IF(OR(G226="",H226=""),"",G226-H226)</f>
        <v/>
      </c>
      <c r="J226" s="37" t="n"/>
      <c r="K226" s="37" t="n"/>
      <c r="L226" s="41">
        <f>IF(IFERROR(INDEX(lst_cat_wish,MATCH(D226,lst_cats,0))="Да",FALSE),MAX($L$4:L225)+1,"")</f>
        <v/>
      </c>
    </row>
    <row r="227">
      <c r="A227" s="36" t="n"/>
      <c r="B227" s="36" t="n"/>
      <c r="C227" s="37" t="n"/>
      <c r="D227" s="37" t="n"/>
      <c r="E227" s="37" t="n"/>
      <c r="F227" s="36" t="n"/>
      <c r="G227" s="38" t="n"/>
      <c r="H227" s="39" t="n"/>
      <c r="I227" s="40">
        <f>IF(OR(G227="",H227=""),"",G227-H227)</f>
        <v/>
      </c>
      <c r="J227" s="37" t="n"/>
      <c r="K227" s="37" t="n"/>
      <c r="L227" s="41">
        <f>IF(IFERROR(INDEX(lst_cat_wish,MATCH(D227,lst_cats,0))="Да",FALSE),MAX($L$4:L226)+1,"")</f>
        <v/>
      </c>
    </row>
    <row r="228">
      <c r="A228" s="36" t="n"/>
      <c r="B228" s="36" t="n"/>
      <c r="C228" s="37" t="n"/>
      <c r="D228" s="37" t="n"/>
      <c r="E228" s="37" t="n"/>
      <c r="F228" s="36" t="n"/>
      <c r="G228" s="38" t="n"/>
      <c r="H228" s="39" t="n"/>
      <c r="I228" s="40">
        <f>IF(OR(G228="",H228=""),"",G228-H228)</f>
        <v/>
      </c>
      <c r="J228" s="37" t="n"/>
      <c r="K228" s="37" t="n"/>
      <c r="L228" s="41">
        <f>IF(IFERROR(INDEX(lst_cat_wish,MATCH(D228,lst_cats,0))="Да",FALSE),MAX($L$4:L227)+1,"")</f>
        <v/>
      </c>
    </row>
    <row r="229">
      <c r="A229" s="36" t="n"/>
      <c r="B229" s="36" t="n"/>
      <c r="C229" s="37" t="n"/>
      <c r="D229" s="37" t="n"/>
      <c r="E229" s="37" t="n"/>
      <c r="F229" s="36" t="n"/>
      <c r="G229" s="38" t="n"/>
      <c r="H229" s="39" t="n"/>
      <c r="I229" s="40">
        <f>IF(OR(G229="",H229=""),"",G229-H229)</f>
        <v/>
      </c>
      <c r="J229" s="37" t="n"/>
      <c r="K229" s="37" t="n"/>
      <c r="L229" s="41">
        <f>IF(IFERROR(INDEX(lst_cat_wish,MATCH(D229,lst_cats,0))="Да",FALSE),MAX($L$4:L228)+1,"")</f>
        <v/>
      </c>
    </row>
    <row r="230">
      <c r="A230" s="36" t="n"/>
      <c r="B230" s="36" t="n"/>
      <c r="C230" s="37" t="n"/>
      <c r="D230" s="37" t="n"/>
      <c r="E230" s="37" t="n"/>
      <c r="F230" s="36" t="n"/>
      <c r="G230" s="38" t="n"/>
      <c r="H230" s="39" t="n"/>
      <c r="I230" s="40">
        <f>IF(OR(G230="",H230=""),"",G230-H230)</f>
        <v/>
      </c>
      <c r="J230" s="37" t="n"/>
      <c r="K230" s="37" t="n"/>
      <c r="L230" s="41">
        <f>IF(IFERROR(INDEX(lst_cat_wish,MATCH(D230,lst_cats,0))="Да",FALSE),MAX($L$4:L229)+1,"")</f>
        <v/>
      </c>
    </row>
    <row r="231">
      <c r="A231" s="36" t="n"/>
      <c r="B231" s="36" t="n"/>
      <c r="C231" s="37" t="n"/>
      <c r="D231" s="37" t="n"/>
      <c r="E231" s="37" t="n"/>
      <c r="F231" s="36" t="n"/>
      <c r="G231" s="38" t="n"/>
      <c r="H231" s="39" t="n"/>
      <c r="I231" s="40">
        <f>IF(OR(G231="",H231=""),"",G231-H231)</f>
        <v/>
      </c>
      <c r="J231" s="37" t="n"/>
      <c r="K231" s="37" t="n"/>
      <c r="L231" s="41">
        <f>IF(IFERROR(INDEX(lst_cat_wish,MATCH(D231,lst_cats,0))="Да",FALSE),MAX($L$4:L230)+1,"")</f>
        <v/>
      </c>
    </row>
    <row r="232">
      <c r="A232" s="36" t="n"/>
      <c r="B232" s="36" t="n"/>
      <c r="C232" s="37" t="n"/>
      <c r="D232" s="37" t="n"/>
      <c r="E232" s="37" t="n"/>
      <c r="F232" s="36" t="n"/>
      <c r="G232" s="38" t="n"/>
      <c r="H232" s="39" t="n"/>
      <c r="I232" s="40">
        <f>IF(OR(G232="",H232=""),"",G232-H232)</f>
        <v/>
      </c>
      <c r="J232" s="37" t="n"/>
      <c r="K232" s="37" t="n"/>
      <c r="L232" s="41">
        <f>IF(IFERROR(INDEX(lst_cat_wish,MATCH(D232,lst_cats,0))="Да",FALSE),MAX($L$4:L231)+1,"")</f>
        <v/>
      </c>
    </row>
    <row r="233">
      <c r="A233" s="36" t="n"/>
      <c r="B233" s="36" t="n"/>
      <c r="C233" s="37" t="n"/>
      <c r="D233" s="37" t="n"/>
      <c r="E233" s="37" t="n"/>
      <c r="F233" s="36" t="n"/>
      <c r="G233" s="38" t="n"/>
      <c r="H233" s="39" t="n"/>
      <c r="I233" s="40">
        <f>IF(OR(G233="",H233=""),"",G233-H233)</f>
        <v/>
      </c>
      <c r="J233" s="37" t="n"/>
      <c r="K233" s="37" t="n"/>
      <c r="L233" s="41">
        <f>IF(IFERROR(INDEX(lst_cat_wish,MATCH(D233,lst_cats,0))="Да",FALSE),MAX($L$4:L232)+1,"")</f>
        <v/>
      </c>
    </row>
    <row r="234">
      <c r="A234" s="36" t="n"/>
      <c r="B234" s="36" t="n"/>
      <c r="C234" s="37" t="n"/>
      <c r="D234" s="37" t="n"/>
      <c r="E234" s="37" t="n"/>
      <c r="F234" s="36" t="n"/>
      <c r="G234" s="38" t="n"/>
      <c r="H234" s="39" t="n"/>
      <c r="I234" s="40">
        <f>IF(OR(G234="",H234=""),"",G234-H234)</f>
        <v/>
      </c>
      <c r="J234" s="37" t="n"/>
      <c r="K234" s="37" t="n"/>
      <c r="L234" s="41">
        <f>IF(IFERROR(INDEX(lst_cat_wish,MATCH(D234,lst_cats,0))="Да",FALSE),MAX($L$4:L233)+1,"")</f>
        <v/>
      </c>
    </row>
    <row r="235">
      <c r="A235" s="36" t="n"/>
      <c r="B235" s="36" t="n"/>
      <c r="C235" s="37" t="n"/>
      <c r="D235" s="37" t="n"/>
      <c r="E235" s="37" t="n"/>
      <c r="F235" s="36" t="n"/>
      <c r="G235" s="38" t="n"/>
      <c r="H235" s="39" t="n"/>
      <c r="I235" s="40">
        <f>IF(OR(G235="",H235=""),"",G235-H235)</f>
        <v/>
      </c>
      <c r="J235" s="37" t="n"/>
      <c r="K235" s="37" t="n"/>
      <c r="L235" s="41">
        <f>IF(IFERROR(INDEX(lst_cat_wish,MATCH(D235,lst_cats,0))="Да",FALSE),MAX($L$4:L234)+1,"")</f>
        <v/>
      </c>
    </row>
    <row r="236">
      <c r="A236" s="36" t="n"/>
      <c r="B236" s="36" t="n"/>
      <c r="C236" s="37" t="n"/>
      <c r="D236" s="37" t="n"/>
      <c r="E236" s="37" t="n"/>
      <c r="F236" s="36" t="n"/>
      <c r="G236" s="38" t="n"/>
      <c r="H236" s="39" t="n"/>
      <c r="I236" s="40">
        <f>IF(OR(G236="",H236=""),"",G236-H236)</f>
        <v/>
      </c>
      <c r="J236" s="37" t="n"/>
      <c r="K236" s="37" t="n"/>
      <c r="L236" s="41">
        <f>IF(IFERROR(INDEX(lst_cat_wish,MATCH(D236,lst_cats,0))="Да",FALSE),MAX($L$4:L235)+1,"")</f>
        <v/>
      </c>
    </row>
    <row r="237">
      <c r="A237" s="36" t="n"/>
      <c r="B237" s="36" t="n"/>
      <c r="C237" s="37" t="n"/>
      <c r="D237" s="37" t="n"/>
      <c r="E237" s="37" t="n"/>
      <c r="F237" s="36" t="n"/>
      <c r="G237" s="38" t="n"/>
      <c r="H237" s="39" t="n"/>
      <c r="I237" s="40">
        <f>IF(OR(G237="",H237=""),"",G237-H237)</f>
        <v/>
      </c>
      <c r="J237" s="37" t="n"/>
      <c r="K237" s="37" t="n"/>
      <c r="L237" s="41">
        <f>IF(IFERROR(INDEX(lst_cat_wish,MATCH(D237,lst_cats,0))="Да",FALSE),MAX($L$4:L236)+1,"")</f>
        <v/>
      </c>
    </row>
    <row r="238">
      <c r="A238" s="36" t="n"/>
      <c r="B238" s="36" t="n"/>
      <c r="C238" s="37" t="n"/>
      <c r="D238" s="37" t="n"/>
      <c r="E238" s="37" t="n"/>
      <c r="F238" s="36" t="n"/>
      <c r="G238" s="38" t="n"/>
      <c r="H238" s="39" t="n"/>
      <c r="I238" s="40">
        <f>IF(OR(G238="",H238=""),"",G238-H238)</f>
        <v/>
      </c>
      <c r="J238" s="37" t="n"/>
      <c r="K238" s="37" t="n"/>
      <c r="L238" s="41">
        <f>IF(IFERROR(INDEX(lst_cat_wish,MATCH(D238,lst_cats,0))="Да",FALSE),MAX($L$4:L237)+1,"")</f>
        <v/>
      </c>
    </row>
    <row r="239">
      <c r="A239" s="36" t="n"/>
      <c r="B239" s="36" t="n"/>
      <c r="C239" s="37" t="n"/>
      <c r="D239" s="37" t="n"/>
      <c r="E239" s="37" t="n"/>
      <c r="F239" s="36" t="n"/>
      <c r="G239" s="38" t="n"/>
      <c r="H239" s="39" t="n"/>
      <c r="I239" s="40">
        <f>IF(OR(G239="",H239=""),"",G239-H239)</f>
        <v/>
      </c>
      <c r="J239" s="37" t="n"/>
      <c r="K239" s="37" t="n"/>
      <c r="L239" s="41">
        <f>IF(IFERROR(INDEX(lst_cat_wish,MATCH(D239,lst_cats,0))="Да",FALSE),MAX($L$4:L238)+1,"")</f>
        <v/>
      </c>
    </row>
    <row r="240">
      <c r="A240" s="36" t="n"/>
      <c r="B240" s="36" t="n"/>
      <c r="C240" s="37" t="n"/>
      <c r="D240" s="37" t="n"/>
      <c r="E240" s="37" t="n"/>
      <c r="F240" s="36" t="n"/>
      <c r="G240" s="38" t="n"/>
      <c r="H240" s="39" t="n"/>
      <c r="I240" s="40">
        <f>IF(OR(G240="",H240=""),"",G240-H240)</f>
        <v/>
      </c>
      <c r="J240" s="37" t="n"/>
      <c r="K240" s="37" t="n"/>
      <c r="L240" s="41">
        <f>IF(IFERROR(INDEX(lst_cat_wish,MATCH(D240,lst_cats,0))="Да",FALSE),MAX($L$4:L239)+1,"")</f>
        <v/>
      </c>
    </row>
    <row r="241">
      <c r="A241" s="36" t="n"/>
      <c r="B241" s="36" t="n"/>
      <c r="C241" s="37" t="n"/>
      <c r="D241" s="37" t="n"/>
      <c r="E241" s="37" t="n"/>
      <c r="F241" s="36" t="n"/>
      <c r="G241" s="38" t="n"/>
      <c r="H241" s="39" t="n"/>
      <c r="I241" s="40">
        <f>IF(OR(G241="",H241=""),"",G241-H241)</f>
        <v/>
      </c>
      <c r="J241" s="37" t="n"/>
      <c r="K241" s="37" t="n"/>
      <c r="L241" s="41">
        <f>IF(IFERROR(INDEX(lst_cat_wish,MATCH(D241,lst_cats,0))="Да",FALSE),MAX($L$4:L240)+1,"")</f>
        <v/>
      </c>
    </row>
    <row r="242">
      <c r="A242" s="36" t="n"/>
      <c r="B242" s="36" t="n"/>
      <c r="C242" s="37" t="n"/>
      <c r="D242" s="37" t="n"/>
      <c r="E242" s="37" t="n"/>
      <c r="F242" s="36" t="n"/>
      <c r="G242" s="38" t="n"/>
      <c r="H242" s="39" t="n"/>
      <c r="I242" s="40">
        <f>IF(OR(G242="",H242=""),"",G242-H242)</f>
        <v/>
      </c>
      <c r="J242" s="37" t="n"/>
      <c r="K242" s="37" t="n"/>
      <c r="L242" s="41">
        <f>IF(IFERROR(INDEX(lst_cat_wish,MATCH(D242,lst_cats,0))="Да",FALSE),MAX($L$4:L241)+1,"")</f>
        <v/>
      </c>
    </row>
    <row r="243">
      <c r="A243" s="36" t="n"/>
      <c r="B243" s="36" t="n"/>
      <c r="C243" s="37" t="n"/>
      <c r="D243" s="37" t="n"/>
      <c r="E243" s="37" t="n"/>
      <c r="F243" s="36" t="n"/>
      <c r="G243" s="38" t="n"/>
      <c r="H243" s="39" t="n"/>
      <c r="I243" s="40">
        <f>IF(OR(G243="",H243=""),"",G243-H243)</f>
        <v/>
      </c>
      <c r="J243" s="37" t="n"/>
      <c r="K243" s="37" t="n"/>
      <c r="L243" s="41">
        <f>IF(IFERROR(INDEX(lst_cat_wish,MATCH(D243,lst_cats,0))="Да",FALSE),MAX($L$4:L242)+1,"")</f>
        <v/>
      </c>
    </row>
    <row r="244">
      <c r="A244" s="36" t="n"/>
      <c r="B244" s="36" t="n"/>
      <c r="C244" s="37" t="n"/>
      <c r="D244" s="37" t="n"/>
      <c r="E244" s="37" t="n"/>
      <c r="F244" s="36" t="n"/>
      <c r="G244" s="38" t="n"/>
      <c r="H244" s="39" t="n"/>
      <c r="I244" s="40">
        <f>IF(OR(G244="",H244=""),"",G244-H244)</f>
        <v/>
      </c>
      <c r="J244" s="37" t="n"/>
      <c r="K244" s="37" t="n"/>
      <c r="L244" s="41">
        <f>IF(IFERROR(INDEX(lst_cat_wish,MATCH(D244,lst_cats,0))="Да",FALSE),MAX($L$4:L243)+1,"")</f>
        <v/>
      </c>
    </row>
    <row r="245">
      <c r="A245" s="36" t="n"/>
      <c r="B245" s="36" t="n"/>
      <c r="C245" s="37" t="n"/>
      <c r="D245" s="37" t="n"/>
      <c r="E245" s="37" t="n"/>
      <c r="F245" s="36" t="n"/>
      <c r="G245" s="38" t="n"/>
      <c r="H245" s="39" t="n"/>
      <c r="I245" s="40">
        <f>IF(OR(G245="",H245=""),"",G245-H245)</f>
        <v/>
      </c>
      <c r="J245" s="37" t="n"/>
      <c r="K245" s="37" t="n"/>
      <c r="L245" s="41">
        <f>IF(IFERROR(INDEX(lst_cat_wish,MATCH(D245,lst_cats,0))="Да",FALSE),MAX($L$4:L244)+1,"")</f>
        <v/>
      </c>
    </row>
    <row r="246">
      <c r="A246" s="36" t="n"/>
      <c r="B246" s="36" t="n"/>
      <c r="C246" s="37" t="n"/>
      <c r="D246" s="37" t="n"/>
      <c r="E246" s="37" t="n"/>
      <c r="F246" s="36" t="n"/>
      <c r="G246" s="38" t="n"/>
      <c r="H246" s="39" t="n"/>
      <c r="I246" s="40">
        <f>IF(OR(G246="",H246=""),"",G246-H246)</f>
        <v/>
      </c>
      <c r="J246" s="37" t="n"/>
      <c r="K246" s="37" t="n"/>
      <c r="L246" s="41">
        <f>IF(IFERROR(INDEX(lst_cat_wish,MATCH(D246,lst_cats,0))="Да",FALSE),MAX($L$4:L245)+1,"")</f>
        <v/>
      </c>
    </row>
    <row r="247">
      <c r="A247" s="36" t="n"/>
      <c r="B247" s="36" t="n"/>
      <c r="C247" s="37" t="n"/>
      <c r="D247" s="37" t="n"/>
      <c r="E247" s="37" t="n"/>
      <c r="F247" s="36" t="n"/>
      <c r="G247" s="38" t="n"/>
      <c r="H247" s="39" t="n"/>
      <c r="I247" s="40">
        <f>IF(OR(G247="",H247=""),"",G247-H247)</f>
        <v/>
      </c>
      <c r="J247" s="37" t="n"/>
      <c r="K247" s="37" t="n"/>
      <c r="L247" s="41">
        <f>IF(IFERROR(INDEX(lst_cat_wish,MATCH(D247,lst_cats,0))="Да",FALSE),MAX($L$4:L246)+1,"")</f>
        <v/>
      </c>
    </row>
    <row r="248">
      <c r="A248" s="36" t="n"/>
      <c r="B248" s="36" t="n"/>
      <c r="C248" s="37" t="n"/>
      <c r="D248" s="37" t="n"/>
      <c r="E248" s="37" t="n"/>
      <c r="F248" s="36" t="n"/>
      <c r="G248" s="38" t="n"/>
      <c r="H248" s="39" t="n"/>
      <c r="I248" s="40">
        <f>IF(OR(G248="",H248=""),"",G248-H248)</f>
        <v/>
      </c>
      <c r="J248" s="37" t="n"/>
      <c r="K248" s="37" t="n"/>
      <c r="L248" s="41">
        <f>IF(IFERROR(INDEX(lst_cat_wish,MATCH(D248,lst_cats,0))="Да",FALSE),MAX($L$4:L247)+1,"")</f>
        <v/>
      </c>
    </row>
    <row r="249">
      <c r="A249" s="36" t="n"/>
      <c r="B249" s="36" t="n"/>
      <c r="C249" s="37" t="n"/>
      <c r="D249" s="37" t="n"/>
      <c r="E249" s="37" t="n"/>
      <c r="F249" s="36" t="n"/>
      <c r="G249" s="38" t="n"/>
      <c r="H249" s="39" t="n"/>
      <c r="I249" s="40">
        <f>IF(OR(G249="",H249=""),"",G249-H249)</f>
        <v/>
      </c>
      <c r="J249" s="37" t="n"/>
      <c r="K249" s="37" t="n"/>
      <c r="L249" s="41">
        <f>IF(IFERROR(INDEX(lst_cat_wish,MATCH(D249,lst_cats,0))="Да",FALSE),MAX($L$4:L248)+1,"")</f>
        <v/>
      </c>
    </row>
    <row r="250">
      <c r="A250" s="36" t="n"/>
      <c r="B250" s="36" t="n"/>
      <c r="C250" s="37" t="n"/>
      <c r="D250" s="37" t="n"/>
      <c r="E250" s="37" t="n"/>
      <c r="F250" s="36" t="n"/>
      <c r="G250" s="38" t="n"/>
      <c r="H250" s="39" t="n"/>
      <c r="I250" s="40">
        <f>IF(OR(G250="",H250=""),"",G250-H250)</f>
        <v/>
      </c>
      <c r="J250" s="37" t="n"/>
      <c r="K250" s="37" t="n"/>
      <c r="L250" s="41">
        <f>IF(IFERROR(INDEX(lst_cat_wish,MATCH(D250,lst_cats,0))="Да",FALSE),MAX($L$4:L249)+1,"")</f>
        <v/>
      </c>
    </row>
    <row r="251">
      <c r="A251" s="36" t="n"/>
      <c r="B251" s="36" t="n"/>
      <c r="C251" s="37" t="n"/>
      <c r="D251" s="37" t="n"/>
      <c r="E251" s="37" t="n"/>
      <c r="F251" s="36" t="n"/>
      <c r="G251" s="38" t="n"/>
      <c r="H251" s="39" t="n"/>
      <c r="I251" s="40">
        <f>IF(OR(G251="",H251=""),"",G251-H251)</f>
        <v/>
      </c>
      <c r="J251" s="37" t="n"/>
      <c r="K251" s="37" t="n"/>
      <c r="L251" s="41">
        <f>IF(IFERROR(INDEX(lst_cat_wish,MATCH(D251,lst_cats,0))="Да",FALSE),MAX($L$4:L250)+1,"")</f>
        <v/>
      </c>
    </row>
    <row r="252">
      <c r="A252" s="36" t="n"/>
      <c r="B252" s="36" t="n"/>
      <c r="C252" s="37" t="n"/>
      <c r="D252" s="37" t="n"/>
      <c r="E252" s="37" t="n"/>
      <c r="F252" s="36" t="n"/>
      <c r="G252" s="38" t="n"/>
      <c r="H252" s="39" t="n"/>
      <c r="I252" s="40">
        <f>IF(OR(G252="",H252=""),"",G252-H252)</f>
        <v/>
      </c>
      <c r="J252" s="37" t="n"/>
      <c r="K252" s="37" t="n"/>
      <c r="L252" s="41">
        <f>IF(IFERROR(INDEX(lst_cat_wish,MATCH(D252,lst_cats,0))="Да",FALSE),MAX($L$4:L251)+1,"")</f>
        <v/>
      </c>
    </row>
    <row r="253">
      <c r="A253" s="36" t="n"/>
      <c r="B253" s="36" t="n"/>
      <c r="C253" s="37" t="n"/>
      <c r="D253" s="37" t="n"/>
      <c r="E253" s="37" t="n"/>
      <c r="F253" s="36" t="n"/>
      <c r="G253" s="38" t="n"/>
      <c r="H253" s="39" t="n"/>
      <c r="I253" s="40">
        <f>IF(OR(G253="",H253=""),"",G253-H253)</f>
        <v/>
      </c>
      <c r="J253" s="37" t="n"/>
      <c r="K253" s="37" t="n"/>
      <c r="L253" s="41">
        <f>IF(IFERROR(INDEX(lst_cat_wish,MATCH(D253,lst_cats,0))="Да",FALSE),MAX($L$4:L252)+1,"")</f>
        <v/>
      </c>
    </row>
    <row r="254">
      <c r="A254" s="36" t="n"/>
      <c r="B254" s="36" t="n"/>
      <c r="C254" s="37" t="n"/>
      <c r="D254" s="37" t="n"/>
      <c r="E254" s="37" t="n"/>
      <c r="F254" s="36" t="n"/>
      <c r="G254" s="38" t="n"/>
      <c r="H254" s="39" t="n"/>
      <c r="I254" s="40">
        <f>IF(OR(G254="",H254=""),"",G254-H254)</f>
        <v/>
      </c>
      <c r="J254" s="37" t="n"/>
      <c r="K254" s="37" t="n"/>
      <c r="L254" s="41">
        <f>IF(IFERROR(INDEX(lst_cat_wish,MATCH(D254,lst_cats,0))="Да",FALSE),MAX($L$4:L253)+1,"")</f>
        <v/>
      </c>
    </row>
    <row r="255">
      <c r="A255" s="36" t="n"/>
      <c r="B255" s="36" t="n"/>
      <c r="C255" s="37" t="n"/>
      <c r="D255" s="37" t="n"/>
      <c r="E255" s="37" t="n"/>
      <c r="F255" s="36" t="n"/>
      <c r="G255" s="38" t="n"/>
      <c r="H255" s="39" t="n"/>
      <c r="I255" s="40">
        <f>IF(OR(G255="",H255=""),"",G255-H255)</f>
        <v/>
      </c>
      <c r="J255" s="37" t="n"/>
      <c r="K255" s="37" t="n"/>
      <c r="L255" s="41">
        <f>IF(IFERROR(INDEX(lst_cat_wish,MATCH(D255,lst_cats,0))="Да",FALSE),MAX($L$4:L254)+1,"")</f>
        <v/>
      </c>
    </row>
    <row r="256">
      <c r="A256" s="36" t="n"/>
      <c r="B256" s="36" t="n"/>
      <c r="C256" s="37" t="n"/>
      <c r="D256" s="37" t="n"/>
      <c r="E256" s="37" t="n"/>
      <c r="F256" s="36" t="n"/>
      <c r="G256" s="38" t="n"/>
      <c r="H256" s="39" t="n"/>
      <c r="I256" s="40">
        <f>IF(OR(G256="",H256=""),"",G256-H256)</f>
        <v/>
      </c>
      <c r="J256" s="37" t="n"/>
      <c r="K256" s="37" t="n"/>
      <c r="L256" s="41">
        <f>IF(IFERROR(INDEX(lst_cat_wish,MATCH(D256,lst_cats,0))="Да",FALSE),MAX($L$4:L255)+1,"")</f>
        <v/>
      </c>
    </row>
    <row r="257">
      <c r="A257" s="36" t="n"/>
      <c r="B257" s="36" t="n"/>
      <c r="C257" s="37" t="n"/>
      <c r="D257" s="37" t="n"/>
      <c r="E257" s="37" t="n"/>
      <c r="F257" s="36" t="n"/>
      <c r="G257" s="38" t="n"/>
      <c r="H257" s="39" t="n"/>
      <c r="I257" s="40">
        <f>IF(OR(G257="",H257=""),"",G257-H257)</f>
        <v/>
      </c>
      <c r="J257" s="37" t="n"/>
      <c r="K257" s="37" t="n"/>
      <c r="L257" s="41">
        <f>IF(IFERROR(INDEX(lst_cat_wish,MATCH(D257,lst_cats,0))="Да",FALSE),MAX($L$4:L256)+1,"")</f>
        <v/>
      </c>
    </row>
    <row r="258">
      <c r="A258" s="36" t="n"/>
      <c r="B258" s="36" t="n"/>
      <c r="C258" s="37" t="n"/>
      <c r="D258" s="37" t="n"/>
      <c r="E258" s="37" t="n"/>
      <c r="F258" s="36" t="n"/>
      <c r="G258" s="38" t="n"/>
      <c r="H258" s="39" t="n"/>
      <c r="I258" s="40">
        <f>IF(OR(G258="",H258=""),"",G258-H258)</f>
        <v/>
      </c>
      <c r="J258" s="37" t="n"/>
      <c r="K258" s="37" t="n"/>
      <c r="L258" s="41">
        <f>IF(IFERROR(INDEX(lst_cat_wish,MATCH(D258,lst_cats,0))="Да",FALSE),MAX($L$4:L257)+1,"")</f>
        <v/>
      </c>
    </row>
    <row r="259">
      <c r="A259" s="36" t="n"/>
      <c r="B259" s="36" t="n"/>
      <c r="C259" s="37" t="n"/>
      <c r="D259" s="37" t="n"/>
      <c r="E259" s="37" t="n"/>
      <c r="F259" s="36" t="n"/>
      <c r="G259" s="38" t="n"/>
      <c r="H259" s="39" t="n"/>
      <c r="I259" s="40">
        <f>IF(OR(G259="",H259=""),"",G259-H259)</f>
        <v/>
      </c>
      <c r="J259" s="37" t="n"/>
      <c r="K259" s="37" t="n"/>
      <c r="L259" s="41">
        <f>IF(IFERROR(INDEX(lst_cat_wish,MATCH(D259,lst_cats,0))="Да",FALSE),MAX($L$4:L258)+1,"")</f>
        <v/>
      </c>
    </row>
    <row r="260">
      <c r="A260" s="36" t="n"/>
      <c r="B260" s="36" t="n"/>
      <c r="C260" s="37" t="n"/>
      <c r="D260" s="37" t="n"/>
      <c r="E260" s="37" t="n"/>
      <c r="F260" s="36" t="n"/>
      <c r="G260" s="38" t="n"/>
      <c r="H260" s="39" t="n"/>
      <c r="I260" s="40">
        <f>IF(OR(G260="",H260=""),"",G260-H260)</f>
        <v/>
      </c>
      <c r="J260" s="37" t="n"/>
      <c r="K260" s="37" t="n"/>
      <c r="L260" s="41">
        <f>IF(IFERROR(INDEX(lst_cat_wish,MATCH(D260,lst_cats,0))="Да",FALSE),MAX($L$4:L259)+1,"")</f>
        <v/>
      </c>
    </row>
    <row r="261">
      <c r="A261" s="36" t="n"/>
      <c r="B261" s="36" t="n"/>
      <c r="C261" s="37" t="n"/>
      <c r="D261" s="37" t="n"/>
      <c r="E261" s="37" t="n"/>
      <c r="F261" s="36" t="n"/>
      <c r="G261" s="38" t="n"/>
      <c r="H261" s="39" t="n"/>
      <c r="I261" s="40">
        <f>IF(OR(G261="",H261=""),"",G261-H261)</f>
        <v/>
      </c>
      <c r="J261" s="37" t="n"/>
      <c r="K261" s="37" t="n"/>
      <c r="L261" s="41">
        <f>IF(IFERROR(INDEX(lst_cat_wish,MATCH(D261,lst_cats,0))="Да",FALSE),MAX($L$4:L260)+1,"")</f>
        <v/>
      </c>
    </row>
    <row r="262">
      <c r="A262" s="36" t="n"/>
      <c r="B262" s="36" t="n"/>
      <c r="C262" s="37" t="n"/>
      <c r="D262" s="37" t="n"/>
      <c r="E262" s="37" t="n"/>
      <c r="F262" s="36" t="n"/>
      <c r="G262" s="38" t="n"/>
      <c r="H262" s="39" t="n"/>
      <c r="I262" s="40">
        <f>IF(OR(G262="",H262=""),"",G262-H262)</f>
        <v/>
      </c>
      <c r="J262" s="37" t="n"/>
      <c r="K262" s="37" t="n"/>
      <c r="L262" s="41">
        <f>IF(IFERROR(INDEX(lst_cat_wish,MATCH(D262,lst_cats,0))="Да",FALSE),MAX($L$4:L261)+1,"")</f>
        <v/>
      </c>
    </row>
    <row r="263">
      <c r="A263" s="36" t="n"/>
      <c r="B263" s="36" t="n"/>
      <c r="C263" s="37" t="n"/>
      <c r="D263" s="37" t="n"/>
      <c r="E263" s="37" t="n"/>
      <c r="F263" s="36" t="n"/>
      <c r="G263" s="38" t="n"/>
      <c r="H263" s="39" t="n"/>
      <c r="I263" s="40">
        <f>IF(OR(G263="",H263=""),"",G263-H263)</f>
        <v/>
      </c>
      <c r="J263" s="37" t="n"/>
      <c r="K263" s="37" t="n"/>
      <c r="L263" s="41">
        <f>IF(IFERROR(INDEX(lst_cat_wish,MATCH(D263,lst_cats,0))="Да",FALSE),MAX($L$4:L262)+1,"")</f>
        <v/>
      </c>
    </row>
    <row r="264">
      <c r="A264" s="36" t="n"/>
      <c r="B264" s="36" t="n"/>
      <c r="C264" s="37" t="n"/>
      <c r="D264" s="37" t="n"/>
      <c r="E264" s="37" t="n"/>
      <c r="F264" s="36" t="n"/>
      <c r="G264" s="38" t="n"/>
      <c r="H264" s="39" t="n"/>
      <c r="I264" s="40">
        <f>IF(OR(G264="",H264=""),"",G264-H264)</f>
        <v/>
      </c>
      <c r="J264" s="37" t="n"/>
      <c r="K264" s="37" t="n"/>
      <c r="L264" s="41">
        <f>IF(IFERROR(INDEX(lst_cat_wish,MATCH(D264,lst_cats,0))="Да",FALSE),MAX($L$4:L263)+1,"")</f>
        <v/>
      </c>
    </row>
    <row r="265">
      <c r="A265" s="36" t="n"/>
      <c r="B265" s="36" t="n"/>
      <c r="C265" s="37" t="n"/>
      <c r="D265" s="37" t="n"/>
      <c r="E265" s="37" t="n"/>
      <c r="F265" s="36" t="n"/>
      <c r="G265" s="38" t="n"/>
      <c r="H265" s="39" t="n"/>
      <c r="I265" s="40">
        <f>IF(OR(G265="",H265=""),"",G265-H265)</f>
        <v/>
      </c>
      <c r="J265" s="37" t="n"/>
      <c r="K265" s="37" t="n"/>
      <c r="L265" s="41">
        <f>IF(IFERROR(INDEX(lst_cat_wish,MATCH(D265,lst_cats,0))="Да",FALSE),MAX($L$4:L264)+1,"")</f>
        <v/>
      </c>
    </row>
    <row r="266">
      <c r="A266" s="36" t="n"/>
      <c r="B266" s="36" t="n"/>
      <c r="C266" s="37" t="n"/>
      <c r="D266" s="37" t="n"/>
      <c r="E266" s="37" t="n"/>
      <c r="F266" s="36" t="n"/>
      <c r="G266" s="38" t="n"/>
      <c r="H266" s="39" t="n"/>
      <c r="I266" s="40">
        <f>IF(OR(G266="",H266=""),"",G266-H266)</f>
        <v/>
      </c>
      <c r="J266" s="37" t="n"/>
      <c r="K266" s="37" t="n"/>
      <c r="L266" s="41">
        <f>IF(IFERROR(INDEX(lst_cat_wish,MATCH(D266,lst_cats,0))="Да",FALSE),MAX($L$4:L265)+1,"")</f>
        <v/>
      </c>
    </row>
    <row r="267">
      <c r="A267" s="36" t="n"/>
      <c r="B267" s="36" t="n"/>
      <c r="C267" s="37" t="n"/>
      <c r="D267" s="37" t="n"/>
      <c r="E267" s="37" t="n"/>
      <c r="F267" s="36" t="n"/>
      <c r="G267" s="38" t="n"/>
      <c r="H267" s="39" t="n"/>
      <c r="I267" s="40">
        <f>IF(OR(G267="",H267=""),"",G267-H267)</f>
        <v/>
      </c>
      <c r="J267" s="37" t="n"/>
      <c r="K267" s="37" t="n"/>
      <c r="L267" s="41">
        <f>IF(IFERROR(INDEX(lst_cat_wish,MATCH(D267,lst_cats,0))="Да",FALSE),MAX($L$4:L266)+1,"")</f>
        <v/>
      </c>
    </row>
    <row r="268">
      <c r="A268" s="36" t="n"/>
      <c r="B268" s="36" t="n"/>
      <c r="C268" s="37" t="n"/>
      <c r="D268" s="37" t="n"/>
      <c r="E268" s="37" t="n"/>
      <c r="F268" s="36" t="n"/>
      <c r="G268" s="38" t="n"/>
      <c r="H268" s="39" t="n"/>
      <c r="I268" s="40">
        <f>IF(OR(G268="",H268=""),"",G268-H268)</f>
        <v/>
      </c>
      <c r="J268" s="37" t="n"/>
      <c r="K268" s="37" t="n"/>
      <c r="L268" s="41">
        <f>IF(IFERROR(INDEX(lst_cat_wish,MATCH(D268,lst_cats,0))="Да",FALSE),MAX($L$4:L267)+1,"")</f>
        <v/>
      </c>
    </row>
    <row r="269">
      <c r="A269" s="36" t="n"/>
      <c r="B269" s="36" t="n"/>
      <c r="C269" s="37" t="n"/>
      <c r="D269" s="37" t="n"/>
      <c r="E269" s="37" t="n"/>
      <c r="F269" s="36" t="n"/>
      <c r="G269" s="38" t="n"/>
      <c r="H269" s="39" t="n"/>
      <c r="I269" s="40">
        <f>IF(OR(G269="",H269=""),"",G269-H269)</f>
        <v/>
      </c>
      <c r="J269" s="37" t="n"/>
      <c r="K269" s="37" t="n"/>
      <c r="L269" s="41">
        <f>IF(IFERROR(INDEX(lst_cat_wish,MATCH(D269,lst_cats,0))="Да",FALSE),MAX($L$4:L268)+1,"")</f>
        <v/>
      </c>
    </row>
    <row r="270">
      <c r="A270" s="36" t="n"/>
      <c r="B270" s="36" t="n"/>
      <c r="C270" s="37" t="n"/>
      <c r="D270" s="37" t="n"/>
      <c r="E270" s="37" t="n"/>
      <c r="F270" s="36" t="n"/>
      <c r="G270" s="38" t="n"/>
      <c r="H270" s="39" t="n"/>
      <c r="I270" s="40">
        <f>IF(OR(G270="",H270=""),"",G270-H270)</f>
        <v/>
      </c>
      <c r="J270" s="37" t="n"/>
      <c r="K270" s="37" t="n"/>
      <c r="L270" s="41">
        <f>IF(IFERROR(INDEX(lst_cat_wish,MATCH(D270,lst_cats,0))="Да",FALSE),MAX($L$4:L269)+1,"")</f>
        <v/>
      </c>
    </row>
    <row r="271">
      <c r="A271" s="36" t="n"/>
      <c r="B271" s="36" t="n"/>
      <c r="C271" s="37" t="n"/>
      <c r="D271" s="37" t="n"/>
      <c r="E271" s="37" t="n"/>
      <c r="F271" s="36" t="n"/>
      <c r="G271" s="38" t="n"/>
      <c r="H271" s="39" t="n"/>
      <c r="I271" s="40">
        <f>IF(OR(G271="",H271=""),"",G271-H271)</f>
        <v/>
      </c>
      <c r="J271" s="37" t="n"/>
      <c r="K271" s="37" t="n"/>
      <c r="L271" s="41">
        <f>IF(IFERROR(INDEX(lst_cat_wish,MATCH(D271,lst_cats,0))="Да",FALSE),MAX($L$4:L270)+1,"")</f>
        <v/>
      </c>
    </row>
    <row r="272">
      <c r="A272" s="36" t="n"/>
      <c r="B272" s="36" t="n"/>
      <c r="C272" s="37" t="n"/>
      <c r="D272" s="37" t="n"/>
      <c r="E272" s="37" t="n"/>
      <c r="F272" s="36" t="n"/>
      <c r="G272" s="38" t="n"/>
      <c r="H272" s="39" t="n"/>
      <c r="I272" s="40">
        <f>IF(OR(G272="",H272=""),"",G272-H272)</f>
        <v/>
      </c>
      <c r="J272" s="37" t="n"/>
      <c r="K272" s="37" t="n"/>
      <c r="L272" s="41">
        <f>IF(IFERROR(INDEX(lst_cat_wish,MATCH(D272,lst_cats,0))="Да",FALSE),MAX($L$4:L271)+1,"")</f>
        <v/>
      </c>
    </row>
    <row r="273">
      <c r="A273" s="36" t="n"/>
      <c r="B273" s="36" t="n"/>
      <c r="C273" s="37" t="n"/>
      <c r="D273" s="37" t="n"/>
      <c r="E273" s="37" t="n"/>
      <c r="F273" s="36" t="n"/>
      <c r="G273" s="38" t="n"/>
      <c r="H273" s="39" t="n"/>
      <c r="I273" s="40">
        <f>IF(OR(G273="",H273=""),"",G273-H273)</f>
        <v/>
      </c>
      <c r="J273" s="37" t="n"/>
      <c r="K273" s="37" t="n"/>
      <c r="L273" s="41">
        <f>IF(IFERROR(INDEX(lst_cat_wish,MATCH(D273,lst_cats,0))="Да",FALSE),MAX($L$4:L272)+1,"")</f>
        <v/>
      </c>
    </row>
    <row r="274">
      <c r="A274" s="36" t="n"/>
      <c r="B274" s="36" t="n"/>
      <c r="C274" s="37" t="n"/>
      <c r="D274" s="37" t="n"/>
      <c r="E274" s="37" t="n"/>
      <c r="F274" s="36" t="n"/>
      <c r="G274" s="38" t="n"/>
      <c r="H274" s="39" t="n"/>
      <c r="I274" s="40">
        <f>IF(OR(G274="",H274=""),"",G274-H274)</f>
        <v/>
      </c>
      <c r="J274" s="37" t="n"/>
      <c r="K274" s="37" t="n"/>
      <c r="L274" s="41">
        <f>IF(IFERROR(INDEX(lst_cat_wish,MATCH(D274,lst_cats,0))="Да",FALSE),MAX($L$4:L273)+1,"")</f>
        <v/>
      </c>
    </row>
    <row r="275">
      <c r="A275" s="36" t="n"/>
      <c r="B275" s="36" t="n"/>
      <c r="C275" s="37" t="n"/>
      <c r="D275" s="37" t="n"/>
      <c r="E275" s="37" t="n"/>
      <c r="F275" s="36" t="n"/>
      <c r="G275" s="38" t="n"/>
      <c r="H275" s="39" t="n"/>
      <c r="I275" s="40">
        <f>IF(OR(G275="",H275=""),"",G275-H275)</f>
        <v/>
      </c>
      <c r="J275" s="37" t="n"/>
      <c r="K275" s="37" t="n"/>
      <c r="L275" s="41">
        <f>IF(IFERROR(INDEX(lst_cat_wish,MATCH(D275,lst_cats,0))="Да",FALSE),MAX($L$4:L274)+1,"")</f>
        <v/>
      </c>
    </row>
    <row r="276">
      <c r="A276" s="36" t="n"/>
      <c r="B276" s="36" t="n"/>
      <c r="C276" s="37" t="n"/>
      <c r="D276" s="37" t="n"/>
      <c r="E276" s="37" t="n"/>
      <c r="F276" s="36" t="n"/>
      <c r="G276" s="38" t="n"/>
      <c r="H276" s="39" t="n"/>
      <c r="I276" s="40">
        <f>IF(OR(G276="",H276=""),"",G276-H276)</f>
        <v/>
      </c>
      <c r="J276" s="37" t="n"/>
      <c r="K276" s="37" t="n"/>
      <c r="L276" s="41">
        <f>IF(IFERROR(INDEX(lst_cat_wish,MATCH(D276,lst_cats,0))="Да",FALSE),MAX($L$4:L275)+1,"")</f>
        <v/>
      </c>
    </row>
    <row r="277">
      <c r="A277" s="36" t="n"/>
      <c r="B277" s="36" t="n"/>
      <c r="C277" s="37" t="n"/>
      <c r="D277" s="37" t="n"/>
      <c r="E277" s="37" t="n"/>
      <c r="F277" s="36" t="n"/>
      <c r="G277" s="38" t="n"/>
      <c r="H277" s="39" t="n"/>
      <c r="I277" s="40">
        <f>IF(OR(G277="",H277=""),"",G277-H277)</f>
        <v/>
      </c>
      <c r="J277" s="37" t="n"/>
      <c r="K277" s="37" t="n"/>
      <c r="L277" s="41">
        <f>IF(IFERROR(INDEX(lst_cat_wish,MATCH(D277,lst_cats,0))="Да",FALSE),MAX($L$4:L276)+1,"")</f>
        <v/>
      </c>
    </row>
    <row r="278">
      <c r="A278" s="36" t="n"/>
      <c r="B278" s="36" t="n"/>
      <c r="C278" s="37" t="n"/>
      <c r="D278" s="37" t="n"/>
      <c r="E278" s="37" t="n"/>
      <c r="F278" s="36" t="n"/>
      <c r="G278" s="38" t="n"/>
      <c r="H278" s="39" t="n"/>
      <c r="I278" s="40">
        <f>IF(OR(G278="",H278=""),"",G278-H278)</f>
        <v/>
      </c>
      <c r="J278" s="37" t="n"/>
      <c r="K278" s="37" t="n"/>
      <c r="L278" s="41">
        <f>IF(IFERROR(INDEX(lst_cat_wish,MATCH(D278,lst_cats,0))="Да",FALSE),MAX($L$4:L277)+1,"")</f>
        <v/>
      </c>
    </row>
    <row r="279">
      <c r="A279" s="36" t="n"/>
      <c r="B279" s="36" t="n"/>
      <c r="C279" s="37" t="n"/>
      <c r="D279" s="37" t="n"/>
      <c r="E279" s="37" t="n"/>
      <c r="F279" s="36" t="n"/>
      <c r="G279" s="38" t="n"/>
      <c r="H279" s="39" t="n"/>
      <c r="I279" s="40">
        <f>IF(OR(G279="",H279=""),"",G279-H279)</f>
        <v/>
      </c>
      <c r="J279" s="37" t="n"/>
      <c r="K279" s="37" t="n"/>
      <c r="L279" s="41">
        <f>IF(IFERROR(INDEX(lst_cat_wish,MATCH(D279,lst_cats,0))="Да",FALSE),MAX($L$4:L278)+1,"")</f>
        <v/>
      </c>
    </row>
    <row r="280">
      <c r="A280" s="36" t="n"/>
      <c r="B280" s="36" t="n"/>
      <c r="C280" s="37" t="n"/>
      <c r="D280" s="37" t="n"/>
      <c r="E280" s="37" t="n"/>
      <c r="F280" s="36" t="n"/>
      <c r="G280" s="38" t="n"/>
      <c r="H280" s="39" t="n"/>
      <c r="I280" s="40">
        <f>IF(OR(G280="",H280=""),"",G280-H280)</f>
        <v/>
      </c>
      <c r="J280" s="37" t="n"/>
      <c r="K280" s="37" t="n"/>
      <c r="L280" s="41">
        <f>IF(IFERROR(INDEX(lst_cat_wish,MATCH(D280,lst_cats,0))="Да",FALSE),MAX($L$4:L279)+1,"")</f>
        <v/>
      </c>
    </row>
    <row r="281">
      <c r="A281" s="36" t="n"/>
      <c r="B281" s="36" t="n"/>
      <c r="C281" s="37" t="n"/>
      <c r="D281" s="37" t="n"/>
      <c r="E281" s="37" t="n"/>
      <c r="F281" s="36" t="n"/>
      <c r="G281" s="38" t="n"/>
      <c r="H281" s="39" t="n"/>
      <c r="I281" s="40">
        <f>IF(OR(G281="",H281=""),"",G281-H281)</f>
        <v/>
      </c>
      <c r="J281" s="37" t="n"/>
      <c r="K281" s="37" t="n"/>
      <c r="L281" s="41">
        <f>IF(IFERROR(INDEX(lst_cat_wish,MATCH(D281,lst_cats,0))="Да",FALSE),MAX($L$4:L280)+1,"")</f>
        <v/>
      </c>
    </row>
    <row r="282">
      <c r="A282" s="36" t="n"/>
      <c r="B282" s="36" t="n"/>
      <c r="C282" s="37" t="n"/>
      <c r="D282" s="37" t="n"/>
      <c r="E282" s="37" t="n"/>
      <c r="F282" s="36" t="n"/>
      <c r="G282" s="38" t="n"/>
      <c r="H282" s="39" t="n"/>
      <c r="I282" s="40">
        <f>IF(OR(G282="",H282=""),"",G282-H282)</f>
        <v/>
      </c>
      <c r="J282" s="37" t="n"/>
      <c r="K282" s="37" t="n"/>
      <c r="L282" s="41">
        <f>IF(IFERROR(INDEX(lst_cat_wish,MATCH(D282,lst_cats,0))="Да",FALSE),MAX($L$4:L281)+1,"")</f>
        <v/>
      </c>
    </row>
    <row r="283">
      <c r="A283" s="36" t="n"/>
      <c r="B283" s="36" t="n"/>
      <c r="C283" s="37" t="n"/>
      <c r="D283" s="37" t="n"/>
      <c r="E283" s="37" t="n"/>
      <c r="F283" s="36" t="n"/>
      <c r="G283" s="38" t="n"/>
      <c r="H283" s="39" t="n"/>
      <c r="I283" s="40">
        <f>IF(OR(G283="",H283=""),"",G283-H283)</f>
        <v/>
      </c>
      <c r="J283" s="37" t="n"/>
      <c r="K283" s="37" t="n"/>
      <c r="L283" s="41">
        <f>IF(IFERROR(INDEX(lst_cat_wish,MATCH(D283,lst_cats,0))="Да",FALSE),MAX($L$4:L282)+1,"")</f>
        <v/>
      </c>
    </row>
    <row r="284">
      <c r="A284" s="36" t="n"/>
      <c r="B284" s="36" t="n"/>
      <c r="C284" s="37" t="n"/>
      <c r="D284" s="37" t="n"/>
      <c r="E284" s="37" t="n"/>
      <c r="F284" s="36" t="n"/>
      <c r="G284" s="38" t="n"/>
      <c r="H284" s="39" t="n"/>
      <c r="I284" s="40">
        <f>IF(OR(G284="",H284=""),"",G284-H284)</f>
        <v/>
      </c>
      <c r="J284" s="37" t="n"/>
      <c r="K284" s="37" t="n"/>
      <c r="L284" s="41">
        <f>IF(IFERROR(INDEX(lst_cat_wish,MATCH(D284,lst_cats,0))="Да",FALSE),MAX($L$4:L283)+1,"")</f>
        <v/>
      </c>
    </row>
    <row r="285">
      <c r="A285" s="36" t="n"/>
      <c r="B285" s="36" t="n"/>
      <c r="C285" s="37" t="n"/>
      <c r="D285" s="37" t="n"/>
      <c r="E285" s="37" t="n"/>
      <c r="F285" s="36" t="n"/>
      <c r="G285" s="38" t="n"/>
      <c r="H285" s="39" t="n"/>
      <c r="I285" s="40">
        <f>IF(OR(G285="",H285=""),"",G285-H285)</f>
        <v/>
      </c>
      <c r="J285" s="37" t="n"/>
      <c r="K285" s="37" t="n"/>
      <c r="L285" s="41">
        <f>IF(IFERROR(INDEX(lst_cat_wish,MATCH(D285,lst_cats,0))="Да",FALSE),MAX($L$4:L284)+1,"")</f>
        <v/>
      </c>
    </row>
    <row r="286">
      <c r="A286" s="36" t="n"/>
      <c r="B286" s="36" t="n"/>
      <c r="C286" s="37" t="n"/>
      <c r="D286" s="37" t="n"/>
      <c r="E286" s="37" t="n"/>
      <c r="F286" s="36" t="n"/>
      <c r="G286" s="38" t="n"/>
      <c r="H286" s="39" t="n"/>
      <c r="I286" s="40">
        <f>IF(OR(G286="",H286=""),"",G286-H286)</f>
        <v/>
      </c>
      <c r="J286" s="37" t="n"/>
      <c r="K286" s="37" t="n"/>
      <c r="L286" s="41">
        <f>IF(IFERROR(INDEX(lst_cat_wish,MATCH(D286,lst_cats,0))="Да",FALSE),MAX($L$4:L285)+1,"")</f>
        <v/>
      </c>
    </row>
    <row r="287">
      <c r="A287" s="36" t="n"/>
      <c r="B287" s="36" t="n"/>
      <c r="C287" s="37" t="n"/>
      <c r="D287" s="37" t="n"/>
      <c r="E287" s="37" t="n"/>
      <c r="F287" s="36" t="n"/>
      <c r="G287" s="38" t="n"/>
      <c r="H287" s="39" t="n"/>
      <c r="I287" s="40">
        <f>IF(OR(G287="",H287=""),"",G287-H287)</f>
        <v/>
      </c>
      <c r="J287" s="37" t="n"/>
      <c r="K287" s="37" t="n"/>
      <c r="L287" s="41">
        <f>IF(IFERROR(INDEX(lst_cat_wish,MATCH(D287,lst_cats,0))="Да",FALSE),MAX($L$4:L286)+1,"")</f>
        <v/>
      </c>
    </row>
    <row r="288">
      <c r="A288" s="36" t="n"/>
      <c r="B288" s="36" t="n"/>
      <c r="C288" s="37" t="n"/>
      <c r="D288" s="37" t="n"/>
      <c r="E288" s="37" t="n"/>
      <c r="F288" s="36" t="n"/>
      <c r="G288" s="38" t="n"/>
      <c r="H288" s="39" t="n"/>
      <c r="I288" s="40">
        <f>IF(OR(G288="",H288=""),"",G288-H288)</f>
        <v/>
      </c>
      <c r="J288" s="37" t="n"/>
      <c r="K288" s="37" t="n"/>
      <c r="L288" s="41">
        <f>IF(IFERROR(INDEX(lst_cat_wish,MATCH(D288,lst_cats,0))="Да",FALSE),MAX($L$4:L287)+1,"")</f>
        <v/>
      </c>
    </row>
    <row r="289">
      <c r="A289" s="36" t="n"/>
      <c r="B289" s="36" t="n"/>
      <c r="C289" s="37" t="n"/>
      <c r="D289" s="37" t="n"/>
      <c r="E289" s="37" t="n"/>
      <c r="F289" s="36" t="n"/>
      <c r="G289" s="38" t="n"/>
      <c r="H289" s="39" t="n"/>
      <c r="I289" s="40">
        <f>IF(OR(G289="",H289=""),"",G289-H289)</f>
        <v/>
      </c>
      <c r="J289" s="37" t="n"/>
      <c r="K289" s="37" t="n"/>
      <c r="L289" s="41">
        <f>IF(IFERROR(INDEX(lst_cat_wish,MATCH(D289,lst_cats,0))="Да",FALSE),MAX($L$4:L288)+1,"")</f>
        <v/>
      </c>
    </row>
    <row r="290">
      <c r="A290" s="36" t="n"/>
      <c r="B290" s="36" t="n"/>
      <c r="C290" s="37" t="n"/>
      <c r="D290" s="37" t="n"/>
      <c r="E290" s="37" t="n"/>
      <c r="F290" s="36" t="n"/>
      <c r="G290" s="38" t="n"/>
      <c r="H290" s="39" t="n"/>
      <c r="I290" s="40">
        <f>IF(OR(G290="",H290=""),"",G290-H290)</f>
        <v/>
      </c>
      <c r="J290" s="37" t="n"/>
      <c r="K290" s="37" t="n"/>
      <c r="L290" s="41">
        <f>IF(IFERROR(INDEX(lst_cat_wish,MATCH(D290,lst_cats,0))="Да",FALSE),MAX($L$4:L289)+1,"")</f>
        <v/>
      </c>
    </row>
    <row r="291">
      <c r="A291" s="36" t="n"/>
      <c r="B291" s="36" t="n"/>
      <c r="C291" s="37" t="n"/>
      <c r="D291" s="37" t="n"/>
      <c r="E291" s="37" t="n"/>
      <c r="F291" s="36" t="n"/>
      <c r="G291" s="38" t="n"/>
      <c r="H291" s="39" t="n"/>
      <c r="I291" s="40">
        <f>IF(OR(G291="",H291=""),"",G291-H291)</f>
        <v/>
      </c>
      <c r="J291" s="37" t="n"/>
      <c r="K291" s="37" t="n"/>
      <c r="L291" s="41">
        <f>IF(IFERROR(INDEX(lst_cat_wish,MATCH(D291,lst_cats,0))="Да",FALSE),MAX($L$4:L290)+1,"")</f>
        <v/>
      </c>
    </row>
    <row r="292">
      <c r="A292" s="36" t="n"/>
      <c r="B292" s="36" t="n"/>
      <c r="C292" s="37" t="n"/>
      <c r="D292" s="37" t="n"/>
      <c r="E292" s="37" t="n"/>
      <c r="F292" s="36" t="n"/>
      <c r="G292" s="38" t="n"/>
      <c r="H292" s="39" t="n"/>
      <c r="I292" s="40">
        <f>IF(OR(G292="",H292=""),"",G292-H292)</f>
        <v/>
      </c>
      <c r="J292" s="37" t="n"/>
      <c r="K292" s="37" t="n"/>
      <c r="L292" s="41">
        <f>IF(IFERROR(INDEX(lst_cat_wish,MATCH(D292,lst_cats,0))="Да",FALSE),MAX($L$4:L291)+1,"")</f>
        <v/>
      </c>
    </row>
    <row r="293">
      <c r="A293" s="36" t="n"/>
      <c r="B293" s="36" t="n"/>
      <c r="C293" s="37" t="n"/>
      <c r="D293" s="37" t="n"/>
      <c r="E293" s="37" t="n"/>
      <c r="F293" s="36" t="n"/>
      <c r="G293" s="38" t="n"/>
      <c r="H293" s="39" t="n"/>
      <c r="I293" s="40">
        <f>IF(OR(G293="",H293=""),"",G293-H293)</f>
        <v/>
      </c>
      <c r="J293" s="37" t="n"/>
      <c r="K293" s="37" t="n"/>
      <c r="L293" s="41">
        <f>IF(IFERROR(INDEX(lst_cat_wish,MATCH(D293,lst_cats,0))="Да",FALSE),MAX($L$4:L292)+1,"")</f>
        <v/>
      </c>
    </row>
    <row r="294">
      <c r="A294" s="36" t="n"/>
      <c r="B294" s="36" t="n"/>
      <c r="C294" s="37" t="n"/>
      <c r="D294" s="37" t="n"/>
      <c r="E294" s="37" t="n"/>
      <c r="F294" s="36" t="n"/>
      <c r="G294" s="38" t="n"/>
      <c r="H294" s="39" t="n"/>
      <c r="I294" s="40">
        <f>IF(OR(G294="",H294=""),"",G294-H294)</f>
        <v/>
      </c>
      <c r="J294" s="37" t="n"/>
      <c r="K294" s="37" t="n"/>
      <c r="L294" s="41">
        <f>IF(IFERROR(INDEX(lst_cat_wish,MATCH(D294,lst_cats,0))="Да",FALSE),MAX($L$4:L293)+1,"")</f>
        <v/>
      </c>
    </row>
    <row r="295">
      <c r="A295" s="36" t="n"/>
      <c r="B295" s="36" t="n"/>
      <c r="C295" s="37" t="n"/>
      <c r="D295" s="37" t="n"/>
      <c r="E295" s="37" t="n"/>
      <c r="F295" s="36" t="n"/>
      <c r="G295" s="38" t="n"/>
      <c r="H295" s="39" t="n"/>
      <c r="I295" s="40">
        <f>IF(OR(G295="",H295=""),"",G295-H295)</f>
        <v/>
      </c>
      <c r="J295" s="37" t="n"/>
      <c r="K295" s="37" t="n"/>
      <c r="L295" s="41">
        <f>IF(IFERROR(INDEX(lst_cat_wish,MATCH(D295,lst_cats,0))="Да",FALSE),MAX($L$4:L294)+1,"")</f>
        <v/>
      </c>
    </row>
    <row r="296">
      <c r="A296" s="36" t="n"/>
      <c r="B296" s="36" t="n"/>
      <c r="C296" s="37" t="n"/>
      <c r="D296" s="37" t="n"/>
      <c r="E296" s="37" t="n"/>
      <c r="F296" s="36" t="n"/>
      <c r="G296" s="38" t="n"/>
      <c r="H296" s="39" t="n"/>
      <c r="I296" s="40">
        <f>IF(OR(G296="",H296=""),"",G296-H296)</f>
        <v/>
      </c>
      <c r="J296" s="37" t="n"/>
      <c r="K296" s="37" t="n"/>
      <c r="L296" s="41">
        <f>IF(IFERROR(INDEX(lst_cat_wish,MATCH(D296,lst_cats,0))="Да",FALSE),MAX($L$4:L295)+1,"")</f>
        <v/>
      </c>
    </row>
    <row r="297">
      <c r="A297" s="36" t="n"/>
      <c r="B297" s="36" t="n"/>
      <c r="C297" s="37" t="n"/>
      <c r="D297" s="37" t="n"/>
      <c r="E297" s="37" t="n"/>
      <c r="F297" s="36" t="n"/>
      <c r="G297" s="38" t="n"/>
      <c r="H297" s="39" t="n"/>
      <c r="I297" s="40">
        <f>IF(OR(G297="",H297=""),"",G297-H297)</f>
        <v/>
      </c>
      <c r="J297" s="37" t="n"/>
      <c r="K297" s="37" t="n"/>
      <c r="L297" s="41">
        <f>IF(IFERROR(INDEX(lst_cat_wish,MATCH(D297,lst_cats,0))="Да",FALSE),MAX($L$4:L296)+1,"")</f>
        <v/>
      </c>
    </row>
    <row r="298">
      <c r="A298" s="36" t="n"/>
      <c r="B298" s="36" t="n"/>
      <c r="C298" s="37" t="n"/>
      <c r="D298" s="37" t="n"/>
      <c r="E298" s="37" t="n"/>
      <c r="F298" s="36" t="n"/>
      <c r="G298" s="38" t="n"/>
      <c r="H298" s="39" t="n"/>
      <c r="I298" s="40">
        <f>IF(OR(G298="",H298=""),"",G298-H298)</f>
        <v/>
      </c>
      <c r="J298" s="37" t="n"/>
      <c r="K298" s="37" t="n"/>
      <c r="L298" s="41">
        <f>IF(IFERROR(INDEX(lst_cat_wish,MATCH(D298,lst_cats,0))="Да",FALSE),MAX($L$4:L297)+1,"")</f>
        <v/>
      </c>
    </row>
    <row r="299">
      <c r="A299" s="36" t="n"/>
      <c r="B299" s="36" t="n"/>
      <c r="C299" s="37" t="n"/>
      <c r="D299" s="37" t="n"/>
      <c r="E299" s="37" t="n"/>
      <c r="F299" s="36" t="n"/>
      <c r="G299" s="38" t="n"/>
      <c r="H299" s="39" t="n"/>
      <c r="I299" s="40">
        <f>IF(OR(G299="",H299=""),"",G299-H299)</f>
        <v/>
      </c>
      <c r="J299" s="37" t="n"/>
      <c r="K299" s="37" t="n"/>
      <c r="L299" s="41">
        <f>IF(IFERROR(INDEX(lst_cat_wish,MATCH(D299,lst_cats,0))="Да",FALSE),MAX($L$4:L298)+1,"")</f>
        <v/>
      </c>
    </row>
    <row r="300">
      <c r="A300" s="36" t="n"/>
      <c r="B300" s="36" t="n"/>
      <c r="C300" s="37" t="n"/>
      <c r="D300" s="37" t="n"/>
      <c r="E300" s="37" t="n"/>
      <c r="F300" s="36" t="n"/>
      <c r="G300" s="38" t="n"/>
      <c r="H300" s="39" t="n"/>
      <c r="I300" s="40">
        <f>IF(OR(G300="",H300=""),"",G300-H300)</f>
        <v/>
      </c>
      <c r="J300" s="37" t="n"/>
      <c r="K300" s="37" t="n"/>
      <c r="L300" s="41">
        <f>IF(IFERROR(INDEX(lst_cat_wish,MATCH(D300,lst_cats,0))="Да",FALSE),MAX($L$4:L299)+1,"")</f>
        <v/>
      </c>
    </row>
    <row r="301">
      <c r="A301" s="36" t="n"/>
      <c r="B301" s="36" t="n"/>
      <c r="C301" s="37" t="n"/>
      <c r="D301" s="37" t="n"/>
      <c r="E301" s="37" t="n"/>
      <c r="F301" s="36" t="n"/>
      <c r="G301" s="38" t="n"/>
      <c r="H301" s="39" t="n"/>
      <c r="I301" s="40">
        <f>IF(OR(G301="",H301=""),"",G301-H301)</f>
        <v/>
      </c>
      <c r="J301" s="37" t="n"/>
      <c r="K301" s="37" t="n"/>
      <c r="L301" s="41">
        <f>IF(IFERROR(INDEX(lst_cat_wish,MATCH(D301,lst_cats,0))="Да",FALSE),MAX($L$4:L300)+1,"")</f>
        <v/>
      </c>
    </row>
    <row r="302">
      <c r="A302" s="36" t="n"/>
      <c r="B302" s="36" t="n"/>
      <c r="C302" s="37" t="n"/>
      <c r="D302" s="37" t="n"/>
      <c r="E302" s="37" t="n"/>
      <c r="F302" s="36" t="n"/>
      <c r="G302" s="38" t="n"/>
      <c r="H302" s="39" t="n"/>
      <c r="I302" s="40">
        <f>IF(OR(G302="",H302=""),"",G302-H302)</f>
        <v/>
      </c>
      <c r="J302" s="37" t="n"/>
      <c r="K302" s="37" t="n"/>
      <c r="L302" s="41">
        <f>IF(IFERROR(INDEX(lst_cat_wish,MATCH(D302,lst_cats,0))="Да",FALSE),MAX($L$4:L301)+1,"")</f>
        <v/>
      </c>
    </row>
    <row r="303">
      <c r="A303" s="36" t="n"/>
      <c r="B303" s="36" t="n"/>
      <c r="C303" s="37" t="n"/>
      <c r="D303" s="37" t="n"/>
      <c r="E303" s="37" t="n"/>
      <c r="F303" s="36" t="n"/>
      <c r="G303" s="38" t="n"/>
      <c r="H303" s="39" t="n"/>
      <c r="I303" s="40">
        <f>IF(OR(G303="",H303=""),"",G303-H303)</f>
        <v/>
      </c>
      <c r="J303" s="37" t="n"/>
      <c r="K303" s="37" t="n"/>
      <c r="L303" s="41">
        <f>IF(IFERROR(INDEX(lst_cat_wish,MATCH(D303,lst_cats,0))="Да",FALSE),MAX($L$4:L302)+1,"")</f>
        <v/>
      </c>
    </row>
    <row r="304">
      <c r="A304" s="36" t="n"/>
      <c r="B304" s="36" t="n"/>
      <c r="C304" s="37" t="n"/>
      <c r="D304" s="37" t="n"/>
      <c r="E304" s="37" t="n"/>
      <c r="F304" s="36" t="n"/>
      <c r="G304" s="38" t="n"/>
      <c r="H304" s="39" t="n"/>
      <c r="I304" s="40">
        <f>IF(OR(G304="",H304=""),"",G304-H304)</f>
        <v/>
      </c>
      <c r="J304" s="37" t="n"/>
      <c r="K304" s="37" t="n"/>
      <c r="L304" s="41">
        <f>IF(IFERROR(INDEX(lst_cat_wish,MATCH(D304,lst_cats,0))="Да",FALSE),MAX($L$4:L303)+1,"")</f>
        <v/>
      </c>
    </row>
    <row r="305">
      <c r="A305" s="36" t="n"/>
      <c r="B305" s="36" t="n"/>
      <c r="C305" s="37" t="n"/>
      <c r="D305" s="37" t="n"/>
      <c r="E305" s="37" t="n"/>
      <c r="F305" s="36" t="n"/>
      <c r="G305" s="38" t="n"/>
      <c r="H305" s="39" t="n"/>
      <c r="I305" s="40">
        <f>IF(OR(G305="",H305=""),"",G305-H305)</f>
        <v/>
      </c>
      <c r="J305" s="37" t="n"/>
      <c r="K305" s="37" t="n"/>
      <c r="L305" s="41">
        <f>IF(IFERROR(INDEX(lst_cat_wish,MATCH(D305,lst_cats,0))="Да",FALSE),MAX($L$4:L304)+1,"")</f>
        <v/>
      </c>
    </row>
    <row r="306">
      <c r="A306" s="36" t="n"/>
      <c r="B306" s="36" t="n"/>
      <c r="C306" s="37" t="n"/>
      <c r="D306" s="37" t="n"/>
      <c r="E306" s="37" t="n"/>
      <c r="F306" s="36" t="n"/>
      <c r="G306" s="38" t="n"/>
      <c r="H306" s="39" t="n"/>
      <c r="I306" s="40">
        <f>IF(OR(G306="",H306=""),"",G306-H306)</f>
        <v/>
      </c>
      <c r="J306" s="37" t="n"/>
      <c r="K306" s="37" t="n"/>
      <c r="L306" s="41">
        <f>IF(IFERROR(INDEX(lst_cat_wish,MATCH(D306,lst_cats,0))="Да",FALSE),MAX($L$4:L305)+1,"")</f>
        <v/>
      </c>
    </row>
    <row r="307">
      <c r="A307" s="36" t="n"/>
      <c r="B307" s="36" t="n"/>
      <c r="C307" s="37" t="n"/>
      <c r="D307" s="37" t="n"/>
      <c r="E307" s="37" t="n"/>
      <c r="F307" s="36" t="n"/>
      <c r="G307" s="38" t="n"/>
      <c r="H307" s="39" t="n"/>
      <c r="I307" s="40">
        <f>IF(OR(G307="",H307=""),"",G307-H307)</f>
        <v/>
      </c>
      <c r="J307" s="37" t="n"/>
      <c r="K307" s="37" t="n"/>
      <c r="L307" s="41">
        <f>IF(IFERROR(INDEX(lst_cat_wish,MATCH(D307,lst_cats,0))="Да",FALSE),MAX($L$4:L306)+1,"")</f>
        <v/>
      </c>
    </row>
    <row r="308">
      <c r="A308" s="36" t="n"/>
      <c r="B308" s="36" t="n"/>
      <c r="C308" s="37" t="n"/>
      <c r="D308" s="37" t="n"/>
      <c r="E308" s="37" t="n"/>
      <c r="F308" s="36" t="n"/>
      <c r="G308" s="38" t="n"/>
      <c r="H308" s="39" t="n"/>
      <c r="I308" s="40">
        <f>IF(OR(G308="",H308=""),"",G308-H308)</f>
        <v/>
      </c>
      <c r="J308" s="37" t="n"/>
      <c r="K308" s="37" t="n"/>
      <c r="L308" s="41">
        <f>IF(IFERROR(INDEX(lst_cat_wish,MATCH(D308,lst_cats,0))="Да",FALSE),MAX($L$4:L307)+1,"")</f>
        <v/>
      </c>
    </row>
    <row r="309">
      <c r="A309" s="36" t="n"/>
      <c r="B309" s="36" t="n"/>
      <c r="C309" s="37" t="n"/>
      <c r="D309" s="37" t="n"/>
      <c r="E309" s="37" t="n"/>
      <c r="F309" s="36" t="n"/>
      <c r="G309" s="38" t="n"/>
      <c r="H309" s="39" t="n"/>
      <c r="I309" s="40">
        <f>IF(OR(G309="",H309=""),"",G309-H309)</f>
        <v/>
      </c>
      <c r="J309" s="37" t="n"/>
      <c r="K309" s="37" t="n"/>
      <c r="L309" s="41">
        <f>IF(IFERROR(INDEX(lst_cat_wish,MATCH(D309,lst_cats,0))="Да",FALSE),MAX($L$4:L308)+1,"")</f>
        <v/>
      </c>
    </row>
    <row r="310">
      <c r="A310" s="36" t="n"/>
      <c r="B310" s="36" t="n"/>
      <c r="C310" s="37" t="n"/>
      <c r="D310" s="37" t="n"/>
      <c r="E310" s="37" t="n"/>
      <c r="F310" s="36" t="n"/>
      <c r="G310" s="38" t="n"/>
      <c r="H310" s="39" t="n"/>
      <c r="I310" s="40">
        <f>IF(OR(G310="",H310=""),"",G310-H310)</f>
        <v/>
      </c>
      <c r="J310" s="37" t="n"/>
      <c r="K310" s="37" t="n"/>
      <c r="L310" s="41">
        <f>IF(IFERROR(INDEX(lst_cat_wish,MATCH(D310,lst_cats,0))="Да",FALSE),MAX($L$4:L309)+1,"")</f>
        <v/>
      </c>
    </row>
    <row r="311">
      <c r="A311" s="36" t="n"/>
      <c r="B311" s="36" t="n"/>
      <c r="C311" s="37" t="n"/>
      <c r="D311" s="37" t="n"/>
      <c r="E311" s="37" t="n"/>
      <c r="F311" s="36" t="n"/>
      <c r="G311" s="38" t="n"/>
      <c r="H311" s="39" t="n"/>
      <c r="I311" s="40">
        <f>IF(OR(G311="",H311=""),"",G311-H311)</f>
        <v/>
      </c>
      <c r="J311" s="37" t="n"/>
      <c r="K311" s="37" t="n"/>
      <c r="L311" s="41">
        <f>IF(IFERROR(INDEX(lst_cat_wish,MATCH(D311,lst_cats,0))="Да",FALSE),MAX($L$4:L310)+1,"")</f>
        <v/>
      </c>
    </row>
    <row r="312">
      <c r="A312" s="36" t="n"/>
      <c r="B312" s="36" t="n"/>
      <c r="C312" s="37" t="n"/>
      <c r="D312" s="37" t="n"/>
      <c r="E312" s="37" t="n"/>
      <c r="F312" s="36" t="n"/>
      <c r="G312" s="38" t="n"/>
      <c r="H312" s="39" t="n"/>
      <c r="I312" s="40">
        <f>IF(OR(G312="",H312=""),"",G312-H312)</f>
        <v/>
      </c>
      <c r="J312" s="37" t="n"/>
      <c r="K312" s="37" t="n"/>
      <c r="L312" s="41">
        <f>IF(IFERROR(INDEX(lst_cat_wish,MATCH(D312,lst_cats,0))="Да",FALSE),MAX($L$4:L311)+1,"")</f>
        <v/>
      </c>
    </row>
    <row r="313">
      <c r="A313" s="36" t="n"/>
      <c r="B313" s="36" t="n"/>
      <c r="C313" s="37" t="n"/>
      <c r="D313" s="37" t="n"/>
      <c r="E313" s="37" t="n"/>
      <c r="F313" s="36" t="n"/>
      <c r="G313" s="38" t="n"/>
      <c r="H313" s="39" t="n"/>
      <c r="I313" s="40">
        <f>IF(OR(G313="",H313=""),"",G313-H313)</f>
        <v/>
      </c>
      <c r="J313" s="37" t="n"/>
      <c r="K313" s="37" t="n"/>
      <c r="L313" s="41">
        <f>IF(IFERROR(INDEX(lst_cat_wish,MATCH(D313,lst_cats,0))="Да",FALSE),MAX($L$4:L312)+1,"")</f>
        <v/>
      </c>
    </row>
    <row r="314">
      <c r="A314" s="36" t="n"/>
      <c r="B314" s="36" t="n"/>
      <c r="C314" s="37" t="n"/>
      <c r="D314" s="37" t="n"/>
      <c r="E314" s="37" t="n"/>
      <c r="F314" s="36" t="n"/>
      <c r="G314" s="38" t="n"/>
      <c r="H314" s="39" t="n"/>
      <c r="I314" s="40">
        <f>IF(OR(G314="",H314=""),"",G314-H314)</f>
        <v/>
      </c>
      <c r="J314" s="37" t="n"/>
      <c r="K314" s="37" t="n"/>
      <c r="L314" s="41">
        <f>IF(IFERROR(INDEX(lst_cat_wish,MATCH(D314,lst_cats,0))="Да",FALSE),MAX($L$4:L313)+1,"")</f>
        <v/>
      </c>
    </row>
    <row r="315">
      <c r="A315" s="36" t="n"/>
      <c r="B315" s="36" t="n"/>
      <c r="C315" s="37" t="n"/>
      <c r="D315" s="37" t="n"/>
      <c r="E315" s="37" t="n"/>
      <c r="F315" s="36" t="n"/>
      <c r="G315" s="38" t="n"/>
      <c r="H315" s="39" t="n"/>
      <c r="I315" s="40">
        <f>IF(OR(G315="",H315=""),"",G315-H315)</f>
        <v/>
      </c>
      <c r="J315" s="37" t="n"/>
      <c r="K315" s="37" t="n"/>
      <c r="L315" s="41">
        <f>IF(IFERROR(INDEX(lst_cat_wish,MATCH(D315,lst_cats,0))="Да",FALSE),MAX($L$4:L314)+1,"")</f>
        <v/>
      </c>
    </row>
    <row r="316">
      <c r="A316" s="36" t="n"/>
      <c r="B316" s="36" t="n"/>
      <c r="C316" s="37" t="n"/>
      <c r="D316" s="37" t="n"/>
      <c r="E316" s="37" t="n"/>
      <c r="F316" s="36" t="n"/>
      <c r="G316" s="38" t="n"/>
      <c r="H316" s="39" t="n"/>
      <c r="I316" s="40">
        <f>IF(OR(G316="",H316=""),"",G316-H316)</f>
        <v/>
      </c>
      <c r="J316" s="37" t="n"/>
      <c r="K316" s="37" t="n"/>
      <c r="L316" s="41">
        <f>IF(IFERROR(INDEX(lst_cat_wish,MATCH(D316,lst_cats,0))="Да",FALSE),MAX($L$4:L315)+1,"")</f>
        <v/>
      </c>
    </row>
    <row r="317">
      <c r="A317" s="36" t="n"/>
      <c r="B317" s="36" t="n"/>
      <c r="C317" s="37" t="n"/>
      <c r="D317" s="37" t="n"/>
      <c r="E317" s="37" t="n"/>
      <c r="F317" s="36" t="n"/>
      <c r="G317" s="38" t="n"/>
      <c r="H317" s="39" t="n"/>
      <c r="I317" s="40">
        <f>IF(OR(G317="",H317=""),"",G317-H317)</f>
        <v/>
      </c>
      <c r="J317" s="37" t="n"/>
      <c r="K317" s="37" t="n"/>
      <c r="L317" s="41">
        <f>IF(IFERROR(INDEX(lst_cat_wish,MATCH(D317,lst_cats,0))="Да",FALSE),MAX($L$4:L316)+1,"")</f>
        <v/>
      </c>
    </row>
    <row r="318">
      <c r="A318" s="36" t="n"/>
      <c r="B318" s="36" t="n"/>
      <c r="C318" s="37" t="n"/>
      <c r="D318" s="37" t="n"/>
      <c r="E318" s="37" t="n"/>
      <c r="F318" s="36" t="n"/>
      <c r="G318" s="38" t="n"/>
      <c r="H318" s="39" t="n"/>
      <c r="I318" s="40">
        <f>IF(OR(G318="",H318=""),"",G318-H318)</f>
        <v/>
      </c>
      <c r="J318" s="37" t="n"/>
      <c r="K318" s="37" t="n"/>
      <c r="L318" s="41">
        <f>IF(IFERROR(INDEX(lst_cat_wish,MATCH(D318,lst_cats,0))="Да",FALSE),MAX($L$4:L317)+1,"")</f>
        <v/>
      </c>
    </row>
    <row r="319">
      <c r="A319" s="36" t="n"/>
      <c r="B319" s="36" t="n"/>
      <c r="C319" s="37" t="n"/>
      <c r="D319" s="37" t="n"/>
      <c r="E319" s="37" t="n"/>
      <c r="F319" s="36" t="n"/>
      <c r="G319" s="38" t="n"/>
      <c r="H319" s="39" t="n"/>
      <c r="I319" s="40">
        <f>IF(OR(G319="",H319=""),"",G319-H319)</f>
        <v/>
      </c>
      <c r="J319" s="37" t="n"/>
      <c r="K319" s="37" t="n"/>
      <c r="L319" s="41">
        <f>IF(IFERROR(INDEX(lst_cat_wish,MATCH(D319,lst_cats,0))="Да",FALSE),MAX($L$4:L318)+1,"")</f>
        <v/>
      </c>
    </row>
    <row r="320">
      <c r="A320" s="36" t="n"/>
      <c r="B320" s="36" t="n"/>
      <c r="C320" s="37" t="n"/>
      <c r="D320" s="37" t="n"/>
      <c r="E320" s="37" t="n"/>
      <c r="F320" s="36" t="n"/>
      <c r="G320" s="38" t="n"/>
      <c r="H320" s="39" t="n"/>
      <c r="I320" s="40">
        <f>IF(OR(G320="",H320=""),"",G320-H320)</f>
        <v/>
      </c>
      <c r="J320" s="37" t="n"/>
      <c r="K320" s="37" t="n"/>
      <c r="L320" s="41">
        <f>IF(IFERROR(INDEX(lst_cat_wish,MATCH(D320,lst_cats,0))="Да",FALSE),MAX($L$4:L319)+1,"")</f>
        <v/>
      </c>
    </row>
    <row r="321">
      <c r="A321" s="36" t="n"/>
      <c r="B321" s="36" t="n"/>
      <c r="C321" s="37" t="n"/>
      <c r="D321" s="37" t="n"/>
      <c r="E321" s="37" t="n"/>
      <c r="F321" s="36" t="n"/>
      <c r="G321" s="38" t="n"/>
      <c r="H321" s="39" t="n"/>
      <c r="I321" s="40">
        <f>IF(OR(G321="",H321=""),"",G321-H321)</f>
        <v/>
      </c>
      <c r="J321" s="37" t="n"/>
      <c r="K321" s="37" t="n"/>
      <c r="L321" s="41">
        <f>IF(IFERROR(INDEX(lst_cat_wish,MATCH(D321,lst_cats,0))="Да",FALSE),MAX($L$4:L320)+1,"")</f>
        <v/>
      </c>
    </row>
    <row r="322">
      <c r="A322" s="36" t="n"/>
      <c r="B322" s="36" t="n"/>
      <c r="C322" s="37" t="n"/>
      <c r="D322" s="37" t="n"/>
      <c r="E322" s="37" t="n"/>
      <c r="F322" s="36" t="n"/>
      <c r="G322" s="38" t="n"/>
      <c r="H322" s="39" t="n"/>
      <c r="I322" s="40">
        <f>IF(OR(G322="",H322=""),"",G322-H322)</f>
        <v/>
      </c>
      <c r="J322" s="37" t="n"/>
      <c r="K322" s="37" t="n"/>
      <c r="L322" s="41">
        <f>IF(IFERROR(INDEX(lst_cat_wish,MATCH(D322,lst_cats,0))="Да",FALSE),MAX($L$4:L321)+1,"")</f>
        <v/>
      </c>
    </row>
    <row r="323">
      <c r="A323" s="36" t="n"/>
      <c r="B323" s="36" t="n"/>
      <c r="C323" s="37" t="n"/>
      <c r="D323" s="37" t="n"/>
      <c r="E323" s="37" t="n"/>
      <c r="F323" s="36" t="n"/>
      <c r="G323" s="38" t="n"/>
      <c r="H323" s="39" t="n"/>
      <c r="I323" s="40">
        <f>IF(OR(G323="",H323=""),"",G323-H323)</f>
        <v/>
      </c>
      <c r="J323" s="37" t="n"/>
      <c r="K323" s="37" t="n"/>
      <c r="L323" s="41">
        <f>IF(IFERROR(INDEX(lst_cat_wish,MATCH(D323,lst_cats,0))="Да",FALSE),MAX($L$4:L322)+1,"")</f>
        <v/>
      </c>
    </row>
    <row r="324">
      <c r="A324" s="36" t="n"/>
      <c r="B324" s="36" t="n"/>
      <c r="C324" s="37" t="n"/>
      <c r="D324" s="37" t="n"/>
      <c r="E324" s="37" t="n"/>
      <c r="F324" s="36" t="n"/>
      <c r="G324" s="38" t="n"/>
      <c r="H324" s="39" t="n"/>
      <c r="I324" s="40">
        <f>IF(OR(G324="",H324=""),"",G324-H324)</f>
        <v/>
      </c>
      <c r="J324" s="37" t="n"/>
      <c r="K324" s="37" t="n"/>
      <c r="L324" s="41">
        <f>IF(IFERROR(INDEX(lst_cat_wish,MATCH(D324,lst_cats,0))="Да",FALSE),MAX($L$4:L323)+1,"")</f>
        <v/>
      </c>
    </row>
    <row r="325">
      <c r="A325" s="36" t="n"/>
      <c r="B325" s="36" t="n"/>
      <c r="C325" s="37" t="n"/>
      <c r="D325" s="37" t="n"/>
      <c r="E325" s="37" t="n"/>
      <c r="F325" s="36" t="n"/>
      <c r="G325" s="38" t="n"/>
      <c r="H325" s="39" t="n"/>
      <c r="I325" s="40">
        <f>IF(OR(G325="",H325=""),"",G325-H325)</f>
        <v/>
      </c>
      <c r="J325" s="37" t="n"/>
      <c r="K325" s="37" t="n"/>
      <c r="L325" s="41">
        <f>IF(IFERROR(INDEX(lst_cat_wish,MATCH(D325,lst_cats,0))="Да",FALSE),MAX($L$4:L324)+1,"")</f>
        <v/>
      </c>
    </row>
    <row r="326">
      <c r="A326" s="36" t="n"/>
      <c r="B326" s="36" t="n"/>
      <c r="C326" s="37" t="n"/>
      <c r="D326" s="37" t="n"/>
      <c r="E326" s="37" t="n"/>
      <c r="F326" s="36" t="n"/>
      <c r="G326" s="38" t="n"/>
      <c r="H326" s="39" t="n"/>
      <c r="I326" s="40">
        <f>IF(OR(G326="",H326=""),"",G326-H326)</f>
        <v/>
      </c>
      <c r="J326" s="37" t="n"/>
      <c r="K326" s="37" t="n"/>
      <c r="L326" s="41">
        <f>IF(IFERROR(INDEX(lst_cat_wish,MATCH(D326,lst_cats,0))="Да",FALSE),MAX($L$4:L325)+1,"")</f>
        <v/>
      </c>
    </row>
    <row r="327">
      <c r="A327" s="36" t="n"/>
      <c r="B327" s="36" t="n"/>
      <c r="C327" s="37" t="n"/>
      <c r="D327" s="37" t="n"/>
      <c r="E327" s="37" t="n"/>
      <c r="F327" s="36" t="n"/>
      <c r="G327" s="38" t="n"/>
      <c r="H327" s="39" t="n"/>
      <c r="I327" s="40">
        <f>IF(OR(G327="",H327=""),"",G327-H327)</f>
        <v/>
      </c>
      <c r="J327" s="37" t="n"/>
      <c r="K327" s="37" t="n"/>
      <c r="L327" s="41">
        <f>IF(IFERROR(INDEX(lst_cat_wish,MATCH(D327,lst_cats,0))="Да",FALSE),MAX($L$4:L326)+1,"")</f>
        <v/>
      </c>
    </row>
    <row r="328">
      <c r="A328" s="36" t="n"/>
      <c r="B328" s="36" t="n"/>
      <c r="C328" s="37" t="n"/>
      <c r="D328" s="37" t="n"/>
      <c r="E328" s="37" t="n"/>
      <c r="F328" s="36" t="n"/>
      <c r="G328" s="38" t="n"/>
      <c r="H328" s="39" t="n"/>
      <c r="I328" s="40">
        <f>IF(OR(G328="",H328=""),"",G328-H328)</f>
        <v/>
      </c>
      <c r="J328" s="37" t="n"/>
      <c r="K328" s="37" t="n"/>
      <c r="L328" s="41">
        <f>IF(IFERROR(INDEX(lst_cat_wish,MATCH(D328,lst_cats,0))="Да",FALSE),MAX($L$4:L327)+1,"")</f>
        <v/>
      </c>
    </row>
    <row r="329">
      <c r="A329" s="36" t="n"/>
      <c r="B329" s="36" t="n"/>
      <c r="C329" s="37" t="n"/>
      <c r="D329" s="37" t="n"/>
      <c r="E329" s="37" t="n"/>
      <c r="F329" s="36" t="n"/>
      <c r="G329" s="38" t="n"/>
      <c r="H329" s="39" t="n"/>
      <c r="I329" s="40">
        <f>IF(OR(G329="",H329=""),"",G329-H329)</f>
        <v/>
      </c>
      <c r="J329" s="37" t="n"/>
      <c r="K329" s="37" t="n"/>
      <c r="L329" s="41">
        <f>IF(IFERROR(INDEX(lst_cat_wish,MATCH(D329,lst_cats,0))="Да",FALSE),MAX($L$4:L328)+1,"")</f>
        <v/>
      </c>
    </row>
    <row r="330">
      <c r="A330" s="36" t="n"/>
      <c r="B330" s="36" t="n"/>
      <c r="C330" s="37" t="n"/>
      <c r="D330" s="37" t="n"/>
      <c r="E330" s="37" t="n"/>
      <c r="F330" s="36" t="n"/>
      <c r="G330" s="38" t="n"/>
      <c r="H330" s="39" t="n"/>
      <c r="I330" s="40">
        <f>IF(OR(G330="",H330=""),"",G330-H330)</f>
        <v/>
      </c>
      <c r="J330" s="37" t="n"/>
      <c r="K330" s="37" t="n"/>
      <c r="L330" s="41">
        <f>IF(IFERROR(INDEX(lst_cat_wish,MATCH(D330,lst_cats,0))="Да",FALSE),MAX($L$4:L329)+1,"")</f>
        <v/>
      </c>
    </row>
    <row r="331">
      <c r="A331" s="36" t="n"/>
      <c r="B331" s="36" t="n"/>
      <c r="C331" s="37" t="n"/>
      <c r="D331" s="37" t="n"/>
      <c r="E331" s="37" t="n"/>
      <c r="F331" s="36" t="n"/>
      <c r="G331" s="38" t="n"/>
      <c r="H331" s="39" t="n"/>
      <c r="I331" s="40">
        <f>IF(OR(G331="",H331=""),"",G331-H331)</f>
        <v/>
      </c>
      <c r="J331" s="37" t="n"/>
      <c r="K331" s="37" t="n"/>
      <c r="L331" s="41">
        <f>IF(IFERROR(INDEX(lst_cat_wish,MATCH(D331,lst_cats,0))="Да",FALSE),MAX($L$4:L330)+1,"")</f>
        <v/>
      </c>
    </row>
    <row r="332">
      <c r="A332" s="36" t="n"/>
      <c r="B332" s="36" t="n"/>
      <c r="C332" s="37" t="n"/>
      <c r="D332" s="37" t="n"/>
      <c r="E332" s="37" t="n"/>
      <c r="F332" s="36" t="n"/>
      <c r="G332" s="38" t="n"/>
      <c r="H332" s="39" t="n"/>
      <c r="I332" s="40">
        <f>IF(OR(G332="",H332=""),"",G332-H332)</f>
        <v/>
      </c>
      <c r="J332" s="37" t="n"/>
      <c r="K332" s="37" t="n"/>
      <c r="L332" s="41">
        <f>IF(IFERROR(INDEX(lst_cat_wish,MATCH(D332,lst_cats,0))="Да",FALSE),MAX($L$4:L331)+1,"")</f>
        <v/>
      </c>
    </row>
    <row r="333">
      <c r="A333" s="36" t="n"/>
      <c r="B333" s="36" t="n"/>
      <c r="C333" s="37" t="n"/>
      <c r="D333" s="37" t="n"/>
      <c r="E333" s="37" t="n"/>
      <c r="F333" s="36" t="n"/>
      <c r="G333" s="38" t="n"/>
      <c r="H333" s="39" t="n"/>
      <c r="I333" s="40">
        <f>IF(OR(G333="",H333=""),"",G333-H333)</f>
        <v/>
      </c>
      <c r="J333" s="37" t="n"/>
      <c r="K333" s="37" t="n"/>
      <c r="L333" s="41">
        <f>IF(IFERROR(INDEX(lst_cat_wish,MATCH(D333,lst_cats,0))="Да",FALSE),MAX($L$4:L332)+1,"")</f>
        <v/>
      </c>
    </row>
    <row r="334">
      <c r="A334" s="36" t="n"/>
      <c r="B334" s="36" t="n"/>
      <c r="C334" s="37" t="n"/>
      <c r="D334" s="37" t="n"/>
      <c r="E334" s="37" t="n"/>
      <c r="F334" s="36" t="n"/>
      <c r="G334" s="38" t="n"/>
      <c r="H334" s="39" t="n"/>
      <c r="I334" s="40">
        <f>IF(OR(G334="",H334=""),"",G334-H334)</f>
        <v/>
      </c>
      <c r="J334" s="37" t="n"/>
      <c r="K334" s="37" t="n"/>
      <c r="L334" s="41">
        <f>IF(IFERROR(INDEX(lst_cat_wish,MATCH(D334,lst_cats,0))="Да",FALSE),MAX($L$4:L333)+1,"")</f>
        <v/>
      </c>
    </row>
    <row r="335">
      <c r="A335" s="36" t="n"/>
      <c r="B335" s="36" t="n"/>
      <c r="C335" s="37" t="n"/>
      <c r="D335" s="37" t="n"/>
      <c r="E335" s="37" t="n"/>
      <c r="F335" s="36" t="n"/>
      <c r="G335" s="38" t="n"/>
      <c r="H335" s="39" t="n"/>
      <c r="I335" s="40">
        <f>IF(OR(G335="",H335=""),"",G335-H335)</f>
        <v/>
      </c>
      <c r="J335" s="37" t="n"/>
      <c r="K335" s="37" t="n"/>
      <c r="L335" s="41">
        <f>IF(IFERROR(INDEX(lst_cat_wish,MATCH(D335,lst_cats,0))="Да",FALSE),MAX($L$4:L334)+1,"")</f>
        <v/>
      </c>
    </row>
    <row r="336">
      <c r="A336" s="36" t="n"/>
      <c r="B336" s="36" t="n"/>
      <c r="C336" s="37" t="n"/>
      <c r="D336" s="37" t="n"/>
      <c r="E336" s="37" t="n"/>
      <c r="F336" s="36" t="n"/>
      <c r="G336" s="38" t="n"/>
      <c r="H336" s="39" t="n"/>
      <c r="I336" s="40">
        <f>IF(OR(G336="",H336=""),"",G336-H336)</f>
        <v/>
      </c>
      <c r="J336" s="37" t="n"/>
      <c r="K336" s="37" t="n"/>
      <c r="L336" s="41">
        <f>IF(IFERROR(INDEX(lst_cat_wish,MATCH(D336,lst_cats,0))="Да",FALSE),MAX($L$4:L335)+1,"")</f>
        <v/>
      </c>
    </row>
    <row r="337">
      <c r="A337" s="36" t="n"/>
      <c r="B337" s="36" t="n"/>
      <c r="C337" s="37" t="n"/>
      <c r="D337" s="37" t="n"/>
      <c r="E337" s="37" t="n"/>
      <c r="F337" s="36" t="n"/>
      <c r="G337" s="38" t="n"/>
      <c r="H337" s="39" t="n"/>
      <c r="I337" s="40">
        <f>IF(OR(G337="",H337=""),"",G337-H337)</f>
        <v/>
      </c>
      <c r="J337" s="37" t="n"/>
      <c r="K337" s="37" t="n"/>
      <c r="L337" s="41">
        <f>IF(IFERROR(INDEX(lst_cat_wish,MATCH(D337,lst_cats,0))="Да",FALSE),MAX($L$4:L336)+1,"")</f>
        <v/>
      </c>
    </row>
    <row r="338">
      <c r="A338" s="36" t="n"/>
      <c r="B338" s="36" t="n"/>
      <c r="C338" s="37" t="n"/>
      <c r="D338" s="37" t="n"/>
      <c r="E338" s="37" t="n"/>
      <c r="F338" s="36" t="n"/>
      <c r="G338" s="38" t="n"/>
      <c r="H338" s="39" t="n"/>
      <c r="I338" s="40">
        <f>IF(OR(G338="",H338=""),"",G338-H338)</f>
        <v/>
      </c>
      <c r="J338" s="37" t="n"/>
      <c r="K338" s="37" t="n"/>
      <c r="L338" s="41">
        <f>IF(IFERROR(INDEX(lst_cat_wish,MATCH(D338,lst_cats,0))="Да",FALSE),MAX($L$4:L337)+1,"")</f>
        <v/>
      </c>
    </row>
    <row r="339">
      <c r="A339" s="36" t="n"/>
      <c r="B339" s="36" t="n"/>
      <c r="C339" s="37" t="n"/>
      <c r="D339" s="37" t="n"/>
      <c r="E339" s="37" t="n"/>
      <c r="F339" s="36" t="n"/>
      <c r="G339" s="38" t="n"/>
      <c r="H339" s="39" t="n"/>
      <c r="I339" s="40">
        <f>IF(OR(G339="",H339=""),"",G339-H339)</f>
        <v/>
      </c>
      <c r="J339" s="37" t="n"/>
      <c r="K339" s="37" t="n"/>
      <c r="L339" s="41">
        <f>IF(IFERROR(INDEX(lst_cat_wish,MATCH(D339,lst_cats,0))="Да",FALSE),MAX($L$4:L338)+1,"")</f>
        <v/>
      </c>
    </row>
    <row r="340">
      <c r="A340" s="36" t="n"/>
      <c r="B340" s="36" t="n"/>
      <c r="C340" s="37" t="n"/>
      <c r="D340" s="37" t="n"/>
      <c r="E340" s="37" t="n"/>
      <c r="F340" s="36" t="n"/>
      <c r="G340" s="38" t="n"/>
      <c r="H340" s="39" t="n"/>
      <c r="I340" s="40">
        <f>IF(OR(G340="",H340=""),"",G340-H340)</f>
        <v/>
      </c>
      <c r="J340" s="37" t="n"/>
      <c r="K340" s="37" t="n"/>
      <c r="L340" s="41">
        <f>IF(IFERROR(INDEX(lst_cat_wish,MATCH(D340,lst_cats,0))="Да",FALSE),MAX($L$4:L339)+1,"")</f>
        <v/>
      </c>
    </row>
    <row r="341">
      <c r="A341" s="36" t="n"/>
      <c r="B341" s="36" t="n"/>
      <c r="C341" s="37" t="n"/>
      <c r="D341" s="37" t="n"/>
      <c r="E341" s="37" t="n"/>
      <c r="F341" s="36" t="n"/>
      <c r="G341" s="38" t="n"/>
      <c r="H341" s="39" t="n"/>
      <c r="I341" s="40">
        <f>IF(OR(G341="",H341=""),"",G341-H341)</f>
        <v/>
      </c>
      <c r="J341" s="37" t="n"/>
      <c r="K341" s="37" t="n"/>
      <c r="L341" s="41">
        <f>IF(IFERROR(INDEX(lst_cat_wish,MATCH(D341,lst_cats,0))="Да",FALSE),MAX($L$4:L340)+1,"")</f>
        <v/>
      </c>
    </row>
    <row r="342">
      <c r="A342" s="36" t="n"/>
      <c r="B342" s="36" t="n"/>
      <c r="C342" s="37" t="n"/>
      <c r="D342" s="37" t="n"/>
      <c r="E342" s="37" t="n"/>
      <c r="F342" s="36" t="n"/>
      <c r="G342" s="38" t="n"/>
      <c r="H342" s="39" t="n"/>
      <c r="I342" s="40">
        <f>IF(OR(G342="",H342=""),"",G342-H342)</f>
        <v/>
      </c>
      <c r="J342" s="37" t="n"/>
      <c r="K342" s="37" t="n"/>
      <c r="L342" s="41">
        <f>IF(IFERROR(INDEX(lst_cat_wish,MATCH(D342,lst_cats,0))="Да",FALSE),MAX($L$4:L341)+1,"")</f>
        <v/>
      </c>
    </row>
    <row r="343">
      <c r="A343" s="36" t="n"/>
      <c r="B343" s="36" t="n"/>
      <c r="C343" s="37" t="n"/>
      <c r="D343" s="37" t="n"/>
      <c r="E343" s="37" t="n"/>
      <c r="F343" s="36" t="n"/>
      <c r="G343" s="38" t="n"/>
      <c r="H343" s="39" t="n"/>
      <c r="I343" s="40">
        <f>IF(OR(G343="",H343=""),"",G343-H343)</f>
        <v/>
      </c>
      <c r="J343" s="37" t="n"/>
      <c r="K343" s="37" t="n"/>
      <c r="L343" s="41">
        <f>IF(IFERROR(INDEX(lst_cat_wish,MATCH(D343,lst_cats,0))="Да",FALSE),MAX($L$4:L342)+1,"")</f>
        <v/>
      </c>
    </row>
    <row r="344">
      <c r="A344" s="36" t="n"/>
      <c r="B344" s="36" t="n"/>
      <c r="C344" s="37" t="n"/>
      <c r="D344" s="37" t="n"/>
      <c r="E344" s="37" t="n"/>
      <c r="F344" s="36" t="n"/>
      <c r="G344" s="38" t="n"/>
      <c r="H344" s="39" t="n"/>
      <c r="I344" s="40">
        <f>IF(OR(G344="",H344=""),"",G344-H344)</f>
        <v/>
      </c>
      <c r="J344" s="37" t="n"/>
      <c r="K344" s="37" t="n"/>
      <c r="L344" s="41">
        <f>IF(IFERROR(INDEX(lst_cat_wish,MATCH(D344,lst_cats,0))="Да",FALSE),MAX($L$4:L343)+1,"")</f>
        <v/>
      </c>
    </row>
    <row r="345">
      <c r="A345" s="36" t="n"/>
      <c r="B345" s="36" t="n"/>
      <c r="C345" s="37" t="n"/>
      <c r="D345" s="37" t="n"/>
      <c r="E345" s="37" t="n"/>
      <c r="F345" s="36" t="n"/>
      <c r="G345" s="38" t="n"/>
      <c r="H345" s="39" t="n"/>
      <c r="I345" s="40">
        <f>IF(OR(G345="",H345=""),"",G345-H345)</f>
        <v/>
      </c>
      <c r="J345" s="37" t="n"/>
      <c r="K345" s="37" t="n"/>
      <c r="L345" s="41">
        <f>IF(IFERROR(INDEX(lst_cat_wish,MATCH(D345,lst_cats,0))="Да",FALSE),MAX($L$4:L344)+1,"")</f>
        <v/>
      </c>
    </row>
    <row r="346">
      <c r="A346" s="36" t="n"/>
      <c r="B346" s="36" t="n"/>
      <c r="C346" s="37" t="n"/>
      <c r="D346" s="37" t="n"/>
      <c r="E346" s="37" t="n"/>
      <c r="F346" s="36" t="n"/>
      <c r="G346" s="38" t="n"/>
      <c r="H346" s="39" t="n"/>
      <c r="I346" s="40">
        <f>IF(OR(G346="",H346=""),"",G346-H346)</f>
        <v/>
      </c>
      <c r="J346" s="37" t="n"/>
      <c r="K346" s="37" t="n"/>
      <c r="L346" s="41">
        <f>IF(IFERROR(INDEX(lst_cat_wish,MATCH(D346,lst_cats,0))="Да",FALSE),MAX($L$4:L345)+1,"")</f>
        <v/>
      </c>
    </row>
    <row r="347">
      <c r="A347" s="36" t="n"/>
      <c r="B347" s="36" t="n"/>
      <c r="C347" s="37" t="n"/>
      <c r="D347" s="37" t="n"/>
      <c r="E347" s="37" t="n"/>
      <c r="F347" s="36" t="n"/>
      <c r="G347" s="38" t="n"/>
      <c r="H347" s="39" t="n"/>
      <c r="I347" s="40">
        <f>IF(OR(G347="",H347=""),"",G347-H347)</f>
        <v/>
      </c>
      <c r="J347" s="37" t="n"/>
      <c r="K347" s="37" t="n"/>
      <c r="L347" s="41">
        <f>IF(IFERROR(INDEX(lst_cat_wish,MATCH(D347,lst_cats,0))="Да",FALSE),MAX($L$4:L346)+1,"")</f>
        <v/>
      </c>
    </row>
    <row r="348">
      <c r="A348" s="36" t="n"/>
      <c r="B348" s="36" t="n"/>
      <c r="C348" s="37" t="n"/>
      <c r="D348" s="37" t="n"/>
      <c r="E348" s="37" t="n"/>
      <c r="F348" s="36" t="n"/>
      <c r="G348" s="38" t="n"/>
      <c r="H348" s="39" t="n"/>
      <c r="I348" s="40">
        <f>IF(OR(G348="",H348=""),"",G348-H348)</f>
        <v/>
      </c>
      <c r="J348" s="37" t="n"/>
      <c r="K348" s="37" t="n"/>
      <c r="L348" s="41">
        <f>IF(IFERROR(INDEX(lst_cat_wish,MATCH(D348,lst_cats,0))="Да",FALSE),MAX($L$4:L347)+1,"")</f>
        <v/>
      </c>
    </row>
    <row r="349">
      <c r="A349" s="36" t="n"/>
      <c r="B349" s="36" t="n"/>
      <c r="C349" s="37" t="n"/>
      <c r="D349" s="37" t="n"/>
      <c r="E349" s="37" t="n"/>
      <c r="F349" s="36" t="n"/>
      <c r="G349" s="38" t="n"/>
      <c r="H349" s="39" t="n"/>
      <c r="I349" s="40">
        <f>IF(OR(G349="",H349=""),"",G349-H349)</f>
        <v/>
      </c>
      <c r="J349" s="37" t="n"/>
      <c r="K349" s="37" t="n"/>
      <c r="L349" s="41">
        <f>IF(IFERROR(INDEX(lst_cat_wish,MATCH(D349,lst_cats,0))="Да",FALSE),MAX($L$4:L348)+1,"")</f>
        <v/>
      </c>
    </row>
    <row r="350">
      <c r="A350" s="36" t="n"/>
      <c r="B350" s="36" t="n"/>
      <c r="C350" s="37" t="n"/>
      <c r="D350" s="37" t="n"/>
      <c r="E350" s="37" t="n"/>
      <c r="F350" s="36" t="n"/>
      <c r="G350" s="38" t="n"/>
      <c r="H350" s="39" t="n"/>
      <c r="I350" s="40">
        <f>IF(OR(G350="",H350=""),"",G350-H350)</f>
        <v/>
      </c>
      <c r="J350" s="37" t="n"/>
      <c r="K350" s="37" t="n"/>
      <c r="L350" s="41">
        <f>IF(IFERROR(INDEX(lst_cat_wish,MATCH(D350,lst_cats,0))="Да",FALSE),MAX($L$4:L349)+1,"")</f>
        <v/>
      </c>
    </row>
    <row r="351">
      <c r="A351" s="36" t="n"/>
      <c r="B351" s="36" t="n"/>
      <c r="C351" s="37" t="n"/>
      <c r="D351" s="37" t="n"/>
      <c r="E351" s="37" t="n"/>
      <c r="F351" s="36" t="n"/>
      <c r="G351" s="38" t="n"/>
      <c r="H351" s="39" t="n"/>
      <c r="I351" s="40">
        <f>IF(OR(G351="",H351=""),"",G351-H351)</f>
        <v/>
      </c>
      <c r="J351" s="37" t="n"/>
      <c r="K351" s="37" t="n"/>
      <c r="L351" s="41">
        <f>IF(IFERROR(INDEX(lst_cat_wish,MATCH(D351,lst_cats,0))="Да",FALSE),MAX($L$4:L350)+1,"")</f>
        <v/>
      </c>
    </row>
    <row r="352">
      <c r="A352" s="36" t="n"/>
      <c r="B352" s="36" t="n"/>
      <c r="C352" s="37" t="n"/>
      <c r="D352" s="37" t="n"/>
      <c r="E352" s="37" t="n"/>
      <c r="F352" s="36" t="n"/>
      <c r="G352" s="38" t="n"/>
      <c r="H352" s="39" t="n"/>
      <c r="I352" s="40">
        <f>IF(OR(G352="",H352=""),"",G352-H352)</f>
        <v/>
      </c>
      <c r="J352" s="37" t="n"/>
      <c r="K352" s="37" t="n"/>
      <c r="L352" s="41">
        <f>IF(IFERROR(INDEX(lst_cat_wish,MATCH(D352,lst_cats,0))="Да",FALSE),MAX($L$4:L351)+1,"")</f>
        <v/>
      </c>
    </row>
    <row r="353">
      <c r="A353" s="36" t="n"/>
      <c r="B353" s="36" t="n"/>
      <c r="C353" s="37" t="n"/>
      <c r="D353" s="37" t="n"/>
      <c r="E353" s="37" t="n"/>
      <c r="F353" s="36" t="n"/>
      <c r="G353" s="38" t="n"/>
      <c r="H353" s="39" t="n"/>
      <c r="I353" s="40">
        <f>IF(OR(G353="",H353=""),"",G353-H353)</f>
        <v/>
      </c>
      <c r="J353" s="37" t="n"/>
      <c r="K353" s="37" t="n"/>
      <c r="L353" s="41">
        <f>IF(IFERROR(INDEX(lst_cat_wish,MATCH(D353,lst_cats,0))="Да",FALSE),MAX($L$4:L352)+1,"")</f>
        <v/>
      </c>
    </row>
    <row r="354">
      <c r="A354" s="36" t="n"/>
      <c r="B354" s="36" t="n"/>
      <c r="C354" s="37" t="n"/>
      <c r="D354" s="37" t="n"/>
      <c r="E354" s="37" t="n"/>
      <c r="F354" s="36" t="n"/>
      <c r="G354" s="38" t="n"/>
      <c r="H354" s="39" t="n"/>
      <c r="I354" s="40">
        <f>IF(OR(G354="",H354=""),"",G354-H354)</f>
        <v/>
      </c>
      <c r="J354" s="37" t="n"/>
      <c r="K354" s="37" t="n"/>
      <c r="L354" s="41">
        <f>IF(IFERROR(INDEX(lst_cat_wish,MATCH(D354,lst_cats,0))="Да",FALSE),MAX($L$4:L353)+1,"")</f>
        <v/>
      </c>
    </row>
    <row r="355">
      <c r="A355" s="36" t="n"/>
      <c r="B355" s="36" t="n"/>
      <c r="C355" s="37" t="n"/>
      <c r="D355" s="37" t="n"/>
      <c r="E355" s="37" t="n"/>
      <c r="F355" s="36" t="n"/>
      <c r="G355" s="38" t="n"/>
      <c r="H355" s="39" t="n"/>
      <c r="I355" s="40">
        <f>IF(OR(G355="",H355=""),"",G355-H355)</f>
        <v/>
      </c>
      <c r="J355" s="37" t="n"/>
      <c r="K355" s="37" t="n"/>
      <c r="L355" s="41">
        <f>IF(IFERROR(INDEX(lst_cat_wish,MATCH(D355,lst_cats,0))="Да",FALSE),MAX($L$4:L354)+1,"")</f>
        <v/>
      </c>
    </row>
    <row r="356">
      <c r="A356" s="36" t="n"/>
      <c r="B356" s="36" t="n"/>
      <c r="C356" s="37" t="n"/>
      <c r="D356" s="37" t="n"/>
      <c r="E356" s="37" t="n"/>
      <c r="F356" s="36" t="n"/>
      <c r="G356" s="38" t="n"/>
      <c r="H356" s="39" t="n"/>
      <c r="I356" s="40">
        <f>IF(OR(G356="",H356=""),"",G356-H356)</f>
        <v/>
      </c>
      <c r="J356" s="37" t="n"/>
      <c r="K356" s="37" t="n"/>
      <c r="L356" s="41">
        <f>IF(IFERROR(INDEX(lst_cat_wish,MATCH(D356,lst_cats,0))="Да",FALSE),MAX($L$4:L355)+1,"")</f>
        <v/>
      </c>
    </row>
    <row r="357">
      <c r="A357" s="36" t="n"/>
      <c r="B357" s="36" t="n"/>
      <c r="C357" s="37" t="n"/>
      <c r="D357" s="37" t="n"/>
      <c r="E357" s="37" t="n"/>
      <c r="F357" s="36" t="n"/>
      <c r="G357" s="38" t="n"/>
      <c r="H357" s="39" t="n"/>
      <c r="I357" s="40">
        <f>IF(OR(G357="",H357=""),"",G357-H357)</f>
        <v/>
      </c>
      <c r="J357" s="37" t="n"/>
      <c r="K357" s="37" t="n"/>
      <c r="L357" s="41">
        <f>IF(IFERROR(INDEX(lst_cat_wish,MATCH(D357,lst_cats,0))="Да",FALSE),MAX($L$4:L356)+1,"")</f>
        <v/>
      </c>
    </row>
    <row r="358">
      <c r="A358" s="36" t="n"/>
      <c r="B358" s="36" t="n"/>
      <c r="C358" s="37" t="n"/>
      <c r="D358" s="37" t="n"/>
      <c r="E358" s="37" t="n"/>
      <c r="F358" s="36" t="n"/>
      <c r="G358" s="38" t="n"/>
      <c r="H358" s="39" t="n"/>
      <c r="I358" s="40">
        <f>IF(OR(G358="",H358=""),"",G358-H358)</f>
        <v/>
      </c>
      <c r="J358" s="37" t="n"/>
      <c r="K358" s="37" t="n"/>
      <c r="L358" s="41">
        <f>IF(IFERROR(INDEX(lst_cat_wish,MATCH(D358,lst_cats,0))="Да",FALSE),MAX($L$4:L357)+1,"")</f>
        <v/>
      </c>
    </row>
    <row r="359">
      <c r="A359" s="36" t="n"/>
      <c r="B359" s="36" t="n"/>
      <c r="C359" s="37" t="n"/>
      <c r="D359" s="37" t="n"/>
      <c r="E359" s="37" t="n"/>
      <c r="F359" s="36" t="n"/>
      <c r="G359" s="38" t="n"/>
      <c r="H359" s="39" t="n"/>
      <c r="I359" s="40">
        <f>IF(OR(G359="",H359=""),"",G359-H359)</f>
        <v/>
      </c>
      <c r="J359" s="37" t="n"/>
      <c r="K359" s="37" t="n"/>
      <c r="L359" s="41">
        <f>IF(IFERROR(INDEX(lst_cat_wish,MATCH(D359,lst_cats,0))="Да",FALSE),MAX($L$4:L358)+1,"")</f>
        <v/>
      </c>
    </row>
    <row r="360">
      <c r="A360" s="36" t="n"/>
      <c r="B360" s="36" t="n"/>
      <c r="C360" s="37" t="n"/>
      <c r="D360" s="37" t="n"/>
      <c r="E360" s="37" t="n"/>
      <c r="F360" s="36" t="n"/>
      <c r="G360" s="38" t="n"/>
      <c r="H360" s="39" t="n"/>
      <c r="I360" s="40">
        <f>IF(OR(G360="",H360=""),"",G360-H360)</f>
        <v/>
      </c>
      <c r="J360" s="37" t="n"/>
      <c r="K360" s="37" t="n"/>
      <c r="L360" s="41">
        <f>IF(IFERROR(INDEX(lst_cat_wish,MATCH(D360,lst_cats,0))="Да",FALSE),MAX($L$4:L359)+1,"")</f>
        <v/>
      </c>
    </row>
    <row r="361">
      <c r="A361" s="36" t="n"/>
      <c r="B361" s="36" t="n"/>
      <c r="C361" s="37" t="n"/>
      <c r="D361" s="37" t="n"/>
      <c r="E361" s="37" t="n"/>
      <c r="F361" s="36" t="n"/>
      <c r="G361" s="38" t="n"/>
      <c r="H361" s="39" t="n"/>
      <c r="I361" s="40">
        <f>IF(OR(G361="",H361=""),"",G361-H361)</f>
        <v/>
      </c>
      <c r="J361" s="37" t="n"/>
      <c r="K361" s="37" t="n"/>
      <c r="L361" s="41">
        <f>IF(IFERROR(INDEX(lst_cat_wish,MATCH(D361,lst_cats,0))="Да",FALSE),MAX($L$4:L360)+1,"")</f>
        <v/>
      </c>
    </row>
    <row r="362">
      <c r="A362" s="36" t="n"/>
      <c r="B362" s="36" t="n"/>
      <c r="C362" s="37" t="n"/>
      <c r="D362" s="37" t="n"/>
      <c r="E362" s="37" t="n"/>
      <c r="F362" s="36" t="n"/>
      <c r="G362" s="38" t="n"/>
      <c r="H362" s="39" t="n"/>
      <c r="I362" s="40">
        <f>IF(OR(G362="",H362=""),"",G362-H362)</f>
        <v/>
      </c>
      <c r="J362" s="37" t="n"/>
      <c r="K362" s="37" t="n"/>
      <c r="L362" s="41">
        <f>IF(IFERROR(INDEX(lst_cat_wish,MATCH(D362,lst_cats,0))="Да",FALSE),MAX($L$4:L361)+1,"")</f>
        <v/>
      </c>
    </row>
    <row r="363">
      <c r="A363" s="36" t="n"/>
      <c r="B363" s="36" t="n"/>
      <c r="C363" s="37" t="n"/>
      <c r="D363" s="37" t="n"/>
      <c r="E363" s="37" t="n"/>
      <c r="F363" s="36" t="n"/>
      <c r="G363" s="38" t="n"/>
      <c r="H363" s="39" t="n"/>
      <c r="I363" s="40">
        <f>IF(OR(G363="",H363=""),"",G363-H363)</f>
        <v/>
      </c>
      <c r="J363" s="37" t="n"/>
      <c r="K363" s="37" t="n"/>
      <c r="L363" s="41">
        <f>IF(IFERROR(INDEX(lst_cat_wish,MATCH(D363,lst_cats,0))="Да",FALSE),MAX($L$4:L362)+1,"")</f>
        <v/>
      </c>
    </row>
    <row r="364">
      <c r="A364" s="36" t="n"/>
      <c r="B364" s="36" t="n"/>
      <c r="C364" s="37" t="n"/>
      <c r="D364" s="37" t="n"/>
      <c r="E364" s="37" t="n"/>
      <c r="F364" s="36" t="n"/>
      <c r="G364" s="38" t="n"/>
      <c r="H364" s="39" t="n"/>
      <c r="I364" s="40">
        <f>IF(OR(G364="",H364=""),"",G364-H364)</f>
        <v/>
      </c>
      <c r="J364" s="37" t="n"/>
      <c r="K364" s="37" t="n"/>
      <c r="L364" s="41">
        <f>IF(IFERROR(INDEX(lst_cat_wish,MATCH(D364,lst_cats,0))="Да",FALSE),MAX($L$4:L363)+1,"")</f>
        <v/>
      </c>
    </row>
    <row r="365">
      <c r="A365" s="36" t="n"/>
      <c r="B365" s="36" t="n"/>
      <c r="C365" s="37" t="n"/>
      <c r="D365" s="37" t="n"/>
      <c r="E365" s="37" t="n"/>
      <c r="F365" s="36" t="n"/>
      <c r="G365" s="38" t="n"/>
      <c r="H365" s="39" t="n"/>
      <c r="I365" s="40">
        <f>IF(OR(G365="",H365=""),"",G365-H365)</f>
        <v/>
      </c>
      <c r="J365" s="37" t="n"/>
      <c r="K365" s="37" t="n"/>
      <c r="L365" s="41">
        <f>IF(IFERROR(INDEX(lst_cat_wish,MATCH(D365,lst_cats,0))="Да",FALSE),MAX($L$4:L364)+1,"")</f>
        <v/>
      </c>
    </row>
    <row r="366">
      <c r="A366" s="36" t="n"/>
      <c r="B366" s="36" t="n"/>
      <c r="C366" s="37" t="n"/>
      <c r="D366" s="37" t="n"/>
      <c r="E366" s="37" t="n"/>
      <c r="F366" s="36" t="n"/>
      <c r="G366" s="38" t="n"/>
      <c r="H366" s="39" t="n"/>
      <c r="I366" s="40">
        <f>IF(OR(G366="",H366=""),"",G366-H366)</f>
        <v/>
      </c>
      <c r="J366" s="37" t="n"/>
      <c r="K366" s="37" t="n"/>
      <c r="L366" s="41">
        <f>IF(IFERROR(INDEX(lst_cat_wish,MATCH(D366,lst_cats,0))="Да",FALSE),MAX($L$4:L365)+1,"")</f>
        <v/>
      </c>
    </row>
    <row r="367">
      <c r="A367" s="36" t="n"/>
      <c r="B367" s="36" t="n"/>
      <c r="C367" s="37" t="n"/>
      <c r="D367" s="37" t="n"/>
      <c r="E367" s="37" t="n"/>
      <c r="F367" s="36" t="n"/>
      <c r="G367" s="38" t="n"/>
      <c r="H367" s="39" t="n"/>
      <c r="I367" s="40">
        <f>IF(OR(G367="",H367=""),"",G367-H367)</f>
        <v/>
      </c>
      <c r="J367" s="37" t="n"/>
      <c r="K367" s="37" t="n"/>
      <c r="L367" s="41">
        <f>IF(IFERROR(INDEX(lst_cat_wish,MATCH(D367,lst_cats,0))="Да",FALSE),MAX($L$4:L366)+1,"")</f>
        <v/>
      </c>
    </row>
    <row r="368">
      <c r="A368" s="36" t="n"/>
      <c r="B368" s="36" t="n"/>
      <c r="C368" s="37" t="n"/>
      <c r="D368" s="37" t="n"/>
      <c r="E368" s="37" t="n"/>
      <c r="F368" s="36" t="n"/>
      <c r="G368" s="38" t="n"/>
      <c r="H368" s="39" t="n"/>
      <c r="I368" s="40">
        <f>IF(OR(G368="",H368=""),"",G368-H368)</f>
        <v/>
      </c>
      <c r="J368" s="37" t="n"/>
      <c r="K368" s="37" t="n"/>
      <c r="L368" s="41">
        <f>IF(IFERROR(INDEX(lst_cat_wish,MATCH(D368,lst_cats,0))="Да",FALSE),MAX($L$4:L367)+1,"")</f>
        <v/>
      </c>
    </row>
    <row r="369">
      <c r="A369" s="36" t="n"/>
      <c r="B369" s="36" t="n"/>
      <c r="C369" s="37" t="n"/>
      <c r="D369" s="37" t="n"/>
      <c r="E369" s="37" t="n"/>
      <c r="F369" s="36" t="n"/>
      <c r="G369" s="38" t="n"/>
      <c r="H369" s="39" t="n"/>
      <c r="I369" s="40">
        <f>IF(OR(G369="",H369=""),"",G369-H369)</f>
        <v/>
      </c>
      <c r="J369" s="37" t="n"/>
      <c r="K369" s="37" t="n"/>
      <c r="L369" s="41">
        <f>IF(IFERROR(INDEX(lst_cat_wish,MATCH(D369,lst_cats,0))="Да",FALSE),MAX($L$4:L368)+1,"")</f>
        <v/>
      </c>
    </row>
    <row r="370">
      <c r="A370" s="36" t="n"/>
      <c r="B370" s="36" t="n"/>
      <c r="C370" s="37" t="n"/>
      <c r="D370" s="37" t="n"/>
      <c r="E370" s="37" t="n"/>
      <c r="F370" s="36" t="n"/>
      <c r="G370" s="38" t="n"/>
      <c r="H370" s="39" t="n"/>
      <c r="I370" s="40">
        <f>IF(OR(G370="",H370=""),"",G370-H370)</f>
        <v/>
      </c>
      <c r="J370" s="37" t="n"/>
      <c r="K370" s="37" t="n"/>
      <c r="L370" s="41">
        <f>IF(IFERROR(INDEX(lst_cat_wish,MATCH(D370,lst_cats,0))="Да",FALSE),MAX($L$4:L369)+1,"")</f>
        <v/>
      </c>
    </row>
    <row r="371">
      <c r="A371" s="36" t="n"/>
      <c r="B371" s="36" t="n"/>
      <c r="C371" s="37" t="n"/>
      <c r="D371" s="37" t="n"/>
      <c r="E371" s="37" t="n"/>
      <c r="F371" s="36" t="n"/>
      <c r="G371" s="38" t="n"/>
      <c r="H371" s="39" t="n"/>
      <c r="I371" s="40">
        <f>IF(OR(G371="",H371=""),"",G371-H371)</f>
        <v/>
      </c>
      <c r="J371" s="37" t="n"/>
      <c r="K371" s="37" t="n"/>
      <c r="L371" s="41">
        <f>IF(IFERROR(INDEX(lst_cat_wish,MATCH(D371,lst_cats,0))="Да",FALSE),MAX($L$4:L370)+1,"")</f>
        <v/>
      </c>
    </row>
    <row r="372">
      <c r="A372" s="36" t="n"/>
      <c r="B372" s="36" t="n"/>
      <c r="C372" s="37" t="n"/>
      <c r="D372" s="37" t="n"/>
      <c r="E372" s="37" t="n"/>
      <c r="F372" s="36" t="n"/>
      <c r="G372" s="38" t="n"/>
      <c r="H372" s="39" t="n"/>
      <c r="I372" s="40">
        <f>IF(OR(G372="",H372=""),"",G372-H372)</f>
        <v/>
      </c>
      <c r="J372" s="37" t="n"/>
      <c r="K372" s="37" t="n"/>
      <c r="L372" s="41">
        <f>IF(IFERROR(INDEX(lst_cat_wish,MATCH(D372,lst_cats,0))="Да",FALSE),MAX($L$4:L371)+1,"")</f>
        <v/>
      </c>
    </row>
    <row r="373">
      <c r="A373" s="36" t="n"/>
      <c r="B373" s="36" t="n"/>
      <c r="C373" s="37" t="n"/>
      <c r="D373" s="37" t="n"/>
      <c r="E373" s="37" t="n"/>
      <c r="F373" s="36" t="n"/>
      <c r="G373" s="38" t="n"/>
      <c r="H373" s="39" t="n"/>
      <c r="I373" s="40">
        <f>IF(OR(G373="",H373=""),"",G373-H373)</f>
        <v/>
      </c>
      <c r="J373" s="37" t="n"/>
      <c r="K373" s="37" t="n"/>
      <c r="L373" s="41">
        <f>IF(IFERROR(INDEX(lst_cat_wish,MATCH(D373,lst_cats,0))="Да",FALSE),MAX($L$4:L372)+1,"")</f>
        <v/>
      </c>
    </row>
    <row r="374">
      <c r="A374" s="36" t="n"/>
      <c r="B374" s="36" t="n"/>
      <c r="C374" s="37" t="n"/>
      <c r="D374" s="37" t="n"/>
      <c r="E374" s="37" t="n"/>
      <c r="F374" s="36" t="n"/>
      <c r="G374" s="38" t="n"/>
      <c r="H374" s="39" t="n"/>
      <c r="I374" s="40">
        <f>IF(OR(G374="",H374=""),"",G374-H374)</f>
        <v/>
      </c>
      <c r="J374" s="37" t="n"/>
      <c r="K374" s="37" t="n"/>
      <c r="L374" s="41">
        <f>IF(IFERROR(INDEX(lst_cat_wish,MATCH(D374,lst_cats,0))="Да",FALSE),MAX($L$4:L373)+1,"")</f>
        <v/>
      </c>
    </row>
    <row r="375">
      <c r="A375" s="36" t="n"/>
      <c r="B375" s="36" t="n"/>
      <c r="C375" s="37" t="n"/>
      <c r="D375" s="37" t="n"/>
      <c r="E375" s="37" t="n"/>
      <c r="F375" s="36" t="n"/>
      <c r="G375" s="38" t="n"/>
      <c r="H375" s="39" t="n"/>
      <c r="I375" s="40">
        <f>IF(OR(G375="",H375=""),"",G375-H375)</f>
        <v/>
      </c>
      <c r="J375" s="37" t="n"/>
      <c r="K375" s="37" t="n"/>
      <c r="L375" s="41">
        <f>IF(IFERROR(INDEX(lst_cat_wish,MATCH(D375,lst_cats,0))="Да",FALSE),MAX($L$4:L374)+1,"")</f>
        <v/>
      </c>
    </row>
    <row r="376">
      <c r="A376" s="36" t="n"/>
      <c r="B376" s="36" t="n"/>
      <c r="C376" s="37" t="n"/>
      <c r="D376" s="37" t="n"/>
      <c r="E376" s="37" t="n"/>
      <c r="F376" s="36" t="n"/>
      <c r="G376" s="38" t="n"/>
      <c r="H376" s="39" t="n"/>
      <c r="I376" s="40">
        <f>IF(OR(G376="",H376=""),"",G376-H376)</f>
        <v/>
      </c>
      <c r="J376" s="37" t="n"/>
      <c r="K376" s="37" t="n"/>
      <c r="L376" s="41">
        <f>IF(IFERROR(INDEX(lst_cat_wish,MATCH(D376,lst_cats,0))="Да",FALSE),MAX($L$4:L375)+1,"")</f>
        <v/>
      </c>
    </row>
    <row r="377">
      <c r="A377" s="36" t="n"/>
      <c r="B377" s="36" t="n"/>
      <c r="C377" s="37" t="n"/>
      <c r="D377" s="37" t="n"/>
      <c r="E377" s="37" t="n"/>
      <c r="F377" s="36" t="n"/>
      <c r="G377" s="38" t="n"/>
      <c r="H377" s="39" t="n"/>
      <c r="I377" s="40">
        <f>IF(OR(G377="",H377=""),"",G377-H377)</f>
        <v/>
      </c>
      <c r="J377" s="37" t="n"/>
      <c r="K377" s="37" t="n"/>
      <c r="L377" s="41">
        <f>IF(IFERROR(INDEX(lst_cat_wish,MATCH(D377,lst_cats,0))="Да",FALSE),MAX($L$4:L376)+1,"")</f>
        <v/>
      </c>
    </row>
    <row r="378">
      <c r="A378" s="36" t="n"/>
      <c r="B378" s="36" t="n"/>
      <c r="C378" s="37" t="n"/>
      <c r="D378" s="37" t="n"/>
      <c r="E378" s="37" t="n"/>
      <c r="F378" s="36" t="n"/>
      <c r="G378" s="38" t="n"/>
      <c r="H378" s="39" t="n"/>
      <c r="I378" s="40">
        <f>IF(OR(G378="",H378=""),"",G378-H378)</f>
        <v/>
      </c>
      <c r="J378" s="37" t="n"/>
      <c r="K378" s="37" t="n"/>
      <c r="L378" s="41">
        <f>IF(IFERROR(INDEX(lst_cat_wish,MATCH(D378,lst_cats,0))="Да",FALSE),MAX($L$4:L377)+1,"")</f>
        <v/>
      </c>
    </row>
    <row r="379">
      <c r="A379" s="36" t="n"/>
      <c r="B379" s="36" t="n"/>
      <c r="C379" s="37" t="n"/>
      <c r="D379" s="37" t="n"/>
      <c r="E379" s="37" t="n"/>
      <c r="F379" s="36" t="n"/>
      <c r="G379" s="38" t="n"/>
      <c r="H379" s="39" t="n"/>
      <c r="I379" s="40">
        <f>IF(OR(G379="",H379=""),"",G379-H379)</f>
        <v/>
      </c>
      <c r="J379" s="37" t="n"/>
      <c r="K379" s="37" t="n"/>
      <c r="L379" s="41">
        <f>IF(IFERROR(INDEX(lst_cat_wish,MATCH(D379,lst_cats,0))="Да",FALSE),MAX($L$4:L378)+1,"")</f>
        <v/>
      </c>
    </row>
    <row r="380">
      <c r="A380" s="36" t="n"/>
      <c r="B380" s="36" t="n"/>
      <c r="C380" s="37" t="n"/>
      <c r="D380" s="37" t="n"/>
      <c r="E380" s="37" t="n"/>
      <c r="F380" s="36" t="n"/>
      <c r="G380" s="38" t="n"/>
      <c r="H380" s="39" t="n"/>
      <c r="I380" s="40">
        <f>IF(OR(G380="",H380=""),"",G380-H380)</f>
        <v/>
      </c>
      <c r="J380" s="37" t="n"/>
      <c r="K380" s="37" t="n"/>
      <c r="L380" s="41">
        <f>IF(IFERROR(INDEX(lst_cat_wish,MATCH(D380,lst_cats,0))="Да",FALSE),MAX($L$4:L379)+1,"")</f>
        <v/>
      </c>
    </row>
    <row r="381">
      <c r="A381" s="36" t="n"/>
      <c r="B381" s="36" t="n"/>
      <c r="C381" s="37" t="n"/>
      <c r="D381" s="37" t="n"/>
      <c r="E381" s="37" t="n"/>
      <c r="F381" s="36" t="n"/>
      <c r="G381" s="38" t="n"/>
      <c r="H381" s="39" t="n"/>
      <c r="I381" s="40">
        <f>IF(OR(G381="",H381=""),"",G381-H381)</f>
        <v/>
      </c>
      <c r="J381" s="37" t="n"/>
      <c r="K381" s="37" t="n"/>
      <c r="L381" s="41">
        <f>IF(IFERROR(INDEX(lst_cat_wish,MATCH(D381,lst_cats,0))="Да",FALSE),MAX($L$4:L380)+1,"")</f>
        <v/>
      </c>
    </row>
    <row r="382">
      <c r="A382" s="36" t="n"/>
      <c r="B382" s="36" t="n"/>
      <c r="C382" s="37" t="n"/>
      <c r="D382" s="37" t="n"/>
      <c r="E382" s="37" t="n"/>
      <c r="F382" s="36" t="n"/>
      <c r="G382" s="38" t="n"/>
      <c r="H382" s="39" t="n"/>
      <c r="I382" s="40">
        <f>IF(OR(G382="",H382=""),"",G382-H382)</f>
        <v/>
      </c>
      <c r="J382" s="37" t="n"/>
      <c r="K382" s="37" t="n"/>
      <c r="L382" s="41">
        <f>IF(IFERROR(INDEX(lst_cat_wish,MATCH(D382,lst_cats,0))="Да",FALSE),MAX($L$4:L381)+1,"")</f>
        <v/>
      </c>
    </row>
    <row r="383">
      <c r="A383" s="36" t="n"/>
      <c r="B383" s="36" t="n"/>
      <c r="C383" s="37" t="n"/>
      <c r="D383" s="37" t="n"/>
      <c r="E383" s="37" t="n"/>
      <c r="F383" s="36" t="n"/>
      <c r="G383" s="38" t="n"/>
      <c r="H383" s="39" t="n"/>
      <c r="I383" s="40">
        <f>IF(OR(G383="",H383=""),"",G383-H383)</f>
        <v/>
      </c>
      <c r="J383" s="37" t="n"/>
      <c r="K383" s="37" t="n"/>
      <c r="L383" s="41">
        <f>IF(IFERROR(INDEX(lst_cat_wish,MATCH(D383,lst_cats,0))="Да",FALSE),MAX($L$4:L382)+1,"")</f>
        <v/>
      </c>
    </row>
    <row r="384">
      <c r="A384" s="36" t="n"/>
      <c r="B384" s="36" t="n"/>
      <c r="C384" s="37" t="n"/>
      <c r="D384" s="37" t="n"/>
      <c r="E384" s="37" t="n"/>
      <c r="F384" s="36" t="n"/>
      <c r="G384" s="38" t="n"/>
      <c r="H384" s="39" t="n"/>
      <c r="I384" s="40">
        <f>IF(OR(G384="",H384=""),"",G384-H384)</f>
        <v/>
      </c>
      <c r="J384" s="37" t="n"/>
      <c r="K384" s="37" t="n"/>
      <c r="L384" s="41">
        <f>IF(IFERROR(INDEX(lst_cat_wish,MATCH(D384,lst_cats,0))="Да",FALSE),MAX($L$4:L383)+1,"")</f>
        <v/>
      </c>
    </row>
    <row r="385">
      <c r="A385" s="36" t="n"/>
      <c r="B385" s="36" t="n"/>
      <c r="C385" s="37" t="n"/>
      <c r="D385" s="37" t="n"/>
      <c r="E385" s="37" t="n"/>
      <c r="F385" s="36" t="n"/>
      <c r="G385" s="38" t="n"/>
      <c r="H385" s="39" t="n"/>
      <c r="I385" s="40">
        <f>IF(OR(G385="",H385=""),"",G385-H385)</f>
        <v/>
      </c>
      <c r="J385" s="37" t="n"/>
      <c r="K385" s="37" t="n"/>
      <c r="L385" s="41">
        <f>IF(IFERROR(INDEX(lst_cat_wish,MATCH(D385,lst_cats,0))="Да",FALSE),MAX($L$4:L384)+1,"")</f>
        <v/>
      </c>
    </row>
    <row r="386">
      <c r="A386" s="36" t="n"/>
      <c r="B386" s="36" t="n"/>
      <c r="C386" s="37" t="n"/>
      <c r="D386" s="37" t="n"/>
      <c r="E386" s="37" t="n"/>
      <c r="F386" s="36" t="n"/>
      <c r="G386" s="38" t="n"/>
      <c r="H386" s="39" t="n"/>
      <c r="I386" s="40">
        <f>IF(OR(G386="",H386=""),"",G386-H386)</f>
        <v/>
      </c>
      <c r="J386" s="37" t="n"/>
      <c r="K386" s="37" t="n"/>
      <c r="L386" s="41">
        <f>IF(IFERROR(INDEX(lst_cat_wish,MATCH(D386,lst_cats,0))="Да",FALSE),MAX($L$4:L385)+1,"")</f>
        <v/>
      </c>
    </row>
    <row r="387">
      <c r="A387" s="36" t="n"/>
      <c r="B387" s="36" t="n"/>
      <c r="C387" s="37" t="n"/>
      <c r="D387" s="37" t="n"/>
      <c r="E387" s="37" t="n"/>
      <c r="F387" s="36" t="n"/>
      <c r="G387" s="38" t="n"/>
      <c r="H387" s="39" t="n"/>
      <c r="I387" s="40">
        <f>IF(OR(G387="",H387=""),"",G387-H387)</f>
        <v/>
      </c>
      <c r="J387" s="37" t="n"/>
      <c r="K387" s="37" t="n"/>
      <c r="L387" s="41">
        <f>IF(IFERROR(INDEX(lst_cat_wish,MATCH(D387,lst_cats,0))="Да",FALSE),MAX($L$4:L386)+1,"")</f>
        <v/>
      </c>
    </row>
    <row r="388">
      <c r="A388" s="36" t="n"/>
      <c r="B388" s="36" t="n"/>
      <c r="C388" s="37" t="n"/>
      <c r="D388" s="37" t="n"/>
      <c r="E388" s="37" t="n"/>
      <c r="F388" s="36" t="n"/>
      <c r="G388" s="38" t="n"/>
      <c r="H388" s="39" t="n"/>
      <c r="I388" s="40">
        <f>IF(OR(G388="",H388=""),"",G388-H388)</f>
        <v/>
      </c>
      <c r="J388" s="37" t="n"/>
      <c r="K388" s="37" t="n"/>
      <c r="L388" s="41">
        <f>IF(IFERROR(INDEX(lst_cat_wish,MATCH(D388,lst_cats,0))="Да",FALSE),MAX($L$4:L387)+1,"")</f>
        <v/>
      </c>
    </row>
    <row r="389">
      <c r="A389" s="36" t="n"/>
      <c r="B389" s="36" t="n"/>
      <c r="C389" s="37" t="n"/>
      <c r="D389" s="37" t="n"/>
      <c r="E389" s="37" t="n"/>
      <c r="F389" s="36" t="n"/>
      <c r="G389" s="38" t="n"/>
      <c r="H389" s="39" t="n"/>
      <c r="I389" s="40">
        <f>IF(OR(G389="",H389=""),"",G389-H389)</f>
        <v/>
      </c>
      <c r="J389" s="37" t="n"/>
      <c r="K389" s="37" t="n"/>
      <c r="L389" s="41">
        <f>IF(IFERROR(INDEX(lst_cat_wish,MATCH(D389,lst_cats,0))="Да",FALSE),MAX($L$4:L388)+1,"")</f>
        <v/>
      </c>
    </row>
    <row r="390">
      <c r="A390" s="36" t="n"/>
      <c r="B390" s="36" t="n"/>
      <c r="C390" s="37" t="n"/>
      <c r="D390" s="37" t="n"/>
      <c r="E390" s="37" t="n"/>
      <c r="F390" s="36" t="n"/>
      <c r="G390" s="38" t="n"/>
      <c r="H390" s="39" t="n"/>
      <c r="I390" s="40">
        <f>IF(OR(G390="",H390=""),"",G390-H390)</f>
        <v/>
      </c>
      <c r="J390" s="37" t="n"/>
      <c r="K390" s="37" t="n"/>
      <c r="L390" s="41">
        <f>IF(IFERROR(INDEX(lst_cat_wish,MATCH(D390,lst_cats,0))="Да",FALSE),MAX($L$4:L389)+1,"")</f>
        <v/>
      </c>
    </row>
    <row r="391">
      <c r="A391" s="36" t="n"/>
      <c r="B391" s="36" t="n"/>
      <c r="C391" s="37" t="n"/>
      <c r="D391" s="37" t="n"/>
      <c r="E391" s="37" t="n"/>
      <c r="F391" s="36" t="n"/>
      <c r="G391" s="38" t="n"/>
      <c r="H391" s="39" t="n"/>
      <c r="I391" s="40">
        <f>IF(OR(G391="",H391=""),"",G391-H391)</f>
        <v/>
      </c>
      <c r="J391" s="37" t="n"/>
      <c r="K391" s="37" t="n"/>
      <c r="L391" s="41">
        <f>IF(IFERROR(INDEX(lst_cat_wish,MATCH(D391,lst_cats,0))="Да",FALSE),MAX($L$4:L390)+1,"")</f>
        <v/>
      </c>
    </row>
    <row r="392">
      <c r="A392" s="36" t="n"/>
      <c r="B392" s="36" t="n"/>
      <c r="C392" s="37" t="n"/>
      <c r="D392" s="37" t="n"/>
      <c r="E392" s="37" t="n"/>
      <c r="F392" s="36" t="n"/>
      <c r="G392" s="38" t="n"/>
      <c r="H392" s="39" t="n"/>
      <c r="I392" s="40">
        <f>IF(OR(G392="",H392=""),"",G392-H392)</f>
        <v/>
      </c>
      <c r="J392" s="37" t="n"/>
      <c r="K392" s="37" t="n"/>
      <c r="L392" s="41">
        <f>IF(IFERROR(INDEX(lst_cat_wish,MATCH(D392,lst_cats,0))="Да",FALSE),MAX($L$4:L391)+1,"")</f>
        <v/>
      </c>
    </row>
    <row r="393">
      <c r="A393" s="36" t="n"/>
      <c r="B393" s="36" t="n"/>
      <c r="C393" s="37" t="n"/>
      <c r="D393" s="37" t="n"/>
      <c r="E393" s="37" t="n"/>
      <c r="F393" s="36" t="n"/>
      <c r="G393" s="38" t="n"/>
      <c r="H393" s="39" t="n"/>
      <c r="I393" s="40">
        <f>IF(OR(G393="",H393=""),"",G393-H393)</f>
        <v/>
      </c>
      <c r="J393" s="37" t="n"/>
      <c r="K393" s="37" t="n"/>
      <c r="L393" s="41">
        <f>IF(IFERROR(INDEX(lst_cat_wish,MATCH(D393,lst_cats,0))="Да",FALSE),MAX($L$4:L392)+1,"")</f>
        <v/>
      </c>
    </row>
    <row r="394">
      <c r="A394" s="36" t="n"/>
      <c r="B394" s="36" t="n"/>
      <c r="C394" s="37" t="n"/>
      <c r="D394" s="37" t="n"/>
      <c r="E394" s="37" t="n"/>
      <c r="F394" s="36" t="n"/>
      <c r="G394" s="38" t="n"/>
      <c r="H394" s="39" t="n"/>
      <c r="I394" s="40">
        <f>IF(OR(G394="",H394=""),"",G394-H394)</f>
        <v/>
      </c>
      <c r="J394" s="37" t="n"/>
      <c r="K394" s="37" t="n"/>
      <c r="L394" s="41">
        <f>IF(IFERROR(INDEX(lst_cat_wish,MATCH(D394,lst_cats,0))="Да",FALSE),MAX($L$4:L393)+1,"")</f>
        <v/>
      </c>
    </row>
    <row r="395">
      <c r="A395" s="36" t="n"/>
      <c r="B395" s="36" t="n"/>
      <c r="C395" s="37" t="n"/>
      <c r="D395" s="37" t="n"/>
      <c r="E395" s="37" t="n"/>
      <c r="F395" s="36" t="n"/>
      <c r="G395" s="38" t="n"/>
      <c r="H395" s="39" t="n"/>
      <c r="I395" s="40">
        <f>IF(OR(G395="",H395=""),"",G395-H395)</f>
        <v/>
      </c>
      <c r="J395" s="37" t="n"/>
      <c r="K395" s="37" t="n"/>
      <c r="L395" s="41">
        <f>IF(IFERROR(INDEX(lst_cat_wish,MATCH(D395,lst_cats,0))="Да",FALSE),MAX($L$4:L394)+1,"")</f>
        <v/>
      </c>
    </row>
    <row r="396">
      <c r="A396" s="36" t="n"/>
      <c r="B396" s="36" t="n"/>
      <c r="C396" s="37" t="n"/>
      <c r="D396" s="37" t="n"/>
      <c r="E396" s="37" t="n"/>
      <c r="F396" s="36" t="n"/>
      <c r="G396" s="38" t="n"/>
      <c r="H396" s="39" t="n"/>
      <c r="I396" s="40">
        <f>IF(OR(G396="",H396=""),"",G396-H396)</f>
        <v/>
      </c>
      <c r="J396" s="37" t="n"/>
      <c r="K396" s="37" t="n"/>
      <c r="L396" s="41">
        <f>IF(IFERROR(INDEX(lst_cat_wish,MATCH(D396,lst_cats,0))="Да",FALSE),MAX($L$4:L395)+1,"")</f>
        <v/>
      </c>
    </row>
    <row r="397">
      <c r="A397" s="36" t="n"/>
      <c r="B397" s="36" t="n"/>
      <c r="C397" s="37" t="n"/>
      <c r="D397" s="37" t="n"/>
      <c r="E397" s="37" t="n"/>
      <c r="F397" s="36" t="n"/>
      <c r="G397" s="38" t="n"/>
      <c r="H397" s="39" t="n"/>
      <c r="I397" s="40">
        <f>IF(OR(G397="",H397=""),"",G397-H397)</f>
        <v/>
      </c>
      <c r="J397" s="37" t="n"/>
      <c r="K397" s="37" t="n"/>
      <c r="L397" s="41">
        <f>IF(IFERROR(INDEX(lst_cat_wish,MATCH(D397,lst_cats,0))="Да",FALSE),MAX($L$4:L396)+1,"")</f>
        <v/>
      </c>
    </row>
    <row r="398">
      <c r="A398" s="36" t="n"/>
      <c r="B398" s="36" t="n"/>
      <c r="C398" s="37" t="n"/>
      <c r="D398" s="37" t="n"/>
      <c r="E398" s="37" t="n"/>
      <c r="F398" s="36" t="n"/>
      <c r="G398" s="38" t="n"/>
      <c r="H398" s="39" t="n"/>
      <c r="I398" s="40">
        <f>IF(OR(G398="",H398=""),"",G398-H398)</f>
        <v/>
      </c>
      <c r="J398" s="37" t="n"/>
      <c r="K398" s="37" t="n"/>
      <c r="L398" s="41">
        <f>IF(IFERROR(INDEX(lst_cat_wish,MATCH(D398,lst_cats,0))="Да",FALSE),MAX($L$4:L397)+1,"")</f>
        <v/>
      </c>
    </row>
    <row r="399">
      <c r="A399" s="36" t="n"/>
      <c r="B399" s="36" t="n"/>
      <c r="C399" s="37" t="n"/>
      <c r="D399" s="37" t="n"/>
      <c r="E399" s="37" t="n"/>
      <c r="F399" s="36" t="n"/>
      <c r="G399" s="38" t="n"/>
      <c r="H399" s="39" t="n"/>
      <c r="I399" s="40">
        <f>IF(OR(G399="",H399=""),"",G399-H399)</f>
        <v/>
      </c>
      <c r="J399" s="37" t="n"/>
      <c r="K399" s="37" t="n"/>
      <c r="L399" s="41">
        <f>IF(IFERROR(INDEX(lst_cat_wish,MATCH(D399,lst_cats,0))="Да",FALSE),MAX($L$4:L398)+1,"")</f>
        <v/>
      </c>
    </row>
    <row r="400">
      <c r="A400" s="36" t="n"/>
      <c r="B400" s="36" t="n"/>
      <c r="C400" s="37" t="n"/>
      <c r="D400" s="37" t="n"/>
      <c r="E400" s="37" t="n"/>
      <c r="F400" s="36" t="n"/>
      <c r="G400" s="38" t="n"/>
      <c r="H400" s="39" t="n"/>
      <c r="I400" s="40">
        <f>IF(OR(G400="",H400=""),"",G400-H400)</f>
        <v/>
      </c>
      <c r="J400" s="37" t="n"/>
      <c r="K400" s="37" t="n"/>
      <c r="L400" s="41">
        <f>IF(IFERROR(INDEX(lst_cat_wish,MATCH(D400,lst_cats,0))="Да",FALSE),MAX($L$4:L399)+1,"")</f>
        <v/>
      </c>
    </row>
    <row r="401">
      <c r="A401" s="36" t="n"/>
      <c r="B401" s="36" t="n"/>
      <c r="C401" s="37" t="n"/>
      <c r="D401" s="37" t="n"/>
      <c r="E401" s="37" t="n"/>
      <c r="F401" s="36" t="n"/>
      <c r="G401" s="38" t="n"/>
      <c r="H401" s="39" t="n"/>
      <c r="I401" s="40">
        <f>IF(OR(G401="",H401=""),"",G401-H401)</f>
        <v/>
      </c>
      <c r="J401" s="37" t="n"/>
      <c r="K401" s="37" t="n"/>
      <c r="L401" s="41">
        <f>IF(IFERROR(INDEX(lst_cat_wish,MATCH(D401,lst_cats,0))="Да",FALSE),MAX($L$4:L400)+1,"")</f>
        <v/>
      </c>
    </row>
    <row r="402">
      <c r="A402" s="36" t="n"/>
      <c r="B402" s="36" t="n"/>
      <c r="C402" s="37" t="n"/>
      <c r="D402" s="37" t="n"/>
      <c r="E402" s="37" t="n"/>
      <c r="F402" s="36" t="n"/>
      <c r="G402" s="38" t="n"/>
      <c r="H402" s="39" t="n"/>
      <c r="I402" s="40">
        <f>IF(OR(G402="",H402=""),"",G402-H402)</f>
        <v/>
      </c>
      <c r="J402" s="37" t="n"/>
      <c r="K402" s="37" t="n"/>
      <c r="L402" s="41">
        <f>IF(IFERROR(INDEX(lst_cat_wish,MATCH(D402,lst_cats,0))="Да",FALSE),MAX($L$4:L401)+1,"")</f>
        <v/>
      </c>
    </row>
    <row r="403">
      <c r="A403" s="36" t="n"/>
      <c r="B403" s="36" t="n"/>
      <c r="C403" s="37" t="n"/>
      <c r="D403" s="37" t="n"/>
      <c r="E403" s="37" t="n"/>
      <c r="F403" s="36" t="n"/>
      <c r="G403" s="38" t="n"/>
      <c r="H403" s="39" t="n"/>
      <c r="I403" s="40">
        <f>IF(OR(G403="",H403=""),"",G403-H403)</f>
        <v/>
      </c>
      <c r="J403" s="37" t="n"/>
      <c r="K403" s="37" t="n"/>
      <c r="L403" s="41">
        <f>IF(IFERROR(INDEX(lst_cat_wish,MATCH(D403,lst_cats,0))="Да",FALSE),MAX($L$4:L402)+1,"")</f>
        <v/>
      </c>
    </row>
    <row r="404">
      <c r="A404" s="36" t="n"/>
      <c r="B404" s="36" t="n"/>
      <c r="C404" s="37" t="n"/>
      <c r="D404" s="37" t="n"/>
      <c r="E404" s="37" t="n"/>
      <c r="F404" s="36" t="n"/>
      <c r="G404" s="38" t="n"/>
      <c r="H404" s="39" t="n"/>
      <c r="I404" s="40">
        <f>IF(OR(G404="",H404=""),"",G404-H404)</f>
        <v/>
      </c>
      <c r="J404" s="37" t="n"/>
      <c r="K404" s="37" t="n"/>
      <c r="L404" s="41">
        <f>IF(IFERROR(INDEX(lst_cat_wish,MATCH(D404,lst_cats,0))="Да",FALSE),MAX($L$4:L403)+1,"")</f>
        <v/>
      </c>
    </row>
    <row r="405">
      <c r="A405" s="36" t="n"/>
      <c r="B405" s="36" t="n"/>
      <c r="C405" s="37" t="n"/>
      <c r="D405" s="37" t="n"/>
      <c r="E405" s="37" t="n"/>
      <c r="F405" s="36" t="n"/>
      <c r="G405" s="38" t="n"/>
      <c r="H405" s="39" t="n"/>
      <c r="I405" s="40">
        <f>IF(OR(G405="",H405=""),"",G405-H405)</f>
        <v/>
      </c>
      <c r="J405" s="37" t="n"/>
      <c r="K405" s="37" t="n"/>
      <c r="L405" s="41">
        <f>IF(IFERROR(INDEX(lst_cat_wish,MATCH(D405,lst_cats,0))="Да",FALSE),MAX($L$4:L404)+1,"")</f>
        <v/>
      </c>
    </row>
    <row r="406">
      <c r="A406" s="36" t="n"/>
      <c r="B406" s="36" t="n"/>
      <c r="C406" s="37" t="n"/>
      <c r="D406" s="37" t="n"/>
      <c r="E406" s="37" t="n"/>
      <c r="F406" s="36" t="n"/>
      <c r="G406" s="38" t="n"/>
      <c r="H406" s="39" t="n"/>
      <c r="I406" s="40">
        <f>IF(OR(G406="",H406=""),"",G406-H406)</f>
        <v/>
      </c>
      <c r="J406" s="37" t="n"/>
      <c r="K406" s="37" t="n"/>
      <c r="L406" s="41">
        <f>IF(IFERROR(INDEX(lst_cat_wish,MATCH(D406,lst_cats,0))="Да",FALSE),MAX($L$4:L405)+1,"")</f>
        <v/>
      </c>
    </row>
    <row r="407">
      <c r="A407" s="36" t="n"/>
      <c r="B407" s="36" t="n"/>
      <c r="C407" s="37" t="n"/>
      <c r="D407" s="37" t="n"/>
      <c r="E407" s="37" t="n"/>
      <c r="F407" s="36" t="n"/>
      <c r="G407" s="38" t="n"/>
      <c r="H407" s="39" t="n"/>
      <c r="I407" s="40">
        <f>IF(OR(G407="",H407=""),"",G407-H407)</f>
        <v/>
      </c>
      <c r="J407" s="37" t="n"/>
      <c r="K407" s="37" t="n"/>
      <c r="L407" s="41">
        <f>IF(IFERROR(INDEX(lst_cat_wish,MATCH(D407,lst_cats,0))="Да",FALSE),MAX($L$4:L406)+1,"")</f>
        <v/>
      </c>
    </row>
    <row r="408">
      <c r="A408" s="36" t="n"/>
      <c r="B408" s="36" t="n"/>
      <c r="C408" s="37" t="n"/>
      <c r="D408" s="37" t="n"/>
      <c r="E408" s="37" t="n"/>
      <c r="F408" s="36" t="n"/>
      <c r="G408" s="38" t="n"/>
      <c r="H408" s="39" t="n"/>
      <c r="I408" s="40">
        <f>IF(OR(G408="",H408=""),"",G408-H408)</f>
        <v/>
      </c>
      <c r="J408" s="37" t="n"/>
      <c r="K408" s="37" t="n"/>
      <c r="L408" s="41">
        <f>IF(IFERROR(INDEX(lst_cat_wish,MATCH(D408,lst_cats,0))="Да",FALSE),MAX($L$4:L407)+1,"")</f>
        <v/>
      </c>
    </row>
    <row r="409">
      <c r="A409" s="36" t="n"/>
      <c r="B409" s="36" t="n"/>
      <c r="C409" s="37" t="n"/>
      <c r="D409" s="37" t="n"/>
      <c r="E409" s="37" t="n"/>
      <c r="F409" s="36" t="n"/>
      <c r="G409" s="38" t="n"/>
      <c r="H409" s="39" t="n"/>
      <c r="I409" s="40">
        <f>IF(OR(G409="",H409=""),"",G409-H409)</f>
        <v/>
      </c>
      <c r="J409" s="37" t="n"/>
      <c r="K409" s="37" t="n"/>
      <c r="L409" s="41">
        <f>IF(IFERROR(INDEX(lst_cat_wish,MATCH(D409,lst_cats,0))="Да",FALSE),MAX($L$4:L408)+1,"")</f>
        <v/>
      </c>
    </row>
    <row r="410">
      <c r="A410" s="36" t="n"/>
      <c r="B410" s="36" t="n"/>
      <c r="C410" s="37" t="n"/>
      <c r="D410" s="37" t="n"/>
      <c r="E410" s="37" t="n"/>
      <c r="F410" s="36" t="n"/>
      <c r="G410" s="38" t="n"/>
      <c r="H410" s="39" t="n"/>
      <c r="I410" s="40">
        <f>IF(OR(G410="",H410=""),"",G410-H410)</f>
        <v/>
      </c>
      <c r="J410" s="37" t="n"/>
      <c r="K410" s="37" t="n"/>
      <c r="L410" s="41">
        <f>IF(IFERROR(INDEX(lst_cat_wish,MATCH(D410,lst_cats,0))="Да",FALSE),MAX($L$4:L409)+1,"")</f>
        <v/>
      </c>
    </row>
    <row r="411">
      <c r="A411" s="36" t="n"/>
      <c r="B411" s="36" t="n"/>
      <c r="C411" s="37" t="n"/>
      <c r="D411" s="37" t="n"/>
      <c r="E411" s="37" t="n"/>
      <c r="F411" s="36" t="n"/>
      <c r="G411" s="38" t="n"/>
      <c r="H411" s="39" t="n"/>
      <c r="I411" s="40">
        <f>IF(OR(G411="",H411=""),"",G411-H411)</f>
        <v/>
      </c>
      <c r="J411" s="37" t="n"/>
      <c r="K411" s="37" t="n"/>
      <c r="L411" s="41">
        <f>IF(IFERROR(INDEX(lst_cat_wish,MATCH(D411,lst_cats,0))="Да",FALSE),MAX($L$4:L410)+1,"")</f>
        <v/>
      </c>
    </row>
    <row r="412">
      <c r="A412" s="36" t="n"/>
      <c r="B412" s="36" t="n"/>
      <c r="C412" s="37" t="n"/>
      <c r="D412" s="37" t="n"/>
      <c r="E412" s="37" t="n"/>
      <c r="F412" s="36" t="n"/>
      <c r="G412" s="38" t="n"/>
      <c r="H412" s="39" t="n"/>
      <c r="I412" s="40">
        <f>IF(OR(G412="",H412=""),"",G412-H412)</f>
        <v/>
      </c>
      <c r="J412" s="37" t="n"/>
      <c r="K412" s="37" t="n"/>
      <c r="L412" s="41">
        <f>IF(IFERROR(INDEX(lst_cat_wish,MATCH(D412,lst_cats,0))="Да",FALSE),MAX($L$4:L411)+1,"")</f>
        <v/>
      </c>
    </row>
    <row r="413">
      <c r="A413" s="36" t="n"/>
      <c r="B413" s="36" t="n"/>
      <c r="C413" s="37" t="n"/>
      <c r="D413" s="37" t="n"/>
      <c r="E413" s="37" t="n"/>
      <c r="F413" s="36" t="n"/>
      <c r="G413" s="38" t="n"/>
      <c r="H413" s="39" t="n"/>
      <c r="I413" s="40">
        <f>IF(OR(G413="",H413=""),"",G413-H413)</f>
        <v/>
      </c>
      <c r="J413" s="37" t="n"/>
      <c r="K413" s="37" t="n"/>
      <c r="L413" s="41">
        <f>IF(IFERROR(INDEX(lst_cat_wish,MATCH(D413,lst_cats,0))="Да",FALSE),MAX($L$4:L412)+1,"")</f>
        <v/>
      </c>
    </row>
    <row r="414">
      <c r="A414" s="36" t="n"/>
      <c r="B414" s="36" t="n"/>
      <c r="C414" s="37" t="n"/>
      <c r="D414" s="37" t="n"/>
      <c r="E414" s="37" t="n"/>
      <c r="F414" s="36" t="n"/>
      <c r="G414" s="38" t="n"/>
      <c r="H414" s="39" t="n"/>
      <c r="I414" s="40">
        <f>IF(OR(G414="",H414=""),"",G414-H414)</f>
        <v/>
      </c>
      <c r="J414" s="37" t="n"/>
      <c r="K414" s="37" t="n"/>
      <c r="L414" s="41">
        <f>IF(IFERROR(INDEX(lst_cat_wish,MATCH(D414,lst_cats,0))="Да",FALSE),MAX($L$4:L413)+1,"")</f>
        <v/>
      </c>
    </row>
    <row r="415">
      <c r="A415" s="36" t="n"/>
      <c r="B415" s="36" t="n"/>
      <c r="C415" s="37" t="n"/>
      <c r="D415" s="37" t="n"/>
      <c r="E415" s="37" t="n"/>
      <c r="F415" s="36" t="n"/>
      <c r="G415" s="38" t="n"/>
      <c r="H415" s="39" t="n"/>
      <c r="I415" s="40">
        <f>IF(OR(G415="",H415=""),"",G415-H415)</f>
        <v/>
      </c>
      <c r="J415" s="37" t="n"/>
      <c r="K415" s="37" t="n"/>
      <c r="L415" s="41">
        <f>IF(IFERROR(INDEX(lst_cat_wish,MATCH(D415,lst_cats,0))="Да",FALSE),MAX($L$4:L414)+1,"")</f>
        <v/>
      </c>
    </row>
    <row r="416">
      <c r="A416" s="36" t="n"/>
      <c r="B416" s="36" t="n"/>
      <c r="C416" s="37" t="n"/>
      <c r="D416" s="37" t="n"/>
      <c r="E416" s="37" t="n"/>
      <c r="F416" s="36" t="n"/>
      <c r="G416" s="38" t="n"/>
      <c r="H416" s="39" t="n"/>
      <c r="I416" s="40">
        <f>IF(OR(G416="",H416=""),"",G416-H416)</f>
        <v/>
      </c>
      <c r="J416" s="37" t="n"/>
      <c r="K416" s="37" t="n"/>
      <c r="L416" s="41">
        <f>IF(IFERROR(INDEX(lst_cat_wish,MATCH(D416,lst_cats,0))="Да",FALSE),MAX($L$4:L415)+1,"")</f>
        <v/>
      </c>
    </row>
    <row r="417">
      <c r="A417" s="36" t="n"/>
      <c r="B417" s="36" t="n"/>
      <c r="C417" s="37" t="n"/>
      <c r="D417" s="37" t="n"/>
      <c r="E417" s="37" t="n"/>
      <c r="F417" s="36" t="n"/>
      <c r="G417" s="38" t="n"/>
      <c r="H417" s="39" t="n"/>
      <c r="I417" s="40">
        <f>IF(OR(G417="",H417=""),"",G417-H417)</f>
        <v/>
      </c>
      <c r="J417" s="37" t="n"/>
      <c r="K417" s="37" t="n"/>
      <c r="L417" s="41">
        <f>IF(IFERROR(INDEX(lst_cat_wish,MATCH(D417,lst_cats,0))="Да",FALSE),MAX($L$4:L416)+1,"")</f>
        <v/>
      </c>
    </row>
    <row r="418">
      <c r="A418" s="36" t="n"/>
      <c r="B418" s="36" t="n"/>
      <c r="C418" s="37" t="n"/>
      <c r="D418" s="37" t="n"/>
      <c r="E418" s="37" t="n"/>
      <c r="F418" s="36" t="n"/>
      <c r="G418" s="38" t="n"/>
      <c r="H418" s="39" t="n"/>
      <c r="I418" s="40">
        <f>IF(OR(G418="",H418=""),"",G418-H418)</f>
        <v/>
      </c>
      <c r="J418" s="37" t="n"/>
      <c r="K418" s="37" t="n"/>
      <c r="L418" s="41">
        <f>IF(IFERROR(INDEX(lst_cat_wish,MATCH(D418,lst_cats,0))="Да",FALSE),MAX($L$4:L417)+1,"")</f>
        <v/>
      </c>
    </row>
    <row r="419">
      <c r="A419" s="36" t="n"/>
      <c r="B419" s="36" t="n"/>
      <c r="C419" s="37" t="n"/>
      <c r="D419" s="37" t="n"/>
      <c r="E419" s="37" t="n"/>
      <c r="F419" s="36" t="n"/>
      <c r="G419" s="38" t="n"/>
      <c r="H419" s="39" t="n"/>
      <c r="I419" s="40">
        <f>IF(OR(G419="",H419=""),"",G419-H419)</f>
        <v/>
      </c>
      <c r="J419" s="37" t="n"/>
      <c r="K419" s="37" t="n"/>
      <c r="L419" s="41">
        <f>IF(IFERROR(INDEX(lst_cat_wish,MATCH(D419,lst_cats,0))="Да",FALSE),MAX($L$4:L418)+1,"")</f>
        <v/>
      </c>
    </row>
    <row r="420">
      <c r="A420" s="36" t="n"/>
      <c r="B420" s="36" t="n"/>
      <c r="C420" s="37" t="n"/>
      <c r="D420" s="37" t="n"/>
      <c r="E420" s="37" t="n"/>
      <c r="F420" s="36" t="n"/>
      <c r="G420" s="38" t="n"/>
      <c r="H420" s="39" t="n"/>
      <c r="I420" s="40">
        <f>IF(OR(G420="",H420=""),"",G420-H420)</f>
        <v/>
      </c>
      <c r="J420" s="37" t="n"/>
      <c r="K420" s="37" t="n"/>
      <c r="L420" s="41">
        <f>IF(IFERROR(INDEX(lst_cat_wish,MATCH(D420,lst_cats,0))="Да",FALSE),MAX($L$4:L419)+1,"")</f>
        <v/>
      </c>
    </row>
    <row r="421">
      <c r="A421" s="36" t="n"/>
      <c r="B421" s="36" t="n"/>
      <c r="C421" s="37" t="n"/>
      <c r="D421" s="37" t="n"/>
      <c r="E421" s="37" t="n"/>
      <c r="F421" s="36" t="n"/>
      <c r="G421" s="38" t="n"/>
      <c r="H421" s="39" t="n"/>
      <c r="I421" s="40">
        <f>IF(OR(G421="",H421=""),"",G421-H421)</f>
        <v/>
      </c>
      <c r="J421" s="37" t="n"/>
      <c r="K421" s="37" t="n"/>
      <c r="L421" s="41">
        <f>IF(IFERROR(INDEX(lst_cat_wish,MATCH(D421,lst_cats,0))="Да",FALSE),MAX($L$4:L420)+1,"")</f>
        <v/>
      </c>
    </row>
    <row r="422">
      <c r="A422" s="36" t="n"/>
      <c r="B422" s="36" t="n"/>
      <c r="C422" s="37" t="n"/>
      <c r="D422" s="37" t="n"/>
      <c r="E422" s="37" t="n"/>
      <c r="F422" s="36" t="n"/>
      <c r="G422" s="38" t="n"/>
      <c r="H422" s="39" t="n"/>
      <c r="I422" s="40">
        <f>IF(OR(G422="",H422=""),"",G422-H422)</f>
        <v/>
      </c>
      <c r="J422" s="37" t="n"/>
      <c r="K422" s="37" t="n"/>
      <c r="L422" s="41">
        <f>IF(IFERROR(INDEX(lst_cat_wish,MATCH(D422,lst_cats,0))="Да",FALSE),MAX($L$4:L421)+1,"")</f>
        <v/>
      </c>
    </row>
    <row r="423">
      <c r="A423" s="36" t="n"/>
      <c r="B423" s="36" t="n"/>
      <c r="C423" s="37" t="n"/>
      <c r="D423" s="37" t="n"/>
      <c r="E423" s="37" t="n"/>
      <c r="F423" s="36" t="n"/>
      <c r="G423" s="38" t="n"/>
      <c r="H423" s="39" t="n"/>
      <c r="I423" s="40">
        <f>IF(OR(G423="",H423=""),"",G423-H423)</f>
        <v/>
      </c>
      <c r="J423" s="37" t="n"/>
      <c r="K423" s="37" t="n"/>
      <c r="L423" s="41">
        <f>IF(IFERROR(INDEX(lst_cat_wish,MATCH(D423,lst_cats,0))="Да",FALSE),MAX($L$4:L422)+1,"")</f>
        <v/>
      </c>
    </row>
    <row r="424">
      <c r="A424" s="36" t="n"/>
      <c r="B424" s="36" t="n"/>
      <c r="C424" s="37" t="n"/>
      <c r="D424" s="37" t="n"/>
      <c r="E424" s="37" t="n"/>
      <c r="F424" s="36" t="n"/>
      <c r="G424" s="38" t="n"/>
      <c r="H424" s="39" t="n"/>
      <c r="I424" s="40">
        <f>IF(OR(G424="",H424=""),"",G424-H424)</f>
        <v/>
      </c>
      <c r="J424" s="37" t="n"/>
      <c r="K424" s="37" t="n"/>
      <c r="L424" s="41">
        <f>IF(IFERROR(INDEX(lst_cat_wish,MATCH(D424,lst_cats,0))="Да",FALSE),MAX($L$4:L423)+1,"")</f>
        <v/>
      </c>
    </row>
    <row r="425">
      <c r="A425" s="36" t="n"/>
      <c r="B425" s="36" t="n"/>
      <c r="C425" s="37" t="n"/>
      <c r="D425" s="37" t="n"/>
      <c r="E425" s="37" t="n"/>
      <c r="F425" s="36" t="n"/>
      <c r="G425" s="38" t="n"/>
      <c r="H425" s="39" t="n"/>
      <c r="I425" s="40">
        <f>IF(OR(G425="",H425=""),"",G425-H425)</f>
        <v/>
      </c>
      <c r="J425" s="37" t="n"/>
      <c r="K425" s="37" t="n"/>
      <c r="L425" s="41">
        <f>IF(IFERROR(INDEX(lst_cat_wish,MATCH(D425,lst_cats,0))="Да",FALSE),MAX($L$4:L424)+1,"")</f>
        <v/>
      </c>
    </row>
    <row r="426">
      <c r="A426" s="36" t="n"/>
      <c r="B426" s="36" t="n"/>
      <c r="C426" s="37" t="n"/>
      <c r="D426" s="37" t="n"/>
      <c r="E426" s="37" t="n"/>
      <c r="F426" s="36" t="n"/>
      <c r="G426" s="38" t="n"/>
      <c r="H426" s="39" t="n"/>
      <c r="I426" s="40">
        <f>IF(OR(G426="",H426=""),"",G426-H426)</f>
        <v/>
      </c>
      <c r="J426" s="37" t="n"/>
      <c r="K426" s="37" t="n"/>
      <c r="L426" s="41">
        <f>IF(IFERROR(INDEX(lst_cat_wish,MATCH(D426,lst_cats,0))="Да",FALSE),MAX($L$4:L425)+1,"")</f>
        <v/>
      </c>
    </row>
    <row r="427">
      <c r="A427" s="36" t="n"/>
      <c r="B427" s="36" t="n"/>
      <c r="C427" s="37" t="n"/>
      <c r="D427" s="37" t="n"/>
      <c r="E427" s="37" t="n"/>
      <c r="F427" s="36" t="n"/>
      <c r="G427" s="38" t="n"/>
      <c r="H427" s="39" t="n"/>
      <c r="I427" s="40">
        <f>IF(OR(G427="",H427=""),"",G427-H427)</f>
        <v/>
      </c>
      <c r="J427" s="37" t="n"/>
      <c r="K427" s="37" t="n"/>
      <c r="L427" s="41">
        <f>IF(IFERROR(INDEX(lst_cat_wish,MATCH(D427,lst_cats,0))="Да",FALSE),MAX($L$4:L426)+1,"")</f>
        <v/>
      </c>
    </row>
    <row r="428">
      <c r="A428" s="36" t="n"/>
      <c r="B428" s="36" t="n"/>
      <c r="C428" s="37" t="n"/>
      <c r="D428" s="37" t="n"/>
      <c r="E428" s="37" t="n"/>
      <c r="F428" s="36" t="n"/>
      <c r="G428" s="38" t="n"/>
      <c r="H428" s="39" t="n"/>
      <c r="I428" s="40">
        <f>IF(OR(G428="",H428=""),"",G428-H428)</f>
        <v/>
      </c>
      <c r="J428" s="37" t="n"/>
      <c r="K428" s="37" t="n"/>
      <c r="L428" s="41">
        <f>IF(IFERROR(INDEX(lst_cat_wish,MATCH(D428,lst_cats,0))="Да",FALSE),MAX($L$4:L427)+1,"")</f>
        <v/>
      </c>
    </row>
    <row r="429">
      <c r="A429" s="36" t="n"/>
      <c r="B429" s="36" t="n"/>
      <c r="C429" s="37" t="n"/>
      <c r="D429" s="37" t="n"/>
      <c r="E429" s="37" t="n"/>
      <c r="F429" s="36" t="n"/>
      <c r="G429" s="38" t="n"/>
      <c r="H429" s="39" t="n"/>
      <c r="I429" s="40">
        <f>IF(OR(G429="",H429=""),"",G429-H429)</f>
        <v/>
      </c>
      <c r="J429" s="37" t="n"/>
      <c r="K429" s="37" t="n"/>
      <c r="L429" s="41">
        <f>IF(IFERROR(INDEX(lst_cat_wish,MATCH(D429,lst_cats,0))="Да",FALSE),MAX($L$4:L428)+1,"")</f>
        <v/>
      </c>
    </row>
    <row r="430">
      <c r="A430" s="36" t="n"/>
      <c r="B430" s="36" t="n"/>
      <c r="C430" s="37" t="n"/>
      <c r="D430" s="37" t="n"/>
      <c r="E430" s="37" t="n"/>
      <c r="F430" s="36" t="n"/>
      <c r="G430" s="38" t="n"/>
      <c r="H430" s="39" t="n"/>
      <c r="I430" s="40">
        <f>IF(OR(G430="",H430=""),"",G430-H430)</f>
        <v/>
      </c>
      <c r="J430" s="37" t="n"/>
      <c r="K430" s="37" t="n"/>
      <c r="L430" s="41">
        <f>IF(IFERROR(INDEX(lst_cat_wish,MATCH(D430,lst_cats,0))="Да",FALSE),MAX($L$4:L429)+1,"")</f>
        <v/>
      </c>
    </row>
    <row r="431">
      <c r="A431" s="36" t="n"/>
      <c r="B431" s="36" t="n"/>
      <c r="C431" s="37" t="n"/>
      <c r="D431" s="37" t="n"/>
      <c r="E431" s="37" t="n"/>
      <c r="F431" s="36" t="n"/>
      <c r="G431" s="38" t="n"/>
      <c r="H431" s="39" t="n"/>
      <c r="I431" s="40">
        <f>IF(OR(G431="",H431=""),"",G431-H431)</f>
        <v/>
      </c>
      <c r="J431" s="37" t="n"/>
      <c r="K431" s="37" t="n"/>
      <c r="L431" s="41">
        <f>IF(IFERROR(INDEX(lst_cat_wish,MATCH(D431,lst_cats,0))="Да",FALSE),MAX($L$4:L430)+1,"")</f>
        <v/>
      </c>
    </row>
    <row r="432">
      <c r="A432" s="36" t="n"/>
      <c r="B432" s="36" t="n"/>
      <c r="C432" s="37" t="n"/>
      <c r="D432" s="37" t="n"/>
      <c r="E432" s="37" t="n"/>
      <c r="F432" s="36" t="n"/>
      <c r="G432" s="38" t="n"/>
      <c r="H432" s="39" t="n"/>
      <c r="I432" s="40">
        <f>IF(OR(G432="",H432=""),"",G432-H432)</f>
        <v/>
      </c>
      <c r="J432" s="37" t="n"/>
      <c r="K432" s="37" t="n"/>
      <c r="L432" s="41">
        <f>IF(IFERROR(INDEX(lst_cat_wish,MATCH(D432,lst_cats,0))="Да",FALSE),MAX($L$4:L431)+1,"")</f>
        <v/>
      </c>
    </row>
    <row r="433">
      <c r="A433" s="36" t="n"/>
      <c r="B433" s="36" t="n"/>
      <c r="C433" s="37" t="n"/>
      <c r="D433" s="37" t="n"/>
      <c r="E433" s="37" t="n"/>
      <c r="F433" s="36" t="n"/>
      <c r="G433" s="38" t="n"/>
      <c r="H433" s="39" t="n"/>
      <c r="I433" s="40">
        <f>IF(OR(G433="",H433=""),"",G433-H433)</f>
        <v/>
      </c>
      <c r="J433" s="37" t="n"/>
      <c r="K433" s="37" t="n"/>
      <c r="L433" s="41">
        <f>IF(IFERROR(INDEX(lst_cat_wish,MATCH(D433,lst_cats,0))="Да",FALSE),MAX($L$4:L432)+1,"")</f>
        <v/>
      </c>
    </row>
    <row r="434">
      <c r="A434" s="36" t="n"/>
      <c r="B434" s="36" t="n"/>
      <c r="C434" s="37" t="n"/>
      <c r="D434" s="37" t="n"/>
      <c r="E434" s="37" t="n"/>
      <c r="F434" s="36" t="n"/>
      <c r="G434" s="38" t="n"/>
      <c r="H434" s="39" t="n"/>
      <c r="I434" s="40">
        <f>IF(OR(G434="",H434=""),"",G434-H434)</f>
        <v/>
      </c>
      <c r="J434" s="37" t="n"/>
      <c r="K434" s="37" t="n"/>
      <c r="L434" s="41">
        <f>IF(IFERROR(INDEX(lst_cat_wish,MATCH(D434,lst_cats,0))="Да",FALSE),MAX($L$4:L433)+1,"")</f>
        <v/>
      </c>
    </row>
    <row r="435">
      <c r="A435" s="36" t="n"/>
      <c r="B435" s="36" t="n"/>
      <c r="C435" s="37" t="n"/>
      <c r="D435" s="37" t="n"/>
      <c r="E435" s="37" t="n"/>
      <c r="F435" s="36" t="n"/>
      <c r="G435" s="38" t="n"/>
      <c r="H435" s="39" t="n"/>
      <c r="I435" s="40">
        <f>IF(OR(G435="",H435=""),"",G435-H435)</f>
        <v/>
      </c>
      <c r="J435" s="37" t="n"/>
      <c r="K435" s="37" t="n"/>
      <c r="L435" s="41">
        <f>IF(IFERROR(INDEX(lst_cat_wish,MATCH(D435,lst_cats,0))="Да",FALSE),MAX($L$4:L434)+1,"")</f>
        <v/>
      </c>
    </row>
    <row r="436">
      <c r="A436" s="36" t="n"/>
      <c r="B436" s="36" t="n"/>
      <c r="C436" s="37" t="n"/>
      <c r="D436" s="37" t="n"/>
      <c r="E436" s="37" t="n"/>
      <c r="F436" s="36" t="n"/>
      <c r="G436" s="38" t="n"/>
      <c r="H436" s="39" t="n"/>
      <c r="I436" s="40">
        <f>IF(OR(G436="",H436=""),"",G436-H436)</f>
        <v/>
      </c>
      <c r="J436" s="37" t="n"/>
      <c r="K436" s="37" t="n"/>
      <c r="L436" s="41">
        <f>IF(IFERROR(INDEX(lst_cat_wish,MATCH(D436,lst_cats,0))="Да",FALSE),MAX($L$4:L435)+1,"")</f>
        <v/>
      </c>
    </row>
    <row r="437">
      <c r="A437" s="36" t="n"/>
      <c r="B437" s="36" t="n"/>
      <c r="C437" s="37" t="n"/>
      <c r="D437" s="37" t="n"/>
      <c r="E437" s="37" t="n"/>
      <c r="F437" s="36" t="n"/>
      <c r="G437" s="38" t="n"/>
      <c r="H437" s="39" t="n"/>
      <c r="I437" s="40">
        <f>IF(OR(G437="",H437=""),"",G437-H437)</f>
        <v/>
      </c>
      <c r="J437" s="37" t="n"/>
      <c r="K437" s="37" t="n"/>
      <c r="L437" s="41">
        <f>IF(IFERROR(INDEX(lst_cat_wish,MATCH(D437,lst_cats,0))="Да",FALSE),MAX($L$4:L436)+1,"")</f>
        <v/>
      </c>
    </row>
    <row r="438">
      <c r="A438" s="36" t="n"/>
      <c r="B438" s="36" t="n"/>
      <c r="C438" s="37" t="n"/>
      <c r="D438" s="37" t="n"/>
      <c r="E438" s="37" t="n"/>
      <c r="F438" s="36" t="n"/>
      <c r="G438" s="38" t="n"/>
      <c r="H438" s="39" t="n"/>
      <c r="I438" s="40">
        <f>IF(OR(G438="",H438=""),"",G438-H438)</f>
        <v/>
      </c>
      <c r="J438" s="37" t="n"/>
      <c r="K438" s="37" t="n"/>
      <c r="L438" s="41">
        <f>IF(IFERROR(INDEX(lst_cat_wish,MATCH(D438,lst_cats,0))="Да",FALSE),MAX($L$4:L437)+1,"")</f>
        <v/>
      </c>
    </row>
    <row r="439">
      <c r="A439" s="36" t="n"/>
      <c r="B439" s="36" t="n"/>
      <c r="C439" s="37" t="n"/>
      <c r="D439" s="37" t="n"/>
      <c r="E439" s="37" t="n"/>
      <c r="F439" s="36" t="n"/>
      <c r="G439" s="38" t="n"/>
      <c r="H439" s="39" t="n"/>
      <c r="I439" s="40">
        <f>IF(OR(G439="",H439=""),"",G439-H439)</f>
        <v/>
      </c>
      <c r="J439" s="37" t="n"/>
      <c r="K439" s="37" t="n"/>
      <c r="L439" s="41">
        <f>IF(IFERROR(INDEX(lst_cat_wish,MATCH(D439,lst_cats,0))="Да",FALSE),MAX($L$4:L438)+1,"")</f>
        <v/>
      </c>
    </row>
    <row r="440">
      <c r="A440" s="36" t="n"/>
      <c r="B440" s="36" t="n"/>
      <c r="C440" s="37" t="n"/>
      <c r="D440" s="37" t="n"/>
      <c r="E440" s="37" t="n"/>
      <c r="F440" s="36" t="n"/>
      <c r="G440" s="38" t="n"/>
      <c r="H440" s="39" t="n"/>
      <c r="I440" s="40">
        <f>IF(OR(G440="",H440=""),"",G440-H440)</f>
        <v/>
      </c>
      <c r="J440" s="37" t="n"/>
      <c r="K440" s="37" t="n"/>
      <c r="L440" s="41">
        <f>IF(IFERROR(INDEX(lst_cat_wish,MATCH(D440,lst_cats,0))="Да",FALSE),MAX($L$4:L439)+1,"")</f>
        <v/>
      </c>
    </row>
    <row r="441">
      <c r="A441" s="36" t="n"/>
      <c r="B441" s="36" t="n"/>
      <c r="C441" s="37" t="n"/>
      <c r="D441" s="37" t="n"/>
      <c r="E441" s="37" t="n"/>
      <c r="F441" s="36" t="n"/>
      <c r="G441" s="38" t="n"/>
      <c r="H441" s="39" t="n"/>
      <c r="I441" s="40">
        <f>IF(OR(G441="",H441=""),"",G441-H441)</f>
        <v/>
      </c>
      <c r="J441" s="37" t="n"/>
      <c r="K441" s="37" t="n"/>
      <c r="L441" s="41">
        <f>IF(IFERROR(INDEX(lst_cat_wish,MATCH(D441,lst_cats,0))="Да",FALSE),MAX($L$4:L440)+1,"")</f>
        <v/>
      </c>
    </row>
    <row r="442">
      <c r="A442" s="36" t="n"/>
      <c r="B442" s="36" t="n"/>
      <c r="C442" s="37" t="n"/>
      <c r="D442" s="37" t="n"/>
      <c r="E442" s="37" t="n"/>
      <c r="F442" s="36" t="n"/>
      <c r="G442" s="38" t="n"/>
      <c r="H442" s="39" t="n"/>
      <c r="I442" s="40">
        <f>IF(OR(G442="",H442=""),"",G442-H442)</f>
        <v/>
      </c>
      <c r="J442" s="37" t="n"/>
      <c r="K442" s="37" t="n"/>
      <c r="L442" s="41">
        <f>IF(IFERROR(INDEX(lst_cat_wish,MATCH(D442,lst_cats,0))="Да",FALSE),MAX($L$4:L441)+1,"")</f>
        <v/>
      </c>
    </row>
    <row r="443">
      <c r="A443" s="36" t="n"/>
      <c r="B443" s="36" t="n"/>
      <c r="C443" s="37" t="n"/>
      <c r="D443" s="37" t="n"/>
      <c r="E443" s="37" t="n"/>
      <c r="F443" s="36" t="n"/>
      <c r="G443" s="38" t="n"/>
      <c r="H443" s="39" t="n"/>
      <c r="I443" s="40">
        <f>IF(OR(G443="",H443=""),"",G443-H443)</f>
        <v/>
      </c>
      <c r="J443" s="37" t="n"/>
      <c r="K443" s="37" t="n"/>
      <c r="L443" s="41">
        <f>IF(IFERROR(INDEX(lst_cat_wish,MATCH(D443,lst_cats,0))="Да",FALSE),MAX($L$4:L442)+1,"")</f>
        <v/>
      </c>
    </row>
    <row r="444">
      <c r="A444" s="36" t="n"/>
      <c r="B444" s="36" t="n"/>
      <c r="C444" s="37" t="n"/>
      <c r="D444" s="37" t="n"/>
      <c r="E444" s="37" t="n"/>
      <c r="F444" s="36" t="n"/>
      <c r="G444" s="38" t="n"/>
      <c r="H444" s="39" t="n"/>
      <c r="I444" s="40">
        <f>IF(OR(G444="",H444=""),"",G444-H444)</f>
        <v/>
      </c>
      <c r="J444" s="37" t="n"/>
      <c r="K444" s="37" t="n"/>
      <c r="L444" s="41">
        <f>IF(IFERROR(INDEX(lst_cat_wish,MATCH(D444,lst_cats,0))="Да",FALSE),MAX($L$4:L443)+1,"")</f>
        <v/>
      </c>
    </row>
    <row r="445">
      <c r="A445" s="36" t="n"/>
      <c r="B445" s="36" t="n"/>
      <c r="C445" s="37" t="n"/>
      <c r="D445" s="37" t="n"/>
      <c r="E445" s="37" t="n"/>
      <c r="F445" s="36" t="n"/>
      <c r="G445" s="38" t="n"/>
      <c r="H445" s="39" t="n"/>
      <c r="I445" s="40">
        <f>IF(OR(G445="",H445=""),"",G445-H445)</f>
        <v/>
      </c>
      <c r="J445" s="37" t="n"/>
      <c r="K445" s="37" t="n"/>
      <c r="L445" s="41">
        <f>IF(IFERROR(INDEX(lst_cat_wish,MATCH(D445,lst_cats,0))="Да",FALSE),MAX($L$4:L444)+1,"")</f>
        <v/>
      </c>
    </row>
    <row r="446">
      <c r="A446" s="36" t="n"/>
      <c r="B446" s="36" t="n"/>
      <c r="C446" s="37" t="n"/>
      <c r="D446" s="37" t="n"/>
      <c r="E446" s="37" t="n"/>
      <c r="F446" s="36" t="n"/>
      <c r="G446" s="38" t="n"/>
      <c r="H446" s="39" t="n"/>
      <c r="I446" s="40">
        <f>IF(OR(G446="",H446=""),"",G446-H446)</f>
        <v/>
      </c>
      <c r="J446" s="37" t="n"/>
      <c r="K446" s="37" t="n"/>
      <c r="L446" s="41">
        <f>IF(IFERROR(INDEX(lst_cat_wish,MATCH(D446,lst_cats,0))="Да",FALSE),MAX($L$4:L445)+1,"")</f>
        <v/>
      </c>
    </row>
    <row r="447">
      <c r="A447" s="36" t="n"/>
      <c r="B447" s="36" t="n"/>
      <c r="C447" s="37" t="n"/>
      <c r="D447" s="37" t="n"/>
      <c r="E447" s="37" t="n"/>
      <c r="F447" s="36" t="n"/>
      <c r="G447" s="38" t="n"/>
      <c r="H447" s="39" t="n"/>
      <c r="I447" s="40">
        <f>IF(OR(G447="",H447=""),"",G447-H447)</f>
        <v/>
      </c>
      <c r="J447" s="37" t="n"/>
      <c r="K447" s="37" t="n"/>
      <c r="L447" s="41">
        <f>IF(IFERROR(INDEX(lst_cat_wish,MATCH(D447,lst_cats,0))="Да",FALSE),MAX($L$4:L446)+1,"")</f>
        <v/>
      </c>
    </row>
    <row r="448">
      <c r="A448" s="36" t="n"/>
      <c r="B448" s="36" t="n"/>
      <c r="C448" s="37" t="n"/>
      <c r="D448" s="37" t="n"/>
      <c r="E448" s="37" t="n"/>
      <c r="F448" s="36" t="n"/>
      <c r="G448" s="38" t="n"/>
      <c r="H448" s="39" t="n"/>
      <c r="I448" s="40">
        <f>IF(OR(G448="",H448=""),"",G448-H448)</f>
        <v/>
      </c>
      <c r="J448" s="37" t="n"/>
      <c r="K448" s="37" t="n"/>
      <c r="L448" s="41">
        <f>IF(IFERROR(INDEX(lst_cat_wish,MATCH(D448,lst_cats,0))="Да",FALSE),MAX($L$4:L447)+1,"")</f>
        <v/>
      </c>
    </row>
    <row r="449">
      <c r="A449" s="36" t="n"/>
      <c r="B449" s="36" t="n"/>
      <c r="C449" s="37" t="n"/>
      <c r="D449" s="37" t="n"/>
      <c r="E449" s="37" t="n"/>
      <c r="F449" s="36" t="n"/>
      <c r="G449" s="38" t="n"/>
      <c r="H449" s="39" t="n"/>
      <c r="I449" s="40">
        <f>IF(OR(G449="",H449=""),"",G449-H449)</f>
        <v/>
      </c>
      <c r="J449" s="37" t="n"/>
      <c r="K449" s="37" t="n"/>
      <c r="L449" s="41">
        <f>IF(IFERROR(INDEX(lst_cat_wish,MATCH(D449,lst_cats,0))="Да",FALSE),MAX($L$4:L448)+1,"")</f>
        <v/>
      </c>
    </row>
    <row r="450">
      <c r="A450" s="36" t="n"/>
      <c r="B450" s="36" t="n"/>
      <c r="C450" s="37" t="n"/>
      <c r="D450" s="37" t="n"/>
      <c r="E450" s="37" t="n"/>
      <c r="F450" s="36" t="n"/>
      <c r="G450" s="38" t="n"/>
      <c r="H450" s="39" t="n"/>
      <c r="I450" s="40">
        <f>IF(OR(G450="",H450=""),"",G450-H450)</f>
        <v/>
      </c>
      <c r="J450" s="37" t="n"/>
      <c r="K450" s="37" t="n"/>
      <c r="L450" s="41">
        <f>IF(IFERROR(INDEX(lst_cat_wish,MATCH(D450,lst_cats,0))="Да",FALSE),MAX($L$4:L449)+1,"")</f>
        <v/>
      </c>
    </row>
    <row r="451">
      <c r="A451" s="36" t="n"/>
      <c r="B451" s="36" t="n"/>
      <c r="C451" s="37" t="n"/>
      <c r="D451" s="37" t="n"/>
      <c r="E451" s="37" t="n"/>
      <c r="F451" s="36" t="n"/>
      <c r="G451" s="38" t="n"/>
      <c r="H451" s="39" t="n"/>
      <c r="I451" s="40">
        <f>IF(OR(G451="",H451=""),"",G451-H451)</f>
        <v/>
      </c>
      <c r="J451" s="37" t="n"/>
      <c r="K451" s="37" t="n"/>
      <c r="L451" s="41">
        <f>IF(IFERROR(INDEX(lst_cat_wish,MATCH(D451,lst_cats,0))="Да",FALSE),MAX($L$4:L450)+1,"")</f>
        <v/>
      </c>
    </row>
    <row r="452">
      <c r="A452" s="36" t="n"/>
      <c r="B452" s="36" t="n"/>
      <c r="C452" s="37" t="n"/>
      <c r="D452" s="37" t="n"/>
      <c r="E452" s="37" t="n"/>
      <c r="F452" s="36" t="n"/>
      <c r="G452" s="38" t="n"/>
      <c r="H452" s="39" t="n"/>
      <c r="I452" s="40">
        <f>IF(OR(G452="",H452=""),"",G452-H452)</f>
        <v/>
      </c>
      <c r="J452" s="37" t="n"/>
      <c r="K452" s="37" t="n"/>
      <c r="L452" s="41">
        <f>IF(IFERROR(INDEX(lst_cat_wish,MATCH(D452,lst_cats,0))="Да",FALSE),MAX($L$4:L451)+1,"")</f>
        <v/>
      </c>
    </row>
    <row r="453">
      <c r="A453" s="36" t="n"/>
      <c r="B453" s="36" t="n"/>
      <c r="C453" s="37" t="n"/>
      <c r="D453" s="37" t="n"/>
      <c r="E453" s="37" t="n"/>
      <c r="F453" s="36" t="n"/>
      <c r="G453" s="38" t="n"/>
      <c r="H453" s="39" t="n"/>
      <c r="I453" s="40">
        <f>IF(OR(G453="",H453=""),"",G453-H453)</f>
        <v/>
      </c>
      <c r="J453" s="37" t="n"/>
      <c r="K453" s="37" t="n"/>
      <c r="L453" s="41">
        <f>IF(IFERROR(INDEX(lst_cat_wish,MATCH(D453,lst_cats,0))="Да",FALSE),MAX($L$4:L452)+1,"")</f>
        <v/>
      </c>
    </row>
    <row r="454">
      <c r="A454" s="36" t="n"/>
      <c r="B454" s="36" t="n"/>
      <c r="C454" s="37" t="n"/>
      <c r="D454" s="37" t="n"/>
      <c r="E454" s="37" t="n"/>
      <c r="F454" s="36" t="n"/>
      <c r="G454" s="38" t="n"/>
      <c r="H454" s="39" t="n"/>
      <c r="I454" s="40">
        <f>IF(OR(G454="",H454=""),"",G454-H454)</f>
        <v/>
      </c>
      <c r="J454" s="37" t="n"/>
      <c r="K454" s="37" t="n"/>
      <c r="L454" s="41">
        <f>IF(IFERROR(INDEX(lst_cat_wish,MATCH(D454,lst_cats,0))="Да",FALSE),MAX($L$4:L453)+1,"")</f>
        <v/>
      </c>
    </row>
    <row r="455">
      <c r="A455" s="36" t="n"/>
      <c r="B455" s="36" t="n"/>
      <c r="C455" s="37" t="n"/>
      <c r="D455" s="37" t="n"/>
      <c r="E455" s="37" t="n"/>
      <c r="F455" s="36" t="n"/>
      <c r="G455" s="38" t="n"/>
      <c r="H455" s="39" t="n"/>
      <c r="I455" s="40">
        <f>IF(OR(G455="",H455=""),"",G455-H455)</f>
        <v/>
      </c>
      <c r="J455" s="37" t="n"/>
      <c r="K455" s="37" t="n"/>
      <c r="L455" s="41">
        <f>IF(IFERROR(INDEX(lst_cat_wish,MATCH(D455,lst_cats,0))="Да",FALSE),MAX($L$4:L454)+1,"")</f>
        <v/>
      </c>
    </row>
    <row r="456">
      <c r="A456" s="36" t="n"/>
      <c r="B456" s="36" t="n"/>
      <c r="C456" s="37" t="n"/>
      <c r="D456" s="37" t="n"/>
      <c r="E456" s="37" t="n"/>
      <c r="F456" s="36" t="n"/>
      <c r="G456" s="38" t="n"/>
      <c r="H456" s="39" t="n"/>
      <c r="I456" s="40">
        <f>IF(OR(G456="",H456=""),"",G456-H456)</f>
        <v/>
      </c>
      <c r="J456" s="37" t="n"/>
      <c r="K456" s="37" t="n"/>
      <c r="L456" s="41">
        <f>IF(IFERROR(INDEX(lst_cat_wish,MATCH(D456,lst_cats,0))="Да",FALSE),MAX($L$4:L455)+1,"")</f>
        <v/>
      </c>
    </row>
    <row r="457">
      <c r="A457" s="36" t="n"/>
      <c r="B457" s="36" t="n"/>
      <c r="C457" s="37" t="n"/>
      <c r="D457" s="37" t="n"/>
      <c r="E457" s="37" t="n"/>
      <c r="F457" s="36" t="n"/>
      <c r="G457" s="38" t="n"/>
      <c r="H457" s="39" t="n"/>
      <c r="I457" s="40">
        <f>IF(OR(G457="",H457=""),"",G457-H457)</f>
        <v/>
      </c>
      <c r="J457" s="37" t="n"/>
      <c r="K457" s="37" t="n"/>
      <c r="L457" s="41">
        <f>IF(IFERROR(INDEX(lst_cat_wish,MATCH(D457,lst_cats,0))="Да",FALSE),MAX($L$4:L456)+1,"")</f>
        <v/>
      </c>
    </row>
    <row r="458">
      <c r="A458" s="36" t="n"/>
      <c r="B458" s="36" t="n"/>
      <c r="C458" s="37" t="n"/>
      <c r="D458" s="37" t="n"/>
      <c r="E458" s="37" t="n"/>
      <c r="F458" s="36" t="n"/>
      <c r="G458" s="38" t="n"/>
      <c r="H458" s="39" t="n"/>
      <c r="I458" s="40">
        <f>IF(OR(G458="",H458=""),"",G458-H458)</f>
        <v/>
      </c>
      <c r="J458" s="37" t="n"/>
      <c r="K458" s="37" t="n"/>
      <c r="L458" s="41">
        <f>IF(IFERROR(INDEX(lst_cat_wish,MATCH(D458,lst_cats,0))="Да",FALSE),MAX($L$4:L457)+1,"")</f>
        <v/>
      </c>
    </row>
    <row r="459">
      <c r="A459" s="36" t="n"/>
      <c r="B459" s="36" t="n"/>
      <c r="C459" s="37" t="n"/>
      <c r="D459" s="37" t="n"/>
      <c r="E459" s="37" t="n"/>
      <c r="F459" s="36" t="n"/>
      <c r="G459" s="38" t="n"/>
      <c r="H459" s="39" t="n"/>
      <c r="I459" s="40">
        <f>IF(OR(G459="",H459=""),"",G459-H459)</f>
        <v/>
      </c>
      <c r="J459" s="37" t="n"/>
      <c r="K459" s="37" t="n"/>
      <c r="L459" s="41">
        <f>IF(IFERROR(INDEX(lst_cat_wish,MATCH(D459,lst_cats,0))="Да",FALSE),MAX($L$4:L458)+1,"")</f>
        <v/>
      </c>
    </row>
    <row r="460">
      <c r="A460" s="36" t="n"/>
      <c r="B460" s="36" t="n"/>
      <c r="C460" s="37" t="n"/>
      <c r="D460" s="37" t="n"/>
      <c r="E460" s="37" t="n"/>
      <c r="F460" s="36" t="n"/>
      <c r="G460" s="38" t="n"/>
      <c r="H460" s="39" t="n"/>
      <c r="I460" s="40">
        <f>IF(OR(G460="",H460=""),"",G460-H460)</f>
        <v/>
      </c>
      <c r="J460" s="37" t="n"/>
      <c r="K460" s="37" t="n"/>
      <c r="L460" s="41">
        <f>IF(IFERROR(INDEX(lst_cat_wish,MATCH(D460,lst_cats,0))="Да",FALSE),MAX($L$4:L459)+1,"")</f>
        <v/>
      </c>
    </row>
    <row r="461">
      <c r="A461" s="36" t="n"/>
      <c r="B461" s="36" t="n"/>
      <c r="C461" s="37" t="n"/>
      <c r="D461" s="37" t="n"/>
      <c r="E461" s="37" t="n"/>
      <c r="F461" s="36" t="n"/>
      <c r="G461" s="38" t="n"/>
      <c r="H461" s="39" t="n"/>
      <c r="I461" s="40">
        <f>IF(OR(G461="",H461=""),"",G461-H461)</f>
        <v/>
      </c>
      <c r="J461" s="37" t="n"/>
      <c r="K461" s="37" t="n"/>
      <c r="L461" s="41">
        <f>IF(IFERROR(INDEX(lst_cat_wish,MATCH(D461,lst_cats,0))="Да",FALSE),MAX($L$4:L460)+1,"")</f>
        <v/>
      </c>
    </row>
    <row r="462">
      <c r="A462" s="36" t="n"/>
      <c r="B462" s="36" t="n"/>
      <c r="C462" s="37" t="n"/>
      <c r="D462" s="37" t="n"/>
      <c r="E462" s="37" t="n"/>
      <c r="F462" s="36" t="n"/>
      <c r="G462" s="38" t="n"/>
      <c r="H462" s="39" t="n"/>
      <c r="I462" s="40">
        <f>IF(OR(G462="",H462=""),"",G462-H462)</f>
        <v/>
      </c>
      <c r="J462" s="37" t="n"/>
      <c r="K462" s="37" t="n"/>
      <c r="L462" s="41">
        <f>IF(IFERROR(INDEX(lst_cat_wish,MATCH(D462,lst_cats,0))="Да",FALSE),MAX($L$4:L461)+1,"")</f>
        <v/>
      </c>
    </row>
    <row r="463">
      <c r="A463" s="36" t="n"/>
      <c r="B463" s="36" t="n"/>
      <c r="C463" s="37" t="n"/>
      <c r="D463" s="37" t="n"/>
      <c r="E463" s="37" t="n"/>
      <c r="F463" s="36" t="n"/>
      <c r="G463" s="38" t="n"/>
      <c r="H463" s="39" t="n"/>
      <c r="I463" s="40">
        <f>IF(OR(G463="",H463=""),"",G463-H463)</f>
        <v/>
      </c>
      <c r="J463" s="37" t="n"/>
      <c r="K463" s="37" t="n"/>
      <c r="L463" s="41">
        <f>IF(IFERROR(INDEX(lst_cat_wish,MATCH(D463,lst_cats,0))="Да",FALSE),MAX($L$4:L462)+1,"")</f>
        <v/>
      </c>
    </row>
    <row r="464">
      <c r="A464" s="36" t="n"/>
      <c r="B464" s="36" t="n"/>
      <c r="C464" s="37" t="n"/>
      <c r="D464" s="37" t="n"/>
      <c r="E464" s="37" t="n"/>
      <c r="F464" s="36" t="n"/>
      <c r="G464" s="38" t="n"/>
      <c r="H464" s="39" t="n"/>
      <c r="I464" s="40">
        <f>IF(OR(G464="",H464=""),"",G464-H464)</f>
        <v/>
      </c>
      <c r="J464" s="37" t="n"/>
      <c r="K464" s="37" t="n"/>
      <c r="L464" s="41">
        <f>IF(IFERROR(INDEX(lst_cat_wish,MATCH(D464,lst_cats,0))="Да",FALSE),MAX($L$4:L463)+1,"")</f>
        <v/>
      </c>
    </row>
    <row r="465">
      <c r="A465" s="36" t="n"/>
      <c r="B465" s="36" t="n"/>
      <c r="C465" s="37" t="n"/>
      <c r="D465" s="37" t="n"/>
      <c r="E465" s="37" t="n"/>
      <c r="F465" s="36" t="n"/>
      <c r="G465" s="38" t="n"/>
      <c r="H465" s="39" t="n"/>
      <c r="I465" s="40">
        <f>IF(OR(G465="",H465=""),"",G465-H465)</f>
        <v/>
      </c>
      <c r="J465" s="37" t="n"/>
      <c r="K465" s="37" t="n"/>
      <c r="L465" s="41">
        <f>IF(IFERROR(INDEX(lst_cat_wish,MATCH(D465,lst_cats,0))="Да",FALSE),MAX($L$4:L464)+1,"")</f>
        <v/>
      </c>
    </row>
    <row r="466">
      <c r="A466" s="36" t="n"/>
      <c r="B466" s="36" t="n"/>
      <c r="C466" s="37" t="n"/>
      <c r="D466" s="37" t="n"/>
      <c r="E466" s="37" t="n"/>
      <c r="F466" s="36" t="n"/>
      <c r="G466" s="38" t="n"/>
      <c r="H466" s="39" t="n"/>
      <c r="I466" s="40">
        <f>IF(OR(G466="",H466=""),"",G466-H466)</f>
        <v/>
      </c>
      <c r="J466" s="37" t="n"/>
      <c r="K466" s="37" t="n"/>
      <c r="L466" s="41">
        <f>IF(IFERROR(INDEX(lst_cat_wish,MATCH(D466,lst_cats,0))="Да",FALSE),MAX($L$4:L465)+1,"")</f>
        <v/>
      </c>
    </row>
    <row r="467">
      <c r="A467" s="36" t="n"/>
      <c r="B467" s="36" t="n"/>
      <c r="C467" s="37" t="n"/>
      <c r="D467" s="37" t="n"/>
      <c r="E467" s="37" t="n"/>
      <c r="F467" s="36" t="n"/>
      <c r="G467" s="38" t="n"/>
      <c r="H467" s="39" t="n"/>
      <c r="I467" s="40">
        <f>IF(OR(G467="",H467=""),"",G467-H467)</f>
        <v/>
      </c>
      <c r="J467" s="37" t="n"/>
      <c r="K467" s="37" t="n"/>
      <c r="L467" s="41">
        <f>IF(IFERROR(INDEX(lst_cat_wish,MATCH(D467,lst_cats,0))="Да",FALSE),MAX($L$4:L466)+1,"")</f>
        <v/>
      </c>
    </row>
    <row r="468">
      <c r="A468" s="36" t="n"/>
      <c r="B468" s="36" t="n"/>
      <c r="C468" s="37" t="n"/>
      <c r="D468" s="37" t="n"/>
      <c r="E468" s="37" t="n"/>
      <c r="F468" s="36" t="n"/>
      <c r="G468" s="38" t="n"/>
      <c r="H468" s="39" t="n"/>
      <c r="I468" s="40">
        <f>IF(OR(G468="",H468=""),"",G468-H468)</f>
        <v/>
      </c>
      <c r="J468" s="37" t="n"/>
      <c r="K468" s="37" t="n"/>
      <c r="L468" s="41">
        <f>IF(IFERROR(INDEX(lst_cat_wish,MATCH(D468,lst_cats,0))="Да",FALSE),MAX($L$4:L467)+1,"")</f>
        <v/>
      </c>
    </row>
    <row r="469">
      <c r="A469" s="36" t="n"/>
      <c r="B469" s="36" t="n"/>
      <c r="C469" s="37" t="n"/>
      <c r="D469" s="37" t="n"/>
      <c r="E469" s="37" t="n"/>
      <c r="F469" s="36" t="n"/>
      <c r="G469" s="38" t="n"/>
      <c r="H469" s="39" t="n"/>
      <c r="I469" s="40">
        <f>IF(OR(G469="",H469=""),"",G469-H469)</f>
        <v/>
      </c>
      <c r="J469" s="37" t="n"/>
      <c r="K469" s="37" t="n"/>
      <c r="L469" s="41">
        <f>IF(IFERROR(INDEX(lst_cat_wish,MATCH(D469,lst_cats,0))="Да",FALSE),MAX($L$4:L468)+1,"")</f>
        <v/>
      </c>
    </row>
    <row r="470">
      <c r="A470" s="36" t="n"/>
      <c r="B470" s="36" t="n"/>
      <c r="C470" s="37" t="n"/>
      <c r="D470" s="37" t="n"/>
      <c r="E470" s="37" t="n"/>
      <c r="F470" s="36" t="n"/>
      <c r="G470" s="38" t="n"/>
      <c r="H470" s="39" t="n"/>
      <c r="I470" s="40">
        <f>IF(OR(G470="",H470=""),"",G470-H470)</f>
        <v/>
      </c>
      <c r="J470" s="37" t="n"/>
      <c r="K470" s="37" t="n"/>
      <c r="L470" s="41">
        <f>IF(IFERROR(INDEX(lst_cat_wish,MATCH(D470,lst_cats,0))="Да",FALSE),MAX($L$4:L469)+1,"")</f>
        <v/>
      </c>
    </row>
    <row r="471">
      <c r="A471" s="36" t="n"/>
      <c r="B471" s="36" t="n"/>
      <c r="C471" s="37" t="n"/>
      <c r="D471" s="37" t="n"/>
      <c r="E471" s="37" t="n"/>
      <c r="F471" s="36" t="n"/>
      <c r="G471" s="38" t="n"/>
      <c r="H471" s="39" t="n"/>
      <c r="I471" s="40">
        <f>IF(OR(G471="",H471=""),"",G471-H471)</f>
        <v/>
      </c>
      <c r="J471" s="37" t="n"/>
      <c r="K471" s="37" t="n"/>
      <c r="L471" s="41">
        <f>IF(IFERROR(INDEX(lst_cat_wish,MATCH(D471,lst_cats,0))="Да",FALSE),MAX($L$4:L470)+1,"")</f>
        <v/>
      </c>
    </row>
    <row r="472">
      <c r="A472" s="36" t="n"/>
      <c r="B472" s="36" t="n"/>
      <c r="C472" s="37" t="n"/>
      <c r="D472" s="37" t="n"/>
      <c r="E472" s="37" t="n"/>
      <c r="F472" s="36" t="n"/>
      <c r="G472" s="38" t="n"/>
      <c r="H472" s="39" t="n"/>
      <c r="I472" s="40">
        <f>IF(OR(G472="",H472=""),"",G472-H472)</f>
        <v/>
      </c>
      <c r="J472" s="37" t="n"/>
      <c r="K472" s="37" t="n"/>
      <c r="L472" s="41">
        <f>IF(IFERROR(INDEX(lst_cat_wish,MATCH(D472,lst_cats,0))="Да",FALSE),MAX($L$4:L471)+1,"")</f>
        <v/>
      </c>
    </row>
    <row r="473">
      <c r="A473" s="36" t="n"/>
      <c r="B473" s="36" t="n"/>
      <c r="C473" s="37" t="n"/>
      <c r="D473" s="37" t="n"/>
      <c r="E473" s="37" t="n"/>
      <c r="F473" s="36" t="n"/>
      <c r="G473" s="38" t="n"/>
      <c r="H473" s="39" t="n"/>
      <c r="I473" s="40">
        <f>IF(OR(G473="",H473=""),"",G473-H473)</f>
        <v/>
      </c>
      <c r="J473" s="37" t="n"/>
      <c r="K473" s="37" t="n"/>
      <c r="L473" s="41">
        <f>IF(IFERROR(INDEX(lst_cat_wish,MATCH(D473,lst_cats,0))="Да",FALSE),MAX($L$4:L472)+1,"")</f>
        <v/>
      </c>
    </row>
    <row r="474">
      <c r="A474" s="36" t="n"/>
      <c r="B474" s="36" t="n"/>
      <c r="C474" s="37" t="n"/>
      <c r="D474" s="37" t="n"/>
      <c r="E474" s="37" t="n"/>
      <c r="F474" s="36" t="n"/>
      <c r="G474" s="38" t="n"/>
      <c r="H474" s="39" t="n"/>
      <c r="I474" s="40">
        <f>IF(OR(G474="",H474=""),"",G474-H474)</f>
        <v/>
      </c>
      <c r="J474" s="37" t="n"/>
      <c r="K474" s="37" t="n"/>
      <c r="L474" s="41">
        <f>IF(IFERROR(INDEX(lst_cat_wish,MATCH(D474,lst_cats,0))="Да",FALSE),MAX($L$4:L473)+1,"")</f>
        <v/>
      </c>
    </row>
    <row r="475">
      <c r="A475" s="36" t="n"/>
      <c r="B475" s="36" t="n"/>
      <c r="C475" s="37" t="n"/>
      <c r="D475" s="37" t="n"/>
      <c r="E475" s="37" t="n"/>
      <c r="F475" s="36" t="n"/>
      <c r="G475" s="38" t="n"/>
      <c r="H475" s="39" t="n"/>
      <c r="I475" s="40">
        <f>IF(OR(G475="",H475=""),"",G475-H475)</f>
        <v/>
      </c>
      <c r="J475" s="37" t="n"/>
      <c r="K475" s="37" t="n"/>
      <c r="L475" s="41">
        <f>IF(IFERROR(INDEX(lst_cat_wish,MATCH(D475,lst_cats,0))="Да",FALSE),MAX($L$4:L474)+1,"")</f>
        <v/>
      </c>
    </row>
    <row r="476">
      <c r="A476" s="36" t="n"/>
      <c r="B476" s="36" t="n"/>
      <c r="C476" s="37" t="n"/>
      <c r="D476" s="37" t="n"/>
      <c r="E476" s="37" t="n"/>
      <c r="F476" s="36" t="n"/>
      <c r="G476" s="38" t="n"/>
      <c r="H476" s="39" t="n"/>
      <c r="I476" s="40">
        <f>IF(OR(G476="",H476=""),"",G476-H476)</f>
        <v/>
      </c>
      <c r="J476" s="37" t="n"/>
      <c r="K476" s="37" t="n"/>
      <c r="L476" s="41">
        <f>IF(IFERROR(INDEX(lst_cat_wish,MATCH(D476,lst_cats,0))="Да",FALSE),MAX($L$4:L475)+1,"")</f>
        <v/>
      </c>
    </row>
    <row r="477">
      <c r="A477" s="36" t="n"/>
      <c r="B477" s="36" t="n"/>
      <c r="C477" s="37" t="n"/>
      <c r="D477" s="37" t="n"/>
      <c r="E477" s="37" t="n"/>
      <c r="F477" s="36" t="n"/>
      <c r="G477" s="38" t="n"/>
      <c r="H477" s="39" t="n"/>
      <c r="I477" s="40">
        <f>IF(OR(G477="",H477=""),"",G477-H477)</f>
        <v/>
      </c>
      <c r="J477" s="37" t="n"/>
      <c r="K477" s="37" t="n"/>
      <c r="L477" s="41">
        <f>IF(IFERROR(INDEX(lst_cat_wish,MATCH(D477,lst_cats,0))="Да",FALSE),MAX($L$4:L476)+1,"")</f>
        <v/>
      </c>
    </row>
    <row r="478">
      <c r="A478" s="36" t="n"/>
      <c r="B478" s="36" t="n"/>
      <c r="C478" s="37" t="n"/>
      <c r="D478" s="37" t="n"/>
      <c r="E478" s="37" t="n"/>
      <c r="F478" s="36" t="n"/>
      <c r="G478" s="38" t="n"/>
      <c r="H478" s="39" t="n"/>
      <c r="I478" s="40">
        <f>IF(OR(G478="",H478=""),"",G478-H478)</f>
        <v/>
      </c>
      <c r="J478" s="37" t="n"/>
      <c r="K478" s="37" t="n"/>
      <c r="L478" s="41">
        <f>IF(IFERROR(INDEX(lst_cat_wish,MATCH(D478,lst_cats,0))="Да",FALSE),MAX($L$4:L477)+1,"")</f>
        <v/>
      </c>
    </row>
    <row r="479">
      <c r="A479" s="36" t="n"/>
      <c r="B479" s="36" t="n"/>
      <c r="C479" s="37" t="n"/>
      <c r="D479" s="37" t="n"/>
      <c r="E479" s="37" t="n"/>
      <c r="F479" s="36" t="n"/>
      <c r="G479" s="38" t="n"/>
      <c r="H479" s="39" t="n"/>
      <c r="I479" s="40">
        <f>IF(OR(G479="",H479=""),"",G479-H479)</f>
        <v/>
      </c>
      <c r="J479" s="37" t="n"/>
      <c r="K479" s="37" t="n"/>
      <c r="L479" s="41">
        <f>IF(IFERROR(INDEX(lst_cat_wish,MATCH(D479,lst_cats,0))="Да",FALSE),MAX($L$4:L478)+1,"")</f>
        <v/>
      </c>
    </row>
    <row r="480">
      <c r="A480" s="36" t="n"/>
      <c r="B480" s="36" t="n"/>
      <c r="C480" s="37" t="n"/>
      <c r="D480" s="37" t="n"/>
      <c r="E480" s="37" t="n"/>
      <c r="F480" s="36" t="n"/>
      <c r="G480" s="38" t="n"/>
      <c r="H480" s="39" t="n"/>
      <c r="I480" s="40">
        <f>IF(OR(G480="",H480=""),"",G480-H480)</f>
        <v/>
      </c>
      <c r="J480" s="37" t="n"/>
      <c r="K480" s="37" t="n"/>
      <c r="L480" s="41">
        <f>IF(IFERROR(INDEX(lst_cat_wish,MATCH(D480,lst_cats,0))="Да",FALSE),MAX($L$4:L479)+1,"")</f>
        <v/>
      </c>
    </row>
    <row r="481">
      <c r="A481" s="36" t="n"/>
      <c r="B481" s="36" t="n"/>
      <c r="C481" s="37" t="n"/>
      <c r="D481" s="37" t="n"/>
      <c r="E481" s="37" t="n"/>
      <c r="F481" s="36" t="n"/>
      <c r="G481" s="38" t="n"/>
      <c r="H481" s="39" t="n"/>
      <c r="I481" s="40">
        <f>IF(OR(G481="",H481=""),"",G481-H481)</f>
        <v/>
      </c>
      <c r="J481" s="37" t="n"/>
      <c r="K481" s="37" t="n"/>
      <c r="L481" s="41">
        <f>IF(IFERROR(INDEX(lst_cat_wish,MATCH(D481,lst_cats,0))="Да",FALSE),MAX($L$4:L480)+1,"")</f>
        <v/>
      </c>
    </row>
    <row r="482">
      <c r="A482" s="36" t="n"/>
      <c r="B482" s="36" t="n"/>
      <c r="C482" s="37" t="n"/>
      <c r="D482" s="37" t="n"/>
      <c r="E482" s="37" t="n"/>
      <c r="F482" s="36" t="n"/>
      <c r="G482" s="38" t="n"/>
      <c r="H482" s="39" t="n"/>
      <c r="I482" s="40">
        <f>IF(OR(G482="",H482=""),"",G482-H482)</f>
        <v/>
      </c>
      <c r="J482" s="37" t="n"/>
      <c r="K482" s="37" t="n"/>
      <c r="L482" s="41">
        <f>IF(IFERROR(INDEX(lst_cat_wish,MATCH(D482,lst_cats,0))="Да",FALSE),MAX($L$4:L481)+1,"")</f>
        <v/>
      </c>
    </row>
    <row r="483">
      <c r="A483" s="36" t="n"/>
      <c r="B483" s="36" t="n"/>
      <c r="C483" s="37" t="n"/>
      <c r="D483" s="37" t="n"/>
      <c r="E483" s="37" t="n"/>
      <c r="F483" s="36" t="n"/>
      <c r="G483" s="38" t="n"/>
      <c r="H483" s="39" t="n"/>
      <c r="I483" s="40">
        <f>IF(OR(G483="",H483=""),"",G483-H483)</f>
        <v/>
      </c>
      <c r="J483" s="37" t="n"/>
      <c r="K483" s="37" t="n"/>
      <c r="L483" s="41">
        <f>IF(IFERROR(INDEX(lst_cat_wish,MATCH(D483,lst_cats,0))="Да",FALSE),MAX($L$4:L482)+1,"")</f>
        <v/>
      </c>
    </row>
    <row r="484">
      <c r="A484" s="36" t="n"/>
      <c r="B484" s="36" t="n"/>
      <c r="C484" s="37" t="n"/>
      <c r="D484" s="37" t="n"/>
      <c r="E484" s="37" t="n"/>
      <c r="F484" s="36" t="n"/>
      <c r="G484" s="38" t="n"/>
      <c r="H484" s="39" t="n"/>
      <c r="I484" s="40">
        <f>IF(OR(G484="",H484=""),"",G484-H484)</f>
        <v/>
      </c>
      <c r="J484" s="37" t="n"/>
      <c r="K484" s="37" t="n"/>
      <c r="L484" s="41">
        <f>IF(IFERROR(INDEX(lst_cat_wish,MATCH(D484,lst_cats,0))="Да",FALSE),MAX($L$4:L483)+1,"")</f>
        <v/>
      </c>
    </row>
    <row r="485">
      <c r="A485" s="36" t="n"/>
      <c r="B485" s="36" t="n"/>
      <c r="C485" s="37" t="n"/>
      <c r="D485" s="37" t="n"/>
      <c r="E485" s="37" t="n"/>
      <c r="F485" s="36" t="n"/>
      <c r="G485" s="38" t="n"/>
      <c r="H485" s="39" t="n"/>
      <c r="I485" s="40">
        <f>IF(OR(G485="",H485=""),"",G485-H485)</f>
        <v/>
      </c>
      <c r="J485" s="37" t="n"/>
      <c r="K485" s="37" t="n"/>
      <c r="L485" s="41">
        <f>IF(IFERROR(INDEX(lst_cat_wish,MATCH(D485,lst_cats,0))="Да",FALSE),MAX($L$4:L484)+1,"")</f>
        <v/>
      </c>
    </row>
    <row r="486">
      <c r="A486" s="36" t="n"/>
      <c r="B486" s="36" t="n"/>
      <c r="C486" s="37" t="n"/>
      <c r="D486" s="37" t="n"/>
      <c r="E486" s="37" t="n"/>
      <c r="F486" s="36" t="n"/>
      <c r="G486" s="38" t="n"/>
      <c r="H486" s="39" t="n"/>
      <c r="I486" s="40">
        <f>IF(OR(G486="",H486=""),"",G486-H486)</f>
        <v/>
      </c>
      <c r="J486" s="37" t="n"/>
      <c r="K486" s="37" t="n"/>
      <c r="L486" s="41">
        <f>IF(IFERROR(INDEX(lst_cat_wish,MATCH(D486,lst_cats,0))="Да",FALSE),MAX($L$4:L485)+1,"")</f>
        <v/>
      </c>
    </row>
    <row r="487">
      <c r="A487" s="36" t="n"/>
      <c r="B487" s="36" t="n"/>
      <c r="C487" s="37" t="n"/>
      <c r="D487" s="37" t="n"/>
      <c r="E487" s="37" t="n"/>
      <c r="F487" s="36" t="n"/>
      <c r="G487" s="38" t="n"/>
      <c r="H487" s="39" t="n"/>
      <c r="I487" s="40">
        <f>IF(OR(G487="",H487=""),"",G487-H487)</f>
        <v/>
      </c>
      <c r="J487" s="37" t="n"/>
      <c r="K487" s="37" t="n"/>
      <c r="L487" s="41">
        <f>IF(IFERROR(INDEX(lst_cat_wish,MATCH(D487,lst_cats,0))="Да",FALSE),MAX($L$4:L486)+1,"")</f>
        <v/>
      </c>
    </row>
    <row r="488">
      <c r="A488" s="36" t="n"/>
      <c r="B488" s="36" t="n"/>
      <c r="C488" s="37" t="n"/>
      <c r="D488" s="37" t="n"/>
      <c r="E488" s="37" t="n"/>
      <c r="F488" s="36" t="n"/>
      <c r="G488" s="38" t="n"/>
      <c r="H488" s="39" t="n"/>
      <c r="I488" s="40">
        <f>IF(OR(G488="",H488=""),"",G488-H488)</f>
        <v/>
      </c>
      <c r="J488" s="37" t="n"/>
      <c r="K488" s="37" t="n"/>
      <c r="L488" s="41">
        <f>IF(IFERROR(INDEX(lst_cat_wish,MATCH(D488,lst_cats,0))="Да",FALSE),MAX($L$4:L487)+1,"")</f>
        <v/>
      </c>
    </row>
    <row r="489">
      <c r="A489" s="36" t="n"/>
      <c r="B489" s="36" t="n"/>
      <c r="C489" s="37" t="n"/>
      <c r="D489" s="37" t="n"/>
      <c r="E489" s="37" t="n"/>
      <c r="F489" s="36" t="n"/>
      <c r="G489" s="38" t="n"/>
      <c r="H489" s="39" t="n"/>
      <c r="I489" s="40">
        <f>IF(OR(G489="",H489=""),"",G489-H489)</f>
        <v/>
      </c>
      <c r="J489" s="37" t="n"/>
      <c r="K489" s="37" t="n"/>
      <c r="L489" s="41">
        <f>IF(IFERROR(INDEX(lst_cat_wish,MATCH(D489,lst_cats,0))="Да",FALSE),MAX($L$4:L488)+1,"")</f>
        <v/>
      </c>
    </row>
    <row r="490">
      <c r="A490" s="36" t="n"/>
      <c r="B490" s="36" t="n"/>
      <c r="C490" s="37" t="n"/>
      <c r="D490" s="37" t="n"/>
      <c r="E490" s="37" t="n"/>
      <c r="F490" s="36" t="n"/>
      <c r="G490" s="38" t="n"/>
      <c r="H490" s="39" t="n"/>
      <c r="I490" s="40">
        <f>IF(OR(G490="",H490=""),"",G490-H490)</f>
        <v/>
      </c>
      <c r="J490" s="37" t="n"/>
      <c r="K490" s="37" t="n"/>
      <c r="L490" s="41">
        <f>IF(IFERROR(INDEX(lst_cat_wish,MATCH(D490,lst_cats,0))="Да",FALSE),MAX($L$4:L489)+1,"")</f>
        <v/>
      </c>
    </row>
    <row r="491">
      <c r="A491" s="36" t="n"/>
      <c r="B491" s="36" t="n"/>
      <c r="C491" s="37" t="n"/>
      <c r="D491" s="37" t="n"/>
      <c r="E491" s="37" t="n"/>
      <c r="F491" s="36" t="n"/>
      <c r="G491" s="38" t="n"/>
      <c r="H491" s="39" t="n"/>
      <c r="I491" s="40">
        <f>IF(OR(G491="",H491=""),"",G491-H491)</f>
        <v/>
      </c>
      <c r="J491" s="37" t="n"/>
      <c r="K491" s="37" t="n"/>
      <c r="L491" s="41">
        <f>IF(IFERROR(INDEX(lst_cat_wish,MATCH(D491,lst_cats,0))="Да",FALSE),MAX($L$4:L490)+1,"")</f>
        <v/>
      </c>
    </row>
    <row r="492">
      <c r="A492" s="36" t="n"/>
      <c r="B492" s="36" t="n"/>
      <c r="C492" s="37" t="n"/>
      <c r="D492" s="37" t="n"/>
      <c r="E492" s="37" t="n"/>
      <c r="F492" s="36" t="n"/>
      <c r="G492" s="38" t="n"/>
      <c r="H492" s="39" t="n"/>
      <c r="I492" s="40">
        <f>IF(OR(G492="",H492=""),"",G492-H492)</f>
        <v/>
      </c>
      <c r="J492" s="37" t="n"/>
      <c r="K492" s="37" t="n"/>
      <c r="L492" s="41">
        <f>IF(IFERROR(INDEX(lst_cat_wish,MATCH(D492,lst_cats,0))="Да",FALSE),MAX($L$4:L491)+1,"")</f>
        <v/>
      </c>
    </row>
    <row r="493">
      <c r="A493" s="36" t="n"/>
      <c r="B493" s="36" t="n"/>
      <c r="C493" s="37" t="n"/>
      <c r="D493" s="37" t="n"/>
      <c r="E493" s="37" t="n"/>
      <c r="F493" s="36" t="n"/>
      <c r="G493" s="38" t="n"/>
      <c r="H493" s="39" t="n"/>
      <c r="I493" s="40">
        <f>IF(OR(G493="",H493=""),"",G493-H493)</f>
        <v/>
      </c>
      <c r="J493" s="37" t="n"/>
      <c r="K493" s="37" t="n"/>
      <c r="L493" s="41">
        <f>IF(IFERROR(INDEX(lst_cat_wish,MATCH(D493,lst_cats,0))="Да",FALSE),MAX($L$4:L492)+1,"")</f>
        <v/>
      </c>
    </row>
    <row r="494">
      <c r="A494" s="36" t="n"/>
      <c r="B494" s="36" t="n"/>
      <c r="C494" s="37" t="n"/>
      <c r="D494" s="37" t="n"/>
      <c r="E494" s="37" t="n"/>
      <c r="F494" s="36" t="n"/>
      <c r="G494" s="38" t="n"/>
      <c r="H494" s="39" t="n"/>
      <c r="I494" s="40">
        <f>IF(OR(G494="",H494=""),"",G494-H494)</f>
        <v/>
      </c>
      <c r="J494" s="37" t="n"/>
      <c r="K494" s="37" t="n"/>
      <c r="L494" s="41">
        <f>IF(IFERROR(INDEX(lst_cat_wish,MATCH(D494,lst_cats,0))="Да",FALSE),MAX($L$4:L493)+1,"")</f>
        <v/>
      </c>
    </row>
    <row r="495">
      <c r="A495" s="36" t="n"/>
      <c r="B495" s="36" t="n"/>
      <c r="C495" s="37" t="n"/>
      <c r="D495" s="37" t="n"/>
      <c r="E495" s="37" t="n"/>
      <c r="F495" s="36" t="n"/>
      <c r="G495" s="38" t="n"/>
      <c r="H495" s="39" t="n"/>
      <c r="I495" s="40">
        <f>IF(OR(G495="",H495=""),"",G495-H495)</f>
        <v/>
      </c>
      <c r="J495" s="37" t="n"/>
      <c r="K495" s="37" t="n"/>
      <c r="L495" s="41">
        <f>IF(IFERROR(INDEX(lst_cat_wish,MATCH(D495,lst_cats,0))="Да",FALSE),MAX($L$4:L494)+1,"")</f>
        <v/>
      </c>
    </row>
    <row r="496">
      <c r="A496" s="36" t="n"/>
      <c r="B496" s="36" t="n"/>
      <c r="C496" s="37" t="n"/>
      <c r="D496" s="37" t="n"/>
      <c r="E496" s="37" t="n"/>
      <c r="F496" s="36" t="n"/>
      <c r="G496" s="38" t="n"/>
      <c r="H496" s="39" t="n"/>
      <c r="I496" s="40">
        <f>IF(OR(G496="",H496=""),"",G496-H496)</f>
        <v/>
      </c>
      <c r="J496" s="37" t="n"/>
      <c r="K496" s="37" t="n"/>
      <c r="L496" s="41">
        <f>IF(IFERROR(INDEX(lst_cat_wish,MATCH(D496,lst_cats,0))="Да",FALSE),MAX($L$4:L495)+1,"")</f>
        <v/>
      </c>
    </row>
    <row r="497">
      <c r="A497" s="36" t="n"/>
      <c r="B497" s="36" t="n"/>
      <c r="C497" s="37" t="n"/>
      <c r="D497" s="37" t="n"/>
      <c r="E497" s="37" t="n"/>
      <c r="F497" s="36" t="n"/>
      <c r="G497" s="38" t="n"/>
      <c r="H497" s="39" t="n"/>
      <c r="I497" s="40">
        <f>IF(OR(G497="",H497=""),"",G497-H497)</f>
        <v/>
      </c>
      <c r="J497" s="37" t="n"/>
      <c r="K497" s="37" t="n"/>
      <c r="L497" s="41">
        <f>IF(IFERROR(INDEX(lst_cat_wish,MATCH(D497,lst_cats,0))="Да",FALSE),MAX($L$4:L496)+1,"")</f>
        <v/>
      </c>
    </row>
    <row r="498">
      <c r="A498" s="36" t="n"/>
      <c r="B498" s="36" t="n"/>
      <c r="C498" s="37" t="n"/>
      <c r="D498" s="37" t="n"/>
      <c r="E498" s="37" t="n"/>
      <c r="F498" s="36" t="n"/>
      <c r="G498" s="38" t="n"/>
      <c r="H498" s="39" t="n"/>
      <c r="I498" s="40">
        <f>IF(OR(G498="",H498=""),"",G498-H498)</f>
        <v/>
      </c>
      <c r="J498" s="37" t="n"/>
      <c r="K498" s="37" t="n"/>
      <c r="L498" s="41">
        <f>IF(IFERROR(INDEX(lst_cat_wish,MATCH(D498,lst_cats,0))="Да",FALSE),MAX($L$4:L497)+1,"")</f>
        <v/>
      </c>
    </row>
    <row r="499">
      <c r="A499" s="36" t="n"/>
      <c r="B499" s="36" t="n"/>
      <c r="C499" s="37" t="n"/>
      <c r="D499" s="37" t="n"/>
      <c r="E499" s="37" t="n"/>
      <c r="F499" s="36" t="n"/>
      <c r="G499" s="38" t="n"/>
      <c r="H499" s="39" t="n"/>
      <c r="I499" s="40">
        <f>IF(OR(G499="",H499=""),"",G499-H499)</f>
        <v/>
      </c>
      <c r="J499" s="37" t="n"/>
      <c r="K499" s="37" t="n"/>
      <c r="L499" s="41">
        <f>IF(IFERROR(INDEX(lst_cat_wish,MATCH(D499,lst_cats,0))="Да",FALSE),MAX($L$4:L498)+1,"")</f>
        <v/>
      </c>
    </row>
    <row r="500">
      <c r="A500" s="36" t="n"/>
      <c r="B500" s="36" t="n"/>
      <c r="C500" s="37" t="n"/>
      <c r="D500" s="37" t="n"/>
      <c r="E500" s="37" t="n"/>
      <c r="F500" s="36" t="n"/>
      <c r="G500" s="38" t="n"/>
      <c r="H500" s="39" t="n"/>
      <c r="I500" s="40">
        <f>IF(OR(G500="",H500=""),"",G500-H500)</f>
        <v/>
      </c>
      <c r="J500" s="37" t="n"/>
      <c r="K500" s="37" t="n"/>
      <c r="L500" s="41">
        <f>IF(IFERROR(INDEX(lst_cat_wish,MATCH(D500,lst_cats,0))="Да",FALSE),MAX($L$4:L499)+1,"")</f>
        <v/>
      </c>
    </row>
    <row r="501">
      <c r="A501" s="36" t="n"/>
      <c r="B501" s="36" t="n"/>
      <c r="C501" s="37" t="n"/>
      <c r="D501" s="37" t="n"/>
      <c r="E501" s="37" t="n"/>
      <c r="F501" s="36" t="n"/>
      <c r="G501" s="38" t="n"/>
      <c r="H501" s="39" t="n"/>
      <c r="I501" s="40">
        <f>IF(OR(G501="",H501=""),"",G501-H501)</f>
        <v/>
      </c>
      <c r="J501" s="37" t="n"/>
      <c r="K501" s="37" t="n"/>
      <c r="L501" s="41">
        <f>IF(IFERROR(INDEX(lst_cat_wish,MATCH(D501,lst_cats,0))="Да",FALSE),MAX($L$4:L500)+1,"")</f>
        <v/>
      </c>
    </row>
    <row r="502">
      <c r="A502" s="36" t="n"/>
      <c r="B502" s="36" t="n"/>
      <c r="C502" s="37" t="n"/>
      <c r="D502" s="37" t="n"/>
      <c r="E502" s="37" t="n"/>
      <c r="F502" s="36" t="n"/>
      <c r="G502" s="38" t="n"/>
      <c r="H502" s="39" t="n"/>
      <c r="I502" s="40">
        <f>IF(OR(G502="",H502=""),"",G502-H502)</f>
        <v/>
      </c>
      <c r="J502" s="37" t="n"/>
      <c r="K502" s="37" t="n"/>
      <c r="L502" s="41">
        <f>IF(IFERROR(INDEX(lst_cat_wish,MATCH(D502,lst_cats,0))="Да",FALSE),MAX($L$4:L501)+1,"")</f>
        <v/>
      </c>
    </row>
    <row r="503">
      <c r="A503" s="36" t="n"/>
      <c r="B503" s="36" t="n"/>
      <c r="C503" s="37" t="n"/>
      <c r="D503" s="37" t="n"/>
      <c r="E503" s="37" t="n"/>
      <c r="F503" s="36" t="n"/>
      <c r="G503" s="38" t="n"/>
      <c r="H503" s="39" t="n"/>
      <c r="I503" s="40">
        <f>IF(OR(G503="",H503=""),"",G503-H503)</f>
        <v/>
      </c>
      <c r="J503" s="37" t="n"/>
      <c r="K503" s="37" t="n"/>
      <c r="L503" s="41">
        <f>IF(IFERROR(INDEX(lst_cat_wish,MATCH(D503,lst_cats,0))="Да",FALSE),MAX($L$4:L502)+1,"")</f>
        <v/>
      </c>
    </row>
    <row r="504">
      <c r="A504" s="36" t="n"/>
      <c r="B504" s="36" t="n"/>
      <c r="C504" s="37" t="n"/>
      <c r="D504" s="37" t="n"/>
      <c r="E504" s="37" t="n"/>
      <c r="F504" s="36" t="n"/>
      <c r="G504" s="38" t="n"/>
      <c r="H504" s="39" t="n"/>
      <c r="I504" s="40">
        <f>IF(OR(G504="",H504=""),"",G504-H504)</f>
        <v/>
      </c>
      <c r="J504" s="37" t="n"/>
      <c r="K504" s="37" t="n"/>
      <c r="L504" s="41">
        <f>IF(IFERROR(INDEX(lst_cat_wish,MATCH(D504,lst_cats,0))="Да",FALSE),MAX($L$4:L503)+1,"")</f>
        <v/>
      </c>
    </row>
  </sheetData>
  <autoFilter ref="A4:K504"/>
  <mergeCells count="2">
    <mergeCell ref="A2:K2"/>
    <mergeCell ref="A1:K1"/>
  </mergeCells>
  <conditionalFormatting sqref="A5:K504">
    <cfRule type="expression" priority="1" dxfId="1" stopIfTrue="1">
      <formula>$J5="✅ Выполнено"</formula>
    </cfRule>
    <cfRule type="expression" priority="2" dxfId="2" stopIfTrue="1">
      <formula>$J5="❌ Отменено"</formula>
    </cfRule>
  </conditionalFormatting>
  <conditionalFormatting sqref="H5:H504">
    <cfRule type="expression" priority="3" dxfId="0">
      <formula>AND($H5&lt;&gt;"",$G5&lt;&gt;"",$H5&gt;$G5)</formula>
    </cfRule>
  </conditionalFormatting>
  <conditionalFormatting sqref="I5:I504">
    <cfRule type="cellIs" priority="4" operator="lessThan" dxfId="0">
      <formula>0</formula>
    </cfRule>
    <cfRule type="cellIs" priority="5" operator="greaterThan" dxfId="3">
      <formula>0</formula>
    </cfRule>
  </conditionalFormatting>
  <conditionalFormatting sqref="F5:F504">
    <cfRule type="expression" priority="6" dxfId="4">
      <formula>$F5="🔥 Высокий"</formula>
    </cfRule>
  </conditionalFormatting>
  <dataValidations count="6">
    <dataValidation sqref="A5:A504" showDropDown="0" showInputMessage="0" showErrorMessage="1" allowBlank="1" errorTitle="Значение не из справочника" error="Выберите значение из списка (его можно дополнить в листе «📚 Справочник»)" type="list">
      <formula1>=lst_years</formula1>
    </dataValidation>
    <dataValidation sqref="B5:B504" showDropDown="0" showInputMessage="0" showErrorMessage="1" allowBlank="1" errorTitle="Значение не из справочника" error="Выберите значение из списка (его можно дополнить в листе «📚 Справочник»)" type="list">
      <formula1>=lst_months</formula1>
    </dataValidation>
    <dataValidation sqref="C5:C504" showDropDown="0" showInputMessage="0" showErrorMessage="1" allowBlank="1" errorTitle="Значение не из справочника" error="Выберите значение из списка (его можно дополнить в листе «📚 Справочник»)" type="list">
      <formula1>=lst_exp_items</formula1>
    </dataValidation>
    <dataValidation sqref="D5:D504" showDropDown="0" showInputMessage="0" showErrorMessage="1" allowBlank="1" errorTitle="Значение не из справочника" error="Выберите значение из списка (его можно дополнить в листе «📚 Справочник»)" type="list">
      <formula1>=lst_cats</formula1>
    </dataValidation>
    <dataValidation sqref="F5:F504" showDropDown="0" showInputMessage="0" showErrorMessage="1" allowBlank="1" errorTitle="Значение не из справочника" error="Выберите значение из списка (его можно дополнить в листе «📚 Справочник»)" type="list">
      <formula1>=lst_priority</formula1>
    </dataValidation>
    <dataValidation sqref="J5:J504" showDropDown="0" showInputMessage="0" showErrorMessage="1" allowBlank="1" errorTitle="Значение не из справочника" error="Выберите значение из списка (его можно дополнить в листе «📚 Справочник»)" type="list">
      <formula1>=lst_exp_status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A9D8F"/>
    <outlinePr summaryBelow="1" summaryRight="1"/>
    <pageSetUpPr/>
  </sheetPr>
  <dimension ref="A1:J3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20" customWidth="1" min="4" max="4"/>
    <col width="32" customWidth="1" min="5" max="5"/>
    <col width="16" customWidth="1" min="6" max="6"/>
    <col width="16" customWidth="1" min="7" max="7"/>
    <col width="14" customWidth="1" min="8" max="8"/>
    <col width="16" customWidth="1" min="9" max="9"/>
    <col width="26" customWidth="1" min="10" max="10"/>
  </cols>
  <sheetData>
    <row r="1" ht="36" customHeight="1">
      <c r="A1" s="42" t="inlineStr">
        <is>
          <t>💰 Доходы — сколько могу заработать и сколько получил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3" t="n"/>
    </row>
    <row r="2" ht="30" customHeight="1">
      <c r="A2" s="3" t="inlineStr">
        <is>
          <t>Синяя колонка «ПЛАН» — сколько потенциально можно заработать (ЗП, проект, разовая услуга…), зелёная «ФАКТ» — сколько реально пришло. Статус «✅ Получено» зачёркивает строку.</t>
        </is>
      </c>
    </row>
    <row r="3">
      <c r="E3" s="30" t="inlineStr">
        <is>
          <t>Σ видимых →</t>
        </is>
      </c>
      <c r="F3" s="31">
        <f>SUBTOTAL(9,F5:F304)</f>
        <v/>
      </c>
      <c r="G3" s="32">
        <f>SUBTOTAL(9,G5:G304)</f>
        <v/>
      </c>
    </row>
    <row r="4" ht="34" customHeight="1">
      <c r="A4" s="44" t="inlineStr">
        <is>
          <t>📆 Год</t>
        </is>
      </c>
      <c r="B4" s="44" t="inlineStr">
        <is>
          <t>🗓 Месяц</t>
        </is>
      </c>
      <c r="C4" s="44" t="inlineStr">
        <is>
          <t>💰 Источник</t>
        </is>
      </c>
      <c r="D4" s="44" t="inlineStr">
        <is>
          <t>💼 Тип дохода</t>
        </is>
      </c>
      <c r="E4" s="44" t="inlineStr">
        <is>
          <t>✏️ Описание</t>
        </is>
      </c>
      <c r="F4" s="34" t="inlineStr">
        <is>
          <t>📝 ПЛАН, ₸
(потенциально)</t>
        </is>
      </c>
      <c r="G4" s="35" t="inlineStr">
        <is>
          <t>✅ ФАКТ, ₸
(получено)</t>
        </is>
      </c>
      <c r="H4" s="44" t="inlineStr">
        <is>
          <t>± Разница
(факт − план)</t>
        </is>
      </c>
      <c r="I4" s="44" t="inlineStr">
        <is>
          <t>🚦 Статус</t>
        </is>
      </c>
      <c r="J4" s="44" t="inlineStr">
        <is>
          <t>💬 Комментарий</t>
        </is>
      </c>
    </row>
    <row r="5">
      <c r="A5" s="36" t="n">
        <v>2026</v>
      </c>
      <c r="B5" s="36" t="inlineStr">
        <is>
          <t>Октябрь</t>
        </is>
      </c>
      <c r="C5" s="37" t="inlineStr">
        <is>
          <t>Основная работа</t>
        </is>
      </c>
      <c r="D5" s="37" t="inlineStr">
        <is>
          <t>💼 Зарплата</t>
        </is>
      </c>
      <c r="E5" s="37" t="inlineStr">
        <is>
          <t>Оклад</t>
        </is>
      </c>
      <c r="F5" s="38" t="n">
        <v>500000</v>
      </c>
      <c r="G5" s="39" t="n">
        <v>500000</v>
      </c>
      <c r="H5" s="40">
        <f>IF(OR(F5="",G5=""),"",G5-F5)</f>
        <v/>
      </c>
      <c r="I5" s="37" t="inlineStr">
        <is>
          <t>✅ Получено</t>
        </is>
      </c>
      <c r="J5" s="37" t="n"/>
    </row>
    <row r="6">
      <c r="A6" s="36" t="n">
        <v>2026</v>
      </c>
      <c r="B6" s="36" t="inlineStr">
        <is>
          <t>Октябрь</t>
        </is>
      </c>
      <c r="C6" s="37" t="inlineStr">
        <is>
          <t>Консультация</t>
        </is>
      </c>
      <c r="D6" s="37" t="inlineStr">
        <is>
          <t>🛠 Разовая услуга</t>
        </is>
      </c>
      <c r="E6" s="37" t="inlineStr">
        <is>
          <t>Настройка CRM</t>
        </is>
      </c>
      <c r="F6" s="38" t="n">
        <v>50000</v>
      </c>
      <c r="G6" s="39" t="n">
        <v>65000</v>
      </c>
      <c r="H6" s="40">
        <f>IF(OR(F6="",G6=""),"",G6-F6)</f>
        <v/>
      </c>
      <c r="I6" s="37" t="inlineStr">
        <is>
          <t>✅ Получено</t>
        </is>
      </c>
      <c r="J6" s="37" t="n"/>
    </row>
    <row r="7">
      <c r="A7" s="36" t="n">
        <v>2026</v>
      </c>
      <c r="B7" s="36" t="inlineStr">
        <is>
          <t>Ноябрь</t>
        </is>
      </c>
      <c r="C7" s="37" t="inlineStr">
        <is>
          <t>Основная работа</t>
        </is>
      </c>
      <c r="D7" s="37" t="inlineStr">
        <is>
          <t>💼 Зарплата</t>
        </is>
      </c>
      <c r="E7" s="37" t="inlineStr">
        <is>
          <t>Оклад</t>
        </is>
      </c>
      <c r="F7" s="38" t="n">
        <v>500000</v>
      </c>
      <c r="G7" s="39" t="n"/>
      <c r="H7" s="40">
        <f>IF(OR(F7="",G7=""),"",G7-F7)</f>
        <v/>
      </c>
      <c r="I7" s="37" t="inlineStr">
        <is>
          <t>⏳ Ожидается</t>
        </is>
      </c>
      <c r="J7" s="37" t="n"/>
    </row>
    <row r="8">
      <c r="A8" s="36" t="n">
        <v>2026</v>
      </c>
      <c r="B8" s="36" t="inlineStr">
        <is>
          <t>Ноябрь</t>
        </is>
      </c>
      <c r="C8" s="37" t="inlineStr">
        <is>
          <t>Фриланс-проект</t>
        </is>
      </c>
      <c r="D8" s="37" t="inlineStr">
        <is>
          <t>🚀 Проект</t>
        </is>
      </c>
      <c r="E8" s="37" t="inlineStr">
        <is>
          <t>Сайт для клиента (50% аванс)</t>
        </is>
      </c>
      <c r="F8" s="38" t="n">
        <v>300000</v>
      </c>
      <c r="G8" s="39" t="n"/>
      <c r="H8" s="40">
        <f>IF(OR(F8="",G8=""),"",G8-F8)</f>
        <v/>
      </c>
      <c r="I8" s="37" t="inlineStr">
        <is>
          <t>⏳ Ожидается</t>
        </is>
      </c>
      <c r="J8" s="37" t="n"/>
    </row>
    <row r="9">
      <c r="A9" s="36" t="n">
        <v>2026</v>
      </c>
      <c r="B9" s="36" t="inlineStr">
        <is>
          <t>Декабрь</t>
        </is>
      </c>
      <c r="C9" s="37" t="inlineStr">
        <is>
          <t>Основная работа</t>
        </is>
      </c>
      <c r="D9" s="37" t="inlineStr">
        <is>
          <t>💼 Зарплата</t>
        </is>
      </c>
      <c r="E9" s="37" t="inlineStr">
        <is>
          <t>Оклад + годовая премия</t>
        </is>
      </c>
      <c r="F9" s="38" t="n">
        <v>750000</v>
      </c>
      <c r="G9" s="39" t="n"/>
      <c r="H9" s="40">
        <f>IF(OR(F9="",G9=""),"",G9-F9)</f>
        <v/>
      </c>
      <c r="I9" s="37" t="inlineStr">
        <is>
          <t>⏳ Ожидается</t>
        </is>
      </c>
      <c r="J9" s="37" t="n"/>
    </row>
    <row r="10">
      <c r="A10" s="36" t="n">
        <v>2027</v>
      </c>
      <c r="B10" s="36" t="inlineStr">
        <is>
          <t>Январь</t>
        </is>
      </c>
      <c r="C10" s="37" t="inlineStr">
        <is>
          <t>Основная работа</t>
        </is>
      </c>
      <c r="D10" s="37" t="inlineStr">
        <is>
          <t>💼 Зарплата</t>
        </is>
      </c>
      <c r="E10" s="37" t="inlineStr">
        <is>
          <t>Оклад (после индексации)</t>
        </is>
      </c>
      <c r="F10" s="38" t="n">
        <v>550000</v>
      </c>
      <c r="G10" s="39" t="n"/>
      <c r="H10" s="40">
        <f>IF(OR(F10="",G10=""),"",G10-F10)</f>
        <v/>
      </c>
      <c r="I10" s="37" t="inlineStr">
        <is>
          <t>⏳ Ожидается</t>
        </is>
      </c>
      <c r="J10" s="37" t="n"/>
    </row>
    <row r="11">
      <c r="A11" s="36" t="n"/>
      <c r="B11" s="36" t="n"/>
      <c r="C11" s="37" t="n"/>
      <c r="D11" s="37" t="n"/>
      <c r="E11" s="37" t="n"/>
      <c r="F11" s="38" t="n"/>
      <c r="G11" s="39" t="n"/>
      <c r="H11" s="40">
        <f>IF(OR(F11="",G11=""),"",G11-F11)</f>
        <v/>
      </c>
      <c r="I11" s="37" t="n"/>
      <c r="J11" s="37" t="n"/>
    </row>
    <row r="12">
      <c r="A12" s="36" t="n"/>
      <c r="B12" s="36" t="n"/>
      <c r="C12" s="37" t="n"/>
      <c r="D12" s="37" t="n"/>
      <c r="E12" s="37" t="n"/>
      <c r="F12" s="38" t="n"/>
      <c r="G12" s="39" t="n"/>
      <c r="H12" s="40">
        <f>IF(OR(F12="",G12=""),"",G12-F12)</f>
        <v/>
      </c>
      <c r="I12" s="37" t="n"/>
      <c r="J12" s="37" t="n"/>
    </row>
    <row r="13">
      <c r="A13" s="36" t="n"/>
      <c r="B13" s="36" t="n"/>
      <c r="C13" s="37" t="n"/>
      <c r="D13" s="37" t="n"/>
      <c r="E13" s="37" t="n"/>
      <c r="F13" s="38" t="n"/>
      <c r="G13" s="39" t="n"/>
      <c r="H13" s="40">
        <f>IF(OR(F13="",G13=""),"",G13-F13)</f>
        <v/>
      </c>
      <c r="I13" s="37" t="n"/>
      <c r="J13" s="37" t="n"/>
    </row>
    <row r="14">
      <c r="A14" s="36" t="n"/>
      <c r="B14" s="36" t="n"/>
      <c r="C14" s="37" t="n"/>
      <c r="D14" s="37" t="n"/>
      <c r="E14" s="37" t="n"/>
      <c r="F14" s="38" t="n"/>
      <c r="G14" s="39" t="n"/>
      <c r="H14" s="40">
        <f>IF(OR(F14="",G14=""),"",G14-F14)</f>
        <v/>
      </c>
      <c r="I14" s="37" t="n"/>
      <c r="J14" s="37" t="n"/>
    </row>
    <row r="15">
      <c r="A15" s="36" t="n"/>
      <c r="B15" s="36" t="n"/>
      <c r="C15" s="37" t="n"/>
      <c r="D15" s="37" t="n"/>
      <c r="E15" s="37" t="n"/>
      <c r="F15" s="38" t="n"/>
      <c r="G15" s="39" t="n"/>
      <c r="H15" s="40">
        <f>IF(OR(F15="",G15=""),"",G15-F15)</f>
        <v/>
      </c>
      <c r="I15" s="37" t="n"/>
      <c r="J15" s="37" t="n"/>
    </row>
    <row r="16">
      <c r="A16" s="36" t="n"/>
      <c r="B16" s="36" t="n"/>
      <c r="C16" s="37" t="n"/>
      <c r="D16" s="37" t="n"/>
      <c r="E16" s="37" t="n"/>
      <c r="F16" s="38" t="n"/>
      <c r="G16" s="39" t="n"/>
      <c r="H16" s="40">
        <f>IF(OR(F16="",G16=""),"",G16-F16)</f>
        <v/>
      </c>
      <c r="I16" s="37" t="n"/>
      <c r="J16" s="37" t="n"/>
    </row>
    <row r="17">
      <c r="A17" s="36" t="n"/>
      <c r="B17" s="36" t="n"/>
      <c r="C17" s="37" t="n"/>
      <c r="D17" s="37" t="n"/>
      <c r="E17" s="37" t="n"/>
      <c r="F17" s="38" t="n"/>
      <c r="G17" s="39" t="n"/>
      <c r="H17" s="40">
        <f>IF(OR(F17="",G17=""),"",G17-F17)</f>
        <v/>
      </c>
      <c r="I17" s="37" t="n"/>
      <c r="J17" s="37" t="n"/>
    </row>
    <row r="18">
      <c r="A18" s="36" t="n"/>
      <c r="B18" s="36" t="n"/>
      <c r="C18" s="37" t="n"/>
      <c r="D18" s="37" t="n"/>
      <c r="E18" s="37" t="n"/>
      <c r="F18" s="38" t="n"/>
      <c r="G18" s="39" t="n"/>
      <c r="H18" s="40">
        <f>IF(OR(F18="",G18=""),"",G18-F18)</f>
        <v/>
      </c>
      <c r="I18" s="37" t="n"/>
      <c r="J18" s="37" t="n"/>
    </row>
    <row r="19">
      <c r="A19" s="36" t="n"/>
      <c r="B19" s="36" t="n"/>
      <c r="C19" s="37" t="n"/>
      <c r="D19" s="37" t="n"/>
      <c r="E19" s="37" t="n"/>
      <c r="F19" s="38" t="n"/>
      <c r="G19" s="39" t="n"/>
      <c r="H19" s="40">
        <f>IF(OR(F19="",G19=""),"",G19-F19)</f>
        <v/>
      </c>
      <c r="I19" s="37" t="n"/>
      <c r="J19" s="37" t="n"/>
    </row>
    <row r="20">
      <c r="A20" s="36" t="n"/>
      <c r="B20" s="36" t="n"/>
      <c r="C20" s="37" t="n"/>
      <c r="D20" s="37" t="n"/>
      <c r="E20" s="37" t="n"/>
      <c r="F20" s="38" t="n"/>
      <c r="G20" s="39" t="n"/>
      <c r="H20" s="40">
        <f>IF(OR(F20="",G20=""),"",G20-F20)</f>
        <v/>
      </c>
      <c r="I20" s="37" t="n"/>
      <c r="J20" s="37" t="n"/>
    </row>
    <row r="21">
      <c r="A21" s="36" t="n"/>
      <c r="B21" s="36" t="n"/>
      <c r="C21" s="37" t="n"/>
      <c r="D21" s="37" t="n"/>
      <c r="E21" s="37" t="n"/>
      <c r="F21" s="38" t="n"/>
      <c r="G21" s="39" t="n"/>
      <c r="H21" s="40">
        <f>IF(OR(F21="",G21=""),"",G21-F21)</f>
        <v/>
      </c>
      <c r="I21" s="37" t="n"/>
      <c r="J21" s="37" t="n"/>
    </row>
    <row r="22">
      <c r="A22" s="36" t="n"/>
      <c r="B22" s="36" t="n"/>
      <c r="C22" s="37" t="n"/>
      <c r="D22" s="37" t="n"/>
      <c r="E22" s="37" t="n"/>
      <c r="F22" s="38" t="n"/>
      <c r="G22" s="39" t="n"/>
      <c r="H22" s="40">
        <f>IF(OR(F22="",G22=""),"",G22-F22)</f>
        <v/>
      </c>
      <c r="I22" s="37" t="n"/>
      <c r="J22" s="37" t="n"/>
    </row>
    <row r="23">
      <c r="A23" s="36" t="n"/>
      <c r="B23" s="36" t="n"/>
      <c r="C23" s="37" t="n"/>
      <c r="D23" s="37" t="n"/>
      <c r="E23" s="37" t="n"/>
      <c r="F23" s="38" t="n"/>
      <c r="G23" s="39" t="n"/>
      <c r="H23" s="40">
        <f>IF(OR(F23="",G23=""),"",G23-F23)</f>
        <v/>
      </c>
      <c r="I23" s="37" t="n"/>
      <c r="J23" s="37" t="n"/>
    </row>
    <row r="24">
      <c r="A24" s="36" t="n"/>
      <c r="B24" s="36" t="n"/>
      <c r="C24" s="37" t="n"/>
      <c r="D24" s="37" t="n"/>
      <c r="E24" s="37" t="n"/>
      <c r="F24" s="38" t="n"/>
      <c r="G24" s="39" t="n"/>
      <c r="H24" s="40">
        <f>IF(OR(F24="",G24=""),"",G24-F24)</f>
        <v/>
      </c>
      <c r="I24" s="37" t="n"/>
      <c r="J24" s="37" t="n"/>
    </row>
    <row r="25">
      <c r="A25" s="36" t="n"/>
      <c r="B25" s="36" t="n"/>
      <c r="C25" s="37" t="n"/>
      <c r="D25" s="37" t="n"/>
      <c r="E25" s="37" t="n"/>
      <c r="F25" s="38" t="n"/>
      <c r="G25" s="39" t="n"/>
      <c r="H25" s="40">
        <f>IF(OR(F25="",G25=""),"",G25-F25)</f>
        <v/>
      </c>
      <c r="I25" s="37" t="n"/>
      <c r="J25" s="37" t="n"/>
    </row>
    <row r="26">
      <c r="A26" s="36" t="n"/>
      <c r="B26" s="36" t="n"/>
      <c r="C26" s="37" t="n"/>
      <c r="D26" s="37" t="n"/>
      <c r="E26" s="37" t="n"/>
      <c r="F26" s="38" t="n"/>
      <c r="G26" s="39" t="n"/>
      <c r="H26" s="40">
        <f>IF(OR(F26="",G26=""),"",G26-F26)</f>
        <v/>
      </c>
      <c r="I26" s="37" t="n"/>
      <c r="J26" s="37" t="n"/>
    </row>
    <row r="27">
      <c r="A27" s="36" t="n"/>
      <c r="B27" s="36" t="n"/>
      <c r="C27" s="37" t="n"/>
      <c r="D27" s="37" t="n"/>
      <c r="E27" s="37" t="n"/>
      <c r="F27" s="38" t="n"/>
      <c r="G27" s="39" t="n"/>
      <c r="H27" s="40">
        <f>IF(OR(F27="",G27=""),"",G27-F27)</f>
        <v/>
      </c>
      <c r="I27" s="37" t="n"/>
      <c r="J27" s="37" t="n"/>
    </row>
    <row r="28">
      <c r="A28" s="36" t="n"/>
      <c r="B28" s="36" t="n"/>
      <c r="C28" s="37" t="n"/>
      <c r="D28" s="37" t="n"/>
      <c r="E28" s="37" t="n"/>
      <c r="F28" s="38" t="n"/>
      <c r="G28" s="39" t="n"/>
      <c r="H28" s="40">
        <f>IF(OR(F28="",G28=""),"",G28-F28)</f>
        <v/>
      </c>
      <c r="I28" s="37" t="n"/>
      <c r="J28" s="37" t="n"/>
    </row>
    <row r="29">
      <c r="A29" s="36" t="n"/>
      <c r="B29" s="36" t="n"/>
      <c r="C29" s="37" t="n"/>
      <c r="D29" s="37" t="n"/>
      <c r="E29" s="37" t="n"/>
      <c r="F29" s="38" t="n"/>
      <c r="G29" s="39" t="n"/>
      <c r="H29" s="40">
        <f>IF(OR(F29="",G29=""),"",G29-F29)</f>
        <v/>
      </c>
      <c r="I29" s="37" t="n"/>
      <c r="J29" s="37" t="n"/>
    </row>
    <row r="30">
      <c r="A30" s="36" t="n"/>
      <c r="B30" s="36" t="n"/>
      <c r="C30" s="37" t="n"/>
      <c r="D30" s="37" t="n"/>
      <c r="E30" s="37" t="n"/>
      <c r="F30" s="38" t="n"/>
      <c r="G30" s="39" t="n"/>
      <c r="H30" s="40">
        <f>IF(OR(F30="",G30=""),"",G30-F30)</f>
        <v/>
      </c>
      <c r="I30" s="37" t="n"/>
      <c r="J30" s="37" t="n"/>
    </row>
    <row r="31">
      <c r="A31" s="36" t="n"/>
      <c r="B31" s="36" t="n"/>
      <c r="C31" s="37" t="n"/>
      <c r="D31" s="37" t="n"/>
      <c r="E31" s="37" t="n"/>
      <c r="F31" s="38" t="n"/>
      <c r="G31" s="39" t="n"/>
      <c r="H31" s="40">
        <f>IF(OR(F31="",G31=""),"",G31-F31)</f>
        <v/>
      </c>
      <c r="I31" s="37" t="n"/>
      <c r="J31" s="37" t="n"/>
    </row>
    <row r="32">
      <c r="A32" s="36" t="n"/>
      <c r="B32" s="36" t="n"/>
      <c r="C32" s="37" t="n"/>
      <c r="D32" s="37" t="n"/>
      <c r="E32" s="37" t="n"/>
      <c r="F32" s="38" t="n"/>
      <c r="G32" s="39" t="n"/>
      <c r="H32" s="40">
        <f>IF(OR(F32="",G32=""),"",G32-F32)</f>
        <v/>
      </c>
      <c r="I32" s="37" t="n"/>
      <c r="J32" s="37" t="n"/>
    </row>
    <row r="33">
      <c r="A33" s="36" t="n"/>
      <c r="B33" s="36" t="n"/>
      <c r="C33" s="37" t="n"/>
      <c r="D33" s="37" t="n"/>
      <c r="E33" s="37" t="n"/>
      <c r="F33" s="38" t="n"/>
      <c r="G33" s="39" t="n"/>
      <c r="H33" s="40">
        <f>IF(OR(F33="",G33=""),"",G33-F33)</f>
        <v/>
      </c>
      <c r="I33" s="37" t="n"/>
      <c r="J33" s="37" t="n"/>
    </row>
    <row r="34">
      <c r="A34" s="36" t="n"/>
      <c r="B34" s="36" t="n"/>
      <c r="C34" s="37" t="n"/>
      <c r="D34" s="37" t="n"/>
      <c r="E34" s="37" t="n"/>
      <c r="F34" s="38" t="n"/>
      <c r="G34" s="39" t="n"/>
      <c r="H34" s="40">
        <f>IF(OR(F34="",G34=""),"",G34-F34)</f>
        <v/>
      </c>
      <c r="I34" s="37" t="n"/>
      <c r="J34" s="37" t="n"/>
    </row>
    <row r="35">
      <c r="A35" s="36" t="n"/>
      <c r="B35" s="36" t="n"/>
      <c r="C35" s="37" t="n"/>
      <c r="D35" s="37" t="n"/>
      <c r="E35" s="37" t="n"/>
      <c r="F35" s="38" t="n"/>
      <c r="G35" s="39" t="n"/>
      <c r="H35" s="40">
        <f>IF(OR(F35="",G35=""),"",G35-F35)</f>
        <v/>
      </c>
      <c r="I35" s="37" t="n"/>
      <c r="J35" s="37" t="n"/>
    </row>
    <row r="36">
      <c r="A36" s="36" t="n"/>
      <c r="B36" s="36" t="n"/>
      <c r="C36" s="37" t="n"/>
      <c r="D36" s="37" t="n"/>
      <c r="E36" s="37" t="n"/>
      <c r="F36" s="38" t="n"/>
      <c r="G36" s="39" t="n"/>
      <c r="H36" s="40">
        <f>IF(OR(F36="",G36=""),"",G36-F36)</f>
        <v/>
      </c>
      <c r="I36" s="37" t="n"/>
      <c r="J36" s="37" t="n"/>
    </row>
    <row r="37">
      <c r="A37" s="36" t="n"/>
      <c r="B37" s="36" t="n"/>
      <c r="C37" s="37" t="n"/>
      <c r="D37" s="37" t="n"/>
      <c r="E37" s="37" t="n"/>
      <c r="F37" s="38" t="n"/>
      <c r="G37" s="39" t="n"/>
      <c r="H37" s="40">
        <f>IF(OR(F37="",G37=""),"",G37-F37)</f>
        <v/>
      </c>
      <c r="I37" s="37" t="n"/>
      <c r="J37" s="37" t="n"/>
    </row>
    <row r="38">
      <c r="A38" s="36" t="n"/>
      <c r="B38" s="36" t="n"/>
      <c r="C38" s="37" t="n"/>
      <c r="D38" s="37" t="n"/>
      <c r="E38" s="37" t="n"/>
      <c r="F38" s="38" t="n"/>
      <c r="G38" s="39" t="n"/>
      <c r="H38" s="40">
        <f>IF(OR(F38="",G38=""),"",G38-F38)</f>
        <v/>
      </c>
      <c r="I38" s="37" t="n"/>
      <c r="J38" s="37" t="n"/>
    </row>
    <row r="39">
      <c r="A39" s="36" t="n"/>
      <c r="B39" s="36" t="n"/>
      <c r="C39" s="37" t="n"/>
      <c r="D39" s="37" t="n"/>
      <c r="E39" s="37" t="n"/>
      <c r="F39" s="38" t="n"/>
      <c r="G39" s="39" t="n"/>
      <c r="H39" s="40">
        <f>IF(OR(F39="",G39=""),"",G39-F39)</f>
        <v/>
      </c>
      <c r="I39" s="37" t="n"/>
      <c r="J39" s="37" t="n"/>
    </row>
    <row r="40">
      <c r="A40" s="36" t="n"/>
      <c r="B40" s="36" t="n"/>
      <c r="C40" s="37" t="n"/>
      <c r="D40" s="37" t="n"/>
      <c r="E40" s="37" t="n"/>
      <c r="F40" s="38" t="n"/>
      <c r="G40" s="39" t="n"/>
      <c r="H40" s="40">
        <f>IF(OR(F40="",G40=""),"",G40-F40)</f>
        <v/>
      </c>
      <c r="I40" s="37" t="n"/>
      <c r="J40" s="37" t="n"/>
    </row>
    <row r="41">
      <c r="A41" s="36" t="n"/>
      <c r="B41" s="36" t="n"/>
      <c r="C41" s="37" t="n"/>
      <c r="D41" s="37" t="n"/>
      <c r="E41" s="37" t="n"/>
      <c r="F41" s="38" t="n"/>
      <c r="G41" s="39" t="n"/>
      <c r="H41" s="40">
        <f>IF(OR(F41="",G41=""),"",G41-F41)</f>
        <v/>
      </c>
      <c r="I41" s="37" t="n"/>
      <c r="J41" s="37" t="n"/>
    </row>
    <row r="42">
      <c r="A42" s="36" t="n"/>
      <c r="B42" s="36" t="n"/>
      <c r="C42" s="37" t="n"/>
      <c r="D42" s="37" t="n"/>
      <c r="E42" s="37" t="n"/>
      <c r="F42" s="38" t="n"/>
      <c r="G42" s="39" t="n"/>
      <c r="H42" s="40">
        <f>IF(OR(F42="",G42=""),"",G42-F42)</f>
        <v/>
      </c>
      <c r="I42" s="37" t="n"/>
      <c r="J42" s="37" t="n"/>
    </row>
    <row r="43">
      <c r="A43" s="36" t="n"/>
      <c r="B43" s="36" t="n"/>
      <c r="C43" s="37" t="n"/>
      <c r="D43" s="37" t="n"/>
      <c r="E43" s="37" t="n"/>
      <c r="F43" s="38" t="n"/>
      <c r="G43" s="39" t="n"/>
      <c r="H43" s="40">
        <f>IF(OR(F43="",G43=""),"",G43-F43)</f>
        <v/>
      </c>
      <c r="I43" s="37" t="n"/>
      <c r="J43" s="37" t="n"/>
    </row>
    <row r="44">
      <c r="A44" s="36" t="n"/>
      <c r="B44" s="36" t="n"/>
      <c r="C44" s="37" t="n"/>
      <c r="D44" s="37" t="n"/>
      <c r="E44" s="37" t="n"/>
      <c r="F44" s="38" t="n"/>
      <c r="G44" s="39" t="n"/>
      <c r="H44" s="40">
        <f>IF(OR(F44="",G44=""),"",G44-F44)</f>
        <v/>
      </c>
      <c r="I44" s="37" t="n"/>
      <c r="J44" s="37" t="n"/>
    </row>
    <row r="45">
      <c r="A45" s="36" t="n"/>
      <c r="B45" s="36" t="n"/>
      <c r="C45" s="37" t="n"/>
      <c r="D45" s="37" t="n"/>
      <c r="E45" s="37" t="n"/>
      <c r="F45" s="38" t="n"/>
      <c r="G45" s="39" t="n"/>
      <c r="H45" s="40">
        <f>IF(OR(F45="",G45=""),"",G45-F45)</f>
        <v/>
      </c>
      <c r="I45" s="37" t="n"/>
      <c r="J45" s="37" t="n"/>
    </row>
    <row r="46">
      <c r="A46" s="36" t="n"/>
      <c r="B46" s="36" t="n"/>
      <c r="C46" s="37" t="n"/>
      <c r="D46" s="37" t="n"/>
      <c r="E46" s="37" t="n"/>
      <c r="F46" s="38" t="n"/>
      <c r="G46" s="39" t="n"/>
      <c r="H46" s="40">
        <f>IF(OR(F46="",G46=""),"",G46-F46)</f>
        <v/>
      </c>
      <c r="I46" s="37" t="n"/>
      <c r="J46" s="37" t="n"/>
    </row>
    <row r="47">
      <c r="A47" s="36" t="n"/>
      <c r="B47" s="36" t="n"/>
      <c r="C47" s="37" t="n"/>
      <c r="D47" s="37" t="n"/>
      <c r="E47" s="37" t="n"/>
      <c r="F47" s="38" t="n"/>
      <c r="G47" s="39" t="n"/>
      <c r="H47" s="40">
        <f>IF(OR(F47="",G47=""),"",G47-F47)</f>
        <v/>
      </c>
      <c r="I47" s="37" t="n"/>
      <c r="J47" s="37" t="n"/>
    </row>
    <row r="48">
      <c r="A48" s="36" t="n"/>
      <c r="B48" s="36" t="n"/>
      <c r="C48" s="37" t="n"/>
      <c r="D48" s="37" t="n"/>
      <c r="E48" s="37" t="n"/>
      <c r="F48" s="38" t="n"/>
      <c r="G48" s="39" t="n"/>
      <c r="H48" s="40">
        <f>IF(OR(F48="",G48=""),"",G48-F48)</f>
        <v/>
      </c>
      <c r="I48" s="37" t="n"/>
      <c r="J48" s="37" t="n"/>
    </row>
    <row r="49">
      <c r="A49" s="36" t="n"/>
      <c r="B49" s="36" t="n"/>
      <c r="C49" s="37" t="n"/>
      <c r="D49" s="37" t="n"/>
      <c r="E49" s="37" t="n"/>
      <c r="F49" s="38" t="n"/>
      <c r="G49" s="39" t="n"/>
      <c r="H49" s="40">
        <f>IF(OR(F49="",G49=""),"",G49-F49)</f>
        <v/>
      </c>
      <c r="I49" s="37" t="n"/>
      <c r="J49" s="37" t="n"/>
    </row>
    <row r="50">
      <c r="A50" s="36" t="n"/>
      <c r="B50" s="36" t="n"/>
      <c r="C50" s="37" t="n"/>
      <c r="D50" s="37" t="n"/>
      <c r="E50" s="37" t="n"/>
      <c r="F50" s="38" t="n"/>
      <c r="G50" s="39" t="n"/>
      <c r="H50" s="40">
        <f>IF(OR(F50="",G50=""),"",G50-F50)</f>
        <v/>
      </c>
      <c r="I50" s="37" t="n"/>
      <c r="J50" s="37" t="n"/>
    </row>
    <row r="51">
      <c r="A51" s="36" t="n"/>
      <c r="B51" s="36" t="n"/>
      <c r="C51" s="37" t="n"/>
      <c r="D51" s="37" t="n"/>
      <c r="E51" s="37" t="n"/>
      <c r="F51" s="38" t="n"/>
      <c r="G51" s="39" t="n"/>
      <c r="H51" s="40">
        <f>IF(OR(F51="",G51=""),"",G51-F51)</f>
        <v/>
      </c>
      <c r="I51" s="37" t="n"/>
      <c r="J51" s="37" t="n"/>
    </row>
    <row r="52">
      <c r="A52" s="36" t="n"/>
      <c r="B52" s="36" t="n"/>
      <c r="C52" s="37" t="n"/>
      <c r="D52" s="37" t="n"/>
      <c r="E52" s="37" t="n"/>
      <c r="F52" s="38" t="n"/>
      <c r="G52" s="39" t="n"/>
      <c r="H52" s="40">
        <f>IF(OR(F52="",G52=""),"",G52-F52)</f>
        <v/>
      </c>
      <c r="I52" s="37" t="n"/>
      <c r="J52" s="37" t="n"/>
    </row>
    <row r="53">
      <c r="A53" s="36" t="n"/>
      <c r="B53" s="36" t="n"/>
      <c r="C53" s="37" t="n"/>
      <c r="D53" s="37" t="n"/>
      <c r="E53" s="37" t="n"/>
      <c r="F53" s="38" t="n"/>
      <c r="G53" s="39" t="n"/>
      <c r="H53" s="40">
        <f>IF(OR(F53="",G53=""),"",G53-F53)</f>
        <v/>
      </c>
      <c r="I53" s="37" t="n"/>
      <c r="J53" s="37" t="n"/>
    </row>
    <row r="54">
      <c r="A54" s="36" t="n"/>
      <c r="B54" s="36" t="n"/>
      <c r="C54" s="37" t="n"/>
      <c r="D54" s="37" t="n"/>
      <c r="E54" s="37" t="n"/>
      <c r="F54" s="38" t="n"/>
      <c r="G54" s="39" t="n"/>
      <c r="H54" s="40">
        <f>IF(OR(F54="",G54=""),"",G54-F54)</f>
        <v/>
      </c>
      <c r="I54" s="37" t="n"/>
      <c r="J54" s="37" t="n"/>
    </row>
    <row r="55">
      <c r="A55" s="36" t="n"/>
      <c r="B55" s="36" t="n"/>
      <c r="C55" s="37" t="n"/>
      <c r="D55" s="37" t="n"/>
      <c r="E55" s="37" t="n"/>
      <c r="F55" s="38" t="n"/>
      <c r="G55" s="39" t="n"/>
      <c r="H55" s="40">
        <f>IF(OR(F55="",G55=""),"",G55-F55)</f>
        <v/>
      </c>
      <c r="I55" s="37" t="n"/>
      <c r="J55" s="37" t="n"/>
    </row>
    <row r="56">
      <c r="A56" s="36" t="n"/>
      <c r="B56" s="36" t="n"/>
      <c r="C56" s="37" t="n"/>
      <c r="D56" s="37" t="n"/>
      <c r="E56" s="37" t="n"/>
      <c r="F56" s="38" t="n"/>
      <c r="G56" s="39" t="n"/>
      <c r="H56" s="40">
        <f>IF(OR(F56="",G56=""),"",G56-F56)</f>
        <v/>
      </c>
      <c r="I56" s="37" t="n"/>
      <c r="J56" s="37" t="n"/>
    </row>
    <row r="57">
      <c r="A57" s="36" t="n"/>
      <c r="B57" s="36" t="n"/>
      <c r="C57" s="37" t="n"/>
      <c r="D57" s="37" t="n"/>
      <c r="E57" s="37" t="n"/>
      <c r="F57" s="38" t="n"/>
      <c r="G57" s="39" t="n"/>
      <c r="H57" s="40">
        <f>IF(OR(F57="",G57=""),"",G57-F57)</f>
        <v/>
      </c>
      <c r="I57" s="37" t="n"/>
      <c r="J57" s="37" t="n"/>
    </row>
    <row r="58">
      <c r="A58" s="36" t="n"/>
      <c r="B58" s="36" t="n"/>
      <c r="C58" s="37" t="n"/>
      <c r="D58" s="37" t="n"/>
      <c r="E58" s="37" t="n"/>
      <c r="F58" s="38" t="n"/>
      <c r="G58" s="39" t="n"/>
      <c r="H58" s="40">
        <f>IF(OR(F58="",G58=""),"",G58-F58)</f>
        <v/>
      </c>
      <c r="I58" s="37" t="n"/>
      <c r="J58" s="37" t="n"/>
    </row>
    <row r="59">
      <c r="A59" s="36" t="n"/>
      <c r="B59" s="36" t="n"/>
      <c r="C59" s="37" t="n"/>
      <c r="D59" s="37" t="n"/>
      <c r="E59" s="37" t="n"/>
      <c r="F59" s="38" t="n"/>
      <c r="G59" s="39" t="n"/>
      <c r="H59" s="40">
        <f>IF(OR(F59="",G59=""),"",G59-F59)</f>
        <v/>
      </c>
      <c r="I59" s="37" t="n"/>
      <c r="J59" s="37" t="n"/>
    </row>
    <row r="60">
      <c r="A60" s="36" t="n"/>
      <c r="B60" s="36" t="n"/>
      <c r="C60" s="37" t="n"/>
      <c r="D60" s="37" t="n"/>
      <c r="E60" s="37" t="n"/>
      <c r="F60" s="38" t="n"/>
      <c r="G60" s="39" t="n"/>
      <c r="H60" s="40">
        <f>IF(OR(F60="",G60=""),"",G60-F60)</f>
        <v/>
      </c>
      <c r="I60" s="37" t="n"/>
      <c r="J60" s="37" t="n"/>
    </row>
    <row r="61">
      <c r="A61" s="36" t="n"/>
      <c r="B61" s="36" t="n"/>
      <c r="C61" s="37" t="n"/>
      <c r="D61" s="37" t="n"/>
      <c r="E61" s="37" t="n"/>
      <c r="F61" s="38" t="n"/>
      <c r="G61" s="39" t="n"/>
      <c r="H61" s="40">
        <f>IF(OR(F61="",G61=""),"",G61-F61)</f>
        <v/>
      </c>
      <c r="I61" s="37" t="n"/>
      <c r="J61" s="37" t="n"/>
    </row>
    <row r="62">
      <c r="A62" s="36" t="n"/>
      <c r="B62" s="36" t="n"/>
      <c r="C62" s="37" t="n"/>
      <c r="D62" s="37" t="n"/>
      <c r="E62" s="37" t="n"/>
      <c r="F62" s="38" t="n"/>
      <c r="G62" s="39" t="n"/>
      <c r="H62" s="40">
        <f>IF(OR(F62="",G62=""),"",G62-F62)</f>
        <v/>
      </c>
      <c r="I62" s="37" t="n"/>
      <c r="J62" s="37" t="n"/>
    </row>
    <row r="63">
      <c r="A63" s="36" t="n"/>
      <c r="B63" s="36" t="n"/>
      <c r="C63" s="37" t="n"/>
      <c r="D63" s="37" t="n"/>
      <c r="E63" s="37" t="n"/>
      <c r="F63" s="38" t="n"/>
      <c r="G63" s="39" t="n"/>
      <c r="H63" s="40">
        <f>IF(OR(F63="",G63=""),"",G63-F63)</f>
        <v/>
      </c>
      <c r="I63" s="37" t="n"/>
      <c r="J63" s="37" t="n"/>
    </row>
    <row r="64">
      <c r="A64" s="36" t="n"/>
      <c r="B64" s="36" t="n"/>
      <c r="C64" s="37" t="n"/>
      <c r="D64" s="37" t="n"/>
      <c r="E64" s="37" t="n"/>
      <c r="F64" s="38" t="n"/>
      <c r="G64" s="39" t="n"/>
      <c r="H64" s="40">
        <f>IF(OR(F64="",G64=""),"",G64-F64)</f>
        <v/>
      </c>
      <c r="I64" s="37" t="n"/>
      <c r="J64" s="37" t="n"/>
    </row>
    <row r="65">
      <c r="A65" s="36" t="n"/>
      <c r="B65" s="36" t="n"/>
      <c r="C65" s="37" t="n"/>
      <c r="D65" s="37" t="n"/>
      <c r="E65" s="37" t="n"/>
      <c r="F65" s="38" t="n"/>
      <c r="G65" s="39" t="n"/>
      <c r="H65" s="40">
        <f>IF(OR(F65="",G65=""),"",G65-F65)</f>
        <v/>
      </c>
      <c r="I65" s="37" t="n"/>
      <c r="J65" s="37" t="n"/>
    </row>
    <row r="66">
      <c r="A66" s="36" t="n"/>
      <c r="B66" s="36" t="n"/>
      <c r="C66" s="37" t="n"/>
      <c r="D66" s="37" t="n"/>
      <c r="E66" s="37" t="n"/>
      <c r="F66" s="38" t="n"/>
      <c r="G66" s="39" t="n"/>
      <c r="H66" s="40">
        <f>IF(OR(F66="",G66=""),"",G66-F66)</f>
        <v/>
      </c>
      <c r="I66" s="37" t="n"/>
      <c r="J66" s="37" t="n"/>
    </row>
    <row r="67">
      <c r="A67" s="36" t="n"/>
      <c r="B67" s="36" t="n"/>
      <c r="C67" s="37" t="n"/>
      <c r="D67" s="37" t="n"/>
      <c r="E67" s="37" t="n"/>
      <c r="F67" s="38" t="n"/>
      <c r="G67" s="39" t="n"/>
      <c r="H67" s="40">
        <f>IF(OR(F67="",G67=""),"",G67-F67)</f>
        <v/>
      </c>
      <c r="I67" s="37" t="n"/>
      <c r="J67" s="37" t="n"/>
    </row>
    <row r="68">
      <c r="A68" s="36" t="n"/>
      <c r="B68" s="36" t="n"/>
      <c r="C68" s="37" t="n"/>
      <c r="D68" s="37" t="n"/>
      <c r="E68" s="37" t="n"/>
      <c r="F68" s="38" t="n"/>
      <c r="G68" s="39" t="n"/>
      <c r="H68" s="40">
        <f>IF(OR(F68="",G68=""),"",G68-F68)</f>
        <v/>
      </c>
      <c r="I68" s="37" t="n"/>
      <c r="J68" s="37" t="n"/>
    </row>
    <row r="69">
      <c r="A69" s="36" t="n"/>
      <c r="B69" s="36" t="n"/>
      <c r="C69" s="37" t="n"/>
      <c r="D69" s="37" t="n"/>
      <c r="E69" s="37" t="n"/>
      <c r="F69" s="38" t="n"/>
      <c r="G69" s="39" t="n"/>
      <c r="H69" s="40">
        <f>IF(OR(F69="",G69=""),"",G69-F69)</f>
        <v/>
      </c>
      <c r="I69" s="37" t="n"/>
      <c r="J69" s="37" t="n"/>
    </row>
    <row r="70">
      <c r="A70" s="36" t="n"/>
      <c r="B70" s="36" t="n"/>
      <c r="C70" s="37" t="n"/>
      <c r="D70" s="37" t="n"/>
      <c r="E70" s="37" t="n"/>
      <c r="F70" s="38" t="n"/>
      <c r="G70" s="39" t="n"/>
      <c r="H70" s="40">
        <f>IF(OR(F70="",G70=""),"",G70-F70)</f>
        <v/>
      </c>
      <c r="I70" s="37" t="n"/>
      <c r="J70" s="37" t="n"/>
    </row>
    <row r="71">
      <c r="A71" s="36" t="n"/>
      <c r="B71" s="36" t="n"/>
      <c r="C71" s="37" t="n"/>
      <c r="D71" s="37" t="n"/>
      <c r="E71" s="37" t="n"/>
      <c r="F71" s="38" t="n"/>
      <c r="G71" s="39" t="n"/>
      <c r="H71" s="40">
        <f>IF(OR(F71="",G71=""),"",G71-F71)</f>
        <v/>
      </c>
      <c r="I71" s="37" t="n"/>
      <c r="J71" s="37" t="n"/>
    </row>
    <row r="72">
      <c r="A72" s="36" t="n"/>
      <c r="B72" s="36" t="n"/>
      <c r="C72" s="37" t="n"/>
      <c r="D72" s="37" t="n"/>
      <c r="E72" s="37" t="n"/>
      <c r="F72" s="38" t="n"/>
      <c r="G72" s="39" t="n"/>
      <c r="H72" s="40">
        <f>IF(OR(F72="",G72=""),"",G72-F72)</f>
        <v/>
      </c>
      <c r="I72" s="37" t="n"/>
      <c r="J72" s="37" t="n"/>
    </row>
    <row r="73">
      <c r="A73" s="36" t="n"/>
      <c r="B73" s="36" t="n"/>
      <c r="C73" s="37" t="n"/>
      <c r="D73" s="37" t="n"/>
      <c r="E73" s="37" t="n"/>
      <c r="F73" s="38" t="n"/>
      <c r="G73" s="39" t="n"/>
      <c r="H73" s="40">
        <f>IF(OR(F73="",G73=""),"",G73-F73)</f>
        <v/>
      </c>
      <c r="I73" s="37" t="n"/>
      <c r="J73" s="37" t="n"/>
    </row>
    <row r="74">
      <c r="A74" s="36" t="n"/>
      <c r="B74" s="36" t="n"/>
      <c r="C74" s="37" t="n"/>
      <c r="D74" s="37" t="n"/>
      <c r="E74" s="37" t="n"/>
      <c r="F74" s="38" t="n"/>
      <c r="G74" s="39" t="n"/>
      <c r="H74" s="40">
        <f>IF(OR(F74="",G74=""),"",G74-F74)</f>
        <v/>
      </c>
      <c r="I74" s="37" t="n"/>
      <c r="J74" s="37" t="n"/>
    </row>
    <row r="75">
      <c r="A75" s="36" t="n"/>
      <c r="B75" s="36" t="n"/>
      <c r="C75" s="37" t="n"/>
      <c r="D75" s="37" t="n"/>
      <c r="E75" s="37" t="n"/>
      <c r="F75" s="38" t="n"/>
      <c r="G75" s="39" t="n"/>
      <c r="H75" s="40">
        <f>IF(OR(F75="",G75=""),"",G75-F75)</f>
        <v/>
      </c>
      <c r="I75" s="37" t="n"/>
      <c r="J75" s="37" t="n"/>
    </row>
    <row r="76">
      <c r="A76" s="36" t="n"/>
      <c r="B76" s="36" t="n"/>
      <c r="C76" s="37" t="n"/>
      <c r="D76" s="37" t="n"/>
      <c r="E76" s="37" t="n"/>
      <c r="F76" s="38" t="n"/>
      <c r="G76" s="39" t="n"/>
      <c r="H76" s="40">
        <f>IF(OR(F76="",G76=""),"",G76-F76)</f>
        <v/>
      </c>
      <c r="I76" s="37" t="n"/>
      <c r="J76" s="37" t="n"/>
    </row>
    <row r="77">
      <c r="A77" s="36" t="n"/>
      <c r="B77" s="36" t="n"/>
      <c r="C77" s="37" t="n"/>
      <c r="D77" s="37" t="n"/>
      <c r="E77" s="37" t="n"/>
      <c r="F77" s="38" t="n"/>
      <c r="G77" s="39" t="n"/>
      <c r="H77" s="40">
        <f>IF(OR(F77="",G77=""),"",G77-F77)</f>
        <v/>
      </c>
      <c r="I77" s="37" t="n"/>
      <c r="J77" s="37" t="n"/>
    </row>
    <row r="78">
      <c r="A78" s="36" t="n"/>
      <c r="B78" s="36" t="n"/>
      <c r="C78" s="37" t="n"/>
      <c r="D78" s="37" t="n"/>
      <c r="E78" s="37" t="n"/>
      <c r="F78" s="38" t="n"/>
      <c r="G78" s="39" t="n"/>
      <c r="H78" s="40">
        <f>IF(OR(F78="",G78=""),"",G78-F78)</f>
        <v/>
      </c>
      <c r="I78" s="37" t="n"/>
      <c r="J78" s="37" t="n"/>
    </row>
    <row r="79">
      <c r="A79" s="36" t="n"/>
      <c r="B79" s="36" t="n"/>
      <c r="C79" s="37" t="n"/>
      <c r="D79" s="37" t="n"/>
      <c r="E79" s="37" t="n"/>
      <c r="F79" s="38" t="n"/>
      <c r="G79" s="39" t="n"/>
      <c r="H79" s="40">
        <f>IF(OR(F79="",G79=""),"",G79-F79)</f>
        <v/>
      </c>
      <c r="I79" s="37" t="n"/>
      <c r="J79" s="37" t="n"/>
    </row>
    <row r="80">
      <c r="A80" s="36" t="n"/>
      <c r="B80" s="36" t="n"/>
      <c r="C80" s="37" t="n"/>
      <c r="D80" s="37" t="n"/>
      <c r="E80" s="37" t="n"/>
      <c r="F80" s="38" t="n"/>
      <c r="G80" s="39" t="n"/>
      <c r="H80" s="40">
        <f>IF(OR(F80="",G80=""),"",G80-F80)</f>
        <v/>
      </c>
      <c r="I80" s="37" t="n"/>
      <c r="J80" s="37" t="n"/>
    </row>
    <row r="81">
      <c r="A81" s="36" t="n"/>
      <c r="B81" s="36" t="n"/>
      <c r="C81" s="37" t="n"/>
      <c r="D81" s="37" t="n"/>
      <c r="E81" s="37" t="n"/>
      <c r="F81" s="38" t="n"/>
      <c r="G81" s="39" t="n"/>
      <c r="H81" s="40">
        <f>IF(OR(F81="",G81=""),"",G81-F81)</f>
        <v/>
      </c>
      <c r="I81" s="37" t="n"/>
      <c r="J81" s="37" t="n"/>
    </row>
    <row r="82">
      <c r="A82" s="36" t="n"/>
      <c r="B82" s="36" t="n"/>
      <c r="C82" s="37" t="n"/>
      <c r="D82" s="37" t="n"/>
      <c r="E82" s="37" t="n"/>
      <c r="F82" s="38" t="n"/>
      <c r="G82" s="39" t="n"/>
      <c r="H82" s="40">
        <f>IF(OR(F82="",G82=""),"",G82-F82)</f>
        <v/>
      </c>
      <c r="I82" s="37" t="n"/>
      <c r="J82" s="37" t="n"/>
    </row>
    <row r="83">
      <c r="A83" s="36" t="n"/>
      <c r="B83" s="36" t="n"/>
      <c r="C83" s="37" t="n"/>
      <c r="D83" s="37" t="n"/>
      <c r="E83" s="37" t="n"/>
      <c r="F83" s="38" t="n"/>
      <c r="G83" s="39" t="n"/>
      <c r="H83" s="40">
        <f>IF(OR(F83="",G83=""),"",G83-F83)</f>
        <v/>
      </c>
      <c r="I83" s="37" t="n"/>
      <c r="J83" s="37" t="n"/>
    </row>
    <row r="84">
      <c r="A84" s="36" t="n"/>
      <c r="B84" s="36" t="n"/>
      <c r="C84" s="37" t="n"/>
      <c r="D84" s="37" t="n"/>
      <c r="E84" s="37" t="n"/>
      <c r="F84" s="38" t="n"/>
      <c r="G84" s="39" t="n"/>
      <c r="H84" s="40">
        <f>IF(OR(F84="",G84=""),"",G84-F84)</f>
        <v/>
      </c>
      <c r="I84" s="37" t="n"/>
      <c r="J84" s="37" t="n"/>
    </row>
    <row r="85">
      <c r="A85" s="36" t="n"/>
      <c r="B85" s="36" t="n"/>
      <c r="C85" s="37" t="n"/>
      <c r="D85" s="37" t="n"/>
      <c r="E85" s="37" t="n"/>
      <c r="F85" s="38" t="n"/>
      <c r="G85" s="39" t="n"/>
      <c r="H85" s="40">
        <f>IF(OR(F85="",G85=""),"",G85-F85)</f>
        <v/>
      </c>
      <c r="I85" s="37" t="n"/>
      <c r="J85" s="37" t="n"/>
    </row>
    <row r="86">
      <c r="A86" s="36" t="n"/>
      <c r="B86" s="36" t="n"/>
      <c r="C86" s="37" t="n"/>
      <c r="D86" s="37" t="n"/>
      <c r="E86" s="37" t="n"/>
      <c r="F86" s="38" t="n"/>
      <c r="G86" s="39" t="n"/>
      <c r="H86" s="40">
        <f>IF(OR(F86="",G86=""),"",G86-F86)</f>
        <v/>
      </c>
      <c r="I86" s="37" t="n"/>
      <c r="J86" s="37" t="n"/>
    </row>
    <row r="87">
      <c r="A87" s="36" t="n"/>
      <c r="B87" s="36" t="n"/>
      <c r="C87" s="37" t="n"/>
      <c r="D87" s="37" t="n"/>
      <c r="E87" s="37" t="n"/>
      <c r="F87" s="38" t="n"/>
      <c r="G87" s="39" t="n"/>
      <c r="H87" s="40">
        <f>IF(OR(F87="",G87=""),"",G87-F87)</f>
        <v/>
      </c>
      <c r="I87" s="37" t="n"/>
      <c r="J87" s="37" t="n"/>
    </row>
    <row r="88">
      <c r="A88" s="36" t="n"/>
      <c r="B88" s="36" t="n"/>
      <c r="C88" s="37" t="n"/>
      <c r="D88" s="37" t="n"/>
      <c r="E88" s="37" t="n"/>
      <c r="F88" s="38" t="n"/>
      <c r="G88" s="39" t="n"/>
      <c r="H88" s="40">
        <f>IF(OR(F88="",G88=""),"",G88-F88)</f>
        <v/>
      </c>
      <c r="I88" s="37" t="n"/>
      <c r="J88" s="37" t="n"/>
    </row>
    <row r="89">
      <c r="A89" s="36" t="n"/>
      <c r="B89" s="36" t="n"/>
      <c r="C89" s="37" t="n"/>
      <c r="D89" s="37" t="n"/>
      <c r="E89" s="37" t="n"/>
      <c r="F89" s="38" t="n"/>
      <c r="G89" s="39" t="n"/>
      <c r="H89" s="40">
        <f>IF(OR(F89="",G89=""),"",G89-F89)</f>
        <v/>
      </c>
      <c r="I89" s="37" t="n"/>
      <c r="J89" s="37" t="n"/>
    </row>
    <row r="90">
      <c r="A90" s="36" t="n"/>
      <c r="B90" s="36" t="n"/>
      <c r="C90" s="37" t="n"/>
      <c r="D90" s="37" t="n"/>
      <c r="E90" s="37" t="n"/>
      <c r="F90" s="38" t="n"/>
      <c r="G90" s="39" t="n"/>
      <c r="H90" s="40">
        <f>IF(OR(F90="",G90=""),"",G90-F90)</f>
        <v/>
      </c>
      <c r="I90" s="37" t="n"/>
      <c r="J90" s="37" t="n"/>
    </row>
    <row r="91">
      <c r="A91" s="36" t="n"/>
      <c r="B91" s="36" t="n"/>
      <c r="C91" s="37" t="n"/>
      <c r="D91" s="37" t="n"/>
      <c r="E91" s="37" t="n"/>
      <c r="F91" s="38" t="n"/>
      <c r="G91" s="39" t="n"/>
      <c r="H91" s="40">
        <f>IF(OR(F91="",G91=""),"",G91-F91)</f>
        <v/>
      </c>
      <c r="I91" s="37" t="n"/>
      <c r="J91" s="37" t="n"/>
    </row>
    <row r="92">
      <c r="A92" s="36" t="n"/>
      <c r="B92" s="36" t="n"/>
      <c r="C92" s="37" t="n"/>
      <c r="D92" s="37" t="n"/>
      <c r="E92" s="37" t="n"/>
      <c r="F92" s="38" t="n"/>
      <c r="G92" s="39" t="n"/>
      <c r="H92" s="40">
        <f>IF(OR(F92="",G92=""),"",G92-F92)</f>
        <v/>
      </c>
      <c r="I92" s="37" t="n"/>
      <c r="J92" s="37" t="n"/>
    </row>
    <row r="93">
      <c r="A93" s="36" t="n"/>
      <c r="B93" s="36" t="n"/>
      <c r="C93" s="37" t="n"/>
      <c r="D93" s="37" t="n"/>
      <c r="E93" s="37" t="n"/>
      <c r="F93" s="38" t="n"/>
      <c r="G93" s="39" t="n"/>
      <c r="H93" s="40">
        <f>IF(OR(F93="",G93=""),"",G93-F93)</f>
        <v/>
      </c>
      <c r="I93" s="37" t="n"/>
      <c r="J93" s="37" t="n"/>
    </row>
    <row r="94">
      <c r="A94" s="36" t="n"/>
      <c r="B94" s="36" t="n"/>
      <c r="C94" s="37" t="n"/>
      <c r="D94" s="37" t="n"/>
      <c r="E94" s="37" t="n"/>
      <c r="F94" s="38" t="n"/>
      <c r="G94" s="39" t="n"/>
      <c r="H94" s="40">
        <f>IF(OR(F94="",G94=""),"",G94-F94)</f>
        <v/>
      </c>
      <c r="I94" s="37" t="n"/>
      <c r="J94" s="37" t="n"/>
    </row>
    <row r="95">
      <c r="A95" s="36" t="n"/>
      <c r="B95" s="36" t="n"/>
      <c r="C95" s="37" t="n"/>
      <c r="D95" s="37" t="n"/>
      <c r="E95" s="37" t="n"/>
      <c r="F95" s="38" t="n"/>
      <c r="G95" s="39" t="n"/>
      <c r="H95" s="40">
        <f>IF(OR(F95="",G95=""),"",G95-F95)</f>
        <v/>
      </c>
      <c r="I95" s="37" t="n"/>
      <c r="J95" s="37" t="n"/>
    </row>
    <row r="96">
      <c r="A96" s="36" t="n"/>
      <c r="B96" s="36" t="n"/>
      <c r="C96" s="37" t="n"/>
      <c r="D96" s="37" t="n"/>
      <c r="E96" s="37" t="n"/>
      <c r="F96" s="38" t="n"/>
      <c r="G96" s="39" t="n"/>
      <c r="H96" s="40">
        <f>IF(OR(F96="",G96=""),"",G96-F96)</f>
        <v/>
      </c>
      <c r="I96" s="37" t="n"/>
      <c r="J96" s="37" t="n"/>
    </row>
    <row r="97">
      <c r="A97" s="36" t="n"/>
      <c r="B97" s="36" t="n"/>
      <c r="C97" s="37" t="n"/>
      <c r="D97" s="37" t="n"/>
      <c r="E97" s="37" t="n"/>
      <c r="F97" s="38" t="n"/>
      <c r="G97" s="39" t="n"/>
      <c r="H97" s="40">
        <f>IF(OR(F97="",G97=""),"",G97-F97)</f>
        <v/>
      </c>
      <c r="I97" s="37" t="n"/>
      <c r="J97" s="37" t="n"/>
    </row>
    <row r="98">
      <c r="A98" s="36" t="n"/>
      <c r="B98" s="36" t="n"/>
      <c r="C98" s="37" t="n"/>
      <c r="D98" s="37" t="n"/>
      <c r="E98" s="37" t="n"/>
      <c r="F98" s="38" t="n"/>
      <c r="G98" s="39" t="n"/>
      <c r="H98" s="40">
        <f>IF(OR(F98="",G98=""),"",G98-F98)</f>
        <v/>
      </c>
      <c r="I98" s="37" t="n"/>
      <c r="J98" s="37" t="n"/>
    </row>
    <row r="99">
      <c r="A99" s="36" t="n"/>
      <c r="B99" s="36" t="n"/>
      <c r="C99" s="37" t="n"/>
      <c r="D99" s="37" t="n"/>
      <c r="E99" s="37" t="n"/>
      <c r="F99" s="38" t="n"/>
      <c r="G99" s="39" t="n"/>
      <c r="H99" s="40">
        <f>IF(OR(F99="",G99=""),"",G99-F99)</f>
        <v/>
      </c>
      <c r="I99" s="37" t="n"/>
      <c r="J99" s="37" t="n"/>
    </row>
    <row r="100">
      <c r="A100" s="36" t="n"/>
      <c r="B100" s="36" t="n"/>
      <c r="C100" s="37" t="n"/>
      <c r="D100" s="37" t="n"/>
      <c r="E100" s="37" t="n"/>
      <c r="F100" s="38" t="n"/>
      <c r="G100" s="39" t="n"/>
      <c r="H100" s="40">
        <f>IF(OR(F100="",G100=""),"",G100-F100)</f>
        <v/>
      </c>
      <c r="I100" s="37" t="n"/>
      <c r="J100" s="37" t="n"/>
    </row>
    <row r="101">
      <c r="A101" s="36" t="n"/>
      <c r="B101" s="36" t="n"/>
      <c r="C101" s="37" t="n"/>
      <c r="D101" s="37" t="n"/>
      <c r="E101" s="37" t="n"/>
      <c r="F101" s="38" t="n"/>
      <c r="G101" s="39" t="n"/>
      <c r="H101" s="40">
        <f>IF(OR(F101="",G101=""),"",G101-F101)</f>
        <v/>
      </c>
      <c r="I101" s="37" t="n"/>
      <c r="J101" s="37" t="n"/>
    </row>
    <row r="102">
      <c r="A102" s="36" t="n"/>
      <c r="B102" s="36" t="n"/>
      <c r="C102" s="37" t="n"/>
      <c r="D102" s="37" t="n"/>
      <c r="E102" s="37" t="n"/>
      <c r="F102" s="38" t="n"/>
      <c r="G102" s="39" t="n"/>
      <c r="H102" s="40">
        <f>IF(OR(F102="",G102=""),"",G102-F102)</f>
        <v/>
      </c>
      <c r="I102" s="37" t="n"/>
      <c r="J102" s="37" t="n"/>
    </row>
    <row r="103">
      <c r="A103" s="36" t="n"/>
      <c r="B103" s="36" t="n"/>
      <c r="C103" s="37" t="n"/>
      <c r="D103" s="37" t="n"/>
      <c r="E103" s="37" t="n"/>
      <c r="F103" s="38" t="n"/>
      <c r="G103" s="39" t="n"/>
      <c r="H103" s="40">
        <f>IF(OR(F103="",G103=""),"",G103-F103)</f>
        <v/>
      </c>
      <c r="I103" s="37" t="n"/>
      <c r="J103" s="37" t="n"/>
    </row>
    <row r="104">
      <c r="A104" s="36" t="n"/>
      <c r="B104" s="36" t="n"/>
      <c r="C104" s="37" t="n"/>
      <c r="D104" s="37" t="n"/>
      <c r="E104" s="37" t="n"/>
      <c r="F104" s="38" t="n"/>
      <c r="G104" s="39" t="n"/>
      <c r="H104" s="40">
        <f>IF(OR(F104="",G104=""),"",G104-F104)</f>
        <v/>
      </c>
      <c r="I104" s="37" t="n"/>
      <c r="J104" s="37" t="n"/>
    </row>
    <row r="105">
      <c r="A105" s="36" t="n"/>
      <c r="B105" s="36" t="n"/>
      <c r="C105" s="37" t="n"/>
      <c r="D105" s="37" t="n"/>
      <c r="E105" s="37" t="n"/>
      <c r="F105" s="38" t="n"/>
      <c r="G105" s="39" t="n"/>
      <c r="H105" s="40">
        <f>IF(OR(F105="",G105=""),"",G105-F105)</f>
        <v/>
      </c>
      <c r="I105" s="37" t="n"/>
      <c r="J105" s="37" t="n"/>
    </row>
    <row r="106">
      <c r="A106" s="36" t="n"/>
      <c r="B106" s="36" t="n"/>
      <c r="C106" s="37" t="n"/>
      <c r="D106" s="37" t="n"/>
      <c r="E106" s="37" t="n"/>
      <c r="F106" s="38" t="n"/>
      <c r="G106" s="39" t="n"/>
      <c r="H106" s="40">
        <f>IF(OR(F106="",G106=""),"",G106-F106)</f>
        <v/>
      </c>
      <c r="I106" s="37" t="n"/>
      <c r="J106" s="37" t="n"/>
    </row>
    <row r="107">
      <c r="A107" s="36" t="n"/>
      <c r="B107" s="36" t="n"/>
      <c r="C107" s="37" t="n"/>
      <c r="D107" s="37" t="n"/>
      <c r="E107" s="37" t="n"/>
      <c r="F107" s="38" t="n"/>
      <c r="G107" s="39" t="n"/>
      <c r="H107" s="40">
        <f>IF(OR(F107="",G107=""),"",G107-F107)</f>
        <v/>
      </c>
      <c r="I107" s="37" t="n"/>
      <c r="J107" s="37" t="n"/>
    </row>
    <row r="108">
      <c r="A108" s="36" t="n"/>
      <c r="B108" s="36" t="n"/>
      <c r="C108" s="37" t="n"/>
      <c r="D108" s="37" t="n"/>
      <c r="E108" s="37" t="n"/>
      <c r="F108" s="38" t="n"/>
      <c r="G108" s="39" t="n"/>
      <c r="H108" s="40">
        <f>IF(OR(F108="",G108=""),"",G108-F108)</f>
        <v/>
      </c>
      <c r="I108" s="37" t="n"/>
      <c r="J108" s="37" t="n"/>
    </row>
    <row r="109">
      <c r="A109" s="36" t="n"/>
      <c r="B109" s="36" t="n"/>
      <c r="C109" s="37" t="n"/>
      <c r="D109" s="37" t="n"/>
      <c r="E109" s="37" t="n"/>
      <c r="F109" s="38" t="n"/>
      <c r="G109" s="39" t="n"/>
      <c r="H109" s="40">
        <f>IF(OR(F109="",G109=""),"",G109-F109)</f>
        <v/>
      </c>
      <c r="I109" s="37" t="n"/>
      <c r="J109" s="37" t="n"/>
    </row>
    <row r="110">
      <c r="A110" s="36" t="n"/>
      <c r="B110" s="36" t="n"/>
      <c r="C110" s="37" t="n"/>
      <c r="D110" s="37" t="n"/>
      <c r="E110" s="37" t="n"/>
      <c r="F110" s="38" t="n"/>
      <c r="G110" s="39" t="n"/>
      <c r="H110" s="40">
        <f>IF(OR(F110="",G110=""),"",G110-F110)</f>
        <v/>
      </c>
      <c r="I110" s="37" t="n"/>
      <c r="J110" s="37" t="n"/>
    </row>
    <row r="111">
      <c r="A111" s="36" t="n"/>
      <c r="B111" s="36" t="n"/>
      <c r="C111" s="37" t="n"/>
      <c r="D111" s="37" t="n"/>
      <c r="E111" s="37" t="n"/>
      <c r="F111" s="38" t="n"/>
      <c r="G111" s="39" t="n"/>
      <c r="H111" s="40">
        <f>IF(OR(F111="",G111=""),"",G111-F111)</f>
        <v/>
      </c>
      <c r="I111" s="37" t="n"/>
      <c r="J111" s="37" t="n"/>
    </row>
    <row r="112">
      <c r="A112" s="36" t="n"/>
      <c r="B112" s="36" t="n"/>
      <c r="C112" s="37" t="n"/>
      <c r="D112" s="37" t="n"/>
      <c r="E112" s="37" t="n"/>
      <c r="F112" s="38" t="n"/>
      <c r="G112" s="39" t="n"/>
      <c r="H112" s="40">
        <f>IF(OR(F112="",G112=""),"",G112-F112)</f>
        <v/>
      </c>
      <c r="I112" s="37" t="n"/>
      <c r="J112" s="37" t="n"/>
    </row>
    <row r="113">
      <c r="A113" s="36" t="n"/>
      <c r="B113" s="36" t="n"/>
      <c r="C113" s="37" t="n"/>
      <c r="D113" s="37" t="n"/>
      <c r="E113" s="37" t="n"/>
      <c r="F113" s="38" t="n"/>
      <c r="G113" s="39" t="n"/>
      <c r="H113" s="40">
        <f>IF(OR(F113="",G113=""),"",G113-F113)</f>
        <v/>
      </c>
      <c r="I113" s="37" t="n"/>
      <c r="J113" s="37" t="n"/>
    </row>
    <row r="114">
      <c r="A114" s="36" t="n"/>
      <c r="B114" s="36" t="n"/>
      <c r="C114" s="37" t="n"/>
      <c r="D114" s="37" t="n"/>
      <c r="E114" s="37" t="n"/>
      <c r="F114" s="38" t="n"/>
      <c r="G114" s="39" t="n"/>
      <c r="H114" s="40">
        <f>IF(OR(F114="",G114=""),"",G114-F114)</f>
        <v/>
      </c>
      <c r="I114" s="37" t="n"/>
      <c r="J114" s="37" t="n"/>
    </row>
    <row r="115">
      <c r="A115" s="36" t="n"/>
      <c r="B115" s="36" t="n"/>
      <c r="C115" s="37" t="n"/>
      <c r="D115" s="37" t="n"/>
      <c r="E115" s="37" t="n"/>
      <c r="F115" s="38" t="n"/>
      <c r="G115" s="39" t="n"/>
      <c r="H115" s="40">
        <f>IF(OR(F115="",G115=""),"",G115-F115)</f>
        <v/>
      </c>
      <c r="I115" s="37" t="n"/>
      <c r="J115" s="37" t="n"/>
    </row>
    <row r="116">
      <c r="A116" s="36" t="n"/>
      <c r="B116" s="36" t="n"/>
      <c r="C116" s="37" t="n"/>
      <c r="D116" s="37" t="n"/>
      <c r="E116" s="37" t="n"/>
      <c r="F116" s="38" t="n"/>
      <c r="G116" s="39" t="n"/>
      <c r="H116" s="40">
        <f>IF(OR(F116="",G116=""),"",G116-F116)</f>
        <v/>
      </c>
      <c r="I116" s="37" t="n"/>
      <c r="J116" s="37" t="n"/>
    </row>
    <row r="117">
      <c r="A117" s="36" t="n"/>
      <c r="B117" s="36" t="n"/>
      <c r="C117" s="37" t="n"/>
      <c r="D117" s="37" t="n"/>
      <c r="E117" s="37" t="n"/>
      <c r="F117" s="38" t="n"/>
      <c r="G117" s="39" t="n"/>
      <c r="H117" s="40">
        <f>IF(OR(F117="",G117=""),"",G117-F117)</f>
        <v/>
      </c>
      <c r="I117" s="37" t="n"/>
      <c r="J117" s="37" t="n"/>
    </row>
    <row r="118">
      <c r="A118" s="36" t="n"/>
      <c r="B118" s="36" t="n"/>
      <c r="C118" s="37" t="n"/>
      <c r="D118" s="37" t="n"/>
      <c r="E118" s="37" t="n"/>
      <c r="F118" s="38" t="n"/>
      <c r="G118" s="39" t="n"/>
      <c r="H118" s="40">
        <f>IF(OR(F118="",G118=""),"",G118-F118)</f>
        <v/>
      </c>
      <c r="I118" s="37" t="n"/>
      <c r="J118" s="37" t="n"/>
    </row>
    <row r="119">
      <c r="A119" s="36" t="n"/>
      <c r="B119" s="36" t="n"/>
      <c r="C119" s="37" t="n"/>
      <c r="D119" s="37" t="n"/>
      <c r="E119" s="37" t="n"/>
      <c r="F119" s="38" t="n"/>
      <c r="G119" s="39" t="n"/>
      <c r="H119" s="40">
        <f>IF(OR(F119="",G119=""),"",G119-F119)</f>
        <v/>
      </c>
      <c r="I119" s="37" t="n"/>
      <c r="J119" s="37" t="n"/>
    </row>
    <row r="120">
      <c r="A120" s="36" t="n"/>
      <c r="B120" s="36" t="n"/>
      <c r="C120" s="37" t="n"/>
      <c r="D120" s="37" t="n"/>
      <c r="E120" s="37" t="n"/>
      <c r="F120" s="38" t="n"/>
      <c r="G120" s="39" t="n"/>
      <c r="H120" s="40">
        <f>IF(OR(F120="",G120=""),"",G120-F120)</f>
        <v/>
      </c>
      <c r="I120" s="37" t="n"/>
      <c r="J120" s="37" t="n"/>
    </row>
    <row r="121">
      <c r="A121" s="36" t="n"/>
      <c r="B121" s="36" t="n"/>
      <c r="C121" s="37" t="n"/>
      <c r="D121" s="37" t="n"/>
      <c r="E121" s="37" t="n"/>
      <c r="F121" s="38" t="n"/>
      <c r="G121" s="39" t="n"/>
      <c r="H121" s="40">
        <f>IF(OR(F121="",G121=""),"",G121-F121)</f>
        <v/>
      </c>
      <c r="I121" s="37" t="n"/>
      <c r="J121" s="37" t="n"/>
    </row>
    <row r="122">
      <c r="A122" s="36" t="n"/>
      <c r="B122" s="36" t="n"/>
      <c r="C122" s="37" t="n"/>
      <c r="D122" s="37" t="n"/>
      <c r="E122" s="37" t="n"/>
      <c r="F122" s="38" t="n"/>
      <c r="G122" s="39" t="n"/>
      <c r="H122" s="40">
        <f>IF(OR(F122="",G122=""),"",G122-F122)</f>
        <v/>
      </c>
      <c r="I122" s="37" t="n"/>
      <c r="J122" s="37" t="n"/>
    </row>
    <row r="123">
      <c r="A123" s="36" t="n"/>
      <c r="B123" s="36" t="n"/>
      <c r="C123" s="37" t="n"/>
      <c r="D123" s="37" t="n"/>
      <c r="E123" s="37" t="n"/>
      <c r="F123" s="38" t="n"/>
      <c r="G123" s="39" t="n"/>
      <c r="H123" s="40">
        <f>IF(OR(F123="",G123=""),"",G123-F123)</f>
        <v/>
      </c>
      <c r="I123" s="37" t="n"/>
      <c r="J123" s="37" t="n"/>
    </row>
    <row r="124">
      <c r="A124" s="36" t="n"/>
      <c r="B124" s="36" t="n"/>
      <c r="C124" s="37" t="n"/>
      <c r="D124" s="37" t="n"/>
      <c r="E124" s="37" t="n"/>
      <c r="F124" s="38" t="n"/>
      <c r="G124" s="39" t="n"/>
      <c r="H124" s="40">
        <f>IF(OR(F124="",G124=""),"",G124-F124)</f>
        <v/>
      </c>
      <c r="I124" s="37" t="n"/>
      <c r="J124" s="37" t="n"/>
    </row>
    <row r="125">
      <c r="A125" s="36" t="n"/>
      <c r="B125" s="36" t="n"/>
      <c r="C125" s="37" t="n"/>
      <c r="D125" s="37" t="n"/>
      <c r="E125" s="37" t="n"/>
      <c r="F125" s="38" t="n"/>
      <c r="G125" s="39" t="n"/>
      <c r="H125" s="40">
        <f>IF(OR(F125="",G125=""),"",G125-F125)</f>
        <v/>
      </c>
      <c r="I125" s="37" t="n"/>
      <c r="J125" s="37" t="n"/>
    </row>
    <row r="126">
      <c r="A126" s="36" t="n"/>
      <c r="B126" s="36" t="n"/>
      <c r="C126" s="37" t="n"/>
      <c r="D126" s="37" t="n"/>
      <c r="E126" s="37" t="n"/>
      <c r="F126" s="38" t="n"/>
      <c r="G126" s="39" t="n"/>
      <c r="H126" s="40">
        <f>IF(OR(F126="",G126=""),"",G126-F126)</f>
        <v/>
      </c>
      <c r="I126" s="37" t="n"/>
      <c r="J126" s="37" t="n"/>
    </row>
    <row r="127">
      <c r="A127" s="36" t="n"/>
      <c r="B127" s="36" t="n"/>
      <c r="C127" s="37" t="n"/>
      <c r="D127" s="37" t="n"/>
      <c r="E127" s="37" t="n"/>
      <c r="F127" s="38" t="n"/>
      <c r="G127" s="39" t="n"/>
      <c r="H127" s="40">
        <f>IF(OR(F127="",G127=""),"",G127-F127)</f>
        <v/>
      </c>
      <c r="I127" s="37" t="n"/>
      <c r="J127" s="37" t="n"/>
    </row>
    <row r="128">
      <c r="A128" s="36" t="n"/>
      <c r="B128" s="36" t="n"/>
      <c r="C128" s="37" t="n"/>
      <c r="D128" s="37" t="n"/>
      <c r="E128" s="37" t="n"/>
      <c r="F128" s="38" t="n"/>
      <c r="G128" s="39" t="n"/>
      <c r="H128" s="40">
        <f>IF(OR(F128="",G128=""),"",G128-F128)</f>
        <v/>
      </c>
      <c r="I128" s="37" t="n"/>
      <c r="J128" s="37" t="n"/>
    </row>
    <row r="129">
      <c r="A129" s="36" t="n"/>
      <c r="B129" s="36" t="n"/>
      <c r="C129" s="37" t="n"/>
      <c r="D129" s="37" t="n"/>
      <c r="E129" s="37" t="n"/>
      <c r="F129" s="38" t="n"/>
      <c r="G129" s="39" t="n"/>
      <c r="H129" s="40">
        <f>IF(OR(F129="",G129=""),"",G129-F129)</f>
        <v/>
      </c>
      <c r="I129" s="37" t="n"/>
      <c r="J129" s="37" t="n"/>
    </row>
    <row r="130">
      <c r="A130" s="36" t="n"/>
      <c r="B130" s="36" t="n"/>
      <c r="C130" s="37" t="n"/>
      <c r="D130" s="37" t="n"/>
      <c r="E130" s="37" t="n"/>
      <c r="F130" s="38" t="n"/>
      <c r="G130" s="39" t="n"/>
      <c r="H130" s="40">
        <f>IF(OR(F130="",G130=""),"",G130-F130)</f>
        <v/>
      </c>
      <c r="I130" s="37" t="n"/>
      <c r="J130" s="37" t="n"/>
    </row>
    <row r="131">
      <c r="A131" s="36" t="n"/>
      <c r="B131" s="36" t="n"/>
      <c r="C131" s="37" t="n"/>
      <c r="D131" s="37" t="n"/>
      <c r="E131" s="37" t="n"/>
      <c r="F131" s="38" t="n"/>
      <c r="G131" s="39" t="n"/>
      <c r="H131" s="40">
        <f>IF(OR(F131="",G131=""),"",G131-F131)</f>
        <v/>
      </c>
      <c r="I131" s="37" t="n"/>
      <c r="J131" s="37" t="n"/>
    </row>
    <row r="132">
      <c r="A132" s="36" t="n"/>
      <c r="B132" s="36" t="n"/>
      <c r="C132" s="37" t="n"/>
      <c r="D132" s="37" t="n"/>
      <c r="E132" s="37" t="n"/>
      <c r="F132" s="38" t="n"/>
      <c r="G132" s="39" t="n"/>
      <c r="H132" s="40">
        <f>IF(OR(F132="",G132=""),"",G132-F132)</f>
        <v/>
      </c>
      <c r="I132" s="37" t="n"/>
      <c r="J132" s="37" t="n"/>
    </row>
    <row r="133">
      <c r="A133" s="36" t="n"/>
      <c r="B133" s="36" t="n"/>
      <c r="C133" s="37" t="n"/>
      <c r="D133" s="37" t="n"/>
      <c r="E133" s="37" t="n"/>
      <c r="F133" s="38" t="n"/>
      <c r="G133" s="39" t="n"/>
      <c r="H133" s="40">
        <f>IF(OR(F133="",G133=""),"",G133-F133)</f>
        <v/>
      </c>
      <c r="I133" s="37" t="n"/>
      <c r="J133" s="37" t="n"/>
    </row>
    <row r="134">
      <c r="A134" s="36" t="n"/>
      <c r="B134" s="36" t="n"/>
      <c r="C134" s="37" t="n"/>
      <c r="D134" s="37" t="n"/>
      <c r="E134" s="37" t="n"/>
      <c r="F134" s="38" t="n"/>
      <c r="G134" s="39" t="n"/>
      <c r="H134" s="40">
        <f>IF(OR(F134="",G134=""),"",G134-F134)</f>
        <v/>
      </c>
      <c r="I134" s="37" t="n"/>
      <c r="J134" s="37" t="n"/>
    </row>
    <row r="135">
      <c r="A135" s="36" t="n"/>
      <c r="B135" s="36" t="n"/>
      <c r="C135" s="37" t="n"/>
      <c r="D135" s="37" t="n"/>
      <c r="E135" s="37" t="n"/>
      <c r="F135" s="38" t="n"/>
      <c r="G135" s="39" t="n"/>
      <c r="H135" s="40">
        <f>IF(OR(F135="",G135=""),"",G135-F135)</f>
        <v/>
      </c>
      <c r="I135" s="37" t="n"/>
      <c r="J135" s="37" t="n"/>
    </row>
    <row r="136">
      <c r="A136" s="36" t="n"/>
      <c r="B136" s="36" t="n"/>
      <c r="C136" s="37" t="n"/>
      <c r="D136" s="37" t="n"/>
      <c r="E136" s="37" t="n"/>
      <c r="F136" s="38" t="n"/>
      <c r="G136" s="39" t="n"/>
      <c r="H136" s="40">
        <f>IF(OR(F136="",G136=""),"",G136-F136)</f>
        <v/>
      </c>
      <c r="I136" s="37" t="n"/>
      <c r="J136" s="37" t="n"/>
    </row>
    <row r="137">
      <c r="A137" s="36" t="n"/>
      <c r="B137" s="36" t="n"/>
      <c r="C137" s="37" t="n"/>
      <c r="D137" s="37" t="n"/>
      <c r="E137" s="37" t="n"/>
      <c r="F137" s="38" t="n"/>
      <c r="G137" s="39" t="n"/>
      <c r="H137" s="40">
        <f>IF(OR(F137="",G137=""),"",G137-F137)</f>
        <v/>
      </c>
      <c r="I137" s="37" t="n"/>
      <c r="J137" s="37" t="n"/>
    </row>
    <row r="138">
      <c r="A138" s="36" t="n"/>
      <c r="B138" s="36" t="n"/>
      <c r="C138" s="37" t="n"/>
      <c r="D138" s="37" t="n"/>
      <c r="E138" s="37" t="n"/>
      <c r="F138" s="38" t="n"/>
      <c r="G138" s="39" t="n"/>
      <c r="H138" s="40">
        <f>IF(OR(F138="",G138=""),"",G138-F138)</f>
        <v/>
      </c>
      <c r="I138" s="37" t="n"/>
      <c r="J138" s="37" t="n"/>
    </row>
    <row r="139">
      <c r="A139" s="36" t="n"/>
      <c r="B139" s="36" t="n"/>
      <c r="C139" s="37" t="n"/>
      <c r="D139" s="37" t="n"/>
      <c r="E139" s="37" t="n"/>
      <c r="F139" s="38" t="n"/>
      <c r="G139" s="39" t="n"/>
      <c r="H139" s="40">
        <f>IF(OR(F139="",G139=""),"",G139-F139)</f>
        <v/>
      </c>
      <c r="I139" s="37" t="n"/>
      <c r="J139" s="37" t="n"/>
    </row>
    <row r="140">
      <c r="A140" s="36" t="n"/>
      <c r="B140" s="36" t="n"/>
      <c r="C140" s="37" t="n"/>
      <c r="D140" s="37" t="n"/>
      <c r="E140" s="37" t="n"/>
      <c r="F140" s="38" t="n"/>
      <c r="G140" s="39" t="n"/>
      <c r="H140" s="40">
        <f>IF(OR(F140="",G140=""),"",G140-F140)</f>
        <v/>
      </c>
      <c r="I140" s="37" t="n"/>
      <c r="J140" s="37" t="n"/>
    </row>
    <row r="141">
      <c r="A141" s="36" t="n"/>
      <c r="B141" s="36" t="n"/>
      <c r="C141" s="37" t="n"/>
      <c r="D141" s="37" t="n"/>
      <c r="E141" s="37" t="n"/>
      <c r="F141" s="38" t="n"/>
      <c r="G141" s="39" t="n"/>
      <c r="H141" s="40">
        <f>IF(OR(F141="",G141=""),"",G141-F141)</f>
        <v/>
      </c>
      <c r="I141" s="37" t="n"/>
      <c r="J141" s="37" t="n"/>
    </row>
    <row r="142">
      <c r="A142" s="36" t="n"/>
      <c r="B142" s="36" t="n"/>
      <c r="C142" s="37" t="n"/>
      <c r="D142" s="37" t="n"/>
      <c r="E142" s="37" t="n"/>
      <c r="F142" s="38" t="n"/>
      <c r="G142" s="39" t="n"/>
      <c r="H142" s="40">
        <f>IF(OR(F142="",G142=""),"",G142-F142)</f>
        <v/>
      </c>
      <c r="I142" s="37" t="n"/>
      <c r="J142" s="37" t="n"/>
    </row>
    <row r="143">
      <c r="A143" s="36" t="n"/>
      <c r="B143" s="36" t="n"/>
      <c r="C143" s="37" t="n"/>
      <c r="D143" s="37" t="n"/>
      <c r="E143" s="37" t="n"/>
      <c r="F143" s="38" t="n"/>
      <c r="G143" s="39" t="n"/>
      <c r="H143" s="40">
        <f>IF(OR(F143="",G143=""),"",G143-F143)</f>
        <v/>
      </c>
      <c r="I143" s="37" t="n"/>
      <c r="J143" s="37" t="n"/>
    </row>
    <row r="144">
      <c r="A144" s="36" t="n"/>
      <c r="B144" s="36" t="n"/>
      <c r="C144" s="37" t="n"/>
      <c r="D144" s="37" t="n"/>
      <c r="E144" s="37" t="n"/>
      <c r="F144" s="38" t="n"/>
      <c r="G144" s="39" t="n"/>
      <c r="H144" s="40">
        <f>IF(OR(F144="",G144=""),"",G144-F144)</f>
        <v/>
      </c>
      <c r="I144" s="37" t="n"/>
      <c r="J144" s="37" t="n"/>
    </row>
    <row r="145">
      <c r="A145" s="36" t="n"/>
      <c r="B145" s="36" t="n"/>
      <c r="C145" s="37" t="n"/>
      <c r="D145" s="37" t="n"/>
      <c r="E145" s="37" t="n"/>
      <c r="F145" s="38" t="n"/>
      <c r="G145" s="39" t="n"/>
      <c r="H145" s="40">
        <f>IF(OR(F145="",G145=""),"",G145-F145)</f>
        <v/>
      </c>
      <c r="I145" s="37" t="n"/>
      <c r="J145" s="37" t="n"/>
    </row>
    <row r="146">
      <c r="A146" s="36" t="n"/>
      <c r="B146" s="36" t="n"/>
      <c r="C146" s="37" t="n"/>
      <c r="D146" s="37" t="n"/>
      <c r="E146" s="37" t="n"/>
      <c r="F146" s="38" t="n"/>
      <c r="G146" s="39" t="n"/>
      <c r="H146" s="40">
        <f>IF(OR(F146="",G146=""),"",G146-F146)</f>
        <v/>
      </c>
      <c r="I146" s="37" t="n"/>
      <c r="J146" s="37" t="n"/>
    </row>
    <row r="147">
      <c r="A147" s="36" t="n"/>
      <c r="B147" s="36" t="n"/>
      <c r="C147" s="37" t="n"/>
      <c r="D147" s="37" t="n"/>
      <c r="E147" s="37" t="n"/>
      <c r="F147" s="38" t="n"/>
      <c r="G147" s="39" t="n"/>
      <c r="H147" s="40">
        <f>IF(OR(F147="",G147=""),"",G147-F147)</f>
        <v/>
      </c>
      <c r="I147" s="37" t="n"/>
      <c r="J147" s="37" t="n"/>
    </row>
    <row r="148">
      <c r="A148" s="36" t="n"/>
      <c r="B148" s="36" t="n"/>
      <c r="C148" s="37" t="n"/>
      <c r="D148" s="37" t="n"/>
      <c r="E148" s="37" t="n"/>
      <c r="F148" s="38" t="n"/>
      <c r="G148" s="39" t="n"/>
      <c r="H148" s="40">
        <f>IF(OR(F148="",G148=""),"",G148-F148)</f>
        <v/>
      </c>
      <c r="I148" s="37" t="n"/>
      <c r="J148" s="37" t="n"/>
    </row>
    <row r="149">
      <c r="A149" s="36" t="n"/>
      <c r="B149" s="36" t="n"/>
      <c r="C149" s="37" t="n"/>
      <c r="D149" s="37" t="n"/>
      <c r="E149" s="37" t="n"/>
      <c r="F149" s="38" t="n"/>
      <c r="G149" s="39" t="n"/>
      <c r="H149" s="40">
        <f>IF(OR(F149="",G149=""),"",G149-F149)</f>
        <v/>
      </c>
      <c r="I149" s="37" t="n"/>
      <c r="J149" s="37" t="n"/>
    </row>
    <row r="150">
      <c r="A150" s="36" t="n"/>
      <c r="B150" s="36" t="n"/>
      <c r="C150" s="37" t="n"/>
      <c r="D150" s="37" t="n"/>
      <c r="E150" s="37" t="n"/>
      <c r="F150" s="38" t="n"/>
      <c r="G150" s="39" t="n"/>
      <c r="H150" s="40">
        <f>IF(OR(F150="",G150=""),"",G150-F150)</f>
        <v/>
      </c>
      <c r="I150" s="37" t="n"/>
      <c r="J150" s="37" t="n"/>
    </row>
    <row r="151">
      <c r="A151" s="36" t="n"/>
      <c r="B151" s="36" t="n"/>
      <c r="C151" s="37" t="n"/>
      <c r="D151" s="37" t="n"/>
      <c r="E151" s="37" t="n"/>
      <c r="F151" s="38" t="n"/>
      <c r="G151" s="39" t="n"/>
      <c r="H151" s="40">
        <f>IF(OR(F151="",G151=""),"",G151-F151)</f>
        <v/>
      </c>
      <c r="I151" s="37" t="n"/>
      <c r="J151" s="37" t="n"/>
    </row>
    <row r="152">
      <c r="A152" s="36" t="n"/>
      <c r="B152" s="36" t="n"/>
      <c r="C152" s="37" t="n"/>
      <c r="D152" s="37" t="n"/>
      <c r="E152" s="37" t="n"/>
      <c r="F152" s="38" t="n"/>
      <c r="G152" s="39" t="n"/>
      <c r="H152" s="40">
        <f>IF(OR(F152="",G152=""),"",G152-F152)</f>
        <v/>
      </c>
      <c r="I152" s="37" t="n"/>
      <c r="J152" s="37" t="n"/>
    </row>
    <row r="153">
      <c r="A153" s="36" t="n"/>
      <c r="B153" s="36" t="n"/>
      <c r="C153" s="37" t="n"/>
      <c r="D153" s="37" t="n"/>
      <c r="E153" s="37" t="n"/>
      <c r="F153" s="38" t="n"/>
      <c r="G153" s="39" t="n"/>
      <c r="H153" s="40">
        <f>IF(OR(F153="",G153=""),"",G153-F153)</f>
        <v/>
      </c>
      <c r="I153" s="37" t="n"/>
      <c r="J153" s="37" t="n"/>
    </row>
    <row r="154">
      <c r="A154" s="36" t="n"/>
      <c r="B154" s="36" t="n"/>
      <c r="C154" s="37" t="n"/>
      <c r="D154" s="37" t="n"/>
      <c r="E154" s="37" t="n"/>
      <c r="F154" s="38" t="n"/>
      <c r="G154" s="39" t="n"/>
      <c r="H154" s="40">
        <f>IF(OR(F154="",G154=""),"",G154-F154)</f>
        <v/>
      </c>
      <c r="I154" s="37" t="n"/>
      <c r="J154" s="37" t="n"/>
    </row>
    <row r="155">
      <c r="A155" s="36" t="n"/>
      <c r="B155" s="36" t="n"/>
      <c r="C155" s="37" t="n"/>
      <c r="D155" s="37" t="n"/>
      <c r="E155" s="37" t="n"/>
      <c r="F155" s="38" t="n"/>
      <c r="G155" s="39" t="n"/>
      <c r="H155" s="40">
        <f>IF(OR(F155="",G155=""),"",G155-F155)</f>
        <v/>
      </c>
      <c r="I155" s="37" t="n"/>
      <c r="J155" s="37" t="n"/>
    </row>
    <row r="156">
      <c r="A156" s="36" t="n"/>
      <c r="B156" s="36" t="n"/>
      <c r="C156" s="37" t="n"/>
      <c r="D156" s="37" t="n"/>
      <c r="E156" s="37" t="n"/>
      <c r="F156" s="38" t="n"/>
      <c r="G156" s="39" t="n"/>
      <c r="H156" s="40">
        <f>IF(OR(F156="",G156=""),"",G156-F156)</f>
        <v/>
      </c>
      <c r="I156" s="37" t="n"/>
      <c r="J156" s="37" t="n"/>
    </row>
    <row r="157">
      <c r="A157" s="36" t="n"/>
      <c r="B157" s="36" t="n"/>
      <c r="C157" s="37" t="n"/>
      <c r="D157" s="37" t="n"/>
      <c r="E157" s="37" t="n"/>
      <c r="F157" s="38" t="n"/>
      <c r="G157" s="39" t="n"/>
      <c r="H157" s="40">
        <f>IF(OR(F157="",G157=""),"",G157-F157)</f>
        <v/>
      </c>
      <c r="I157" s="37" t="n"/>
      <c r="J157" s="37" t="n"/>
    </row>
    <row r="158">
      <c r="A158" s="36" t="n"/>
      <c r="B158" s="36" t="n"/>
      <c r="C158" s="37" t="n"/>
      <c r="D158" s="37" t="n"/>
      <c r="E158" s="37" t="n"/>
      <c r="F158" s="38" t="n"/>
      <c r="G158" s="39" t="n"/>
      <c r="H158" s="40">
        <f>IF(OR(F158="",G158=""),"",G158-F158)</f>
        <v/>
      </c>
      <c r="I158" s="37" t="n"/>
      <c r="J158" s="37" t="n"/>
    </row>
    <row r="159">
      <c r="A159" s="36" t="n"/>
      <c r="B159" s="36" t="n"/>
      <c r="C159" s="37" t="n"/>
      <c r="D159" s="37" t="n"/>
      <c r="E159" s="37" t="n"/>
      <c r="F159" s="38" t="n"/>
      <c r="G159" s="39" t="n"/>
      <c r="H159" s="40">
        <f>IF(OR(F159="",G159=""),"",G159-F159)</f>
        <v/>
      </c>
      <c r="I159" s="37" t="n"/>
      <c r="J159" s="37" t="n"/>
    </row>
    <row r="160">
      <c r="A160" s="36" t="n"/>
      <c r="B160" s="36" t="n"/>
      <c r="C160" s="37" t="n"/>
      <c r="D160" s="37" t="n"/>
      <c r="E160" s="37" t="n"/>
      <c r="F160" s="38" t="n"/>
      <c r="G160" s="39" t="n"/>
      <c r="H160" s="40">
        <f>IF(OR(F160="",G160=""),"",G160-F160)</f>
        <v/>
      </c>
      <c r="I160" s="37" t="n"/>
      <c r="J160" s="37" t="n"/>
    </row>
    <row r="161">
      <c r="A161" s="36" t="n"/>
      <c r="B161" s="36" t="n"/>
      <c r="C161" s="37" t="n"/>
      <c r="D161" s="37" t="n"/>
      <c r="E161" s="37" t="n"/>
      <c r="F161" s="38" t="n"/>
      <c r="G161" s="39" t="n"/>
      <c r="H161" s="40">
        <f>IF(OR(F161="",G161=""),"",G161-F161)</f>
        <v/>
      </c>
      <c r="I161" s="37" t="n"/>
      <c r="J161" s="37" t="n"/>
    </row>
    <row r="162">
      <c r="A162" s="36" t="n"/>
      <c r="B162" s="36" t="n"/>
      <c r="C162" s="37" t="n"/>
      <c r="D162" s="37" t="n"/>
      <c r="E162" s="37" t="n"/>
      <c r="F162" s="38" t="n"/>
      <c r="G162" s="39" t="n"/>
      <c r="H162" s="40">
        <f>IF(OR(F162="",G162=""),"",G162-F162)</f>
        <v/>
      </c>
      <c r="I162" s="37" t="n"/>
      <c r="J162" s="37" t="n"/>
    </row>
    <row r="163">
      <c r="A163" s="36" t="n"/>
      <c r="B163" s="36" t="n"/>
      <c r="C163" s="37" t="n"/>
      <c r="D163" s="37" t="n"/>
      <c r="E163" s="37" t="n"/>
      <c r="F163" s="38" t="n"/>
      <c r="G163" s="39" t="n"/>
      <c r="H163" s="40">
        <f>IF(OR(F163="",G163=""),"",G163-F163)</f>
        <v/>
      </c>
      <c r="I163" s="37" t="n"/>
      <c r="J163" s="37" t="n"/>
    </row>
    <row r="164">
      <c r="A164" s="36" t="n"/>
      <c r="B164" s="36" t="n"/>
      <c r="C164" s="37" t="n"/>
      <c r="D164" s="37" t="n"/>
      <c r="E164" s="37" t="n"/>
      <c r="F164" s="38" t="n"/>
      <c r="G164" s="39" t="n"/>
      <c r="H164" s="40">
        <f>IF(OR(F164="",G164=""),"",G164-F164)</f>
        <v/>
      </c>
      <c r="I164" s="37" t="n"/>
      <c r="J164" s="37" t="n"/>
    </row>
    <row r="165">
      <c r="A165" s="36" t="n"/>
      <c r="B165" s="36" t="n"/>
      <c r="C165" s="37" t="n"/>
      <c r="D165" s="37" t="n"/>
      <c r="E165" s="37" t="n"/>
      <c r="F165" s="38" t="n"/>
      <c r="G165" s="39" t="n"/>
      <c r="H165" s="40">
        <f>IF(OR(F165="",G165=""),"",G165-F165)</f>
        <v/>
      </c>
      <c r="I165" s="37" t="n"/>
      <c r="J165" s="37" t="n"/>
    </row>
    <row r="166">
      <c r="A166" s="36" t="n"/>
      <c r="B166" s="36" t="n"/>
      <c r="C166" s="37" t="n"/>
      <c r="D166" s="37" t="n"/>
      <c r="E166" s="37" t="n"/>
      <c r="F166" s="38" t="n"/>
      <c r="G166" s="39" t="n"/>
      <c r="H166" s="40">
        <f>IF(OR(F166="",G166=""),"",G166-F166)</f>
        <v/>
      </c>
      <c r="I166" s="37" t="n"/>
      <c r="J166" s="37" t="n"/>
    </row>
    <row r="167">
      <c r="A167" s="36" t="n"/>
      <c r="B167" s="36" t="n"/>
      <c r="C167" s="37" t="n"/>
      <c r="D167" s="37" t="n"/>
      <c r="E167" s="37" t="n"/>
      <c r="F167" s="38" t="n"/>
      <c r="G167" s="39" t="n"/>
      <c r="H167" s="40">
        <f>IF(OR(F167="",G167=""),"",G167-F167)</f>
        <v/>
      </c>
      <c r="I167" s="37" t="n"/>
      <c r="J167" s="37" t="n"/>
    </row>
    <row r="168">
      <c r="A168" s="36" t="n"/>
      <c r="B168" s="36" t="n"/>
      <c r="C168" s="37" t="n"/>
      <c r="D168" s="37" t="n"/>
      <c r="E168" s="37" t="n"/>
      <c r="F168" s="38" t="n"/>
      <c r="G168" s="39" t="n"/>
      <c r="H168" s="40">
        <f>IF(OR(F168="",G168=""),"",G168-F168)</f>
        <v/>
      </c>
      <c r="I168" s="37" t="n"/>
      <c r="J168" s="37" t="n"/>
    </row>
    <row r="169">
      <c r="A169" s="36" t="n"/>
      <c r="B169" s="36" t="n"/>
      <c r="C169" s="37" t="n"/>
      <c r="D169" s="37" t="n"/>
      <c r="E169" s="37" t="n"/>
      <c r="F169" s="38" t="n"/>
      <c r="G169" s="39" t="n"/>
      <c r="H169" s="40">
        <f>IF(OR(F169="",G169=""),"",G169-F169)</f>
        <v/>
      </c>
      <c r="I169" s="37" t="n"/>
      <c r="J169" s="37" t="n"/>
    </row>
    <row r="170">
      <c r="A170" s="36" t="n"/>
      <c r="B170" s="36" t="n"/>
      <c r="C170" s="37" t="n"/>
      <c r="D170" s="37" t="n"/>
      <c r="E170" s="37" t="n"/>
      <c r="F170" s="38" t="n"/>
      <c r="G170" s="39" t="n"/>
      <c r="H170" s="40">
        <f>IF(OR(F170="",G170=""),"",G170-F170)</f>
        <v/>
      </c>
      <c r="I170" s="37" t="n"/>
      <c r="J170" s="37" t="n"/>
    </row>
    <row r="171">
      <c r="A171" s="36" t="n"/>
      <c r="B171" s="36" t="n"/>
      <c r="C171" s="37" t="n"/>
      <c r="D171" s="37" t="n"/>
      <c r="E171" s="37" t="n"/>
      <c r="F171" s="38" t="n"/>
      <c r="G171" s="39" t="n"/>
      <c r="H171" s="40">
        <f>IF(OR(F171="",G171=""),"",G171-F171)</f>
        <v/>
      </c>
      <c r="I171" s="37" t="n"/>
      <c r="J171" s="37" t="n"/>
    </row>
    <row r="172">
      <c r="A172" s="36" t="n"/>
      <c r="B172" s="36" t="n"/>
      <c r="C172" s="37" t="n"/>
      <c r="D172" s="37" t="n"/>
      <c r="E172" s="37" t="n"/>
      <c r="F172" s="38" t="n"/>
      <c r="G172" s="39" t="n"/>
      <c r="H172" s="40">
        <f>IF(OR(F172="",G172=""),"",G172-F172)</f>
        <v/>
      </c>
      <c r="I172" s="37" t="n"/>
      <c r="J172" s="37" t="n"/>
    </row>
    <row r="173">
      <c r="A173" s="36" t="n"/>
      <c r="B173" s="36" t="n"/>
      <c r="C173" s="37" t="n"/>
      <c r="D173" s="37" t="n"/>
      <c r="E173" s="37" t="n"/>
      <c r="F173" s="38" t="n"/>
      <c r="G173" s="39" t="n"/>
      <c r="H173" s="40">
        <f>IF(OR(F173="",G173=""),"",G173-F173)</f>
        <v/>
      </c>
      <c r="I173" s="37" t="n"/>
      <c r="J173" s="37" t="n"/>
    </row>
    <row r="174">
      <c r="A174" s="36" t="n"/>
      <c r="B174" s="36" t="n"/>
      <c r="C174" s="37" t="n"/>
      <c r="D174" s="37" t="n"/>
      <c r="E174" s="37" t="n"/>
      <c r="F174" s="38" t="n"/>
      <c r="G174" s="39" t="n"/>
      <c r="H174" s="40">
        <f>IF(OR(F174="",G174=""),"",G174-F174)</f>
        <v/>
      </c>
      <c r="I174" s="37" t="n"/>
      <c r="J174" s="37" t="n"/>
    </row>
    <row r="175">
      <c r="A175" s="36" t="n"/>
      <c r="B175" s="36" t="n"/>
      <c r="C175" s="37" t="n"/>
      <c r="D175" s="37" t="n"/>
      <c r="E175" s="37" t="n"/>
      <c r="F175" s="38" t="n"/>
      <c r="G175" s="39" t="n"/>
      <c r="H175" s="40">
        <f>IF(OR(F175="",G175=""),"",G175-F175)</f>
        <v/>
      </c>
      <c r="I175" s="37" t="n"/>
      <c r="J175" s="37" t="n"/>
    </row>
    <row r="176">
      <c r="A176" s="36" t="n"/>
      <c r="B176" s="36" t="n"/>
      <c r="C176" s="37" t="n"/>
      <c r="D176" s="37" t="n"/>
      <c r="E176" s="37" t="n"/>
      <c r="F176" s="38" t="n"/>
      <c r="G176" s="39" t="n"/>
      <c r="H176" s="40">
        <f>IF(OR(F176="",G176=""),"",G176-F176)</f>
        <v/>
      </c>
      <c r="I176" s="37" t="n"/>
      <c r="J176" s="37" t="n"/>
    </row>
    <row r="177">
      <c r="A177" s="36" t="n"/>
      <c r="B177" s="36" t="n"/>
      <c r="C177" s="37" t="n"/>
      <c r="D177" s="37" t="n"/>
      <c r="E177" s="37" t="n"/>
      <c r="F177" s="38" t="n"/>
      <c r="G177" s="39" t="n"/>
      <c r="H177" s="40">
        <f>IF(OR(F177="",G177=""),"",G177-F177)</f>
        <v/>
      </c>
      <c r="I177" s="37" t="n"/>
      <c r="J177" s="37" t="n"/>
    </row>
    <row r="178">
      <c r="A178" s="36" t="n"/>
      <c r="B178" s="36" t="n"/>
      <c r="C178" s="37" t="n"/>
      <c r="D178" s="37" t="n"/>
      <c r="E178" s="37" t="n"/>
      <c r="F178" s="38" t="n"/>
      <c r="G178" s="39" t="n"/>
      <c r="H178" s="40">
        <f>IF(OR(F178="",G178=""),"",G178-F178)</f>
        <v/>
      </c>
      <c r="I178" s="37" t="n"/>
      <c r="J178" s="37" t="n"/>
    </row>
    <row r="179">
      <c r="A179" s="36" t="n"/>
      <c r="B179" s="36" t="n"/>
      <c r="C179" s="37" t="n"/>
      <c r="D179" s="37" t="n"/>
      <c r="E179" s="37" t="n"/>
      <c r="F179" s="38" t="n"/>
      <c r="G179" s="39" t="n"/>
      <c r="H179" s="40">
        <f>IF(OR(F179="",G179=""),"",G179-F179)</f>
        <v/>
      </c>
      <c r="I179" s="37" t="n"/>
      <c r="J179" s="37" t="n"/>
    </row>
    <row r="180">
      <c r="A180" s="36" t="n"/>
      <c r="B180" s="36" t="n"/>
      <c r="C180" s="37" t="n"/>
      <c r="D180" s="37" t="n"/>
      <c r="E180" s="37" t="n"/>
      <c r="F180" s="38" t="n"/>
      <c r="G180" s="39" t="n"/>
      <c r="H180" s="40">
        <f>IF(OR(F180="",G180=""),"",G180-F180)</f>
        <v/>
      </c>
      <c r="I180" s="37" t="n"/>
      <c r="J180" s="37" t="n"/>
    </row>
    <row r="181">
      <c r="A181" s="36" t="n"/>
      <c r="B181" s="36" t="n"/>
      <c r="C181" s="37" t="n"/>
      <c r="D181" s="37" t="n"/>
      <c r="E181" s="37" t="n"/>
      <c r="F181" s="38" t="n"/>
      <c r="G181" s="39" t="n"/>
      <c r="H181" s="40">
        <f>IF(OR(F181="",G181=""),"",G181-F181)</f>
        <v/>
      </c>
      <c r="I181" s="37" t="n"/>
      <c r="J181" s="37" t="n"/>
    </row>
    <row r="182">
      <c r="A182" s="36" t="n"/>
      <c r="B182" s="36" t="n"/>
      <c r="C182" s="37" t="n"/>
      <c r="D182" s="37" t="n"/>
      <c r="E182" s="37" t="n"/>
      <c r="F182" s="38" t="n"/>
      <c r="G182" s="39" t="n"/>
      <c r="H182" s="40">
        <f>IF(OR(F182="",G182=""),"",G182-F182)</f>
        <v/>
      </c>
      <c r="I182" s="37" t="n"/>
      <c r="J182" s="37" t="n"/>
    </row>
    <row r="183">
      <c r="A183" s="36" t="n"/>
      <c r="B183" s="36" t="n"/>
      <c r="C183" s="37" t="n"/>
      <c r="D183" s="37" t="n"/>
      <c r="E183" s="37" t="n"/>
      <c r="F183" s="38" t="n"/>
      <c r="G183" s="39" t="n"/>
      <c r="H183" s="40">
        <f>IF(OR(F183="",G183=""),"",G183-F183)</f>
        <v/>
      </c>
      <c r="I183" s="37" t="n"/>
      <c r="J183" s="37" t="n"/>
    </row>
    <row r="184">
      <c r="A184" s="36" t="n"/>
      <c r="B184" s="36" t="n"/>
      <c r="C184" s="37" t="n"/>
      <c r="D184" s="37" t="n"/>
      <c r="E184" s="37" t="n"/>
      <c r="F184" s="38" t="n"/>
      <c r="G184" s="39" t="n"/>
      <c r="H184" s="40">
        <f>IF(OR(F184="",G184=""),"",G184-F184)</f>
        <v/>
      </c>
      <c r="I184" s="37" t="n"/>
      <c r="J184" s="37" t="n"/>
    </row>
    <row r="185">
      <c r="A185" s="36" t="n"/>
      <c r="B185" s="36" t="n"/>
      <c r="C185" s="37" t="n"/>
      <c r="D185" s="37" t="n"/>
      <c r="E185" s="37" t="n"/>
      <c r="F185" s="38" t="n"/>
      <c r="G185" s="39" t="n"/>
      <c r="H185" s="40">
        <f>IF(OR(F185="",G185=""),"",G185-F185)</f>
        <v/>
      </c>
      <c r="I185" s="37" t="n"/>
      <c r="J185" s="37" t="n"/>
    </row>
    <row r="186">
      <c r="A186" s="36" t="n"/>
      <c r="B186" s="36" t="n"/>
      <c r="C186" s="37" t="n"/>
      <c r="D186" s="37" t="n"/>
      <c r="E186" s="37" t="n"/>
      <c r="F186" s="38" t="n"/>
      <c r="G186" s="39" t="n"/>
      <c r="H186" s="40">
        <f>IF(OR(F186="",G186=""),"",G186-F186)</f>
        <v/>
      </c>
      <c r="I186" s="37" t="n"/>
      <c r="J186" s="37" t="n"/>
    </row>
    <row r="187">
      <c r="A187" s="36" t="n"/>
      <c r="B187" s="36" t="n"/>
      <c r="C187" s="37" t="n"/>
      <c r="D187" s="37" t="n"/>
      <c r="E187" s="37" t="n"/>
      <c r="F187" s="38" t="n"/>
      <c r="G187" s="39" t="n"/>
      <c r="H187" s="40">
        <f>IF(OR(F187="",G187=""),"",G187-F187)</f>
        <v/>
      </c>
      <c r="I187" s="37" t="n"/>
      <c r="J187" s="37" t="n"/>
    </row>
    <row r="188">
      <c r="A188" s="36" t="n"/>
      <c r="B188" s="36" t="n"/>
      <c r="C188" s="37" t="n"/>
      <c r="D188" s="37" t="n"/>
      <c r="E188" s="37" t="n"/>
      <c r="F188" s="38" t="n"/>
      <c r="G188" s="39" t="n"/>
      <c r="H188" s="40">
        <f>IF(OR(F188="",G188=""),"",G188-F188)</f>
        <v/>
      </c>
      <c r="I188" s="37" t="n"/>
      <c r="J188" s="37" t="n"/>
    </row>
    <row r="189">
      <c r="A189" s="36" t="n"/>
      <c r="B189" s="36" t="n"/>
      <c r="C189" s="37" t="n"/>
      <c r="D189" s="37" t="n"/>
      <c r="E189" s="37" t="n"/>
      <c r="F189" s="38" t="n"/>
      <c r="G189" s="39" t="n"/>
      <c r="H189" s="40">
        <f>IF(OR(F189="",G189=""),"",G189-F189)</f>
        <v/>
      </c>
      <c r="I189" s="37" t="n"/>
      <c r="J189" s="37" t="n"/>
    </row>
    <row r="190">
      <c r="A190" s="36" t="n"/>
      <c r="B190" s="36" t="n"/>
      <c r="C190" s="37" t="n"/>
      <c r="D190" s="37" t="n"/>
      <c r="E190" s="37" t="n"/>
      <c r="F190" s="38" t="n"/>
      <c r="G190" s="39" t="n"/>
      <c r="H190" s="40">
        <f>IF(OR(F190="",G190=""),"",G190-F190)</f>
        <v/>
      </c>
      <c r="I190" s="37" t="n"/>
      <c r="J190" s="37" t="n"/>
    </row>
    <row r="191">
      <c r="A191" s="36" t="n"/>
      <c r="B191" s="36" t="n"/>
      <c r="C191" s="37" t="n"/>
      <c r="D191" s="37" t="n"/>
      <c r="E191" s="37" t="n"/>
      <c r="F191" s="38" t="n"/>
      <c r="G191" s="39" t="n"/>
      <c r="H191" s="40">
        <f>IF(OR(F191="",G191=""),"",G191-F191)</f>
        <v/>
      </c>
      <c r="I191" s="37" t="n"/>
      <c r="J191" s="37" t="n"/>
    </row>
    <row r="192">
      <c r="A192" s="36" t="n"/>
      <c r="B192" s="36" t="n"/>
      <c r="C192" s="37" t="n"/>
      <c r="D192" s="37" t="n"/>
      <c r="E192" s="37" t="n"/>
      <c r="F192" s="38" t="n"/>
      <c r="G192" s="39" t="n"/>
      <c r="H192" s="40">
        <f>IF(OR(F192="",G192=""),"",G192-F192)</f>
        <v/>
      </c>
      <c r="I192" s="37" t="n"/>
      <c r="J192" s="37" t="n"/>
    </row>
    <row r="193">
      <c r="A193" s="36" t="n"/>
      <c r="B193" s="36" t="n"/>
      <c r="C193" s="37" t="n"/>
      <c r="D193" s="37" t="n"/>
      <c r="E193" s="37" t="n"/>
      <c r="F193" s="38" t="n"/>
      <c r="G193" s="39" t="n"/>
      <c r="H193" s="40">
        <f>IF(OR(F193="",G193=""),"",G193-F193)</f>
        <v/>
      </c>
      <c r="I193" s="37" t="n"/>
      <c r="J193" s="37" t="n"/>
    </row>
    <row r="194">
      <c r="A194" s="36" t="n"/>
      <c r="B194" s="36" t="n"/>
      <c r="C194" s="37" t="n"/>
      <c r="D194" s="37" t="n"/>
      <c r="E194" s="37" t="n"/>
      <c r="F194" s="38" t="n"/>
      <c r="G194" s="39" t="n"/>
      <c r="H194" s="40">
        <f>IF(OR(F194="",G194=""),"",G194-F194)</f>
        <v/>
      </c>
      <c r="I194" s="37" t="n"/>
      <c r="J194" s="37" t="n"/>
    </row>
    <row r="195">
      <c r="A195" s="36" t="n"/>
      <c r="B195" s="36" t="n"/>
      <c r="C195" s="37" t="n"/>
      <c r="D195" s="37" t="n"/>
      <c r="E195" s="37" t="n"/>
      <c r="F195" s="38" t="n"/>
      <c r="G195" s="39" t="n"/>
      <c r="H195" s="40">
        <f>IF(OR(F195="",G195=""),"",G195-F195)</f>
        <v/>
      </c>
      <c r="I195" s="37" t="n"/>
      <c r="J195" s="37" t="n"/>
    </row>
    <row r="196">
      <c r="A196" s="36" t="n"/>
      <c r="B196" s="36" t="n"/>
      <c r="C196" s="37" t="n"/>
      <c r="D196" s="37" t="n"/>
      <c r="E196" s="37" t="n"/>
      <c r="F196" s="38" t="n"/>
      <c r="G196" s="39" t="n"/>
      <c r="H196" s="40">
        <f>IF(OR(F196="",G196=""),"",G196-F196)</f>
        <v/>
      </c>
      <c r="I196" s="37" t="n"/>
      <c r="J196" s="37" t="n"/>
    </row>
    <row r="197">
      <c r="A197" s="36" t="n"/>
      <c r="B197" s="36" t="n"/>
      <c r="C197" s="37" t="n"/>
      <c r="D197" s="37" t="n"/>
      <c r="E197" s="37" t="n"/>
      <c r="F197" s="38" t="n"/>
      <c r="G197" s="39" t="n"/>
      <c r="H197" s="40">
        <f>IF(OR(F197="",G197=""),"",G197-F197)</f>
        <v/>
      </c>
      <c r="I197" s="37" t="n"/>
      <c r="J197" s="37" t="n"/>
    </row>
    <row r="198">
      <c r="A198" s="36" t="n"/>
      <c r="B198" s="36" t="n"/>
      <c r="C198" s="37" t="n"/>
      <c r="D198" s="37" t="n"/>
      <c r="E198" s="37" t="n"/>
      <c r="F198" s="38" t="n"/>
      <c r="G198" s="39" t="n"/>
      <c r="H198" s="40">
        <f>IF(OR(F198="",G198=""),"",G198-F198)</f>
        <v/>
      </c>
      <c r="I198" s="37" t="n"/>
      <c r="J198" s="37" t="n"/>
    </row>
    <row r="199">
      <c r="A199" s="36" t="n"/>
      <c r="B199" s="36" t="n"/>
      <c r="C199" s="37" t="n"/>
      <c r="D199" s="37" t="n"/>
      <c r="E199" s="37" t="n"/>
      <c r="F199" s="38" t="n"/>
      <c r="G199" s="39" t="n"/>
      <c r="H199" s="40">
        <f>IF(OR(F199="",G199=""),"",G199-F199)</f>
        <v/>
      </c>
      <c r="I199" s="37" t="n"/>
      <c r="J199" s="37" t="n"/>
    </row>
    <row r="200">
      <c r="A200" s="36" t="n"/>
      <c r="B200" s="36" t="n"/>
      <c r="C200" s="37" t="n"/>
      <c r="D200" s="37" t="n"/>
      <c r="E200" s="37" t="n"/>
      <c r="F200" s="38" t="n"/>
      <c r="G200" s="39" t="n"/>
      <c r="H200" s="40">
        <f>IF(OR(F200="",G200=""),"",G200-F200)</f>
        <v/>
      </c>
      <c r="I200" s="37" t="n"/>
      <c r="J200" s="37" t="n"/>
    </row>
    <row r="201">
      <c r="A201" s="36" t="n"/>
      <c r="B201" s="36" t="n"/>
      <c r="C201" s="37" t="n"/>
      <c r="D201" s="37" t="n"/>
      <c r="E201" s="37" t="n"/>
      <c r="F201" s="38" t="n"/>
      <c r="G201" s="39" t="n"/>
      <c r="H201" s="40">
        <f>IF(OR(F201="",G201=""),"",G201-F201)</f>
        <v/>
      </c>
      <c r="I201" s="37" t="n"/>
      <c r="J201" s="37" t="n"/>
    </row>
    <row r="202">
      <c r="A202" s="36" t="n"/>
      <c r="B202" s="36" t="n"/>
      <c r="C202" s="37" t="n"/>
      <c r="D202" s="37" t="n"/>
      <c r="E202" s="37" t="n"/>
      <c r="F202" s="38" t="n"/>
      <c r="G202" s="39" t="n"/>
      <c r="H202" s="40">
        <f>IF(OR(F202="",G202=""),"",G202-F202)</f>
        <v/>
      </c>
      <c r="I202" s="37" t="n"/>
      <c r="J202" s="37" t="n"/>
    </row>
    <row r="203">
      <c r="A203" s="36" t="n"/>
      <c r="B203" s="36" t="n"/>
      <c r="C203" s="37" t="n"/>
      <c r="D203" s="37" t="n"/>
      <c r="E203" s="37" t="n"/>
      <c r="F203" s="38" t="n"/>
      <c r="G203" s="39" t="n"/>
      <c r="H203" s="40">
        <f>IF(OR(F203="",G203=""),"",G203-F203)</f>
        <v/>
      </c>
      <c r="I203" s="37" t="n"/>
      <c r="J203" s="37" t="n"/>
    </row>
    <row r="204">
      <c r="A204" s="36" t="n"/>
      <c r="B204" s="36" t="n"/>
      <c r="C204" s="37" t="n"/>
      <c r="D204" s="37" t="n"/>
      <c r="E204" s="37" t="n"/>
      <c r="F204" s="38" t="n"/>
      <c r="G204" s="39" t="n"/>
      <c r="H204" s="40">
        <f>IF(OR(F204="",G204=""),"",G204-F204)</f>
        <v/>
      </c>
      <c r="I204" s="37" t="n"/>
      <c r="J204" s="37" t="n"/>
    </row>
    <row r="205">
      <c r="A205" s="36" t="n"/>
      <c r="B205" s="36" t="n"/>
      <c r="C205" s="37" t="n"/>
      <c r="D205" s="37" t="n"/>
      <c r="E205" s="37" t="n"/>
      <c r="F205" s="38" t="n"/>
      <c r="G205" s="39" t="n"/>
      <c r="H205" s="40">
        <f>IF(OR(F205="",G205=""),"",G205-F205)</f>
        <v/>
      </c>
      <c r="I205" s="37" t="n"/>
      <c r="J205" s="37" t="n"/>
    </row>
    <row r="206">
      <c r="A206" s="36" t="n"/>
      <c r="B206" s="36" t="n"/>
      <c r="C206" s="37" t="n"/>
      <c r="D206" s="37" t="n"/>
      <c r="E206" s="37" t="n"/>
      <c r="F206" s="38" t="n"/>
      <c r="G206" s="39" t="n"/>
      <c r="H206" s="40">
        <f>IF(OR(F206="",G206=""),"",G206-F206)</f>
        <v/>
      </c>
      <c r="I206" s="37" t="n"/>
      <c r="J206" s="37" t="n"/>
    </row>
    <row r="207">
      <c r="A207" s="36" t="n"/>
      <c r="B207" s="36" t="n"/>
      <c r="C207" s="37" t="n"/>
      <c r="D207" s="37" t="n"/>
      <c r="E207" s="37" t="n"/>
      <c r="F207" s="38" t="n"/>
      <c r="G207" s="39" t="n"/>
      <c r="H207" s="40">
        <f>IF(OR(F207="",G207=""),"",G207-F207)</f>
        <v/>
      </c>
      <c r="I207" s="37" t="n"/>
      <c r="J207" s="37" t="n"/>
    </row>
    <row r="208">
      <c r="A208" s="36" t="n"/>
      <c r="B208" s="36" t="n"/>
      <c r="C208" s="37" t="n"/>
      <c r="D208" s="37" t="n"/>
      <c r="E208" s="37" t="n"/>
      <c r="F208" s="38" t="n"/>
      <c r="G208" s="39" t="n"/>
      <c r="H208" s="40">
        <f>IF(OR(F208="",G208=""),"",G208-F208)</f>
        <v/>
      </c>
      <c r="I208" s="37" t="n"/>
      <c r="J208" s="37" t="n"/>
    </row>
    <row r="209">
      <c r="A209" s="36" t="n"/>
      <c r="B209" s="36" t="n"/>
      <c r="C209" s="37" t="n"/>
      <c r="D209" s="37" t="n"/>
      <c r="E209" s="37" t="n"/>
      <c r="F209" s="38" t="n"/>
      <c r="G209" s="39" t="n"/>
      <c r="H209" s="40">
        <f>IF(OR(F209="",G209=""),"",G209-F209)</f>
        <v/>
      </c>
      <c r="I209" s="37" t="n"/>
      <c r="J209" s="37" t="n"/>
    </row>
    <row r="210">
      <c r="A210" s="36" t="n"/>
      <c r="B210" s="36" t="n"/>
      <c r="C210" s="37" t="n"/>
      <c r="D210" s="37" t="n"/>
      <c r="E210" s="37" t="n"/>
      <c r="F210" s="38" t="n"/>
      <c r="G210" s="39" t="n"/>
      <c r="H210" s="40">
        <f>IF(OR(F210="",G210=""),"",G210-F210)</f>
        <v/>
      </c>
      <c r="I210" s="37" t="n"/>
      <c r="J210" s="37" t="n"/>
    </row>
    <row r="211">
      <c r="A211" s="36" t="n"/>
      <c r="B211" s="36" t="n"/>
      <c r="C211" s="37" t="n"/>
      <c r="D211" s="37" t="n"/>
      <c r="E211" s="37" t="n"/>
      <c r="F211" s="38" t="n"/>
      <c r="G211" s="39" t="n"/>
      <c r="H211" s="40">
        <f>IF(OR(F211="",G211=""),"",G211-F211)</f>
        <v/>
      </c>
      <c r="I211" s="37" t="n"/>
      <c r="J211" s="37" t="n"/>
    </row>
    <row r="212">
      <c r="A212" s="36" t="n"/>
      <c r="B212" s="36" t="n"/>
      <c r="C212" s="37" t="n"/>
      <c r="D212" s="37" t="n"/>
      <c r="E212" s="37" t="n"/>
      <c r="F212" s="38" t="n"/>
      <c r="G212" s="39" t="n"/>
      <c r="H212" s="40">
        <f>IF(OR(F212="",G212=""),"",G212-F212)</f>
        <v/>
      </c>
      <c r="I212" s="37" t="n"/>
      <c r="J212" s="37" t="n"/>
    </row>
    <row r="213">
      <c r="A213" s="36" t="n"/>
      <c r="B213" s="36" t="n"/>
      <c r="C213" s="37" t="n"/>
      <c r="D213" s="37" t="n"/>
      <c r="E213" s="37" t="n"/>
      <c r="F213" s="38" t="n"/>
      <c r="G213" s="39" t="n"/>
      <c r="H213" s="40">
        <f>IF(OR(F213="",G213=""),"",G213-F213)</f>
        <v/>
      </c>
      <c r="I213" s="37" t="n"/>
      <c r="J213" s="37" t="n"/>
    </row>
    <row r="214">
      <c r="A214" s="36" t="n"/>
      <c r="B214" s="36" t="n"/>
      <c r="C214" s="37" t="n"/>
      <c r="D214" s="37" t="n"/>
      <c r="E214" s="37" t="n"/>
      <c r="F214" s="38" t="n"/>
      <c r="G214" s="39" t="n"/>
      <c r="H214" s="40">
        <f>IF(OR(F214="",G214=""),"",G214-F214)</f>
        <v/>
      </c>
      <c r="I214" s="37" t="n"/>
      <c r="J214" s="37" t="n"/>
    </row>
    <row r="215">
      <c r="A215" s="36" t="n"/>
      <c r="B215" s="36" t="n"/>
      <c r="C215" s="37" t="n"/>
      <c r="D215" s="37" t="n"/>
      <c r="E215" s="37" t="n"/>
      <c r="F215" s="38" t="n"/>
      <c r="G215" s="39" t="n"/>
      <c r="H215" s="40">
        <f>IF(OR(F215="",G215=""),"",G215-F215)</f>
        <v/>
      </c>
      <c r="I215" s="37" t="n"/>
      <c r="J215" s="37" t="n"/>
    </row>
    <row r="216">
      <c r="A216" s="36" t="n"/>
      <c r="B216" s="36" t="n"/>
      <c r="C216" s="37" t="n"/>
      <c r="D216" s="37" t="n"/>
      <c r="E216" s="37" t="n"/>
      <c r="F216" s="38" t="n"/>
      <c r="G216" s="39" t="n"/>
      <c r="H216" s="40">
        <f>IF(OR(F216="",G216=""),"",G216-F216)</f>
        <v/>
      </c>
      <c r="I216" s="37" t="n"/>
      <c r="J216" s="37" t="n"/>
    </row>
    <row r="217">
      <c r="A217" s="36" t="n"/>
      <c r="B217" s="36" t="n"/>
      <c r="C217" s="37" t="n"/>
      <c r="D217" s="37" t="n"/>
      <c r="E217" s="37" t="n"/>
      <c r="F217" s="38" t="n"/>
      <c r="G217" s="39" t="n"/>
      <c r="H217" s="40">
        <f>IF(OR(F217="",G217=""),"",G217-F217)</f>
        <v/>
      </c>
      <c r="I217" s="37" t="n"/>
      <c r="J217" s="37" t="n"/>
    </row>
    <row r="218">
      <c r="A218" s="36" t="n"/>
      <c r="B218" s="36" t="n"/>
      <c r="C218" s="37" t="n"/>
      <c r="D218" s="37" t="n"/>
      <c r="E218" s="37" t="n"/>
      <c r="F218" s="38" t="n"/>
      <c r="G218" s="39" t="n"/>
      <c r="H218" s="40">
        <f>IF(OR(F218="",G218=""),"",G218-F218)</f>
        <v/>
      </c>
      <c r="I218" s="37" t="n"/>
      <c r="J218" s="37" t="n"/>
    </row>
    <row r="219">
      <c r="A219" s="36" t="n"/>
      <c r="B219" s="36" t="n"/>
      <c r="C219" s="37" t="n"/>
      <c r="D219" s="37" t="n"/>
      <c r="E219" s="37" t="n"/>
      <c r="F219" s="38" t="n"/>
      <c r="G219" s="39" t="n"/>
      <c r="H219" s="40">
        <f>IF(OR(F219="",G219=""),"",G219-F219)</f>
        <v/>
      </c>
      <c r="I219" s="37" t="n"/>
      <c r="J219" s="37" t="n"/>
    </row>
    <row r="220">
      <c r="A220" s="36" t="n"/>
      <c r="B220" s="36" t="n"/>
      <c r="C220" s="37" t="n"/>
      <c r="D220" s="37" t="n"/>
      <c r="E220" s="37" t="n"/>
      <c r="F220" s="38" t="n"/>
      <c r="G220" s="39" t="n"/>
      <c r="H220" s="40">
        <f>IF(OR(F220="",G220=""),"",G220-F220)</f>
        <v/>
      </c>
      <c r="I220" s="37" t="n"/>
      <c r="J220" s="37" t="n"/>
    </row>
    <row r="221">
      <c r="A221" s="36" t="n"/>
      <c r="B221" s="36" t="n"/>
      <c r="C221" s="37" t="n"/>
      <c r="D221" s="37" t="n"/>
      <c r="E221" s="37" t="n"/>
      <c r="F221" s="38" t="n"/>
      <c r="G221" s="39" t="n"/>
      <c r="H221" s="40">
        <f>IF(OR(F221="",G221=""),"",G221-F221)</f>
        <v/>
      </c>
      <c r="I221" s="37" t="n"/>
      <c r="J221" s="37" t="n"/>
    </row>
    <row r="222">
      <c r="A222" s="36" t="n"/>
      <c r="B222" s="36" t="n"/>
      <c r="C222" s="37" t="n"/>
      <c r="D222" s="37" t="n"/>
      <c r="E222" s="37" t="n"/>
      <c r="F222" s="38" t="n"/>
      <c r="G222" s="39" t="n"/>
      <c r="H222" s="40">
        <f>IF(OR(F222="",G222=""),"",G222-F222)</f>
        <v/>
      </c>
      <c r="I222" s="37" t="n"/>
      <c r="J222" s="37" t="n"/>
    </row>
    <row r="223">
      <c r="A223" s="36" t="n"/>
      <c r="B223" s="36" t="n"/>
      <c r="C223" s="37" t="n"/>
      <c r="D223" s="37" t="n"/>
      <c r="E223" s="37" t="n"/>
      <c r="F223" s="38" t="n"/>
      <c r="G223" s="39" t="n"/>
      <c r="H223" s="40">
        <f>IF(OR(F223="",G223=""),"",G223-F223)</f>
        <v/>
      </c>
      <c r="I223" s="37" t="n"/>
      <c r="J223" s="37" t="n"/>
    </row>
    <row r="224">
      <c r="A224" s="36" t="n"/>
      <c r="B224" s="36" t="n"/>
      <c r="C224" s="37" t="n"/>
      <c r="D224" s="37" t="n"/>
      <c r="E224" s="37" t="n"/>
      <c r="F224" s="38" t="n"/>
      <c r="G224" s="39" t="n"/>
      <c r="H224" s="40">
        <f>IF(OR(F224="",G224=""),"",G224-F224)</f>
        <v/>
      </c>
      <c r="I224" s="37" t="n"/>
      <c r="J224" s="37" t="n"/>
    </row>
    <row r="225">
      <c r="A225" s="36" t="n"/>
      <c r="B225" s="36" t="n"/>
      <c r="C225" s="37" t="n"/>
      <c r="D225" s="37" t="n"/>
      <c r="E225" s="37" t="n"/>
      <c r="F225" s="38" t="n"/>
      <c r="G225" s="39" t="n"/>
      <c r="H225" s="40">
        <f>IF(OR(F225="",G225=""),"",G225-F225)</f>
        <v/>
      </c>
      <c r="I225" s="37" t="n"/>
      <c r="J225" s="37" t="n"/>
    </row>
    <row r="226">
      <c r="A226" s="36" t="n"/>
      <c r="B226" s="36" t="n"/>
      <c r="C226" s="37" t="n"/>
      <c r="D226" s="37" t="n"/>
      <c r="E226" s="37" t="n"/>
      <c r="F226" s="38" t="n"/>
      <c r="G226" s="39" t="n"/>
      <c r="H226" s="40">
        <f>IF(OR(F226="",G226=""),"",G226-F226)</f>
        <v/>
      </c>
      <c r="I226" s="37" t="n"/>
      <c r="J226" s="37" t="n"/>
    </row>
    <row r="227">
      <c r="A227" s="36" t="n"/>
      <c r="B227" s="36" t="n"/>
      <c r="C227" s="37" t="n"/>
      <c r="D227" s="37" t="n"/>
      <c r="E227" s="37" t="n"/>
      <c r="F227" s="38" t="n"/>
      <c r="G227" s="39" t="n"/>
      <c r="H227" s="40">
        <f>IF(OR(F227="",G227=""),"",G227-F227)</f>
        <v/>
      </c>
      <c r="I227" s="37" t="n"/>
      <c r="J227" s="37" t="n"/>
    </row>
    <row r="228">
      <c r="A228" s="36" t="n"/>
      <c r="B228" s="36" t="n"/>
      <c r="C228" s="37" t="n"/>
      <c r="D228" s="37" t="n"/>
      <c r="E228" s="37" t="n"/>
      <c r="F228" s="38" t="n"/>
      <c r="G228" s="39" t="n"/>
      <c r="H228" s="40">
        <f>IF(OR(F228="",G228=""),"",G228-F228)</f>
        <v/>
      </c>
      <c r="I228" s="37" t="n"/>
      <c r="J228" s="37" t="n"/>
    </row>
    <row r="229">
      <c r="A229" s="36" t="n"/>
      <c r="B229" s="36" t="n"/>
      <c r="C229" s="37" t="n"/>
      <c r="D229" s="37" t="n"/>
      <c r="E229" s="37" t="n"/>
      <c r="F229" s="38" t="n"/>
      <c r="G229" s="39" t="n"/>
      <c r="H229" s="40">
        <f>IF(OR(F229="",G229=""),"",G229-F229)</f>
        <v/>
      </c>
      <c r="I229" s="37" t="n"/>
      <c r="J229" s="37" t="n"/>
    </row>
    <row r="230">
      <c r="A230" s="36" t="n"/>
      <c r="B230" s="36" t="n"/>
      <c r="C230" s="37" t="n"/>
      <c r="D230" s="37" t="n"/>
      <c r="E230" s="37" t="n"/>
      <c r="F230" s="38" t="n"/>
      <c r="G230" s="39" t="n"/>
      <c r="H230" s="40">
        <f>IF(OR(F230="",G230=""),"",G230-F230)</f>
        <v/>
      </c>
      <c r="I230" s="37" t="n"/>
      <c r="J230" s="37" t="n"/>
    </row>
    <row r="231">
      <c r="A231" s="36" t="n"/>
      <c r="B231" s="36" t="n"/>
      <c r="C231" s="37" t="n"/>
      <c r="D231" s="37" t="n"/>
      <c r="E231" s="37" t="n"/>
      <c r="F231" s="38" t="n"/>
      <c r="G231" s="39" t="n"/>
      <c r="H231" s="40">
        <f>IF(OR(F231="",G231=""),"",G231-F231)</f>
        <v/>
      </c>
      <c r="I231" s="37" t="n"/>
      <c r="J231" s="37" t="n"/>
    </row>
    <row r="232">
      <c r="A232" s="36" t="n"/>
      <c r="B232" s="36" t="n"/>
      <c r="C232" s="37" t="n"/>
      <c r="D232" s="37" t="n"/>
      <c r="E232" s="37" t="n"/>
      <c r="F232" s="38" t="n"/>
      <c r="G232" s="39" t="n"/>
      <c r="H232" s="40">
        <f>IF(OR(F232="",G232=""),"",G232-F232)</f>
        <v/>
      </c>
      <c r="I232" s="37" t="n"/>
      <c r="J232" s="37" t="n"/>
    </row>
    <row r="233">
      <c r="A233" s="36" t="n"/>
      <c r="B233" s="36" t="n"/>
      <c r="C233" s="37" t="n"/>
      <c r="D233" s="37" t="n"/>
      <c r="E233" s="37" t="n"/>
      <c r="F233" s="38" t="n"/>
      <c r="G233" s="39" t="n"/>
      <c r="H233" s="40">
        <f>IF(OR(F233="",G233=""),"",G233-F233)</f>
        <v/>
      </c>
      <c r="I233" s="37" t="n"/>
      <c r="J233" s="37" t="n"/>
    </row>
    <row r="234">
      <c r="A234" s="36" t="n"/>
      <c r="B234" s="36" t="n"/>
      <c r="C234" s="37" t="n"/>
      <c r="D234" s="37" t="n"/>
      <c r="E234" s="37" t="n"/>
      <c r="F234" s="38" t="n"/>
      <c r="G234" s="39" t="n"/>
      <c r="H234" s="40">
        <f>IF(OR(F234="",G234=""),"",G234-F234)</f>
        <v/>
      </c>
      <c r="I234" s="37" t="n"/>
      <c r="J234" s="37" t="n"/>
    </row>
    <row r="235">
      <c r="A235" s="36" t="n"/>
      <c r="B235" s="36" t="n"/>
      <c r="C235" s="37" t="n"/>
      <c r="D235" s="37" t="n"/>
      <c r="E235" s="37" t="n"/>
      <c r="F235" s="38" t="n"/>
      <c r="G235" s="39" t="n"/>
      <c r="H235" s="40">
        <f>IF(OR(F235="",G235=""),"",G235-F235)</f>
        <v/>
      </c>
      <c r="I235" s="37" t="n"/>
      <c r="J235" s="37" t="n"/>
    </row>
    <row r="236">
      <c r="A236" s="36" t="n"/>
      <c r="B236" s="36" t="n"/>
      <c r="C236" s="37" t="n"/>
      <c r="D236" s="37" t="n"/>
      <c r="E236" s="37" t="n"/>
      <c r="F236" s="38" t="n"/>
      <c r="G236" s="39" t="n"/>
      <c r="H236" s="40">
        <f>IF(OR(F236="",G236=""),"",G236-F236)</f>
        <v/>
      </c>
      <c r="I236" s="37" t="n"/>
      <c r="J236" s="37" t="n"/>
    </row>
    <row r="237">
      <c r="A237" s="36" t="n"/>
      <c r="B237" s="36" t="n"/>
      <c r="C237" s="37" t="n"/>
      <c r="D237" s="37" t="n"/>
      <c r="E237" s="37" t="n"/>
      <c r="F237" s="38" t="n"/>
      <c r="G237" s="39" t="n"/>
      <c r="H237" s="40">
        <f>IF(OR(F237="",G237=""),"",G237-F237)</f>
        <v/>
      </c>
      <c r="I237" s="37" t="n"/>
      <c r="J237" s="37" t="n"/>
    </row>
    <row r="238">
      <c r="A238" s="36" t="n"/>
      <c r="B238" s="36" t="n"/>
      <c r="C238" s="37" t="n"/>
      <c r="D238" s="37" t="n"/>
      <c r="E238" s="37" t="n"/>
      <c r="F238" s="38" t="n"/>
      <c r="G238" s="39" t="n"/>
      <c r="H238" s="40">
        <f>IF(OR(F238="",G238=""),"",G238-F238)</f>
        <v/>
      </c>
      <c r="I238" s="37" t="n"/>
      <c r="J238" s="37" t="n"/>
    </row>
    <row r="239">
      <c r="A239" s="36" t="n"/>
      <c r="B239" s="36" t="n"/>
      <c r="C239" s="37" t="n"/>
      <c r="D239" s="37" t="n"/>
      <c r="E239" s="37" t="n"/>
      <c r="F239" s="38" t="n"/>
      <c r="G239" s="39" t="n"/>
      <c r="H239" s="40">
        <f>IF(OR(F239="",G239=""),"",G239-F239)</f>
        <v/>
      </c>
      <c r="I239" s="37" t="n"/>
      <c r="J239" s="37" t="n"/>
    </row>
    <row r="240">
      <c r="A240" s="36" t="n"/>
      <c r="B240" s="36" t="n"/>
      <c r="C240" s="37" t="n"/>
      <c r="D240" s="37" t="n"/>
      <c r="E240" s="37" t="n"/>
      <c r="F240" s="38" t="n"/>
      <c r="G240" s="39" t="n"/>
      <c r="H240" s="40">
        <f>IF(OR(F240="",G240=""),"",G240-F240)</f>
        <v/>
      </c>
      <c r="I240" s="37" t="n"/>
      <c r="J240" s="37" t="n"/>
    </row>
    <row r="241">
      <c r="A241" s="36" t="n"/>
      <c r="B241" s="36" t="n"/>
      <c r="C241" s="37" t="n"/>
      <c r="D241" s="37" t="n"/>
      <c r="E241" s="37" t="n"/>
      <c r="F241" s="38" t="n"/>
      <c r="G241" s="39" t="n"/>
      <c r="H241" s="40">
        <f>IF(OR(F241="",G241=""),"",G241-F241)</f>
        <v/>
      </c>
      <c r="I241" s="37" t="n"/>
      <c r="J241" s="37" t="n"/>
    </row>
    <row r="242">
      <c r="A242" s="36" t="n"/>
      <c r="B242" s="36" t="n"/>
      <c r="C242" s="37" t="n"/>
      <c r="D242" s="37" t="n"/>
      <c r="E242" s="37" t="n"/>
      <c r="F242" s="38" t="n"/>
      <c r="G242" s="39" t="n"/>
      <c r="H242" s="40">
        <f>IF(OR(F242="",G242=""),"",G242-F242)</f>
        <v/>
      </c>
      <c r="I242" s="37" t="n"/>
      <c r="J242" s="37" t="n"/>
    </row>
    <row r="243">
      <c r="A243" s="36" t="n"/>
      <c r="B243" s="36" t="n"/>
      <c r="C243" s="37" t="n"/>
      <c r="D243" s="37" t="n"/>
      <c r="E243" s="37" t="n"/>
      <c r="F243" s="38" t="n"/>
      <c r="G243" s="39" t="n"/>
      <c r="H243" s="40">
        <f>IF(OR(F243="",G243=""),"",G243-F243)</f>
        <v/>
      </c>
      <c r="I243" s="37" t="n"/>
      <c r="J243" s="37" t="n"/>
    </row>
    <row r="244">
      <c r="A244" s="36" t="n"/>
      <c r="B244" s="36" t="n"/>
      <c r="C244" s="37" t="n"/>
      <c r="D244" s="37" t="n"/>
      <c r="E244" s="37" t="n"/>
      <c r="F244" s="38" t="n"/>
      <c r="G244" s="39" t="n"/>
      <c r="H244" s="40">
        <f>IF(OR(F244="",G244=""),"",G244-F244)</f>
        <v/>
      </c>
      <c r="I244" s="37" t="n"/>
      <c r="J244" s="37" t="n"/>
    </row>
    <row r="245">
      <c r="A245" s="36" t="n"/>
      <c r="B245" s="36" t="n"/>
      <c r="C245" s="37" t="n"/>
      <c r="D245" s="37" t="n"/>
      <c r="E245" s="37" t="n"/>
      <c r="F245" s="38" t="n"/>
      <c r="G245" s="39" t="n"/>
      <c r="H245" s="40">
        <f>IF(OR(F245="",G245=""),"",G245-F245)</f>
        <v/>
      </c>
      <c r="I245" s="37" t="n"/>
      <c r="J245" s="37" t="n"/>
    </row>
    <row r="246">
      <c r="A246" s="36" t="n"/>
      <c r="B246" s="36" t="n"/>
      <c r="C246" s="37" t="n"/>
      <c r="D246" s="37" t="n"/>
      <c r="E246" s="37" t="n"/>
      <c r="F246" s="38" t="n"/>
      <c r="G246" s="39" t="n"/>
      <c r="H246" s="40">
        <f>IF(OR(F246="",G246=""),"",G246-F246)</f>
        <v/>
      </c>
      <c r="I246" s="37" t="n"/>
      <c r="J246" s="37" t="n"/>
    </row>
    <row r="247">
      <c r="A247" s="36" t="n"/>
      <c r="B247" s="36" t="n"/>
      <c r="C247" s="37" t="n"/>
      <c r="D247" s="37" t="n"/>
      <c r="E247" s="37" t="n"/>
      <c r="F247" s="38" t="n"/>
      <c r="G247" s="39" t="n"/>
      <c r="H247" s="40">
        <f>IF(OR(F247="",G247=""),"",G247-F247)</f>
        <v/>
      </c>
      <c r="I247" s="37" t="n"/>
      <c r="J247" s="37" t="n"/>
    </row>
    <row r="248">
      <c r="A248" s="36" t="n"/>
      <c r="B248" s="36" t="n"/>
      <c r="C248" s="37" t="n"/>
      <c r="D248" s="37" t="n"/>
      <c r="E248" s="37" t="n"/>
      <c r="F248" s="38" t="n"/>
      <c r="G248" s="39" t="n"/>
      <c r="H248" s="40">
        <f>IF(OR(F248="",G248=""),"",G248-F248)</f>
        <v/>
      </c>
      <c r="I248" s="37" t="n"/>
      <c r="J248" s="37" t="n"/>
    </row>
    <row r="249">
      <c r="A249" s="36" t="n"/>
      <c r="B249" s="36" t="n"/>
      <c r="C249" s="37" t="n"/>
      <c r="D249" s="37" t="n"/>
      <c r="E249" s="37" t="n"/>
      <c r="F249" s="38" t="n"/>
      <c r="G249" s="39" t="n"/>
      <c r="H249" s="40">
        <f>IF(OR(F249="",G249=""),"",G249-F249)</f>
        <v/>
      </c>
      <c r="I249" s="37" t="n"/>
      <c r="J249" s="37" t="n"/>
    </row>
    <row r="250">
      <c r="A250" s="36" t="n"/>
      <c r="B250" s="36" t="n"/>
      <c r="C250" s="37" t="n"/>
      <c r="D250" s="37" t="n"/>
      <c r="E250" s="37" t="n"/>
      <c r="F250" s="38" t="n"/>
      <c r="G250" s="39" t="n"/>
      <c r="H250" s="40">
        <f>IF(OR(F250="",G250=""),"",G250-F250)</f>
        <v/>
      </c>
      <c r="I250" s="37" t="n"/>
      <c r="J250" s="37" t="n"/>
    </row>
    <row r="251">
      <c r="A251" s="36" t="n"/>
      <c r="B251" s="36" t="n"/>
      <c r="C251" s="37" t="n"/>
      <c r="D251" s="37" t="n"/>
      <c r="E251" s="37" t="n"/>
      <c r="F251" s="38" t="n"/>
      <c r="G251" s="39" t="n"/>
      <c r="H251" s="40">
        <f>IF(OR(F251="",G251=""),"",G251-F251)</f>
        <v/>
      </c>
      <c r="I251" s="37" t="n"/>
      <c r="J251" s="37" t="n"/>
    </row>
    <row r="252">
      <c r="A252" s="36" t="n"/>
      <c r="B252" s="36" t="n"/>
      <c r="C252" s="37" t="n"/>
      <c r="D252" s="37" t="n"/>
      <c r="E252" s="37" t="n"/>
      <c r="F252" s="38" t="n"/>
      <c r="G252" s="39" t="n"/>
      <c r="H252" s="40">
        <f>IF(OR(F252="",G252=""),"",G252-F252)</f>
        <v/>
      </c>
      <c r="I252" s="37" t="n"/>
      <c r="J252" s="37" t="n"/>
    </row>
    <row r="253">
      <c r="A253" s="36" t="n"/>
      <c r="B253" s="36" t="n"/>
      <c r="C253" s="37" t="n"/>
      <c r="D253" s="37" t="n"/>
      <c r="E253" s="37" t="n"/>
      <c r="F253" s="38" t="n"/>
      <c r="G253" s="39" t="n"/>
      <c r="H253" s="40">
        <f>IF(OR(F253="",G253=""),"",G253-F253)</f>
        <v/>
      </c>
      <c r="I253" s="37" t="n"/>
      <c r="J253" s="37" t="n"/>
    </row>
    <row r="254">
      <c r="A254" s="36" t="n"/>
      <c r="B254" s="36" t="n"/>
      <c r="C254" s="37" t="n"/>
      <c r="D254" s="37" t="n"/>
      <c r="E254" s="37" t="n"/>
      <c r="F254" s="38" t="n"/>
      <c r="G254" s="39" t="n"/>
      <c r="H254" s="40">
        <f>IF(OR(F254="",G254=""),"",G254-F254)</f>
        <v/>
      </c>
      <c r="I254" s="37" t="n"/>
      <c r="J254" s="37" t="n"/>
    </row>
    <row r="255">
      <c r="A255" s="36" t="n"/>
      <c r="B255" s="36" t="n"/>
      <c r="C255" s="37" t="n"/>
      <c r="D255" s="37" t="n"/>
      <c r="E255" s="37" t="n"/>
      <c r="F255" s="38" t="n"/>
      <c r="G255" s="39" t="n"/>
      <c r="H255" s="40">
        <f>IF(OR(F255="",G255=""),"",G255-F255)</f>
        <v/>
      </c>
      <c r="I255" s="37" t="n"/>
      <c r="J255" s="37" t="n"/>
    </row>
    <row r="256">
      <c r="A256" s="36" t="n"/>
      <c r="B256" s="36" t="n"/>
      <c r="C256" s="37" t="n"/>
      <c r="D256" s="37" t="n"/>
      <c r="E256" s="37" t="n"/>
      <c r="F256" s="38" t="n"/>
      <c r="G256" s="39" t="n"/>
      <c r="H256" s="40">
        <f>IF(OR(F256="",G256=""),"",G256-F256)</f>
        <v/>
      </c>
      <c r="I256" s="37" t="n"/>
      <c r="J256" s="37" t="n"/>
    </row>
    <row r="257">
      <c r="A257" s="36" t="n"/>
      <c r="B257" s="36" t="n"/>
      <c r="C257" s="37" t="n"/>
      <c r="D257" s="37" t="n"/>
      <c r="E257" s="37" t="n"/>
      <c r="F257" s="38" t="n"/>
      <c r="G257" s="39" t="n"/>
      <c r="H257" s="40">
        <f>IF(OR(F257="",G257=""),"",G257-F257)</f>
        <v/>
      </c>
      <c r="I257" s="37" t="n"/>
      <c r="J257" s="37" t="n"/>
    </row>
    <row r="258">
      <c r="A258" s="36" t="n"/>
      <c r="B258" s="36" t="n"/>
      <c r="C258" s="37" t="n"/>
      <c r="D258" s="37" t="n"/>
      <c r="E258" s="37" t="n"/>
      <c r="F258" s="38" t="n"/>
      <c r="G258" s="39" t="n"/>
      <c r="H258" s="40">
        <f>IF(OR(F258="",G258=""),"",G258-F258)</f>
        <v/>
      </c>
      <c r="I258" s="37" t="n"/>
      <c r="J258" s="37" t="n"/>
    </row>
    <row r="259">
      <c r="A259" s="36" t="n"/>
      <c r="B259" s="36" t="n"/>
      <c r="C259" s="37" t="n"/>
      <c r="D259" s="37" t="n"/>
      <c r="E259" s="37" t="n"/>
      <c r="F259" s="38" t="n"/>
      <c r="G259" s="39" t="n"/>
      <c r="H259" s="40">
        <f>IF(OR(F259="",G259=""),"",G259-F259)</f>
        <v/>
      </c>
      <c r="I259" s="37" t="n"/>
      <c r="J259" s="37" t="n"/>
    </row>
    <row r="260">
      <c r="A260" s="36" t="n"/>
      <c r="B260" s="36" t="n"/>
      <c r="C260" s="37" t="n"/>
      <c r="D260" s="37" t="n"/>
      <c r="E260" s="37" t="n"/>
      <c r="F260" s="38" t="n"/>
      <c r="G260" s="39" t="n"/>
      <c r="H260" s="40">
        <f>IF(OR(F260="",G260=""),"",G260-F260)</f>
        <v/>
      </c>
      <c r="I260" s="37" t="n"/>
      <c r="J260" s="37" t="n"/>
    </row>
    <row r="261">
      <c r="A261" s="36" t="n"/>
      <c r="B261" s="36" t="n"/>
      <c r="C261" s="37" t="n"/>
      <c r="D261" s="37" t="n"/>
      <c r="E261" s="37" t="n"/>
      <c r="F261" s="38" t="n"/>
      <c r="G261" s="39" t="n"/>
      <c r="H261" s="40">
        <f>IF(OR(F261="",G261=""),"",G261-F261)</f>
        <v/>
      </c>
      <c r="I261" s="37" t="n"/>
      <c r="J261" s="37" t="n"/>
    </row>
    <row r="262">
      <c r="A262" s="36" t="n"/>
      <c r="B262" s="36" t="n"/>
      <c r="C262" s="37" t="n"/>
      <c r="D262" s="37" t="n"/>
      <c r="E262" s="37" t="n"/>
      <c r="F262" s="38" t="n"/>
      <c r="G262" s="39" t="n"/>
      <c r="H262" s="40">
        <f>IF(OR(F262="",G262=""),"",G262-F262)</f>
        <v/>
      </c>
      <c r="I262" s="37" t="n"/>
      <c r="J262" s="37" t="n"/>
    </row>
    <row r="263">
      <c r="A263" s="36" t="n"/>
      <c r="B263" s="36" t="n"/>
      <c r="C263" s="37" t="n"/>
      <c r="D263" s="37" t="n"/>
      <c r="E263" s="37" t="n"/>
      <c r="F263" s="38" t="n"/>
      <c r="G263" s="39" t="n"/>
      <c r="H263" s="40">
        <f>IF(OR(F263="",G263=""),"",G263-F263)</f>
        <v/>
      </c>
      <c r="I263" s="37" t="n"/>
      <c r="J263" s="37" t="n"/>
    </row>
    <row r="264">
      <c r="A264" s="36" t="n"/>
      <c r="B264" s="36" t="n"/>
      <c r="C264" s="37" t="n"/>
      <c r="D264" s="37" t="n"/>
      <c r="E264" s="37" t="n"/>
      <c r="F264" s="38" t="n"/>
      <c r="G264" s="39" t="n"/>
      <c r="H264" s="40">
        <f>IF(OR(F264="",G264=""),"",G264-F264)</f>
        <v/>
      </c>
      <c r="I264" s="37" t="n"/>
      <c r="J264" s="37" t="n"/>
    </row>
    <row r="265">
      <c r="A265" s="36" t="n"/>
      <c r="B265" s="36" t="n"/>
      <c r="C265" s="37" t="n"/>
      <c r="D265" s="37" t="n"/>
      <c r="E265" s="37" t="n"/>
      <c r="F265" s="38" t="n"/>
      <c r="G265" s="39" t="n"/>
      <c r="H265" s="40">
        <f>IF(OR(F265="",G265=""),"",G265-F265)</f>
        <v/>
      </c>
      <c r="I265" s="37" t="n"/>
      <c r="J265" s="37" t="n"/>
    </row>
    <row r="266">
      <c r="A266" s="36" t="n"/>
      <c r="B266" s="36" t="n"/>
      <c r="C266" s="37" t="n"/>
      <c r="D266" s="37" t="n"/>
      <c r="E266" s="37" t="n"/>
      <c r="F266" s="38" t="n"/>
      <c r="G266" s="39" t="n"/>
      <c r="H266" s="40">
        <f>IF(OR(F266="",G266=""),"",G266-F266)</f>
        <v/>
      </c>
      <c r="I266" s="37" t="n"/>
      <c r="J266" s="37" t="n"/>
    </row>
    <row r="267">
      <c r="A267" s="36" t="n"/>
      <c r="B267" s="36" t="n"/>
      <c r="C267" s="37" t="n"/>
      <c r="D267" s="37" t="n"/>
      <c r="E267" s="37" t="n"/>
      <c r="F267" s="38" t="n"/>
      <c r="G267" s="39" t="n"/>
      <c r="H267" s="40">
        <f>IF(OR(F267="",G267=""),"",G267-F267)</f>
        <v/>
      </c>
      <c r="I267" s="37" t="n"/>
      <c r="J267" s="37" t="n"/>
    </row>
    <row r="268">
      <c r="A268" s="36" t="n"/>
      <c r="B268" s="36" t="n"/>
      <c r="C268" s="37" t="n"/>
      <c r="D268" s="37" t="n"/>
      <c r="E268" s="37" t="n"/>
      <c r="F268" s="38" t="n"/>
      <c r="G268" s="39" t="n"/>
      <c r="H268" s="40">
        <f>IF(OR(F268="",G268=""),"",G268-F268)</f>
        <v/>
      </c>
      <c r="I268" s="37" t="n"/>
      <c r="J268" s="37" t="n"/>
    </row>
    <row r="269">
      <c r="A269" s="36" t="n"/>
      <c r="B269" s="36" t="n"/>
      <c r="C269" s="37" t="n"/>
      <c r="D269" s="37" t="n"/>
      <c r="E269" s="37" t="n"/>
      <c r="F269" s="38" t="n"/>
      <c r="G269" s="39" t="n"/>
      <c r="H269" s="40">
        <f>IF(OR(F269="",G269=""),"",G269-F269)</f>
        <v/>
      </c>
      <c r="I269" s="37" t="n"/>
      <c r="J269" s="37" t="n"/>
    </row>
    <row r="270">
      <c r="A270" s="36" t="n"/>
      <c r="B270" s="36" t="n"/>
      <c r="C270" s="37" t="n"/>
      <c r="D270" s="37" t="n"/>
      <c r="E270" s="37" t="n"/>
      <c r="F270" s="38" t="n"/>
      <c r="G270" s="39" t="n"/>
      <c r="H270" s="40">
        <f>IF(OR(F270="",G270=""),"",G270-F270)</f>
        <v/>
      </c>
      <c r="I270" s="37" t="n"/>
      <c r="J270" s="37" t="n"/>
    </row>
    <row r="271">
      <c r="A271" s="36" t="n"/>
      <c r="B271" s="36" t="n"/>
      <c r="C271" s="37" t="n"/>
      <c r="D271" s="37" t="n"/>
      <c r="E271" s="37" t="n"/>
      <c r="F271" s="38" t="n"/>
      <c r="G271" s="39" t="n"/>
      <c r="H271" s="40">
        <f>IF(OR(F271="",G271=""),"",G271-F271)</f>
        <v/>
      </c>
      <c r="I271" s="37" t="n"/>
      <c r="J271" s="37" t="n"/>
    </row>
    <row r="272">
      <c r="A272" s="36" t="n"/>
      <c r="B272" s="36" t="n"/>
      <c r="C272" s="37" t="n"/>
      <c r="D272" s="37" t="n"/>
      <c r="E272" s="37" t="n"/>
      <c r="F272" s="38" t="n"/>
      <c r="G272" s="39" t="n"/>
      <c r="H272" s="40">
        <f>IF(OR(F272="",G272=""),"",G272-F272)</f>
        <v/>
      </c>
      <c r="I272" s="37" t="n"/>
      <c r="J272" s="37" t="n"/>
    </row>
    <row r="273">
      <c r="A273" s="36" t="n"/>
      <c r="B273" s="36" t="n"/>
      <c r="C273" s="37" t="n"/>
      <c r="D273" s="37" t="n"/>
      <c r="E273" s="37" t="n"/>
      <c r="F273" s="38" t="n"/>
      <c r="G273" s="39" t="n"/>
      <c r="H273" s="40">
        <f>IF(OR(F273="",G273=""),"",G273-F273)</f>
        <v/>
      </c>
      <c r="I273" s="37" t="n"/>
      <c r="J273" s="37" t="n"/>
    </row>
    <row r="274">
      <c r="A274" s="36" t="n"/>
      <c r="B274" s="36" t="n"/>
      <c r="C274" s="37" t="n"/>
      <c r="D274" s="37" t="n"/>
      <c r="E274" s="37" t="n"/>
      <c r="F274" s="38" t="n"/>
      <c r="G274" s="39" t="n"/>
      <c r="H274" s="40">
        <f>IF(OR(F274="",G274=""),"",G274-F274)</f>
        <v/>
      </c>
      <c r="I274" s="37" t="n"/>
      <c r="J274" s="37" t="n"/>
    </row>
    <row r="275">
      <c r="A275" s="36" t="n"/>
      <c r="B275" s="36" t="n"/>
      <c r="C275" s="37" t="n"/>
      <c r="D275" s="37" t="n"/>
      <c r="E275" s="37" t="n"/>
      <c r="F275" s="38" t="n"/>
      <c r="G275" s="39" t="n"/>
      <c r="H275" s="40">
        <f>IF(OR(F275="",G275=""),"",G275-F275)</f>
        <v/>
      </c>
      <c r="I275" s="37" t="n"/>
      <c r="J275" s="37" t="n"/>
    </row>
    <row r="276">
      <c r="A276" s="36" t="n"/>
      <c r="B276" s="36" t="n"/>
      <c r="C276" s="37" t="n"/>
      <c r="D276" s="37" t="n"/>
      <c r="E276" s="37" t="n"/>
      <c r="F276" s="38" t="n"/>
      <c r="G276" s="39" t="n"/>
      <c r="H276" s="40">
        <f>IF(OR(F276="",G276=""),"",G276-F276)</f>
        <v/>
      </c>
      <c r="I276" s="37" t="n"/>
      <c r="J276" s="37" t="n"/>
    </row>
    <row r="277">
      <c r="A277" s="36" t="n"/>
      <c r="B277" s="36" t="n"/>
      <c r="C277" s="37" t="n"/>
      <c r="D277" s="37" t="n"/>
      <c r="E277" s="37" t="n"/>
      <c r="F277" s="38" t="n"/>
      <c r="G277" s="39" t="n"/>
      <c r="H277" s="40">
        <f>IF(OR(F277="",G277=""),"",G277-F277)</f>
        <v/>
      </c>
      <c r="I277" s="37" t="n"/>
      <c r="J277" s="37" t="n"/>
    </row>
    <row r="278">
      <c r="A278" s="36" t="n"/>
      <c r="B278" s="36" t="n"/>
      <c r="C278" s="37" t="n"/>
      <c r="D278" s="37" t="n"/>
      <c r="E278" s="37" t="n"/>
      <c r="F278" s="38" t="n"/>
      <c r="G278" s="39" t="n"/>
      <c r="H278" s="40">
        <f>IF(OR(F278="",G278=""),"",G278-F278)</f>
        <v/>
      </c>
      <c r="I278" s="37" t="n"/>
      <c r="J278" s="37" t="n"/>
    </row>
    <row r="279">
      <c r="A279" s="36" t="n"/>
      <c r="B279" s="36" t="n"/>
      <c r="C279" s="37" t="n"/>
      <c r="D279" s="37" t="n"/>
      <c r="E279" s="37" t="n"/>
      <c r="F279" s="38" t="n"/>
      <c r="G279" s="39" t="n"/>
      <c r="H279" s="40">
        <f>IF(OR(F279="",G279=""),"",G279-F279)</f>
        <v/>
      </c>
      <c r="I279" s="37" t="n"/>
      <c r="J279" s="37" t="n"/>
    </row>
    <row r="280">
      <c r="A280" s="36" t="n"/>
      <c r="B280" s="36" t="n"/>
      <c r="C280" s="37" t="n"/>
      <c r="D280" s="37" t="n"/>
      <c r="E280" s="37" t="n"/>
      <c r="F280" s="38" t="n"/>
      <c r="G280" s="39" t="n"/>
      <c r="H280" s="40">
        <f>IF(OR(F280="",G280=""),"",G280-F280)</f>
        <v/>
      </c>
      <c r="I280" s="37" t="n"/>
      <c r="J280" s="37" t="n"/>
    </row>
    <row r="281">
      <c r="A281" s="36" t="n"/>
      <c r="B281" s="36" t="n"/>
      <c r="C281" s="37" t="n"/>
      <c r="D281" s="37" t="n"/>
      <c r="E281" s="37" t="n"/>
      <c r="F281" s="38" t="n"/>
      <c r="G281" s="39" t="n"/>
      <c r="H281" s="40">
        <f>IF(OR(F281="",G281=""),"",G281-F281)</f>
        <v/>
      </c>
      <c r="I281" s="37" t="n"/>
      <c r="J281" s="37" t="n"/>
    </row>
    <row r="282">
      <c r="A282" s="36" t="n"/>
      <c r="B282" s="36" t="n"/>
      <c r="C282" s="37" t="n"/>
      <c r="D282" s="37" t="n"/>
      <c r="E282" s="37" t="n"/>
      <c r="F282" s="38" t="n"/>
      <c r="G282" s="39" t="n"/>
      <c r="H282" s="40">
        <f>IF(OR(F282="",G282=""),"",G282-F282)</f>
        <v/>
      </c>
      <c r="I282" s="37" t="n"/>
      <c r="J282" s="37" t="n"/>
    </row>
    <row r="283">
      <c r="A283" s="36" t="n"/>
      <c r="B283" s="36" t="n"/>
      <c r="C283" s="37" t="n"/>
      <c r="D283" s="37" t="n"/>
      <c r="E283" s="37" t="n"/>
      <c r="F283" s="38" t="n"/>
      <c r="G283" s="39" t="n"/>
      <c r="H283" s="40">
        <f>IF(OR(F283="",G283=""),"",G283-F283)</f>
        <v/>
      </c>
      <c r="I283" s="37" t="n"/>
      <c r="J283" s="37" t="n"/>
    </row>
    <row r="284">
      <c r="A284" s="36" t="n"/>
      <c r="B284" s="36" t="n"/>
      <c r="C284" s="37" t="n"/>
      <c r="D284" s="37" t="n"/>
      <c r="E284" s="37" t="n"/>
      <c r="F284" s="38" t="n"/>
      <c r="G284" s="39" t="n"/>
      <c r="H284" s="40">
        <f>IF(OR(F284="",G284=""),"",G284-F284)</f>
        <v/>
      </c>
      <c r="I284" s="37" t="n"/>
      <c r="J284" s="37" t="n"/>
    </row>
    <row r="285">
      <c r="A285" s="36" t="n"/>
      <c r="B285" s="36" t="n"/>
      <c r="C285" s="37" t="n"/>
      <c r="D285" s="37" t="n"/>
      <c r="E285" s="37" t="n"/>
      <c r="F285" s="38" t="n"/>
      <c r="G285" s="39" t="n"/>
      <c r="H285" s="40">
        <f>IF(OR(F285="",G285=""),"",G285-F285)</f>
        <v/>
      </c>
      <c r="I285" s="37" t="n"/>
      <c r="J285" s="37" t="n"/>
    </row>
    <row r="286">
      <c r="A286" s="36" t="n"/>
      <c r="B286" s="36" t="n"/>
      <c r="C286" s="37" t="n"/>
      <c r="D286" s="37" t="n"/>
      <c r="E286" s="37" t="n"/>
      <c r="F286" s="38" t="n"/>
      <c r="G286" s="39" t="n"/>
      <c r="H286" s="40">
        <f>IF(OR(F286="",G286=""),"",G286-F286)</f>
        <v/>
      </c>
      <c r="I286" s="37" t="n"/>
      <c r="J286" s="37" t="n"/>
    </row>
    <row r="287">
      <c r="A287" s="36" t="n"/>
      <c r="B287" s="36" t="n"/>
      <c r="C287" s="37" t="n"/>
      <c r="D287" s="37" t="n"/>
      <c r="E287" s="37" t="n"/>
      <c r="F287" s="38" t="n"/>
      <c r="G287" s="39" t="n"/>
      <c r="H287" s="40">
        <f>IF(OR(F287="",G287=""),"",G287-F287)</f>
        <v/>
      </c>
      <c r="I287" s="37" t="n"/>
      <c r="J287" s="37" t="n"/>
    </row>
    <row r="288">
      <c r="A288" s="36" t="n"/>
      <c r="B288" s="36" t="n"/>
      <c r="C288" s="37" t="n"/>
      <c r="D288" s="37" t="n"/>
      <c r="E288" s="37" t="n"/>
      <c r="F288" s="38" t="n"/>
      <c r="G288" s="39" t="n"/>
      <c r="H288" s="40">
        <f>IF(OR(F288="",G288=""),"",G288-F288)</f>
        <v/>
      </c>
      <c r="I288" s="37" t="n"/>
      <c r="J288" s="37" t="n"/>
    </row>
    <row r="289">
      <c r="A289" s="36" t="n"/>
      <c r="B289" s="36" t="n"/>
      <c r="C289" s="37" t="n"/>
      <c r="D289" s="37" t="n"/>
      <c r="E289" s="37" t="n"/>
      <c r="F289" s="38" t="n"/>
      <c r="G289" s="39" t="n"/>
      <c r="H289" s="40">
        <f>IF(OR(F289="",G289=""),"",G289-F289)</f>
        <v/>
      </c>
      <c r="I289" s="37" t="n"/>
      <c r="J289" s="37" t="n"/>
    </row>
    <row r="290">
      <c r="A290" s="36" t="n"/>
      <c r="B290" s="36" t="n"/>
      <c r="C290" s="37" t="n"/>
      <c r="D290" s="37" t="n"/>
      <c r="E290" s="37" t="n"/>
      <c r="F290" s="38" t="n"/>
      <c r="G290" s="39" t="n"/>
      <c r="H290" s="40">
        <f>IF(OR(F290="",G290=""),"",G290-F290)</f>
        <v/>
      </c>
      <c r="I290" s="37" t="n"/>
      <c r="J290" s="37" t="n"/>
    </row>
    <row r="291">
      <c r="A291" s="36" t="n"/>
      <c r="B291" s="36" t="n"/>
      <c r="C291" s="37" t="n"/>
      <c r="D291" s="37" t="n"/>
      <c r="E291" s="37" t="n"/>
      <c r="F291" s="38" t="n"/>
      <c r="G291" s="39" t="n"/>
      <c r="H291" s="40">
        <f>IF(OR(F291="",G291=""),"",G291-F291)</f>
        <v/>
      </c>
      <c r="I291" s="37" t="n"/>
      <c r="J291" s="37" t="n"/>
    </row>
    <row r="292">
      <c r="A292" s="36" t="n"/>
      <c r="B292" s="36" t="n"/>
      <c r="C292" s="37" t="n"/>
      <c r="D292" s="37" t="n"/>
      <c r="E292" s="37" t="n"/>
      <c r="F292" s="38" t="n"/>
      <c r="G292" s="39" t="n"/>
      <c r="H292" s="40">
        <f>IF(OR(F292="",G292=""),"",G292-F292)</f>
        <v/>
      </c>
      <c r="I292" s="37" t="n"/>
      <c r="J292" s="37" t="n"/>
    </row>
    <row r="293">
      <c r="A293" s="36" t="n"/>
      <c r="B293" s="36" t="n"/>
      <c r="C293" s="37" t="n"/>
      <c r="D293" s="37" t="n"/>
      <c r="E293" s="37" t="n"/>
      <c r="F293" s="38" t="n"/>
      <c r="G293" s="39" t="n"/>
      <c r="H293" s="40">
        <f>IF(OR(F293="",G293=""),"",G293-F293)</f>
        <v/>
      </c>
      <c r="I293" s="37" t="n"/>
      <c r="J293" s="37" t="n"/>
    </row>
    <row r="294">
      <c r="A294" s="36" t="n"/>
      <c r="B294" s="36" t="n"/>
      <c r="C294" s="37" t="n"/>
      <c r="D294" s="37" t="n"/>
      <c r="E294" s="37" t="n"/>
      <c r="F294" s="38" t="n"/>
      <c r="G294" s="39" t="n"/>
      <c r="H294" s="40">
        <f>IF(OR(F294="",G294=""),"",G294-F294)</f>
        <v/>
      </c>
      <c r="I294" s="37" t="n"/>
      <c r="J294" s="37" t="n"/>
    </row>
    <row r="295">
      <c r="A295" s="36" t="n"/>
      <c r="B295" s="36" t="n"/>
      <c r="C295" s="37" t="n"/>
      <c r="D295" s="37" t="n"/>
      <c r="E295" s="37" t="n"/>
      <c r="F295" s="38" t="n"/>
      <c r="G295" s="39" t="n"/>
      <c r="H295" s="40">
        <f>IF(OR(F295="",G295=""),"",G295-F295)</f>
        <v/>
      </c>
      <c r="I295" s="37" t="n"/>
      <c r="J295" s="37" t="n"/>
    </row>
    <row r="296">
      <c r="A296" s="36" t="n"/>
      <c r="B296" s="36" t="n"/>
      <c r="C296" s="37" t="n"/>
      <c r="D296" s="37" t="n"/>
      <c r="E296" s="37" t="n"/>
      <c r="F296" s="38" t="n"/>
      <c r="G296" s="39" t="n"/>
      <c r="H296" s="40">
        <f>IF(OR(F296="",G296=""),"",G296-F296)</f>
        <v/>
      </c>
      <c r="I296" s="37" t="n"/>
      <c r="J296" s="37" t="n"/>
    </row>
    <row r="297">
      <c r="A297" s="36" t="n"/>
      <c r="B297" s="36" t="n"/>
      <c r="C297" s="37" t="n"/>
      <c r="D297" s="37" t="n"/>
      <c r="E297" s="37" t="n"/>
      <c r="F297" s="38" t="n"/>
      <c r="G297" s="39" t="n"/>
      <c r="H297" s="40">
        <f>IF(OR(F297="",G297=""),"",G297-F297)</f>
        <v/>
      </c>
      <c r="I297" s="37" t="n"/>
      <c r="J297" s="37" t="n"/>
    </row>
    <row r="298">
      <c r="A298" s="36" t="n"/>
      <c r="B298" s="36" t="n"/>
      <c r="C298" s="37" t="n"/>
      <c r="D298" s="37" t="n"/>
      <c r="E298" s="37" t="n"/>
      <c r="F298" s="38" t="n"/>
      <c r="G298" s="39" t="n"/>
      <c r="H298" s="40">
        <f>IF(OR(F298="",G298=""),"",G298-F298)</f>
        <v/>
      </c>
      <c r="I298" s="37" t="n"/>
      <c r="J298" s="37" t="n"/>
    </row>
    <row r="299">
      <c r="A299" s="36" t="n"/>
      <c r="B299" s="36" t="n"/>
      <c r="C299" s="37" t="n"/>
      <c r="D299" s="37" t="n"/>
      <c r="E299" s="37" t="n"/>
      <c r="F299" s="38" t="n"/>
      <c r="G299" s="39" t="n"/>
      <c r="H299" s="40">
        <f>IF(OR(F299="",G299=""),"",G299-F299)</f>
        <v/>
      </c>
      <c r="I299" s="37" t="n"/>
      <c r="J299" s="37" t="n"/>
    </row>
    <row r="300">
      <c r="A300" s="36" t="n"/>
      <c r="B300" s="36" t="n"/>
      <c r="C300" s="37" t="n"/>
      <c r="D300" s="37" t="n"/>
      <c r="E300" s="37" t="n"/>
      <c r="F300" s="38" t="n"/>
      <c r="G300" s="39" t="n"/>
      <c r="H300" s="40">
        <f>IF(OR(F300="",G300=""),"",G300-F300)</f>
        <v/>
      </c>
      <c r="I300" s="37" t="n"/>
      <c r="J300" s="37" t="n"/>
    </row>
    <row r="301">
      <c r="A301" s="36" t="n"/>
      <c r="B301" s="36" t="n"/>
      <c r="C301" s="37" t="n"/>
      <c r="D301" s="37" t="n"/>
      <c r="E301" s="37" t="n"/>
      <c r="F301" s="38" t="n"/>
      <c r="G301" s="39" t="n"/>
      <c r="H301" s="40">
        <f>IF(OR(F301="",G301=""),"",G301-F301)</f>
        <v/>
      </c>
      <c r="I301" s="37" t="n"/>
      <c r="J301" s="37" t="n"/>
    </row>
    <row r="302">
      <c r="A302" s="36" t="n"/>
      <c r="B302" s="36" t="n"/>
      <c r="C302" s="37" t="n"/>
      <c r="D302" s="37" t="n"/>
      <c r="E302" s="37" t="n"/>
      <c r="F302" s="38" t="n"/>
      <c r="G302" s="39" t="n"/>
      <c r="H302" s="40">
        <f>IF(OR(F302="",G302=""),"",G302-F302)</f>
        <v/>
      </c>
      <c r="I302" s="37" t="n"/>
      <c r="J302" s="37" t="n"/>
    </row>
    <row r="303">
      <c r="A303" s="36" t="n"/>
      <c r="B303" s="36" t="n"/>
      <c r="C303" s="37" t="n"/>
      <c r="D303" s="37" t="n"/>
      <c r="E303" s="37" t="n"/>
      <c r="F303" s="38" t="n"/>
      <c r="G303" s="39" t="n"/>
      <c r="H303" s="40">
        <f>IF(OR(F303="",G303=""),"",G303-F303)</f>
        <v/>
      </c>
      <c r="I303" s="37" t="n"/>
      <c r="J303" s="37" t="n"/>
    </row>
    <row r="304">
      <c r="A304" s="36" t="n"/>
      <c r="B304" s="36" t="n"/>
      <c r="C304" s="37" t="n"/>
      <c r="D304" s="37" t="n"/>
      <c r="E304" s="37" t="n"/>
      <c r="F304" s="38" t="n"/>
      <c r="G304" s="39" t="n"/>
      <c r="H304" s="40">
        <f>IF(OR(F304="",G304=""),"",G304-F304)</f>
        <v/>
      </c>
      <c r="I304" s="37" t="n"/>
      <c r="J304" s="37" t="n"/>
    </row>
  </sheetData>
  <autoFilter ref="A4:J304"/>
  <mergeCells count="2">
    <mergeCell ref="A1:J1"/>
    <mergeCell ref="A2:J2"/>
  </mergeCells>
  <conditionalFormatting sqref="A5:J304">
    <cfRule type="expression" priority="1" dxfId="1" stopIfTrue="1">
      <formula>$I5="✅ Получено"</formula>
    </cfRule>
    <cfRule type="expression" priority="2" dxfId="5" stopIfTrue="1">
      <formula>$I5="❌ Не получено"</formula>
    </cfRule>
  </conditionalFormatting>
  <conditionalFormatting sqref="H5:H304">
    <cfRule type="cellIs" priority="3" operator="lessThan" dxfId="0">
      <formula>0</formula>
    </cfRule>
    <cfRule type="cellIs" priority="4" operator="greaterThan" dxfId="3">
      <formula>0</formula>
    </cfRule>
  </conditionalFormatting>
  <dataValidations count="5">
    <dataValidation sqref="A5:A304" showDropDown="0" showInputMessage="0" showErrorMessage="1" allowBlank="1" errorTitle="Значение не из справочника" error="Выберите значение из списка (его можно дополнить в листе «📚 Справочник»)" type="list">
      <formula1>=lst_years</formula1>
    </dataValidation>
    <dataValidation sqref="B5:B304" showDropDown="0" showInputMessage="0" showErrorMessage="1" allowBlank="1" errorTitle="Значение не из справочника" error="Выберите значение из списка (его можно дополнить в листе «📚 Справочник»)" type="list">
      <formula1>=lst_months</formula1>
    </dataValidation>
    <dataValidation sqref="C5:C304" showDropDown="0" showInputMessage="0" showErrorMessage="1" allowBlank="1" errorTitle="Значение не из справочника" error="Выберите значение из списка (его можно дополнить в листе «📚 Справочник»)" type="list">
      <formula1>=lst_inc_items</formula1>
    </dataValidation>
    <dataValidation sqref="D5:D304" showDropDown="0" showInputMessage="0" showErrorMessage="1" allowBlank="1" errorTitle="Значение не из справочника" error="Выберите значение из списка (его можно дополнить в листе «📚 Справочник»)" type="list">
      <formula1>=lst_inc_types</formula1>
    </dataValidation>
    <dataValidation sqref="I5:I304" showDropDown="0" showInputMessage="0" showErrorMessage="1" allowBlank="1" errorTitle="Значение не из справочника" error="Выберите значение из списка (его можно дополнить в листе «📚 Справочник»)" type="list">
      <formula1>=lst_inc_status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A86FF"/>
    <outlinePr summaryBelow="1" summaryRight="1"/>
    <pageSetUpPr/>
  </sheetPr>
  <dimension ref="A1:N6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hidden="1" width="9" customWidth="1" min="3" max="3"/>
    <col width="14" customWidth="1" min="4" max="4"/>
    <col width="14" customWidth="1" min="5" max="5"/>
    <col width="11" customWidth="1" min="6" max="6"/>
    <col width="14" customWidth="1" min="7" max="7"/>
    <col width="14" customWidth="1" min="8" max="8"/>
    <col width="11" customWidth="1" min="9" max="9"/>
    <col width="14" customWidth="1" min="10" max="10"/>
    <col width="14" customWidth="1" min="11" max="11"/>
    <col width="16" customWidth="1" min="12" max="12"/>
    <col width="16" customWidth="1" min="13" max="13"/>
    <col width="16" customWidth="1" min="14" max="14"/>
  </cols>
  <sheetData>
    <row r="1" ht="36" customHeight="1">
      <c r="A1" s="45" t="inlineStr">
        <is>
          <t>📅 Сводка по месяцам: январь 2026 → декабрь 2030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t="30" customHeight="1">
      <c r="A2" s="3" t="inlineStr">
        <is>
          <t>Считается автоматически из листов «Расходы» и «Доходы» — здесь ничего вводить не нужно. Текущий месяц подсвечен жёлтым. Отменённые траты в план не входят.</t>
        </is>
      </c>
    </row>
    <row r="4" ht="34" customHeight="1">
      <c r="A4" s="47" t="inlineStr">
        <is>
          <t>📆 Год</t>
        </is>
      </c>
      <c r="B4" s="47" t="inlineStr">
        <is>
          <t>🗓 Месяц</t>
        </is>
      </c>
      <c r="C4" s="47" t="inlineStr">
        <is>
          <t>Подпись</t>
        </is>
      </c>
      <c r="D4" s="34" t="inlineStr">
        <is>
          <t>💰 Доход
ПЛАН</t>
        </is>
      </c>
      <c r="E4" s="35" t="inlineStr">
        <is>
          <t>💰 Доход
ФАКТ</t>
        </is>
      </c>
      <c r="F4" s="47" t="inlineStr">
        <is>
          <t>% дохода
получено</t>
        </is>
      </c>
      <c r="G4" s="34" t="inlineStr">
        <is>
          <t>💸 Расход
ПЛАН</t>
        </is>
      </c>
      <c r="H4" s="35" t="inlineStr">
        <is>
          <t>💸 Расход
ФАКТ</t>
        </is>
      </c>
      <c r="I4" s="47" t="inlineStr">
        <is>
          <t>% бюджета
потрачено</t>
        </is>
      </c>
      <c r="J4" s="34" t="inlineStr">
        <is>
          <t>⚖️ Остаток
ПЛАН</t>
        </is>
      </c>
      <c r="K4" s="35" t="inlineStr">
        <is>
          <t>⚖️ Остаток
ФАКТ</t>
        </is>
      </c>
      <c r="L4" s="34" t="inlineStr">
        <is>
          <t>🏦 Накоплено
ПЛАН (нараст.)</t>
        </is>
      </c>
      <c r="M4" s="35" t="inlineStr">
        <is>
          <t>🏦 Накоплено
ФАКТ (нараст.)</t>
        </is>
      </c>
      <c r="N4" s="35" t="inlineStr">
        <is>
          <t>🏦 Отложено в
«Накопление» (факт)</t>
        </is>
      </c>
    </row>
    <row r="5">
      <c r="A5" s="48" t="n">
        <v>2026</v>
      </c>
      <c r="B5" s="49" t="inlineStr">
        <is>
          <t>Январь</t>
        </is>
      </c>
      <c r="C5" s="49">
        <f>LEFT(B5,3)&amp;" "&amp;RIGHT(A5,2)</f>
        <v/>
      </c>
      <c r="D5" s="50">
        <f>SUMIFS(inc_plan,inc_year,A5,inc_month,B5,inc_status,"&lt;&gt;❌ Не получено")</f>
        <v/>
      </c>
      <c r="E5" s="51">
        <f>SUMIFS(inc_fact,inc_year,A5,inc_month,B5)</f>
        <v/>
      </c>
      <c r="F5" s="52">
        <f>IF(D5=0,"",E5/D5)</f>
        <v/>
      </c>
      <c r="G5" s="50">
        <f>SUMIFS(exp_plan,exp_year,A5,exp_month,B5,exp_status,"&lt;&gt;❌ Отменено")</f>
        <v/>
      </c>
      <c r="H5" s="51">
        <f>SUMIFS(exp_fact,exp_year,A5,exp_month,B5)</f>
        <v/>
      </c>
      <c r="I5" s="52">
        <f>IF(G5=0,"",H5/G5)</f>
        <v/>
      </c>
      <c r="J5" s="50">
        <f>D5-G5</f>
        <v/>
      </c>
      <c r="K5" s="51">
        <f>E5-H5</f>
        <v/>
      </c>
      <c r="L5" s="50">
        <f>J5</f>
        <v/>
      </c>
      <c r="M5" s="51">
        <f>K5</f>
        <v/>
      </c>
      <c r="N5" s="51">
        <f>SUMIFS(exp_fact,exp_year,A5,exp_month,B5,exp_cat,"🏦 Накопление")</f>
        <v/>
      </c>
    </row>
    <row r="6">
      <c r="A6" s="48" t="n">
        <v>2026</v>
      </c>
      <c r="B6" s="49" t="inlineStr">
        <is>
          <t>Февраль</t>
        </is>
      </c>
      <c r="C6" s="49">
        <f>LEFT(B6,3)&amp;" "&amp;RIGHT(A6,2)</f>
        <v/>
      </c>
      <c r="D6" s="50">
        <f>SUMIFS(inc_plan,inc_year,A6,inc_month,B6,inc_status,"&lt;&gt;❌ Не получено")</f>
        <v/>
      </c>
      <c r="E6" s="51">
        <f>SUMIFS(inc_fact,inc_year,A6,inc_month,B6)</f>
        <v/>
      </c>
      <c r="F6" s="52">
        <f>IF(D6=0,"",E6/D6)</f>
        <v/>
      </c>
      <c r="G6" s="50">
        <f>SUMIFS(exp_plan,exp_year,A6,exp_month,B6,exp_status,"&lt;&gt;❌ Отменено")</f>
        <v/>
      </c>
      <c r="H6" s="51">
        <f>SUMIFS(exp_fact,exp_year,A6,exp_month,B6)</f>
        <v/>
      </c>
      <c r="I6" s="52">
        <f>IF(G6=0,"",H6/G6)</f>
        <v/>
      </c>
      <c r="J6" s="50">
        <f>D6-G6</f>
        <v/>
      </c>
      <c r="K6" s="51">
        <f>E6-H6</f>
        <v/>
      </c>
      <c r="L6" s="50">
        <f>L5+J6</f>
        <v/>
      </c>
      <c r="M6" s="51">
        <f>M5+K6</f>
        <v/>
      </c>
      <c r="N6" s="51">
        <f>SUMIFS(exp_fact,exp_year,A6,exp_month,B6,exp_cat,"🏦 Накопление")</f>
        <v/>
      </c>
    </row>
    <row r="7">
      <c r="A7" s="48" t="n">
        <v>2026</v>
      </c>
      <c r="B7" s="49" t="inlineStr">
        <is>
          <t>Март</t>
        </is>
      </c>
      <c r="C7" s="49">
        <f>LEFT(B7,3)&amp;" "&amp;RIGHT(A7,2)</f>
        <v/>
      </c>
      <c r="D7" s="50">
        <f>SUMIFS(inc_plan,inc_year,A7,inc_month,B7,inc_status,"&lt;&gt;❌ Не получено")</f>
        <v/>
      </c>
      <c r="E7" s="51">
        <f>SUMIFS(inc_fact,inc_year,A7,inc_month,B7)</f>
        <v/>
      </c>
      <c r="F7" s="52">
        <f>IF(D7=0,"",E7/D7)</f>
        <v/>
      </c>
      <c r="G7" s="50">
        <f>SUMIFS(exp_plan,exp_year,A7,exp_month,B7,exp_status,"&lt;&gt;❌ Отменено")</f>
        <v/>
      </c>
      <c r="H7" s="51">
        <f>SUMIFS(exp_fact,exp_year,A7,exp_month,B7)</f>
        <v/>
      </c>
      <c r="I7" s="52">
        <f>IF(G7=0,"",H7/G7)</f>
        <v/>
      </c>
      <c r="J7" s="50">
        <f>D7-G7</f>
        <v/>
      </c>
      <c r="K7" s="51">
        <f>E7-H7</f>
        <v/>
      </c>
      <c r="L7" s="50">
        <f>L6+J7</f>
        <v/>
      </c>
      <c r="M7" s="51">
        <f>M6+K7</f>
        <v/>
      </c>
      <c r="N7" s="51">
        <f>SUMIFS(exp_fact,exp_year,A7,exp_month,B7,exp_cat,"🏦 Накопление")</f>
        <v/>
      </c>
    </row>
    <row r="8">
      <c r="A8" s="48" t="n">
        <v>2026</v>
      </c>
      <c r="B8" s="49" t="inlineStr">
        <is>
          <t>Апрель</t>
        </is>
      </c>
      <c r="C8" s="49">
        <f>LEFT(B8,3)&amp;" "&amp;RIGHT(A8,2)</f>
        <v/>
      </c>
      <c r="D8" s="50">
        <f>SUMIFS(inc_plan,inc_year,A8,inc_month,B8,inc_status,"&lt;&gt;❌ Не получено")</f>
        <v/>
      </c>
      <c r="E8" s="51">
        <f>SUMIFS(inc_fact,inc_year,A8,inc_month,B8)</f>
        <v/>
      </c>
      <c r="F8" s="52">
        <f>IF(D8=0,"",E8/D8)</f>
        <v/>
      </c>
      <c r="G8" s="50">
        <f>SUMIFS(exp_plan,exp_year,A8,exp_month,B8,exp_status,"&lt;&gt;❌ Отменено")</f>
        <v/>
      </c>
      <c r="H8" s="51">
        <f>SUMIFS(exp_fact,exp_year,A8,exp_month,B8)</f>
        <v/>
      </c>
      <c r="I8" s="52">
        <f>IF(G8=0,"",H8/G8)</f>
        <v/>
      </c>
      <c r="J8" s="50">
        <f>D8-G8</f>
        <v/>
      </c>
      <c r="K8" s="51">
        <f>E8-H8</f>
        <v/>
      </c>
      <c r="L8" s="50">
        <f>L7+J8</f>
        <v/>
      </c>
      <c r="M8" s="51">
        <f>M7+K8</f>
        <v/>
      </c>
      <c r="N8" s="51">
        <f>SUMIFS(exp_fact,exp_year,A8,exp_month,B8,exp_cat,"🏦 Накопление")</f>
        <v/>
      </c>
    </row>
    <row r="9">
      <c r="A9" s="48" t="n">
        <v>2026</v>
      </c>
      <c r="B9" s="49" t="inlineStr">
        <is>
          <t>Май</t>
        </is>
      </c>
      <c r="C9" s="49">
        <f>LEFT(B9,3)&amp;" "&amp;RIGHT(A9,2)</f>
        <v/>
      </c>
      <c r="D9" s="50">
        <f>SUMIFS(inc_plan,inc_year,A9,inc_month,B9,inc_status,"&lt;&gt;❌ Не получено")</f>
        <v/>
      </c>
      <c r="E9" s="51">
        <f>SUMIFS(inc_fact,inc_year,A9,inc_month,B9)</f>
        <v/>
      </c>
      <c r="F9" s="52">
        <f>IF(D9=0,"",E9/D9)</f>
        <v/>
      </c>
      <c r="G9" s="50">
        <f>SUMIFS(exp_plan,exp_year,A9,exp_month,B9,exp_status,"&lt;&gt;❌ Отменено")</f>
        <v/>
      </c>
      <c r="H9" s="51">
        <f>SUMIFS(exp_fact,exp_year,A9,exp_month,B9)</f>
        <v/>
      </c>
      <c r="I9" s="52">
        <f>IF(G9=0,"",H9/G9)</f>
        <v/>
      </c>
      <c r="J9" s="50">
        <f>D9-G9</f>
        <v/>
      </c>
      <c r="K9" s="51">
        <f>E9-H9</f>
        <v/>
      </c>
      <c r="L9" s="50">
        <f>L8+J9</f>
        <v/>
      </c>
      <c r="M9" s="51">
        <f>M8+K9</f>
        <v/>
      </c>
      <c r="N9" s="51">
        <f>SUMIFS(exp_fact,exp_year,A9,exp_month,B9,exp_cat,"🏦 Накопление")</f>
        <v/>
      </c>
    </row>
    <row r="10">
      <c r="A10" s="48" t="n">
        <v>2026</v>
      </c>
      <c r="B10" s="49" t="inlineStr">
        <is>
          <t>Июнь</t>
        </is>
      </c>
      <c r="C10" s="49">
        <f>LEFT(B10,3)&amp;" "&amp;RIGHT(A10,2)</f>
        <v/>
      </c>
      <c r="D10" s="50">
        <f>SUMIFS(inc_plan,inc_year,A10,inc_month,B10,inc_status,"&lt;&gt;❌ Не получено")</f>
        <v/>
      </c>
      <c r="E10" s="51">
        <f>SUMIFS(inc_fact,inc_year,A10,inc_month,B10)</f>
        <v/>
      </c>
      <c r="F10" s="52">
        <f>IF(D10=0,"",E10/D10)</f>
        <v/>
      </c>
      <c r="G10" s="50">
        <f>SUMIFS(exp_plan,exp_year,A10,exp_month,B10,exp_status,"&lt;&gt;❌ Отменено")</f>
        <v/>
      </c>
      <c r="H10" s="51">
        <f>SUMIFS(exp_fact,exp_year,A10,exp_month,B10)</f>
        <v/>
      </c>
      <c r="I10" s="52">
        <f>IF(G10=0,"",H10/G10)</f>
        <v/>
      </c>
      <c r="J10" s="50">
        <f>D10-G10</f>
        <v/>
      </c>
      <c r="K10" s="51">
        <f>E10-H10</f>
        <v/>
      </c>
      <c r="L10" s="50">
        <f>L9+J10</f>
        <v/>
      </c>
      <c r="M10" s="51">
        <f>M9+K10</f>
        <v/>
      </c>
      <c r="N10" s="51">
        <f>SUMIFS(exp_fact,exp_year,A10,exp_month,B10,exp_cat,"🏦 Накопление")</f>
        <v/>
      </c>
    </row>
    <row r="11">
      <c r="A11" s="48" t="n">
        <v>2026</v>
      </c>
      <c r="B11" s="49" t="inlineStr">
        <is>
          <t>Июль</t>
        </is>
      </c>
      <c r="C11" s="49">
        <f>LEFT(B11,3)&amp;" "&amp;RIGHT(A11,2)</f>
        <v/>
      </c>
      <c r="D11" s="50">
        <f>SUMIFS(inc_plan,inc_year,A11,inc_month,B11,inc_status,"&lt;&gt;❌ Не получено")</f>
        <v/>
      </c>
      <c r="E11" s="51">
        <f>SUMIFS(inc_fact,inc_year,A11,inc_month,B11)</f>
        <v/>
      </c>
      <c r="F11" s="52">
        <f>IF(D11=0,"",E11/D11)</f>
        <v/>
      </c>
      <c r="G11" s="50">
        <f>SUMIFS(exp_plan,exp_year,A11,exp_month,B11,exp_status,"&lt;&gt;❌ Отменено")</f>
        <v/>
      </c>
      <c r="H11" s="51">
        <f>SUMIFS(exp_fact,exp_year,A11,exp_month,B11)</f>
        <v/>
      </c>
      <c r="I11" s="52">
        <f>IF(G11=0,"",H11/G11)</f>
        <v/>
      </c>
      <c r="J11" s="50">
        <f>D11-G11</f>
        <v/>
      </c>
      <c r="K11" s="51">
        <f>E11-H11</f>
        <v/>
      </c>
      <c r="L11" s="50">
        <f>L10+J11</f>
        <v/>
      </c>
      <c r="M11" s="51">
        <f>M10+K11</f>
        <v/>
      </c>
      <c r="N11" s="51">
        <f>SUMIFS(exp_fact,exp_year,A11,exp_month,B11,exp_cat,"🏦 Накопление")</f>
        <v/>
      </c>
    </row>
    <row r="12">
      <c r="A12" s="48" t="n">
        <v>2026</v>
      </c>
      <c r="B12" s="49" t="inlineStr">
        <is>
          <t>Август</t>
        </is>
      </c>
      <c r="C12" s="49">
        <f>LEFT(B12,3)&amp;" "&amp;RIGHT(A12,2)</f>
        <v/>
      </c>
      <c r="D12" s="50">
        <f>SUMIFS(inc_plan,inc_year,A12,inc_month,B12,inc_status,"&lt;&gt;❌ Не получено")</f>
        <v/>
      </c>
      <c r="E12" s="51">
        <f>SUMIFS(inc_fact,inc_year,A12,inc_month,B12)</f>
        <v/>
      </c>
      <c r="F12" s="52">
        <f>IF(D12=0,"",E12/D12)</f>
        <v/>
      </c>
      <c r="G12" s="50">
        <f>SUMIFS(exp_plan,exp_year,A12,exp_month,B12,exp_status,"&lt;&gt;❌ Отменено")</f>
        <v/>
      </c>
      <c r="H12" s="51">
        <f>SUMIFS(exp_fact,exp_year,A12,exp_month,B12)</f>
        <v/>
      </c>
      <c r="I12" s="52">
        <f>IF(G12=0,"",H12/G12)</f>
        <v/>
      </c>
      <c r="J12" s="50">
        <f>D12-G12</f>
        <v/>
      </c>
      <c r="K12" s="51">
        <f>E12-H12</f>
        <v/>
      </c>
      <c r="L12" s="50">
        <f>L11+J12</f>
        <v/>
      </c>
      <c r="M12" s="51">
        <f>M11+K12</f>
        <v/>
      </c>
      <c r="N12" s="51">
        <f>SUMIFS(exp_fact,exp_year,A12,exp_month,B12,exp_cat,"🏦 Накопление")</f>
        <v/>
      </c>
    </row>
    <row r="13">
      <c r="A13" s="48" t="n">
        <v>2026</v>
      </c>
      <c r="B13" s="49" t="inlineStr">
        <is>
          <t>Сентябрь</t>
        </is>
      </c>
      <c r="C13" s="49">
        <f>LEFT(B13,3)&amp;" "&amp;RIGHT(A13,2)</f>
        <v/>
      </c>
      <c r="D13" s="50">
        <f>SUMIFS(inc_plan,inc_year,A13,inc_month,B13,inc_status,"&lt;&gt;❌ Не получено")</f>
        <v/>
      </c>
      <c r="E13" s="51">
        <f>SUMIFS(inc_fact,inc_year,A13,inc_month,B13)</f>
        <v/>
      </c>
      <c r="F13" s="52">
        <f>IF(D13=0,"",E13/D13)</f>
        <v/>
      </c>
      <c r="G13" s="50">
        <f>SUMIFS(exp_plan,exp_year,A13,exp_month,B13,exp_status,"&lt;&gt;❌ Отменено")</f>
        <v/>
      </c>
      <c r="H13" s="51">
        <f>SUMIFS(exp_fact,exp_year,A13,exp_month,B13)</f>
        <v/>
      </c>
      <c r="I13" s="52">
        <f>IF(G13=0,"",H13/G13)</f>
        <v/>
      </c>
      <c r="J13" s="50">
        <f>D13-G13</f>
        <v/>
      </c>
      <c r="K13" s="51">
        <f>E13-H13</f>
        <v/>
      </c>
      <c r="L13" s="50">
        <f>L12+J13</f>
        <v/>
      </c>
      <c r="M13" s="51">
        <f>M12+K13</f>
        <v/>
      </c>
      <c r="N13" s="51">
        <f>SUMIFS(exp_fact,exp_year,A13,exp_month,B13,exp_cat,"🏦 Накопление")</f>
        <v/>
      </c>
    </row>
    <row r="14">
      <c r="A14" s="48" t="n">
        <v>2026</v>
      </c>
      <c r="B14" s="49" t="inlineStr">
        <is>
          <t>Октябрь</t>
        </is>
      </c>
      <c r="C14" s="49">
        <f>LEFT(B14,3)&amp;" "&amp;RIGHT(A14,2)</f>
        <v/>
      </c>
      <c r="D14" s="50">
        <f>SUMIFS(inc_plan,inc_year,A14,inc_month,B14,inc_status,"&lt;&gt;❌ Не получено")</f>
        <v/>
      </c>
      <c r="E14" s="51">
        <f>SUMIFS(inc_fact,inc_year,A14,inc_month,B14)</f>
        <v/>
      </c>
      <c r="F14" s="52">
        <f>IF(D14=0,"",E14/D14)</f>
        <v/>
      </c>
      <c r="G14" s="50">
        <f>SUMIFS(exp_plan,exp_year,A14,exp_month,B14,exp_status,"&lt;&gt;❌ Отменено")</f>
        <v/>
      </c>
      <c r="H14" s="51">
        <f>SUMIFS(exp_fact,exp_year,A14,exp_month,B14)</f>
        <v/>
      </c>
      <c r="I14" s="52">
        <f>IF(G14=0,"",H14/G14)</f>
        <v/>
      </c>
      <c r="J14" s="50">
        <f>D14-G14</f>
        <v/>
      </c>
      <c r="K14" s="51">
        <f>E14-H14</f>
        <v/>
      </c>
      <c r="L14" s="50">
        <f>L13+J14</f>
        <v/>
      </c>
      <c r="M14" s="51">
        <f>M13+K14</f>
        <v/>
      </c>
      <c r="N14" s="51">
        <f>SUMIFS(exp_fact,exp_year,A14,exp_month,B14,exp_cat,"🏦 Накопление")</f>
        <v/>
      </c>
    </row>
    <row r="15">
      <c r="A15" s="48" t="n">
        <v>2026</v>
      </c>
      <c r="B15" s="49" t="inlineStr">
        <is>
          <t>Ноябрь</t>
        </is>
      </c>
      <c r="C15" s="49">
        <f>LEFT(B15,3)&amp;" "&amp;RIGHT(A15,2)</f>
        <v/>
      </c>
      <c r="D15" s="50">
        <f>SUMIFS(inc_plan,inc_year,A15,inc_month,B15,inc_status,"&lt;&gt;❌ Не получено")</f>
        <v/>
      </c>
      <c r="E15" s="51">
        <f>SUMIFS(inc_fact,inc_year,A15,inc_month,B15)</f>
        <v/>
      </c>
      <c r="F15" s="52">
        <f>IF(D15=0,"",E15/D15)</f>
        <v/>
      </c>
      <c r="G15" s="50">
        <f>SUMIFS(exp_plan,exp_year,A15,exp_month,B15,exp_status,"&lt;&gt;❌ Отменено")</f>
        <v/>
      </c>
      <c r="H15" s="51">
        <f>SUMIFS(exp_fact,exp_year,A15,exp_month,B15)</f>
        <v/>
      </c>
      <c r="I15" s="52">
        <f>IF(G15=0,"",H15/G15)</f>
        <v/>
      </c>
      <c r="J15" s="50">
        <f>D15-G15</f>
        <v/>
      </c>
      <c r="K15" s="51">
        <f>E15-H15</f>
        <v/>
      </c>
      <c r="L15" s="50">
        <f>L14+J15</f>
        <v/>
      </c>
      <c r="M15" s="51">
        <f>M14+K15</f>
        <v/>
      </c>
      <c r="N15" s="51">
        <f>SUMIFS(exp_fact,exp_year,A15,exp_month,B15,exp_cat,"🏦 Накопление")</f>
        <v/>
      </c>
    </row>
    <row r="16">
      <c r="A16" s="48" t="n">
        <v>2026</v>
      </c>
      <c r="B16" s="49" t="inlineStr">
        <is>
          <t>Декабрь</t>
        </is>
      </c>
      <c r="C16" s="49">
        <f>LEFT(B16,3)&amp;" "&amp;RIGHT(A16,2)</f>
        <v/>
      </c>
      <c r="D16" s="50">
        <f>SUMIFS(inc_plan,inc_year,A16,inc_month,B16,inc_status,"&lt;&gt;❌ Не получено")</f>
        <v/>
      </c>
      <c r="E16" s="51">
        <f>SUMIFS(inc_fact,inc_year,A16,inc_month,B16)</f>
        <v/>
      </c>
      <c r="F16" s="52">
        <f>IF(D16=0,"",E16/D16)</f>
        <v/>
      </c>
      <c r="G16" s="50">
        <f>SUMIFS(exp_plan,exp_year,A16,exp_month,B16,exp_status,"&lt;&gt;❌ Отменено")</f>
        <v/>
      </c>
      <c r="H16" s="51">
        <f>SUMIFS(exp_fact,exp_year,A16,exp_month,B16)</f>
        <v/>
      </c>
      <c r="I16" s="52">
        <f>IF(G16=0,"",H16/G16)</f>
        <v/>
      </c>
      <c r="J16" s="50">
        <f>D16-G16</f>
        <v/>
      </c>
      <c r="K16" s="51">
        <f>E16-H16</f>
        <v/>
      </c>
      <c r="L16" s="50">
        <f>L15+J16</f>
        <v/>
      </c>
      <c r="M16" s="51">
        <f>M15+K16</f>
        <v/>
      </c>
      <c r="N16" s="51">
        <f>SUMIFS(exp_fact,exp_year,A16,exp_month,B16,exp_cat,"🏦 Накопление")</f>
        <v/>
      </c>
    </row>
    <row r="17">
      <c r="A17" s="53" t="n">
        <v>2027</v>
      </c>
      <c r="B17" s="54" t="inlineStr">
        <is>
          <t>Январь</t>
        </is>
      </c>
      <c r="C17" s="54">
        <f>LEFT(B17,3)&amp;" "&amp;RIGHT(A17,2)</f>
        <v/>
      </c>
      <c r="D17" s="55">
        <f>SUMIFS(inc_plan,inc_year,A17,inc_month,B17,inc_status,"&lt;&gt;❌ Не получено")</f>
        <v/>
      </c>
      <c r="E17" s="56">
        <f>SUMIFS(inc_fact,inc_year,A17,inc_month,B17)</f>
        <v/>
      </c>
      <c r="F17" s="57">
        <f>IF(D17=0,"",E17/D17)</f>
        <v/>
      </c>
      <c r="G17" s="55">
        <f>SUMIFS(exp_plan,exp_year,A17,exp_month,B17,exp_status,"&lt;&gt;❌ Отменено")</f>
        <v/>
      </c>
      <c r="H17" s="56">
        <f>SUMIFS(exp_fact,exp_year,A17,exp_month,B17)</f>
        <v/>
      </c>
      <c r="I17" s="57">
        <f>IF(G17=0,"",H17/G17)</f>
        <v/>
      </c>
      <c r="J17" s="55">
        <f>D17-G17</f>
        <v/>
      </c>
      <c r="K17" s="56">
        <f>E17-H17</f>
        <v/>
      </c>
      <c r="L17" s="55">
        <f>L16+J17</f>
        <v/>
      </c>
      <c r="M17" s="56">
        <f>M16+K17</f>
        <v/>
      </c>
      <c r="N17" s="56">
        <f>SUMIFS(exp_fact,exp_year,A17,exp_month,B17,exp_cat,"🏦 Накопление")</f>
        <v/>
      </c>
    </row>
    <row r="18">
      <c r="A18" s="48" t="n">
        <v>2027</v>
      </c>
      <c r="B18" s="49" t="inlineStr">
        <is>
          <t>Февраль</t>
        </is>
      </c>
      <c r="C18" s="49">
        <f>LEFT(B18,3)&amp;" "&amp;RIGHT(A18,2)</f>
        <v/>
      </c>
      <c r="D18" s="50">
        <f>SUMIFS(inc_plan,inc_year,A18,inc_month,B18,inc_status,"&lt;&gt;❌ Не получено")</f>
        <v/>
      </c>
      <c r="E18" s="51">
        <f>SUMIFS(inc_fact,inc_year,A18,inc_month,B18)</f>
        <v/>
      </c>
      <c r="F18" s="52">
        <f>IF(D18=0,"",E18/D18)</f>
        <v/>
      </c>
      <c r="G18" s="50">
        <f>SUMIFS(exp_plan,exp_year,A18,exp_month,B18,exp_status,"&lt;&gt;❌ Отменено")</f>
        <v/>
      </c>
      <c r="H18" s="51">
        <f>SUMIFS(exp_fact,exp_year,A18,exp_month,B18)</f>
        <v/>
      </c>
      <c r="I18" s="52">
        <f>IF(G18=0,"",H18/G18)</f>
        <v/>
      </c>
      <c r="J18" s="50">
        <f>D18-G18</f>
        <v/>
      </c>
      <c r="K18" s="51">
        <f>E18-H18</f>
        <v/>
      </c>
      <c r="L18" s="50">
        <f>L17+J18</f>
        <v/>
      </c>
      <c r="M18" s="51">
        <f>M17+K18</f>
        <v/>
      </c>
      <c r="N18" s="51">
        <f>SUMIFS(exp_fact,exp_year,A18,exp_month,B18,exp_cat,"🏦 Накопление")</f>
        <v/>
      </c>
    </row>
    <row r="19">
      <c r="A19" s="48" t="n">
        <v>2027</v>
      </c>
      <c r="B19" s="49" t="inlineStr">
        <is>
          <t>Март</t>
        </is>
      </c>
      <c r="C19" s="49">
        <f>LEFT(B19,3)&amp;" "&amp;RIGHT(A19,2)</f>
        <v/>
      </c>
      <c r="D19" s="50">
        <f>SUMIFS(inc_plan,inc_year,A19,inc_month,B19,inc_status,"&lt;&gt;❌ Не получено")</f>
        <v/>
      </c>
      <c r="E19" s="51">
        <f>SUMIFS(inc_fact,inc_year,A19,inc_month,B19)</f>
        <v/>
      </c>
      <c r="F19" s="52">
        <f>IF(D19=0,"",E19/D19)</f>
        <v/>
      </c>
      <c r="G19" s="50">
        <f>SUMIFS(exp_plan,exp_year,A19,exp_month,B19,exp_status,"&lt;&gt;❌ Отменено")</f>
        <v/>
      </c>
      <c r="H19" s="51">
        <f>SUMIFS(exp_fact,exp_year,A19,exp_month,B19)</f>
        <v/>
      </c>
      <c r="I19" s="52">
        <f>IF(G19=0,"",H19/G19)</f>
        <v/>
      </c>
      <c r="J19" s="50">
        <f>D19-G19</f>
        <v/>
      </c>
      <c r="K19" s="51">
        <f>E19-H19</f>
        <v/>
      </c>
      <c r="L19" s="50">
        <f>L18+J19</f>
        <v/>
      </c>
      <c r="M19" s="51">
        <f>M18+K19</f>
        <v/>
      </c>
      <c r="N19" s="51">
        <f>SUMIFS(exp_fact,exp_year,A19,exp_month,B19,exp_cat,"🏦 Накопление")</f>
        <v/>
      </c>
    </row>
    <row r="20">
      <c r="A20" s="48" t="n">
        <v>2027</v>
      </c>
      <c r="B20" s="49" t="inlineStr">
        <is>
          <t>Апрель</t>
        </is>
      </c>
      <c r="C20" s="49">
        <f>LEFT(B20,3)&amp;" "&amp;RIGHT(A20,2)</f>
        <v/>
      </c>
      <c r="D20" s="50">
        <f>SUMIFS(inc_plan,inc_year,A20,inc_month,B20,inc_status,"&lt;&gt;❌ Не получено")</f>
        <v/>
      </c>
      <c r="E20" s="51">
        <f>SUMIFS(inc_fact,inc_year,A20,inc_month,B20)</f>
        <v/>
      </c>
      <c r="F20" s="52">
        <f>IF(D20=0,"",E20/D20)</f>
        <v/>
      </c>
      <c r="G20" s="50">
        <f>SUMIFS(exp_plan,exp_year,A20,exp_month,B20,exp_status,"&lt;&gt;❌ Отменено")</f>
        <v/>
      </c>
      <c r="H20" s="51">
        <f>SUMIFS(exp_fact,exp_year,A20,exp_month,B20)</f>
        <v/>
      </c>
      <c r="I20" s="52">
        <f>IF(G20=0,"",H20/G20)</f>
        <v/>
      </c>
      <c r="J20" s="50">
        <f>D20-G20</f>
        <v/>
      </c>
      <c r="K20" s="51">
        <f>E20-H20</f>
        <v/>
      </c>
      <c r="L20" s="50">
        <f>L19+J20</f>
        <v/>
      </c>
      <c r="M20" s="51">
        <f>M19+K20</f>
        <v/>
      </c>
      <c r="N20" s="51">
        <f>SUMIFS(exp_fact,exp_year,A20,exp_month,B20,exp_cat,"🏦 Накопление")</f>
        <v/>
      </c>
    </row>
    <row r="21">
      <c r="A21" s="48" t="n">
        <v>2027</v>
      </c>
      <c r="B21" s="49" t="inlineStr">
        <is>
          <t>Май</t>
        </is>
      </c>
      <c r="C21" s="49">
        <f>LEFT(B21,3)&amp;" "&amp;RIGHT(A21,2)</f>
        <v/>
      </c>
      <c r="D21" s="50">
        <f>SUMIFS(inc_plan,inc_year,A21,inc_month,B21,inc_status,"&lt;&gt;❌ Не получено")</f>
        <v/>
      </c>
      <c r="E21" s="51">
        <f>SUMIFS(inc_fact,inc_year,A21,inc_month,B21)</f>
        <v/>
      </c>
      <c r="F21" s="52">
        <f>IF(D21=0,"",E21/D21)</f>
        <v/>
      </c>
      <c r="G21" s="50">
        <f>SUMIFS(exp_plan,exp_year,A21,exp_month,B21,exp_status,"&lt;&gt;❌ Отменено")</f>
        <v/>
      </c>
      <c r="H21" s="51">
        <f>SUMIFS(exp_fact,exp_year,A21,exp_month,B21)</f>
        <v/>
      </c>
      <c r="I21" s="52">
        <f>IF(G21=0,"",H21/G21)</f>
        <v/>
      </c>
      <c r="J21" s="50">
        <f>D21-G21</f>
        <v/>
      </c>
      <c r="K21" s="51">
        <f>E21-H21</f>
        <v/>
      </c>
      <c r="L21" s="50">
        <f>L20+J21</f>
        <v/>
      </c>
      <c r="M21" s="51">
        <f>M20+K21</f>
        <v/>
      </c>
      <c r="N21" s="51">
        <f>SUMIFS(exp_fact,exp_year,A21,exp_month,B21,exp_cat,"🏦 Накопление")</f>
        <v/>
      </c>
    </row>
    <row r="22">
      <c r="A22" s="48" t="n">
        <v>2027</v>
      </c>
      <c r="B22" s="49" t="inlineStr">
        <is>
          <t>Июнь</t>
        </is>
      </c>
      <c r="C22" s="49">
        <f>LEFT(B22,3)&amp;" "&amp;RIGHT(A22,2)</f>
        <v/>
      </c>
      <c r="D22" s="50">
        <f>SUMIFS(inc_plan,inc_year,A22,inc_month,B22,inc_status,"&lt;&gt;❌ Не получено")</f>
        <v/>
      </c>
      <c r="E22" s="51">
        <f>SUMIFS(inc_fact,inc_year,A22,inc_month,B22)</f>
        <v/>
      </c>
      <c r="F22" s="52">
        <f>IF(D22=0,"",E22/D22)</f>
        <v/>
      </c>
      <c r="G22" s="50">
        <f>SUMIFS(exp_plan,exp_year,A22,exp_month,B22,exp_status,"&lt;&gt;❌ Отменено")</f>
        <v/>
      </c>
      <c r="H22" s="51">
        <f>SUMIFS(exp_fact,exp_year,A22,exp_month,B22)</f>
        <v/>
      </c>
      <c r="I22" s="52">
        <f>IF(G22=0,"",H22/G22)</f>
        <v/>
      </c>
      <c r="J22" s="50">
        <f>D22-G22</f>
        <v/>
      </c>
      <c r="K22" s="51">
        <f>E22-H22</f>
        <v/>
      </c>
      <c r="L22" s="50">
        <f>L21+J22</f>
        <v/>
      </c>
      <c r="M22" s="51">
        <f>M21+K22</f>
        <v/>
      </c>
      <c r="N22" s="51">
        <f>SUMIFS(exp_fact,exp_year,A22,exp_month,B22,exp_cat,"🏦 Накопление")</f>
        <v/>
      </c>
    </row>
    <row r="23">
      <c r="A23" s="48" t="n">
        <v>2027</v>
      </c>
      <c r="B23" s="49" t="inlineStr">
        <is>
          <t>Июль</t>
        </is>
      </c>
      <c r="C23" s="49">
        <f>LEFT(B23,3)&amp;" "&amp;RIGHT(A23,2)</f>
        <v/>
      </c>
      <c r="D23" s="50">
        <f>SUMIFS(inc_plan,inc_year,A23,inc_month,B23,inc_status,"&lt;&gt;❌ Не получено")</f>
        <v/>
      </c>
      <c r="E23" s="51">
        <f>SUMIFS(inc_fact,inc_year,A23,inc_month,B23)</f>
        <v/>
      </c>
      <c r="F23" s="52">
        <f>IF(D23=0,"",E23/D23)</f>
        <v/>
      </c>
      <c r="G23" s="50">
        <f>SUMIFS(exp_plan,exp_year,A23,exp_month,B23,exp_status,"&lt;&gt;❌ Отменено")</f>
        <v/>
      </c>
      <c r="H23" s="51">
        <f>SUMIFS(exp_fact,exp_year,A23,exp_month,B23)</f>
        <v/>
      </c>
      <c r="I23" s="52">
        <f>IF(G23=0,"",H23/G23)</f>
        <v/>
      </c>
      <c r="J23" s="50">
        <f>D23-G23</f>
        <v/>
      </c>
      <c r="K23" s="51">
        <f>E23-H23</f>
        <v/>
      </c>
      <c r="L23" s="50">
        <f>L22+J23</f>
        <v/>
      </c>
      <c r="M23" s="51">
        <f>M22+K23</f>
        <v/>
      </c>
      <c r="N23" s="51">
        <f>SUMIFS(exp_fact,exp_year,A23,exp_month,B23,exp_cat,"🏦 Накопление")</f>
        <v/>
      </c>
    </row>
    <row r="24">
      <c r="A24" s="48" t="n">
        <v>2027</v>
      </c>
      <c r="B24" s="49" t="inlineStr">
        <is>
          <t>Август</t>
        </is>
      </c>
      <c r="C24" s="49">
        <f>LEFT(B24,3)&amp;" "&amp;RIGHT(A24,2)</f>
        <v/>
      </c>
      <c r="D24" s="50">
        <f>SUMIFS(inc_plan,inc_year,A24,inc_month,B24,inc_status,"&lt;&gt;❌ Не получено")</f>
        <v/>
      </c>
      <c r="E24" s="51">
        <f>SUMIFS(inc_fact,inc_year,A24,inc_month,B24)</f>
        <v/>
      </c>
      <c r="F24" s="52">
        <f>IF(D24=0,"",E24/D24)</f>
        <v/>
      </c>
      <c r="G24" s="50">
        <f>SUMIFS(exp_plan,exp_year,A24,exp_month,B24,exp_status,"&lt;&gt;❌ Отменено")</f>
        <v/>
      </c>
      <c r="H24" s="51">
        <f>SUMIFS(exp_fact,exp_year,A24,exp_month,B24)</f>
        <v/>
      </c>
      <c r="I24" s="52">
        <f>IF(G24=0,"",H24/G24)</f>
        <v/>
      </c>
      <c r="J24" s="50">
        <f>D24-G24</f>
        <v/>
      </c>
      <c r="K24" s="51">
        <f>E24-H24</f>
        <v/>
      </c>
      <c r="L24" s="50">
        <f>L23+J24</f>
        <v/>
      </c>
      <c r="M24" s="51">
        <f>M23+K24</f>
        <v/>
      </c>
      <c r="N24" s="51">
        <f>SUMIFS(exp_fact,exp_year,A24,exp_month,B24,exp_cat,"🏦 Накопление")</f>
        <v/>
      </c>
    </row>
    <row r="25">
      <c r="A25" s="48" t="n">
        <v>2027</v>
      </c>
      <c r="B25" s="49" t="inlineStr">
        <is>
          <t>Сентябрь</t>
        </is>
      </c>
      <c r="C25" s="49">
        <f>LEFT(B25,3)&amp;" "&amp;RIGHT(A25,2)</f>
        <v/>
      </c>
      <c r="D25" s="50">
        <f>SUMIFS(inc_plan,inc_year,A25,inc_month,B25,inc_status,"&lt;&gt;❌ Не получено")</f>
        <v/>
      </c>
      <c r="E25" s="51">
        <f>SUMIFS(inc_fact,inc_year,A25,inc_month,B25)</f>
        <v/>
      </c>
      <c r="F25" s="52">
        <f>IF(D25=0,"",E25/D25)</f>
        <v/>
      </c>
      <c r="G25" s="50">
        <f>SUMIFS(exp_plan,exp_year,A25,exp_month,B25,exp_status,"&lt;&gt;❌ Отменено")</f>
        <v/>
      </c>
      <c r="H25" s="51">
        <f>SUMIFS(exp_fact,exp_year,A25,exp_month,B25)</f>
        <v/>
      </c>
      <c r="I25" s="52">
        <f>IF(G25=0,"",H25/G25)</f>
        <v/>
      </c>
      <c r="J25" s="50">
        <f>D25-G25</f>
        <v/>
      </c>
      <c r="K25" s="51">
        <f>E25-H25</f>
        <v/>
      </c>
      <c r="L25" s="50">
        <f>L24+J25</f>
        <v/>
      </c>
      <c r="M25" s="51">
        <f>M24+K25</f>
        <v/>
      </c>
      <c r="N25" s="51">
        <f>SUMIFS(exp_fact,exp_year,A25,exp_month,B25,exp_cat,"🏦 Накопление")</f>
        <v/>
      </c>
    </row>
    <row r="26">
      <c r="A26" s="48" t="n">
        <v>2027</v>
      </c>
      <c r="B26" s="49" t="inlineStr">
        <is>
          <t>Октябрь</t>
        </is>
      </c>
      <c r="C26" s="49">
        <f>LEFT(B26,3)&amp;" "&amp;RIGHT(A26,2)</f>
        <v/>
      </c>
      <c r="D26" s="50">
        <f>SUMIFS(inc_plan,inc_year,A26,inc_month,B26,inc_status,"&lt;&gt;❌ Не получено")</f>
        <v/>
      </c>
      <c r="E26" s="51">
        <f>SUMIFS(inc_fact,inc_year,A26,inc_month,B26)</f>
        <v/>
      </c>
      <c r="F26" s="52">
        <f>IF(D26=0,"",E26/D26)</f>
        <v/>
      </c>
      <c r="G26" s="50">
        <f>SUMIFS(exp_plan,exp_year,A26,exp_month,B26,exp_status,"&lt;&gt;❌ Отменено")</f>
        <v/>
      </c>
      <c r="H26" s="51">
        <f>SUMIFS(exp_fact,exp_year,A26,exp_month,B26)</f>
        <v/>
      </c>
      <c r="I26" s="52">
        <f>IF(G26=0,"",H26/G26)</f>
        <v/>
      </c>
      <c r="J26" s="50">
        <f>D26-G26</f>
        <v/>
      </c>
      <c r="K26" s="51">
        <f>E26-H26</f>
        <v/>
      </c>
      <c r="L26" s="50">
        <f>L25+J26</f>
        <v/>
      </c>
      <c r="M26" s="51">
        <f>M25+K26</f>
        <v/>
      </c>
      <c r="N26" s="51">
        <f>SUMIFS(exp_fact,exp_year,A26,exp_month,B26,exp_cat,"🏦 Накопление")</f>
        <v/>
      </c>
    </row>
    <row r="27">
      <c r="A27" s="48" t="n">
        <v>2027</v>
      </c>
      <c r="B27" s="49" t="inlineStr">
        <is>
          <t>Ноябрь</t>
        </is>
      </c>
      <c r="C27" s="49">
        <f>LEFT(B27,3)&amp;" "&amp;RIGHT(A27,2)</f>
        <v/>
      </c>
      <c r="D27" s="50">
        <f>SUMIFS(inc_plan,inc_year,A27,inc_month,B27,inc_status,"&lt;&gt;❌ Не получено")</f>
        <v/>
      </c>
      <c r="E27" s="51">
        <f>SUMIFS(inc_fact,inc_year,A27,inc_month,B27)</f>
        <v/>
      </c>
      <c r="F27" s="52">
        <f>IF(D27=0,"",E27/D27)</f>
        <v/>
      </c>
      <c r="G27" s="50">
        <f>SUMIFS(exp_plan,exp_year,A27,exp_month,B27,exp_status,"&lt;&gt;❌ Отменено")</f>
        <v/>
      </c>
      <c r="H27" s="51">
        <f>SUMIFS(exp_fact,exp_year,A27,exp_month,B27)</f>
        <v/>
      </c>
      <c r="I27" s="52">
        <f>IF(G27=0,"",H27/G27)</f>
        <v/>
      </c>
      <c r="J27" s="50">
        <f>D27-G27</f>
        <v/>
      </c>
      <c r="K27" s="51">
        <f>E27-H27</f>
        <v/>
      </c>
      <c r="L27" s="50">
        <f>L26+J27</f>
        <v/>
      </c>
      <c r="M27" s="51">
        <f>M26+K27</f>
        <v/>
      </c>
      <c r="N27" s="51">
        <f>SUMIFS(exp_fact,exp_year,A27,exp_month,B27,exp_cat,"🏦 Накопление")</f>
        <v/>
      </c>
    </row>
    <row r="28">
      <c r="A28" s="48" t="n">
        <v>2027</v>
      </c>
      <c r="B28" s="49" t="inlineStr">
        <is>
          <t>Декабрь</t>
        </is>
      </c>
      <c r="C28" s="49">
        <f>LEFT(B28,3)&amp;" "&amp;RIGHT(A28,2)</f>
        <v/>
      </c>
      <c r="D28" s="50">
        <f>SUMIFS(inc_plan,inc_year,A28,inc_month,B28,inc_status,"&lt;&gt;❌ Не получено")</f>
        <v/>
      </c>
      <c r="E28" s="51">
        <f>SUMIFS(inc_fact,inc_year,A28,inc_month,B28)</f>
        <v/>
      </c>
      <c r="F28" s="52">
        <f>IF(D28=0,"",E28/D28)</f>
        <v/>
      </c>
      <c r="G28" s="50">
        <f>SUMIFS(exp_plan,exp_year,A28,exp_month,B28,exp_status,"&lt;&gt;❌ Отменено")</f>
        <v/>
      </c>
      <c r="H28" s="51">
        <f>SUMIFS(exp_fact,exp_year,A28,exp_month,B28)</f>
        <v/>
      </c>
      <c r="I28" s="52">
        <f>IF(G28=0,"",H28/G28)</f>
        <v/>
      </c>
      <c r="J28" s="50">
        <f>D28-G28</f>
        <v/>
      </c>
      <c r="K28" s="51">
        <f>E28-H28</f>
        <v/>
      </c>
      <c r="L28" s="50">
        <f>L27+J28</f>
        <v/>
      </c>
      <c r="M28" s="51">
        <f>M27+K28</f>
        <v/>
      </c>
      <c r="N28" s="51">
        <f>SUMIFS(exp_fact,exp_year,A28,exp_month,B28,exp_cat,"🏦 Накопление")</f>
        <v/>
      </c>
    </row>
    <row r="29">
      <c r="A29" s="53" t="n">
        <v>2028</v>
      </c>
      <c r="B29" s="54" t="inlineStr">
        <is>
          <t>Январь</t>
        </is>
      </c>
      <c r="C29" s="54">
        <f>LEFT(B29,3)&amp;" "&amp;RIGHT(A29,2)</f>
        <v/>
      </c>
      <c r="D29" s="55">
        <f>SUMIFS(inc_plan,inc_year,A29,inc_month,B29,inc_status,"&lt;&gt;❌ Не получено")</f>
        <v/>
      </c>
      <c r="E29" s="56">
        <f>SUMIFS(inc_fact,inc_year,A29,inc_month,B29)</f>
        <v/>
      </c>
      <c r="F29" s="57">
        <f>IF(D29=0,"",E29/D29)</f>
        <v/>
      </c>
      <c r="G29" s="55">
        <f>SUMIFS(exp_plan,exp_year,A29,exp_month,B29,exp_status,"&lt;&gt;❌ Отменено")</f>
        <v/>
      </c>
      <c r="H29" s="56">
        <f>SUMIFS(exp_fact,exp_year,A29,exp_month,B29)</f>
        <v/>
      </c>
      <c r="I29" s="57">
        <f>IF(G29=0,"",H29/G29)</f>
        <v/>
      </c>
      <c r="J29" s="55">
        <f>D29-G29</f>
        <v/>
      </c>
      <c r="K29" s="56">
        <f>E29-H29</f>
        <v/>
      </c>
      <c r="L29" s="55">
        <f>L28+J29</f>
        <v/>
      </c>
      <c r="M29" s="56">
        <f>M28+K29</f>
        <v/>
      </c>
      <c r="N29" s="56">
        <f>SUMIFS(exp_fact,exp_year,A29,exp_month,B29,exp_cat,"🏦 Накопление")</f>
        <v/>
      </c>
    </row>
    <row r="30">
      <c r="A30" s="48" t="n">
        <v>2028</v>
      </c>
      <c r="B30" s="49" t="inlineStr">
        <is>
          <t>Февраль</t>
        </is>
      </c>
      <c r="C30" s="49">
        <f>LEFT(B30,3)&amp;" "&amp;RIGHT(A30,2)</f>
        <v/>
      </c>
      <c r="D30" s="50">
        <f>SUMIFS(inc_plan,inc_year,A30,inc_month,B30,inc_status,"&lt;&gt;❌ Не получено")</f>
        <v/>
      </c>
      <c r="E30" s="51">
        <f>SUMIFS(inc_fact,inc_year,A30,inc_month,B30)</f>
        <v/>
      </c>
      <c r="F30" s="52">
        <f>IF(D30=0,"",E30/D30)</f>
        <v/>
      </c>
      <c r="G30" s="50">
        <f>SUMIFS(exp_plan,exp_year,A30,exp_month,B30,exp_status,"&lt;&gt;❌ Отменено")</f>
        <v/>
      </c>
      <c r="H30" s="51">
        <f>SUMIFS(exp_fact,exp_year,A30,exp_month,B30)</f>
        <v/>
      </c>
      <c r="I30" s="52">
        <f>IF(G30=0,"",H30/G30)</f>
        <v/>
      </c>
      <c r="J30" s="50">
        <f>D30-G30</f>
        <v/>
      </c>
      <c r="K30" s="51">
        <f>E30-H30</f>
        <v/>
      </c>
      <c r="L30" s="50">
        <f>L29+J30</f>
        <v/>
      </c>
      <c r="M30" s="51">
        <f>M29+K30</f>
        <v/>
      </c>
      <c r="N30" s="51">
        <f>SUMIFS(exp_fact,exp_year,A30,exp_month,B30,exp_cat,"🏦 Накопление")</f>
        <v/>
      </c>
    </row>
    <row r="31">
      <c r="A31" s="48" t="n">
        <v>2028</v>
      </c>
      <c r="B31" s="49" t="inlineStr">
        <is>
          <t>Март</t>
        </is>
      </c>
      <c r="C31" s="49">
        <f>LEFT(B31,3)&amp;" "&amp;RIGHT(A31,2)</f>
        <v/>
      </c>
      <c r="D31" s="50">
        <f>SUMIFS(inc_plan,inc_year,A31,inc_month,B31,inc_status,"&lt;&gt;❌ Не получено")</f>
        <v/>
      </c>
      <c r="E31" s="51">
        <f>SUMIFS(inc_fact,inc_year,A31,inc_month,B31)</f>
        <v/>
      </c>
      <c r="F31" s="52">
        <f>IF(D31=0,"",E31/D31)</f>
        <v/>
      </c>
      <c r="G31" s="50">
        <f>SUMIFS(exp_plan,exp_year,A31,exp_month,B31,exp_status,"&lt;&gt;❌ Отменено")</f>
        <v/>
      </c>
      <c r="H31" s="51">
        <f>SUMIFS(exp_fact,exp_year,A31,exp_month,B31)</f>
        <v/>
      </c>
      <c r="I31" s="52">
        <f>IF(G31=0,"",H31/G31)</f>
        <v/>
      </c>
      <c r="J31" s="50">
        <f>D31-G31</f>
        <v/>
      </c>
      <c r="K31" s="51">
        <f>E31-H31</f>
        <v/>
      </c>
      <c r="L31" s="50">
        <f>L30+J31</f>
        <v/>
      </c>
      <c r="M31" s="51">
        <f>M30+K31</f>
        <v/>
      </c>
      <c r="N31" s="51">
        <f>SUMIFS(exp_fact,exp_year,A31,exp_month,B31,exp_cat,"🏦 Накопление")</f>
        <v/>
      </c>
    </row>
    <row r="32">
      <c r="A32" s="48" t="n">
        <v>2028</v>
      </c>
      <c r="B32" s="49" t="inlineStr">
        <is>
          <t>Апрель</t>
        </is>
      </c>
      <c r="C32" s="49">
        <f>LEFT(B32,3)&amp;" "&amp;RIGHT(A32,2)</f>
        <v/>
      </c>
      <c r="D32" s="50">
        <f>SUMIFS(inc_plan,inc_year,A32,inc_month,B32,inc_status,"&lt;&gt;❌ Не получено")</f>
        <v/>
      </c>
      <c r="E32" s="51">
        <f>SUMIFS(inc_fact,inc_year,A32,inc_month,B32)</f>
        <v/>
      </c>
      <c r="F32" s="52">
        <f>IF(D32=0,"",E32/D32)</f>
        <v/>
      </c>
      <c r="G32" s="50">
        <f>SUMIFS(exp_plan,exp_year,A32,exp_month,B32,exp_status,"&lt;&gt;❌ Отменено")</f>
        <v/>
      </c>
      <c r="H32" s="51">
        <f>SUMIFS(exp_fact,exp_year,A32,exp_month,B32)</f>
        <v/>
      </c>
      <c r="I32" s="52">
        <f>IF(G32=0,"",H32/G32)</f>
        <v/>
      </c>
      <c r="J32" s="50">
        <f>D32-G32</f>
        <v/>
      </c>
      <c r="K32" s="51">
        <f>E32-H32</f>
        <v/>
      </c>
      <c r="L32" s="50">
        <f>L31+J32</f>
        <v/>
      </c>
      <c r="M32" s="51">
        <f>M31+K32</f>
        <v/>
      </c>
      <c r="N32" s="51">
        <f>SUMIFS(exp_fact,exp_year,A32,exp_month,B32,exp_cat,"🏦 Накопление")</f>
        <v/>
      </c>
    </row>
    <row r="33">
      <c r="A33" s="48" t="n">
        <v>2028</v>
      </c>
      <c r="B33" s="49" t="inlineStr">
        <is>
          <t>Май</t>
        </is>
      </c>
      <c r="C33" s="49">
        <f>LEFT(B33,3)&amp;" "&amp;RIGHT(A33,2)</f>
        <v/>
      </c>
      <c r="D33" s="50">
        <f>SUMIFS(inc_plan,inc_year,A33,inc_month,B33,inc_status,"&lt;&gt;❌ Не получено")</f>
        <v/>
      </c>
      <c r="E33" s="51">
        <f>SUMIFS(inc_fact,inc_year,A33,inc_month,B33)</f>
        <v/>
      </c>
      <c r="F33" s="52">
        <f>IF(D33=0,"",E33/D33)</f>
        <v/>
      </c>
      <c r="G33" s="50">
        <f>SUMIFS(exp_plan,exp_year,A33,exp_month,B33,exp_status,"&lt;&gt;❌ Отменено")</f>
        <v/>
      </c>
      <c r="H33" s="51">
        <f>SUMIFS(exp_fact,exp_year,A33,exp_month,B33)</f>
        <v/>
      </c>
      <c r="I33" s="52">
        <f>IF(G33=0,"",H33/G33)</f>
        <v/>
      </c>
      <c r="J33" s="50">
        <f>D33-G33</f>
        <v/>
      </c>
      <c r="K33" s="51">
        <f>E33-H33</f>
        <v/>
      </c>
      <c r="L33" s="50">
        <f>L32+J33</f>
        <v/>
      </c>
      <c r="M33" s="51">
        <f>M32+K33</f>
        <v/>
      </c>
      <c r="N33" s="51">
        <f>SUMIFS(exp_fact,exp_year,A33,exp_month,B33,exp_cat,"🏦 Накопление")</f>
        <v/>
      </c>
    </row>
    <row r="34">
      <c r="A34" s="48" t="n">
        <v>2028</v>
      </c>
      <c r="B34" s="49" t="inlineStr">
        <is>
          <t>Июнь</t>
        </is>
      </c>
      <c r="C34" s="49">
        <f>LEFT(B34,3)&amp;" "&amp;RIGHT(A34,2)</f>
        <v/>
      </c>
      <c r="D34" s="50">
        <f>SUMIFS(inc_plan,inc_year,A34,inc_month,B34,inc_status,"&lt;&gt;❌ Не получено")</f>
        <v/>
      </c>
      <c r="E34" s="51">
        <f>SUMIFS(inc_fact,inc_year,A34,inc_month,B34)</f>
        <v/>
      </c>
      <c r="F34" s="52">
        <f>IF(D34=0,"",E34/D34)</f>
        <v/>
      </c>
      <c r="G34" s="50">
        <f>SUMIFS(exp_plan,exp_year,A34,exp_month,B34,exp_status,"&lt;&gt;❌ Отменено")</f>
        <v/>
      </c>
      <c r="H34" s="51">
        <f>SUMIFS(exp_fact,exp_year,A34,exp_month,B34)</f>
        <v/>
      </c>
      <c r="I34" s="52">
        <f>IF(G34=0,"",H34/G34)</f>
        <v/>
      </c>
      <c r="J34" s="50">
        <f>D34-G34</f>
        <v/>
      </c>
      <c r="K34" s="51">
        <f>E34-H34</f>
        <v/>
      </c>
      <c r="L34" s="50">
        <f>L33+J34</f>
        <v/>
      </c>
      <c r="M34" s="51">
        <f>M33+K34</f>
        <v/>
      </c>
      <c r="N34" s="51">
        <f>SUMIFS(exp_fact,exp_year,A34,exp_month,B34,exp_cat,"🏦 Накопление")</f>
        <v/>
      </c>
    </row>
    <row r="35">
      <c r="A35" s="48" t="n">
        <v>2028</v>
      </c>
      <c r="B35" s="49" t="inlineStr">
        <is>
          <t>Июль</t>
        </is>
      </c>
      <c r="C35" s="49">
        <f>LEFT(B35,3)&amp;" "&amp;RIGHT(A35,2)</f>
        <v/>
      </c>
      <c r="D35" s="50">
        <f>SUMIFS(inc_plan,inc_year,A35,inc_month,B35,inc_status,"&lt;&gt;❌ Не получено")</f>
        <v/>
      </c>
      <c r="E35" s="51">
        <f>SUMIFS(inc_fact,inc_year,A35,inc_month,B35)</f>
        <v/>
      </c>
      <c r="F35" s="52">
        <f>IF(D35=0,"",E35/D35)</f>
        <v/>
      </c>
      <c r="G35" s="50">
        <f>SUMIFS(exp_plan,exp_year,A35,exp_month,B35,exp_status,"&lt;&gt;❌ Отменено")</f>
        <v/>
      </c>
      <c r="H35" s="51">
        <f>SUMIFS(exp_fact,exp_year,A35,exp_month,B35)</f>
        <v/>
      </c>
      <c r="I35" s="52">
        <f>IF(G35=0,"",H35/G35)</f>
        <v/>
      </c>
      <c r="J35" s="50">
        <f>D35-G35</f>
        <v/>
      </c>
      <c r="K35" s="51">
        <f>E35-H35</f>
        <v/>
      </c>
      <c r="L35" s="50">
        <f>L34+J35</f>
        <v/>
      </c>
      <c r="M35" s="51">
        <f>M34+K35</f>
        <v/>
      </c>
      <c r="N35" s="51">
        <f>SUMIFS(exp_fact,exp_year,A35,exp_month,B35,exp_cat,"🏦 Накопление")</f>
        <v/>
      </c>
    </row>
    <row r="36">
      <c r="A36" s="48" t="n">
        <v>2028</v>
      </c>
      <c r="B36" s="49" t="inlineStr">
        <is>
          <t>Август</t>
        </is>
      </c>
      <c r="C36" s="49">
        <f>LEFT(B36,3)&amp;" "&amp;RIGHT(A36,2)</f>
        <v/>
      </c>
      <c r="D36" s="50">
        <f>SUMIFS(inc_plan,inc_year,A36,inc_month,B36,inc_status,"&lt;&gt;❌ Не получено")</f>
        <v/>
      </c>
      <c r="E36" s="51">
        <f>SUMIFS(inc_fact,inc_year,A36,inc_month,B36)</f>
        <v/>
      </c>
      <c r="F36" s="52">
        <f>IF(D36=0,"",E36/D36)</f>
        <v/>
      </c>
      <c r="G36" s="50">
        <f>SUMIFS(exp_plan,exp_year,A36,exp_month,B36,exp_status,"&lt;&gt;❌ Отменено")</f>
        <v/>
      </c>
      <c r="H36" s="51">
        <f>SUMIFS(exp_fact,exp_year,A36,exp_month,B36)</f>
        <v/>
      </c>
      <c r="I36" s="52">
        <f>IF(G36=0,"",H36/G36)</f>
        <v/>
      </c>
      <c r="J36" s="50">
        <f>D36-G36</f>
        <v/>
      </c>
      <c r="K36" s="51">
        <f>E36-H36</f>
        <v/>
      </c>
      <c r="L36" s="50">
        <f>L35+J36</f>
        <v/>
      </c>
      <c r="M36" s="51">
        <f>M35+K36</f>
        <v/>
      </c>
      <c r="N36" s="51">
        <f>SUMIFS(exp_fact,exp_year,A36,exp_month,B36,exp_cat,"🏦 Накопление")</f>
        <v/>
      </c>
    </row>
    <row r="37">
      <c r="A37" s="48" t="n">
        <v>2028</v>
      </c>
      <c r="B37" s="49" t="inlineStr">
        <is>
          <t>Сентябрь</t>
        </is>
      </c>
      <c r="C37" s="49">
        <f>LEFT(B37,3)&amp;" "&amp;RIGHT(A37,2)</f>
        <v/>
      </c>
      <c r="D37" s="50">
        <f>SUMIFS(inc_plan,inc_year,A37,inc_month,B37,inc_status,"&lt;&gt;❌ Не получено")</f>
        <v/>
      </c>
      <c r="E37" s="51">
        <f>SUMIFS(inc_fact,inc_year,A37,inc_month,B37)</f>
        <v/>
      </c>
      <c r="F37" s="52">
        <f>IF(D37=0,"",E37/D37)</f>
        <v/>
      </c>
      <c r="G37" s="50">
        <f>SUMIFS(exp_plan,exp_year,A37,exp_month,B37,exp_status,"&lt;&gt;❌ Отменено")</f>
        <v/>
      </c>
      <c r="H37" s="51">
        <f>SUMIFS(exp_fact,exp_year,A37,exp_month,B37)</f>
        <v/>
      </c>
      <c r="I37" s="52">
        <f>IF(G37=0,"",H37/G37)</f>
        <v/>
      </c>
      <c r="J37" s="50">
        <f>D37-G37</f>
        <v/>
      </c>
      <c r="K37" s="51">
        <f>E37-H37</f>
        <v/>
      </c>
      <c r="L37" s="50">
        <f>L36+J37</f>
        <v/>
      </c>
      <c r="M37" s="51">
        <f>M36+K37</f>
        <v/>
      </c>
      <c r="N37" s="51">
        <f>SUMIFS(exp_fact,exp_year,A37,exp_month,B37,exp_cat,"🏦 Накопление")</f>
        <v/>
      </c>
    </row>
    <row r="38">
      <c r="A38" s="48" t="n">
        <v>2028</v>
      </c>
      <c r="B38" s="49" t="inlineStr">
        <is>
          <t>Октябрь</t>
        </is>
      </c>
      <c r="C38" s="49">
        <f>LEFT(B38,3)&amp;" "&amp;RIGHT(A38,2)</f>
        <v/>
      </c>
      <c r="D38" s="50">
        <f>SUMIFS(inc_plan,inc_year,A38,inc_month,B38,inc_status,"&lt;&gt;❌ Не получено")</f>
        <v/>
      </c>
      <c r="E38" s="51">
        <f>SUMIFS(inc_fact,inc_year,A38,inc_month,B38)</f>
        <v/>
      </c>
      <c r="F38" s="52">
        <f>IF(D38=0,"",E38/D38)</f>
        <v/>
      </c>
      <c r="G38" s="50">
        <f>SUMIFS(exp_plan,exp_year,A38,exp_month,B38,exp_status,"&lt;&gt;❌ Отменено")</f>
        <v/>
      </c>
      <c r="H38" s="51">
        <f>SUMIFS(exp_fact,exp_year,A38,exp_month,B38)</f>
        <v/>
      </c>
      <c r="I38" s="52">
        <f>IF(G38=0,"",H38/G38)</f>
        <v/>
      </c>
      <c r="J38" s="50">
        <f>D38-G38</f>
        <v/>
      </c>
      <c r="K38" s="51">
        <f>E38-H38</f>
        <v/>
      </c>
      <c r="L38" s="50">
        <f>L37+J38</f>
        <v/>
      </c>
      <c r="M38" s="51">
        <f>M37+K38</f>
        <v/>
      </c>
      <c r="N38" s="51">
        <f>SUMIFS(exp_fact,exp_year,A38,exp_month,B38,exp_cat,"🏦 Накопление")</f>
        <v/>
      </c>
    </row>
    <row r="39">
      <c r="A39" s="48" t="n">
        <v>2028</v>
      </c>
      <c r="B39" s="49" t="inlineStr">
        <is>
          <t>Ноябрь</t>
        </is>
      </c>
      <c r="C39" s="49">
        <f>LEFT(B39,3)&amp;" "&amp;RIGHT(A39,2)</f>
        <v/>
      </c>
      <c r="D39" s="50">
        <f>SUMIFS(inc_plan,inc_year,A39,inc_month,B39,inc_status,"&lt;&gt;❌ Не получено")</f>
        <v/>
      </c>
      <c r="E39" s="51">
        <f>SUMIFS(inc_fact,inc_year,A39,inc_month,B39)</f>
        <v/>
      </c>
      <c r="F39" s="52">
        <f>IF(D39=0,"",E39/D39)</f>
        <v/>
      </c>
      <c r="G39" s="50">
        <f>SUMIFS(exp_plan,exp_year,A39,exp_month,B39,exp_status,"&lt;&gt;❌ Отменено")</f>
        <v/>
      </c>
      <c r="H39" s="51">
        <f>SUMIFS(exp_fact,exp_year,A39,exp_month,B39)</f>
        <v/>
      </c>
      <c r="I39" s="52">
        <f>IF(G39=0,"",H39/G39)</f>
        <v/>
      </c>
      <c r="J39" s="50">
        <f>D39-G39</f>
        <v/>
      </c>
      <c r="K39" s="51">
        <f>E39-H39</f>
        <v/>
      </c>
      <c r="L39" s="50">
        <f>L38+J39</f>
        <v/>
      </c>
      <c r="M39" s="51">
        <f>M38+K39</f>
        <v/>
      </c>
      <c r="N39" s="51">
        <f>SUMIFS(exp_fact,exp_year,A39,exp_month,B39,exp_cat,"🏦 Накопление")</f>
        <v/>
      </c>
    </row>
    <row r="40">
      <c r="A40" s="48" t="n">
        <v>2028</v>
      </c>
      <c r="B40" s="49" t="inlineStr">
        <is>
          <t>Декабрь</t>
        </is>
      </c>
      <c r="C40" s="49">
        <f>LEFT(B40,3)&amp;" "&amp;RIGHT(A40,2)</f>
        <v/>
      </c>
      <c r="D40" s="50">
        <f>SUMIFS(inc_plan,inc_year,A40,inc_month,B40,inc_status,"&lt;&gt;❌ Не получено")</f>
        <v/>
      </c>
      <c r="E40" s="51">
        <f>SUMIFS(inc_fact,inc_year,A40,inc_month,B40)</f>
        <v/>
      </c>
      <c r="F40" s="52">
        <f>IF(D40=0,"",E40/D40)</f>
        <v/>
      </c>
      <c r="G40" s="50">
        <f>SUMIFS(exp_plan,exp_year,A40,exp_month,B40,exp_status,"&lt;&gt;❌ Отменено")</f>
        <v/>
      </c>
      <c r="H40" s="51">
        <f>SUMIFS(exp_fact,exp_year,A40,exp_month,B40)</f>
        <v/>
      </c>
      <c r="I40" s="52">
        <f>IF(G40=0,"",H40/G40)</f>
        <v/>
      </c>
      <c r="J40" s="50">
        <f>D40-G40</f>
        <v/>
      </c>
      <c r="K40" s="51">
        <f>E40-H40</f>
        <v/>
      </c>
      <c r="L40" s="50">
        <f>L39+J40</f>
        <v/>
      </c>
      <c r="M40" s="51">
        <f>M39+K40</f>
        <v/>
      </c>
      <c r="N40" s="51">
        <f>SUMIFS(exp_fact,exp_year,A40,exp_month,B40,exp_cat,"🏦 Накопление")</f>
        <v/>
      </c>
    </row>
    <row r="41">
      <c r="A41" s="53" t="n">
        <v>2029</v>
      </c>
      <c r="B41" s="54" t="inlineStr">
        <is>
          <t>Январь</t>
        </is>
      </c>
      <c r="C41" s="54">
        <f>LEFT(B41,3)&amp;" "&amp;RIGHT(A41,2)</f>
        <v/>
      </c>
      <c r="D41" s="55">
        <f>SUMIFS(inc_plan,inc_year,A41,inc_month,B41,inc_status,"&lt;&gt;❌ Не получено")</f>
        <v/>
      </c>
      <c r="E41" s="56">
        <f>SUMIFS(inc_fact,inc_year,A41,inc_month,B41)</f>
        <v/>
      </c>
      <c r="F41" s="57">
        <f>IF(D41=0,"",E41/D41)</f>
        <v/>
      </c>
      <c r="G41" s="55">
        <f>SUMIFS(exp_plan,exp_year,A41,exp_month,B41,exp_status,"&lt;&gt;❌ Отменено")</f>
        <v/>
      </c>
      <c r="H41" s="56">
        <f>SUMIFS(exp_fact,exp_year,A41,exp_month,B41)</f>
        <v/>
      </c>
      <c r="I41" s="57">
        <f>IF(G41=0,"",H41/G41)</f>
        <v/>
      </c>
      <c r="J41" s="55">
        <f>D41-G41</f>
        <v/>
      </c>
      <c r="K41" s="56">
        <f>E41-H41</f>
        <v/>
      </c>
      <c r="L41" s="55">
        <f>L40+J41</f>
        <v/>
      </c>
      <c r="M41" s="56">
        <f>M40+K41</f>
        <v/>
      </c>
      <c r="N41" s="56">
        <f>SUMIFS(exp_fact,exp_year,A41,exp_month,B41,exp_cat,"🏦 Накопление")</f>
        <v/>
      </c>
    </row>
    <row r="42">
      <c r="A42" s="48" t="n">
        <v>2029</v>
      </c>
      <c r="B42" s="49" t="inlineStr">
        <is>
          <t>Февраль</t>
        </is>
      </c>
      <c r="C42" s="49">
        <f>LEFT(B42,3)&amp;" "&amp;RIGHT(A42,2)</f>
        <v/>
      </c>
      <c r="D42" s="50">
        <f>SUMIFS(inc_plan,inc_year,A42,inc_month,B42,inc_status,"&lt;&gt;❌ Не получено")</f>
        <v/>
      </c>
      <c r="E42" s="51">
        <f>SUMIFS(inc_fact,inc_year,A42,inc_month,B42)</f>
        <v/>
      </c>
      <c r="F42" s="52">
        <f>IF(D42=0,"",E42/D42)</f>
        <v/>
      </c>
      <c r="G42" s="50">
        <f>SUMIFS(exp_plan,exp_year,A42,exp_month,B42,exp_status,"&lt;&gt;❌ Отменено")</f>
        <v/>
      </c>
      <c r="H42" s="51">
        <f>SUMIFS(exp_fact,exp_year,A42,exp_month,B42)</f>
        <v/>
      </c>
      <c r="I42" s="52">
        <f>IF(G42=0,"",H42/G42)</f>
        <v/>
      </c>
      <c r="J42" s="50">
        <f>D42-G42</f>
        <v/>
      </c>
      <c r="K42" s="51">
        <f>E42-H42</f>
        <v/>
      </c>
      <c r="L42" s="50">
        <f>L41+J42</f>
        <v/>
      </c>
      <c r="M42" s="51">
        <f>M41+K42</f>
        <v/>
      </c>
      <c r="N42" s="51">
        <f>SUMIFS(exp_fact,exp_year,A42,exp_month,B42,exp_cat,"🏦 Накопление")</f>
        <v/>
      </c>
    </row>
    <row r="43">
      <c r="A43" s="48" t="n">
        <v>2029</v>
      </c>
      <c r="B43" s="49" t="inlineStr">
        <is>
          <t>Март</t>
        </is>
      </c>
      <c r="C43" s="49">
        <f>LEFT(B43,3)&amp;" "&amp;RIGHT(A43,2)</f>
        <v/>
      </c>
      <c r="D43" s="50">
        <f>SUMIFS(inc_plan,inc_year,A43,inc_month,B43,inc_status,"&lt;&gt;❌ Не получено")</f>
        <v/>
      </c>
      <c r="E43" s="51">
        <f>SUMIFS(inc_fact,inc_year,A43,inc_month,B43)</f>
        <v/>
      </c>
      <c r="F43" s="52">
        <f>IF(D43=0,"",E43/D43)</f>
        <v/>
      </c>
      <c r="G43" s="50">
        <f>SUMIFS(exp_plan,exp_year,A43,exp_month,B43,exp_status,"&lt;&gt;❌ Отменено")</f>
        <v/>
      </c>
      <c r="H43" s="51">
        <f>SUMIFS(exp_fact,exp_year,A43,exp_month,B43)</f>
        <v/>
      </c>
      <c r="I43" s="52">
        <f>IF(G43=0,"",H43/G43)</f>
        <v/>
      </c>
      <c r="J43" s="50">
        <f>D43-G43</f>
        <v/>
      </c>
      <c r="K43" s="51">
        <f>E43-H43</f>
        <v/>
      </c>
      <c r="L43" s="50">
        <f>L42+J43</f>
        <v/>
      </c>
      <c r="M43" s="51">
        <f>M42+K43</f>
        <v/>
      </c>
      <c r="N43" s="51">
        <f>SUMIFS(exp_fact,exp_year,A43,exp_month,B43,exp_cat,"🏦 Накопление")</f>
        <v/>
      </c>
    </row>
    <row r="44">
      <c r="A44" s="48" t="n">
        <v>2029</v>
      </c>
      <c r="B44" s="49" t="inlineStr">
        <is>
          <t>Апрель</t>
        </is>
      </c>
      <c r="C44" s="49">
        <f>LEFT(B44,3)&amp;" "&amp;RIGHT(A44,2)</f>
        <v/>
      </c>
      <c r="D44" s="50">
        <f>SUMIFS(inc_plan,inc_year,A44,inc_month,B44,inc_status,"&lt;&gt;❌ Не получено")</f>
        <v/>
      </c>
      <c r="E44" s="51">
        <f>SUMIFS(inc_fact,inc_year,A44,inc_month,B44)</f>
        <v/>
      </c>
      <c r="F44" s="52">
        <f>IF(D44=0,"",E44/D44)</f>
        <v/>
      </c>
      <c r="G44" s="50">
        <f>SUMIFS(exp_plan,exp_year,A44,exp_month,B44,exp_status,"&lt;&gt;❌ Отменено")</f>
        <v/>
      </c>
      <c r="H44" s="51">
        <f>SUMIFS(exp_fact,exp_year,A44,exp_month,B44)</f>
        <v/>
      </c>
      <c r="I44" s="52">
        <f>IF(G44=0,"",H44/G44)</f>
        <v/>
      </c>
      <c r="J44" s="50">
        <f>D44-G44</f>
        <v/>
      </c>
      <c r="K44" s="51">
        <f>E44-H44</f>
        <v/>
      </c>
      <c r="L44" s="50">
        <f>L43+J44</f>
        <v/>
      </c>
      <c r="M44" s="51">
        <f>M43+K44</f>
        <v/>
      </c>
      <c r="N44" s="51">
        <f>SUMIFS(exp_fact,exp_year,A44,exp_month,B44,exp_cat,"🏦 Накопление")</f>
        <v/>
      </c>
    </row>
    <row r="45">
      <c r="A45" s="48" t="n">
        <v>2029</v>
      </c>
      <c r="B45" s="49" t="inlineStr">
        <is>
          <t>Май</t>
        </is>
      </c>
      <c r="C45" s="49">
        <f>LEFT(B45,3)&amp;" "&amp;RIGHT(A45,2)</f>
        <v/>
      </c>
      <c r="D45" s="50">
        <f>SUMIFS(inc_plan,inc_year,A45,inc_month,B45,inc_status,"&lt;&gt;❌ Не получено")</f>
        <v/>
      </c>
      <c r="E45" s="51">
        <f>SUMIFS(inc_fact,inc_year,A45,inc_month,B45)</f>
        <v/>
      </c>
      <c r="F45" s="52">
        <f>IF(D45=0,"",E45/D45)</f>
        <v/>
      </c>
      <c r="G45" s="50">
        <f>SUMIFS(exp_plan,exp_year,A45,exp_month,B45,exp_status,"&lt;&gt;❌ Отменено")</f>
        <v/>
      </c>
      <c r="H45" s="51">
        <f>SUMIFS(exp_fact,exp_year,A45,exp_month,B45)</f>
        <v/>
      </c>
      <c r="I45" s="52">
        <f>IF(G45=0,"",H45/G45)</f>
        <v/>
      </c>
      <c r="J45" s="50">
        <f>D45-G45</f>
        <v/>
      </c>
      <c r="K45" s="51">
        <f>E45-H45</f>
        <v/>
      </c>
      <c r="L45" s="50">
        <f>L44+J45</f>
        <v/>
      </c>
      <c r="M45" s="51">
        <f>M44+K45</f>
        <v/>
      </c>
      <c r="N45" s="51">
        <f>SUMIFS(exp_fact,exp_year,A45,exp_month,B45,exp_cat,"🏦 Накопление")</f>
        <v/>
      </c>
    </row>
    <row r="46">
      <c r="A46" s="48" t="n">
        <v>2029</v>
      </c>
      <c r="B46" s="49" t="inlineStr">
        <is>
          <t>Июнь</t>
        </is>
      </c>
      <c r="C46" s="49">
        <f>LEFT(B46,3)&amp;" "&amp;RIGHT(A46,2)</f>
        <v/>
      </c>
      <c r="D46" s="50">
        <f>SUMIFS(inc_plan,inc_year,A46,inc_month,B46,inc_status,"&lt;&gt;❌ Не получено")</f>
        <v/>
      </c>
      <c r="E46" s="51">
        <f>SUMIFS(inc_fact,inc_year,A46,inc_month,B46)</f>
        <v/>
      </c>
      <c r="F46" s="52">
        <f>IF(D46=0,"",E46/D46)</f>
        <v/>
      </c>
      <c r="G46" s="50">
        <f>SUMIFS(exp_plan,exp_year,A46,exp_month,B46,exp_status,"&lt;&gt;❌ Отменено")</f>
        <v/>
      </c>
      <c r="H46" s="51">
        <f>SUMIFS(exp_fact,exp_year,A46,exp_month,B46)</f>
        <v/>
      </c>
      <c r="I46" s="52">
        <f>IF(G46=0,"",H46/G46)</f>
        <v/>
      </c>
      <c r="J46" s="50">
        <f>D46-G46</f>
        <v/>
      </c>
      <c r="K46" s="51">
        <f>E46-H46</f>
        <v/>
      </c>
      <c r="L46" s="50">
        <f>L45+J46</f>
        <v/>
      </c>
      <c r="M46" s="51">
        <f>M45+K46</f>
        <v/>
      </c>
      <c r="N46" s="51">
        <f>SUMIFS(exp_fact,exp_year,A46,exp_month,B46,exp_cat,"🏦 Накопление")</f>
        <v/>
      </c>
    </row>
    <row r="47">
      <c r="A47" s="48" t="n">
        <v>2029</v>
      </c>
      <c r="B47" s="49" t="inlineStr">
        <is>
          <t>Июль</t>
        </is>
      </c>
      <c r="C47" s="49">
        <f>LEFT(B47,3)&amp;" "&amp;RIGHT(A47,2)</f>
        <v/>
      </c>
      <c r="D47" s="50">
        <f>SUMIFS(inc_plan,inc_year,A47,inc_month,B47,inc_status,"&lt;&gt;❌ Не получено")</f>
        <v/>
      </c>
      <c r="E47" s="51">
        <f>SUMIFS(inc_fact,inc_year,A47,inc_month,B47)</f>
        <v/>
      </c>
      <c r="F47" s="52">
        <f>IF(D47=0,"",E47/D47)</f>
        <v/>
      </c>
      <c r="G47" s="50">
        <f>SUMIFS(exp_plan,exp_year,A47,exp_month,B47,exp_status,"&lt;&gt;❌ Отменено")</f>
        <v/>
      </c>
      <c r="H47" s="51">
        <f>SUMIFS(exp_fact,exp_year,A47,exp_month,B47)</f>
        <v/>
      </c>
      <c r="I47" s="52">
        <f>IF(G47=0,"",H47/G47)</f>
        <v/>
      </c>
      <c r="J47" s="50">
        <f>D47-G47</f>
        <v/>
      </c>
      <c r="K47" s="51">
        <f>E47-H47</f>
        <v/>
      </c>
      <c r="L47" s="50">
        <f>L46+J47</f>
        <v/>
      </c>
      <c r="M47" s="51">
        <f>M46+K47</f>
        <v/>
      </c>
      <c r="N47" s="51">
        <f>SUMIFS(exp_fact,exp_year,A47,exp_month,B47,exp_cat,"🏦 Накопление")</f>
        <v/>
      </c>
    </row>
    <row r="48">
      <c r="A48" s="48" t="n">
        <v>2029</v>
      </c>
      <c r="B48" s="49" t="inlineStr">
        <is>
          <t>Август</t>
        </is>
      </c>
      <c r="C48" s="49">
        <f>LEFT(B48,3)&amp;" "&amp;RIGHT(A48,2)</f>
        <v/>
      </c>
      <c r="D48" s="50">
        <f>SUMIFS(inc_plan,inc_year,A48,inc_month,B48,inc_status,"&lt;&gt;❌ Не получено")</f>
        <v/>
      </c>
      <c r="E48" s="51">
        <f>SUMIFS(inc_fact,inc_year,A48,inc_month,B48)</f>
        <v/>
      </c>
      <c r="F48" s="52">
        <f>IF(D48=0,"",E48/D48)</f>
        <v/>
      </c>
      <c r="G48" s="50">
        <f>SUMIFS(exp_plan,exp_year,A48,exp_month,B48,exp_status,"&lt;&gt;❌ Отменено")</f>
        <v/>
      </c>
      <c r="H48" s="51">
        <f>SUMIFS(exp_fact,exp_year,A48,exp_month,B48)</f>
        <v/>
      </c>
      <c r="I48" s="52">
        <f>IF(G48=0,"",H48/G48)</f>
        <v/>
      </c>
      <c r="J48" s="50">
        <f>D48-G48</f>
        <v/>
      </c>
      <c r="K48" s="51">
        <f>E48-H48</f>
        <v/>
      </c>
      <c r="L48" s="50">
        <f>L47+J48</f>
        <v/>
      </c>
      <c r="M48" s="51">
        <f>M47+K48</f>
        <v/>
      </c>
      <c r="N48" s="51">
        <f>SUMIFS(exp_fact,exp_year,A48,exp_month,B48,exp_cat,"🏦 Накопление")</f>
        <v/>
      </c>
    </row>
    <row r="49">
      <c r="A49" s="48" t="n">
        <v>2029</v>
      </c>
      <c r="B49" s="49" t="inlineStr">
        <is>
          <t>Сентябрь</t>
        </is>
      </c>
      <c r="C49" s="49">
        <f>LEFT(B49,3)&amp;" "&amp;RIGHT(A49,2)</f>
        <v/>
      </c>
      <c r="D49" s="50">
        <f>SUMIFS(inc_plan,inc_year,A49,inc_month,B49,inc_status,"&lt;&gt;❌ Не получено")</f>
        <v/>
      </c>
      <c r="E49" s="51">
        <f>SUMIFS(inc_fact,inc_year,A49,inc_month,B49)</f>
        <v/>
      </c>
      <c r="F49" s="52">
        <f>IF(D49=0,"",E49/D49)</f>
        <v/>
      </c>
      <c r="G49" s="50">
        <f>SUMIFS(exp_plan,exp_year,A49,exp_month,B49,exp_status,"&lt;&gt;❌ Отменено")</f>
        <v/>
      </c>
      <c r="H49" s="51">
        <f>SUMIFS(exp_fact,exp_year,A49,exp_month,B49)</f>
        <v/>
      </c>
      <c r="I49" s="52">
        <f>IF(G49=0,"",H49/G49)</f>
        <v/>
      </c>
      <c r="J49" s="50">
        <f>D49-G49</f>
        <v/>
      </c>
      <c r="K49" s="51">
        <f>E49-H49</f>
        <v/>
      </c>
      <c r="L49" s="50">
        <f>L48+J49</f>
        <v/>
      </c>
      <c r="M49" s="51">
        <f>M48+K49</f>
        <v/>
      </c>
      <c r="N49" s="51">
        <f>SUMIFS(exp_fact,exp_year,A49,exp_month,B49,exp_cat,"🏦 Накопление")</f>
        <v/>
      </c>
    </row>
    <row r="50">
      <c r="A50" s="48" t="n">
        <v>2029</v>
      </c>
      <c r="B50" s="49" t="inlineStr">
        <is>
          <t>Октябрь</t>
        </is>
      </c>
      <c r="C50" s="49">
        <f>LEFT(B50,3)&amp;" "&amp;RIGHT(A50,2)</f>
        <v/>
      </c>
      <c r="D50" s="50">
        <f>SUMIFS(inc_plan,inc_year,A50,inc_month,B50,inc_status,"&lt;&gt;❌ Не получено")</f>
        <v/>
      </c>
      <c r="E50" s="51">
        <f>SUMIFS(inc_fact,inc_year,A50,inc_month,B50)</f>
        <v/>
      </c>
      <c r="F50" s="52">
        <f>IF(D50=0,"",E50/D50)</f>
        <v/>
      </c>
      <c r="G50" s="50">
        <f>SUMIFS(exp_plan,exp_year,A50,exp_month,B50,exp_status,"&lt;&gt;❌ Отменено")</f>
        <v/>
      </c>
      <c r="H50" s="51">
        <f>SUMIFS(exp_fact,exp_year,A50,exp_month,B50)</f>
        <v/>
      </c>
      <c r="I50" s="52">
        <f>IF(G50=0,"",H50/G50)</f>
        <v/>
      </c>
      <c r="J50" s="50">
        <f>D50-G50</f>
        <v/>
      </c>
      <c r="K50" s="51">
        <f>E50-H50</f>
        <v/>
      </c>
      <c r="L50" s="50">
        <f>L49+J50</f>
        <v/>
      </c>
      <c r="M50" s="51">
        <f>M49+K50</f>
        <v/>
      </c>
      <c r="N50" s="51">
        <f>SUMIFS(exp_fact,exp_year,A50,exp_month,B50,exp_cat,"🏦 Накопление")</f>
        <v/>
      </c>
    </row>
    <row r="51">
      <c r="A51" s="48" t="n">
        <v>2029</v>
      </c>
      <c r="B51" s="49" t="inlineStr">
        <is>
          <t>Ноябрь</t>
        </is>
      </c>
      <c r="C51" s="49">
        <f>LEFT(B51,3)&amp;" "&amp;RIGHT(A51,2)</f>
        <v/>
      </c>
      <c r="D51" s="50">
        <f>SUMIFS(inc_plan,inc_year,A51,inc_month,B51,inc_status,"&lt;&gt;❌ Не получено")</f>
        <v/>
      </c>
      <c r="E51" s="51">
        <f>SUMIFS(inc_fact,inc_year,A51,inc_month,B51)</f>
        <v/>
      </c>
      <c r="F51" s="52">
        <f>IF(D51=0,"",E51/D51)</f>
        <v/>
      </c>
      <c r="G51" s="50">
        <f>SUMIFS(exp_plan,exp_year,A51,exp_month,B51,exp_status,"&lt;&gt;❌ Отменено")</f>
        <v/>
      </c>
      <c r="H51" s="51">
        <f>SUMIFS(exp_fact,exp_year,A51,exp_month,B51)</f>
        <v/>
      </c>
      <c r="I51" s="52">
        <f>IF(G51=0,"",H51/G51)</f>
        <v/>
      </c>
      <c r="J51" s="50">
        <f>D51-G51</f>
        <v/>
      </c>
      <c r="K51" s="51">
        <f>E51-H51</f>
        <v/>
      </c>
      <c r="L51" s="50">
        <f>L50+J51</f>
        <v/>
      </c>
      <c r="M51" s="51">
        <f>M50+K51</f>
        <v/>
      </c>
      <c r="N51" s="51">
        <f>SUMIFS(exp_fact,exp_year,A51,exp_month,B51,exp_cat,"🏦 Накопление")</f>
        <v/>
      </c>
    </row>
    <row r="52">
      <c r="A52" s="48" t="n">
        <v>2029</v>
      </c>
      <c r="B52" s="49" t="inlineStr">
        <is>
          <t>Декабрь</t>
        </is>
      </c>
      <c r="C52" s="49">
        <f>LEFT(B52,3)&amp;" "&amp;RIGHT(A52,2)</f>
        <v/>
      </c>
      <c r="D52" s="50">
        <f>SUMIFS(inc_plan,inc_year,A52,inc_month,B52,inc_status,"&lt;&gt;❌ Не получено")</f>
        <v/>
      </c>
      <c r="E52" s="51">
        <f>SUMIFS(inc_fact,inc_year,A52,inc_month,B52)</f>
        <v/>
      </c>
      <c r="F52" s="52">
        <f>IF(D52=0,"",E52/D52)</f>
        <v/>
      </c>
      <c r="G52" s="50">
        <f>SUMIFS(exp_plan,exp_year,A52,exp_month,B52,exp_status,"&lt;&gt;❌ Отменено")</f>
        <v/>
      </c>
      <c r="H52" s="51">
        <f>SUMIFS(exp_fact,exp_year,A52,exp_month,B52)</f>
        <v/>
      </c>
      <c r="I52" s="52">
        <f>IF(G52=0,"",H52/G52)</f>
        <v/>
      </c>
      <c r="J52" s="50">
        <f>D52-G52</f>
        <v/>
      </c>
      <c r="K52" s="51">
        <f>E52-H52</f>
        <v/>
      </c>
      <c r="L52" s="50">
        <f>L51+J52</f>
        <v/>
      </c>
      <c r="M52" s="51">
        <f>M51+K52</f>
        <v/>
      </c>
      <c r="N52" s="51">
        <f>SUMIFS(exp_fact,exp_year,A52,exp_month,B52,exp_cat,"🏦 Накопление")</f>
        <v/>
      </c>
    </row>
    <row r="53">
      <c r="A53" s="53" t="n">
        <v>2030</v>
      </c>
      <c r="B53" s="54" t="inlineStr">
        <is>
          <t>Январь</t>
        </is>
      </c>
      <c r="C53" s="54">
        <f>LEFT(B53,3)&amp;" "&amp;RIGHT(A53,2)</f>
        <v/>
      </c>
      <c r="D53" s="55">
        <f>SUMIFS(inc_plan,inc_year,A53,inc_month,B53,inc_status,"&lt;&gt;❌ Не получено")</f>
        <v/>
      </c>
      <c r="E53" s="56">
        <f>SUMIFS(inc_fact,inc_year,A53,inc_month,B53)</f>
        <v/>
      </c>
      <c r="F53" s="57">
        <f>IF(D53=0,"",E53/D53)</f>
        <v/>
      </c>
      <c r="G53" s="55">
        <f>SUMIFS(exp_plan,exp_year,A53,exp_month,B53,exp_status,"&lt;&gt;❌ Отменено")</f>
        <v/>
      </c>
      <c r="H53" s="56">
        <f>SUMIFS(exp_fact,exp_year,A53,exp_month,B53)</f>
        <v/>
      </c>
      <c r="I53" s="57">
        <f>IF(G53=0,"",H53/G53)</f>
        <v/>
      </c>
      <c r="J53" s="55">
        <f>D53-G53</f>
        <v/>
      </c>
      <c r="K53" s="56">
        <f>E53-H53</f>
        <v/>
      </c>
      <c r="L53" s="55">
        <f>L52+J53</f>
        <v/>
      </c>
      <c r="M53" s="56">
        <f>M52+K53</f>
        <v/>
      </c>
      <c r="N53" s="56">
        <f>SUMIFS(exp_fact,exp_year,A53,exp_month,B53,exp_cat,"🏦 Накопление")</f>
        <v/>
      </c>
    </row>
    <row r="54">
      <c r="A54" s="48" t="n">
        <v>2030</v>
      </c>
      <c r="B54" s="49" t="inlineStr">
        <is>
          <t>Февраль</t>
        </is>
      </c>
      <c r="C54" s="49">
        <f>LEFT(B54,3)&amp;" "&amp;RIGHT(A54,2)</f>
        <v/>
      </c>
      <c r="D54" s="50">
        <f>SUMIFS(inc_plan,inc_year,A54,inc_month,B54,inc_status,"&lt;&gt;❌ Не получено")</f>
        <v/>
      </c>
      <c r="E54" s="51">
        <f>SUMIFS(inc_fact,inc_year,A54,inc_month,B54)</f>
        <v/>
      </c>
      <c r="F54" s="52">
        <f>IF(D54=0,"",E54/D54)</f>
        <v/>
      </c>
      <c r="G54" s="50">
        <f>SUMIFS(exp_plan,exp_year,A54,exp_month,B54,exp_status,"&lt;&gt;❌ Отменено")</f>
        <v/>
      </c>
      <c r="H54" s="51">
        <f>SUMIFS(exp_fact,exp_year,A54,exp_month,B54)</f>
        <v/>
      </c>
      <c r="I54" s="52">
        <f>IF(G54=0,"",H54/G54)</f>
        <v/>
      </c>
      <c r="J54" s="50">
        <f>D54-G54</f>
        <v/>
      </c>
      <c r="K54" s="51">
        <f>E54-H54</f>
        <v/>
      </c>
      <c r="L54" s="50">
        <f>L53+J54</f>
        <v/>
      </c>
      <c r="M54" s="51">
        <f>M53+K54</f>
        <v/>
      </c>
      <c r="N54" s="51">
        <f>SUMIFS(exp_fact,exp_year,A54,exp_month,B54,exp_cat,"🏦 Накопление")</f>
        <v/>
      </c>
    </row>
    <row r="55">
      <c r="A55" s="48" t="n">
        <v>2030</v>
      </c>
      <c r="B55" s="49" t="inlineStr">
        <is>
          <t>Март</t>
        </is>
      </c>
      <c r="C55" s="49">
        <f>LEFT(B55,3)&amp;" "&amp;RIGHT(A55,2)</f>
        <v/>
      </c>
      <c r="D55" s="50">
        <f>SUMIFS(inc_plan,inc_year,A55,inc_month,B55,inc_status,"&lt;&gt;❌ Не получено")</f>
        <v/>
      </c>
      <c r="E55" s="51">
        <f>SUMIFS(inc_fact,inc_year,A55,inc_month,B55)</f>
        <v/>
      </c>
      <c r="F55" s="52">
        <f>IF(D55=0,"",E55/D55)</f>
        <v/>
      </c>
      <c r="G55" s="50">
        <f>SUMIFS(exp_plan,exp_year,A55,exp_month,B55,exp_status,"&lt;&gt;❌ Отменено")</f>
        <v/>
      </c>
      <c r="H55" s="51">
        <f>SUMIFS(exp_fact,exp_year,A55,exp_month,B55)</f>
        <v/>
      </c>
      <c r="I55" s="52">
        <f>IF(G55=0,"",H55/G55)</f>
        <v/>
      </c>
      <c r="J55" s="50">
        <f>D55-G55</f>
        <v/>
      </c>
      <c r="K55" s="51">
        <f>E55-H55</f>
        <v/>
      </c>
      <c r="L55" s="50">
        <f>L54+J55</f>
        <v/>
      </c>
      <c r="M55" s="51">
        <f>M54+K55</f>
        <v/>
      </c>
      <c r="N55" s="51">
        <f>SUMIFS(exp_fact,exp_year,A55,exp_month,B55,exp_cat,"🏦 Накопление")</f>
        <v/>
      </c>
    </row>
    <row r="56">
      <c r="A56" s="48" t="n">
        <v>2030</v>
      </c>
      <c r="B56" s="49" t="inlineStr">
        <is>
          <t>Апрель</t>
        </is>
      </c>
      <c r="C56" s="49">
        <f>LEFT(B56,3)&amp;" "&amp;RIGHT(A56,2)</f>
        <v/>
      </c>
      <c r="D56" s="50">
        <f>SUMIFS(inc_plan,inc_year,A56,inc_month,B56,inc_status,"&lt;&gt;❌ Не получено")</f>
        <v/>
      </c>
      <c r="E56" s="51">
        <f>SUMIFS(inc_fact,inc_year,A56,inc_month,B56)</f>
        <v/>
      </c>
      <c r="F56" s="52">
        <f>IF(D56=0,"",E56/D56)</f>
        <v/>
      </c>
      <c r="G56" s="50">
        <f>SUMIFS(exp_plan,exp_year,A56,exp_month,B56,exp_status,"&lt;&gt;❌ Отменено")</f>
        <v/>
      </c>
      <c r="H56" s="51">
        <f>SUMIFS(exp_fact,exp_year,A56,exp_month,B56)</f>
        <v/>
      </c>
      <c r="I56" s="52">
        <f>IF(G56=0,"",H56/G56)</f>
        <v/>
      </c>
      <c r="J56" s="50">
        <f>D56-G56</f>
        <v/>
      </c>
      <c r="K56" s="51">
        <f>E56-H56</f>
        <v/>
      </c>
      <c r="L56" s="50">
        <f>L55+J56</f>
        <v/>
      </c>
      <c r="M56" s="51">
        <f>M55+K56</f>
        <v/>
      </c>
      <c r="N56" s="51">
        <f>SUMIFS(exp_fact,exp_year,A56,exp_month,B56,exp_cat,"🏦 Накопление")</f>
        <v/>
      </c>
    </row>
    <row r="57">
      <c r="A57" s="48" t="n">
        <v>2030</v>
      </c>
      <c r="B57" s="49" t="inlineStr">
        <is>
          <t>Май</t>
        </is>
      </c>
      <c r="C57" s="49">
        <f>LEFT(B57,3)&amp;" "&amp;RIGHT(A57,2)</f>
        <v/>
      </c>
      <c r="D57" s="50">
        <f>SUMIFS(inc_plan,inc_year,A57,inc_month,B57,inc_status,"&lt;&gt;❌ Не получено")</f>
        <v/>
      </c>
      <c r="E57" s="51">
        <f>SUMIFS(inc_fact,inc_year,A57,inc_month,B57)</f>
        <v/>
      </c>
      <c r="F57" s="52">
        <f>IF(D57=0,"",E57/D57)</f>
        <v/>
      </c>
      <c r="G57" s="50">
        <f>SUMIFS(exp_plan,exp_year,A57,exp_month,B57,exp_status,"&lt;&gt;❌ Отменено")</f>
        <v/>
      </c>
      <c r="H57" s="51">
        <f>SUMIFS(exp_fact,exp_year,A57,exp_month,B57)</f>
        <v/>
      </c>
      <c r="I57" s="52">
        <f>IF(G57=0,"",H57/G57)</f>
        <v/>
      </c>
      <c r="J57" s="50">
        <f>D57-G57</f>
        <v/>
      </c>
      <c r="K57" s="51">
        <f>E57-H57</f>
        <v/>
      </c>
      <c r="L57" s="50">
        <f>L56+J57</f>
        <v/>
      </c>
      <c r="M57" s="51">
        <f>M56+K57</f>
        <v/>
      </c>
      <c r="N57" s="51">
        <f>SUMIFS(exp_fact,exp_year,A57,exp_month,B57,exp_cat,"🏦 Накопление")</f>
        <v/>
      </c>
    </row>
    <row r="58">
      <c r="A58" s="48" t="n">
        <v>2030</v>
      </c>
      <c r="B58" s="49" t="inlineStr">
        <is>
          <t>Июнь</t>
        </is>
      </c>
      <c r="C58" s="49">
        <f>LEFT(B58,3)&amp;" "&amp;RIGHT(A58,2)</f>
        <v/>
      </c>
      <c r="D58" s="50">
        <f>SUMIFS(inc_plan,inc_year,A58,inc_month,B58,inc_status,"&lt;&gt;❌ Не получено")</f>
        <v/>
      </c>
      <c r="E58" s="51">
        <f>SUMIFS(inc_fact,inc_year,A58,inc_month,B58)</f>
        <v/>
      </c>
      <c r="F58" s="52">
        <f>IF(D58=0,"",E58/D58)</f>
        <v/>
      </c>
      <c r="G58" s="50">
        <f>SUMIFS(exp_plan,exp_year,A58,exp_month,B58,exp_status,"&lt;&gt;❌ Отменено")</f>
        <v/>
      </c>
      <c r="H58" s="51">
        <f>SUMIFS(exp_fact,exp_year,A58,exp_month,B58)</f>
        <v/>
      </c>
      <c r="I58" s="52">
        <f>IF(G58=0,"",H58/G58)</f>
        <v/>
      </c>
      <c r="J58" s="50">
        <f>D58-G58</f>
        <v/>
      </c>
      <c r="K58" s="51">
        <f>E58-H58</f>
        <v/>
      </c>
      <c r="L58" s="50">
        <f>L57+J58</f>
        <v/>
      </c>
      <c r="M58" s="51">
        <f>M57+K58</f>
        <v/>
      </c>
      <c r="N58" s="51">
        <f>SUMIFS(exp_fact,exp_year,A58,exp_month,B58,exp_cat,"🏦 Накопление")</f>
        <v/>
      </c>
    </row>
    <row r="59">
      <c r="A59" s="48" t="n">
        <v>2030</v>
      </c>
      <c r="B59" s="49" t="inlineStr">
        <is>
          <t>Июль</t>
        </is>
      </c>
      <c r="C59" s="49">
        <f>LEFT(B59,3)&amp;" "&amp;RIGHT(A59,2)</f>
        <v/>
      </c>
      <c r="D59" s="50">
        <f>SUMIFS(inc_plan,inc_year,A59,inc_month,B59,inc_status,"&lt;&gt;❌ Не получено")</f>
        <v/>
      </c>
      <c r="E59" s="51">
        <f>SUMIFS(inc_fact,inc_year,A59,inc_month,B59)</f>
        <v/>
      </c>
      <c r="F59" s="52">
        <f>IF(D59=0,"",E59/D59)</f>
        <v/>
      </c>
      <c r="G59" s="50">
        <f>SUMIFS(exp_plan,exp_year,A59,exp_month,B59,exp_status,"&lt;&gt;❌ Отменено")</f>
        <v/>
      </c>
      <c r="H59" s="51">
        <f>SUMIFS(exp_fact,exp_year,A59,exp_month,B59)</f>
        <v/>
      </c>
      <c r="I59" s="52">
        <f>IF(G59=0,"",H59/G59)</f>
        <v/>
      </c>
      <c r="J59" s="50">
        <f>D59-G59</f>
        <v/>
      </c>
      <c r="K59" s="51">
        <f>E59-H59</f>
        <v/>
      </c>
      <c r="L59" s="50">
        <f>L58+J59</f>
        <v/>
      </c>
      <c r="M59" s="51">
        <f>M58+K59</f>
        <v/>
      </c>
      <c r="N59" s="51">
        <f>SUMIFS(exp_fact,exp_year,A59,exp_month,B59,exp_cat,"🏦 Накопление")</f>
        <v/>
      </c>
    </row>
    <row r="60">
      <c r="A60" s="48" t="n">
        <v>2030</v>
      </c>
      <c r="B60" s="49" t="inlineStr">
        <is>
          <t>Август</t>
        </is>
      </c>
      <c r="C60" s="49">
        <f>LEFT(B60,3)&amp;" "&amp;RIGHT(A60,2)</f>
        <v/>
      </c>
      <c r="D60" s="50">
        <f>SUMIFS(inc_plan,inc_year,A60,inc_month,B60,inc_status,"&lt;&gt;❌ Не получено")</f>
        <v/>
      </c>
      <c r="E60" s="51">
        <f>SUMIFS(inc_fact,inc_year,A60,inc_month,B60)</f>
        <v/>
      </c>
      <c r="F60" s="52">
        <f>IF(D60=0,"",E60/D60)</f>
        <v/>
      </c>
      <c r="G60" s="50">
        <f>SUMIFS(exp_plan,exp_year,A60,exp_month,B60,exp_status,"&lt;&gt;❌ Отменено")</f>
        <v/>
      </c>
      <c r="H60" s="51">
        <f>SUMIFS(exp_fact,exp_year,A60,exp_month,B60)</f>
        <v/>
      </c>
      <c r="I60" s="52">
        <f>IF(G60=0,"",H60/G60)</f>
        <v/>
      </c>
      <c r="J60" s="50">
        <f>D60-G60</f>
        <v/>
      </c>
      <c r="K60" s="51">
        <f>E60-H60</f>
        <v/>
      </c>
      <c r="L60" s="50">
        <f>L59+J60</f>
        <v/>
      </c>
      <c r="M60" s="51">
        <f>M59+K60</f>
        <v/>
      </c>
      <c r="N60" s="51">
        <f>SUMIFS(exp_fact,exp_year,A60,exp_month,B60,exp_cat,"🏦 Накопление")</f>
        <v/>
      </c>
    </row>
    <row r="61">
      <c r="A61" s="48" t="n">
        <v>2030</v>
      </c>
      <c r="B61" s="49" t="inlineStr">
        <is>
          <t>Сентябрь</t>
        </is>
      </c>
      <c r="C61" s="49">
        <f>LEFT(B61,3)&amp;" "&amp;RIGHT(A61,2)</f>
        <v/>
      </c>
      <c r="D61" s="50">
        <f>SUMIFS(inc_plan,inc_year,A61,inc_month,B61,inc_status,"&lt;&gt;❌ Не получено")</f>
        <v/>
      </c>
      <c r="E61" s="51">
        <f>SUMIFS(inc_fact,inc_year,A61,inc_month,B61)</f>
        <v/>
      </c>
      <c r="F61" s="52">
        <f>IF(D61=0,"",E61/D61)</f>
        <v/>
      </c>
      <c r="G61" s="50">
        <f>SUMIFS(exp_plan,exp_year,A61,exp_month,B61,exp_status,"&lt;&gt;❌ Отменено")</f>
        <v/>
      </c>
      <c r="H61" s="51">
        <f>SUMIFS(exp_fact,exp_year,A61,exp_month,B61)</f>
        <v/>
      </c>
      <c r="I61" s="52">
        <f>IF(G61=0,"",H61/G61)</f>
        <v/>
      </c>
      <c r="J61" s="50">
        <f>D61-G61</f>
        <v/>
      </c>
      <c r="K61" s="51">
        <f>E61-H61</f>
        <v/>
      </c>
      <c r="L61" s="50">
        <f>L60+J61</f>
        <v/>
      </c>
      <c r="M61" s="51">
        <f>M60+K61</f>
        <v/>
      </c>
      <c r="N61" s="51">
        <f>SUMIFS(exp_fact,exp_year,A61,exp_month,B61,exp_cat,"🏦 Накопление")</f>
        <v/>
      </c>
    </row>
    <row r="62">
      <c r="A62" s="48" t="n">
        <v>2030</v>
      </c>
      <c r="B62" s="49" t="inlineStr">
        <is>
          <t>Октябрь</t>
        </is>
      </c>
      <c r="C62" s="49">
        <f>LEFT(B62,3)&amp;" "&amp;RIGHT(A62,2)</f>
        <v/>
      </c>
      <c r="D62" s="50">
        <f>SUMIFS(inc_plan,inc_year,A62,inc_month,B62,inc_status,"&lt;&gt;❌ Не получено")</f>
        <v/>
      </c>
      <c r="E62" s="51">
        <f>SUMIFS(inc_fact,inc_year,A62,inc_month,B62)</f>
        <v/>
      </c>
      <c r="F62" s="52">
        <f>IF(D62=0,"",E62/D62)</f>
        <v/>
      </c>
      <c r="G62" s="50">
        <f>SUMIFS(exp_plan,exp_year,A62,exp_month,B62,exp_status,"&lt;&gt;❌ Отменено")</f>
        <v/>
      </c>
      <c r="H62" s="51">
        <f>SUMIFS(exp_fact,exp_year,A62,exp_month,B62)</f>
        <v/>
      </c>
      <c r="I62" s="52">
        <f>IF(G62=0,"",H62/G62)</f>
        <v/>
      </c>
      <c r="J62" s="50">
        <f>D62-G62</f>
        <v/>
      </c>
      <c r="K62" s="51">
        <f>E62-H62</f>
        <v/>
      </c>
      <c r="L62" s="50">
        <f>L61+J62</f>
        <v/>
      </c>
      <c r="M62" s="51">
        <f>M61+K62</f>
        <v/>
      </c>
      <c r="N62" s="51">
        <f>SUMIFS(exp_fact,exp_year,A62,exp_month,B62,exp_cat,"🏦 Накопление")</f>
        <v/>
      </c>
    </row>
    <row r="63">
      <c r="A63" s="48" t="n">
        <v>2030</v>
      </c>
      <c r="B63" s="49" t="inlineStr">
        <is>
          <t>Ноябрь</t>
        </is>
      </c>
      <c r="C63" s="49">
        <f>LEFT(B63,3)&amp;" "&amp;RIGHT(A63,2)</f>
        <v/>
      </c>
      <c r="D63" s="50">
        <f>SUMIFS(inc_plan,inc_year,A63,inc_month,B63,inc_status,"&lt;&gt;❌ Не получено")</f>
        <v/>
      </c>
      <c r="E63" s="51">
        <f>SUMIFS(inc_fact,inc_year,A63,inc_month,B63)</f>
        <v/>
      </c>
      <c r="F63" s="52">
        <f>IF(D63=0,"",E63/D63)</f>
        <v/>
      </c>
      <c r="G63" s="50">
        <f>SUMIFS(exp_plan,exp_year,A63,exp_month,B63,exp_status,"&lt;&gt;❌ Отменено")</f>
        <v/>
      </c>
      <c r="H63" s="51">
        <f>SUMIFS(exp_fact,exp_year,A63,exp_month,B63)</f>
        <v/>
      </c>
      <c r="I63" s="52">
        <f>IF(G63=0,"",H63/G63)</f>
        <v/>
      </c>
      <c r="J63" s="50">
        <f>D63-G63</f>
        <v/>
      </c>
      <c r="K63" s="51">
        <f>E63-H63</f>
        <v/>
      </c>
      <c r="L63" s="50">
        <f>L62+J63</f>
        <v/>
      </c>
      <c r="M63" s="51">
        <f>M62+K63</f>
        <v/>
      </c>
      <c r="N63" s="51">
        <f>SUMIFS(exp_fact,exp_year,A63,exp_month,B63,exp_cat,"🏦 Накопление")</f>
        <v/>
      </c>
    </row>
    <row r="64">
      <c r="A64" s="48" t="n">
        <v>2030</v>
      </c>
      <c r="B64" s="49" t="inlineStr">
        <is>
          <t>Декабрь</t>
        </is>
      </c>
      <c r="C64" s="49">
        <f>LEFT(B64,3)&amp;" "&amp;RIGHT(A64,2)</f>
        <v/>
      </c>
      <c r="D64" s="50">
        <f>SUMIFS(inc_plan,inc_year,A64,inc_month,B64,inc_status,"&lt;&gt;❌ Не получено")</f>
        <v/>
      </c>
      <c r="E64" s="51">
        <f>SUMIFS(inc_fact,inc_year,A64,inc_month,B64)</f>
        <v/>
      </c>
      <c r="F64" s="52">
        <f>IF(D64=0,"",E64/D64)</f>
        <v/>
      </c>
      <c r="G64" s="50">
        <f>SUMIFS(exp_plan,exp_year,A64,exp_month,B64,exp_status,"&lt;&gt;❌ Отменено")</f>
        <v/>
      </c>
      <c r="H64" s="51">
        <f>SUMIFS(exp_fact,exp_year,A64,exp_month,B64)</f>
        <v/>
      </c>
      <c r="I64" s="52">
        <f>IF(G64=0,"",H64/G64)</f>
        <v/>
      </c>
      <c r="J64" s="50">
        <f>D64-G64</f>
        <v/>
      </c>
      <c r="K64" s="51">
        <f>E64-H64</f>
        <v/>
      </c>
      <c r="L64" s="50">
        <f>L63+J64</f>
        <v/>
      </c>
      <c r="M64" s="51">
        <f>M63+K64</f>
        <v/>
      </c>
      <c r="N64" s="51">
        <f>SUMIFS(exp_fact,exp_year,A64,exp_month,B64,exp_cat,"🏦 Накопление")</f>
        <v/>
      </c>
    </row>
    <row r="65">
      <c r="A65" s="58" t="inlineStr">
        <is>
          <t>Σ ИТОГО</t>
        </is>
      </c>
      <c r="B65" s="58" t="n"/>
      <c r="C65" s="58" t="n"/>
      <c r="D65" s="59">
        <f>SUM(D5:D64)</f>
        <v/>
      </c>
      <c r="E65" s="59">
        <f>SUM(E5:E64)</f>
        <v/>
      </c>
      <c r="F65" s="60">
        <f>IF(D65=0,"",E65/D65)</f>
        <v/>
      </c>
      <c r="G65" s="59">
        <f>SUM(G5:G64)</f>
        <v/>
      </c>
      <c r="H65" s="59">
        <f>SUM(H5:H64)</f>
        <v/>
      </c>
      <c r="I65" s="60">
        <f>IF(G65=0,"",H65/G65)</f>
        <v/>
      </c>
      <c r="J65" s="59">
        <f>SUM(J5:J64)</f>
        <v/>
      </c>
      <c r="K65" s="59">
        <f>SUM(K5:K64)</f>
        <v/>
      </c>
      <c r="L65" s="58" t="n"/>
      <c r="M65" s="58" t="n"/>
      <c r="N65" s="59">
        <f>SUM(N5:N64)</f>
        <v/>
      </c>
    </row>
  </sheetData>
  <mergeCells count="3">
    <mergeCell ref="A65:C65"/>
    <mergeCell ref="A2:N2"/>
    <mergeCell ref="A1:N1"/>
  </mergeCells>
  <conditionalFormatting sqref="A5:N64">
    <cfRule type="expression" priority="1" dxfId="6">
      <formula>AND($A5=YEAR(TODAY()),MATCH($B5,lst_months,0)=MONTH(TODAY()))</formula>
    </cfRule>
  </conditionalFormatting>
  <conditionalFormatting sqref="J5:J64">
    <cfRule type="cellIs" priority="2" operator="lessThan" dxfId="0">
      <formula>0</formula>
    </cfRule>
    <cfRule type="cellIs" priority="3" operator="greaterThan" dxfId="7">
      <formula>0</formula>
    </cfRule>
  </conditionalFormatting>
  <conditionalFormatting sqref="K5:K64">
    <cfRule type="cellIs" priority="4" operator="lessThan" dxfId="0">
      <formula>0</formula>
    </cfRule>
    <cfRule type="cellIs" priority="5" operator="greaterThan" dxfId="7">
      <formula>0</formula>
    </cfRule>
  </conditionalFormatting>
  <conditionalFormatting sqref="L5:L64">
    <cfRule type="cellIs" priority="6" operator="lessThan" dxfId="0">
      <formula>0</formula>
    </cfRule>
    <cfRule type="cellIs" priority="7" operator="greaterThan" dxfId="7">
      <formula>0</formula>
    </cfRule>
  </conditionalFormatting>
  <conditionalFormatting sqref="M5:M64">
    <cfRule type="cellIs" priority="8" operator="lessThan" dxfId="0">
      <formula>0</formula>
    </cfRule>
    <cfRule type="cellIs" priority="9" operator="greaterThan" dxfId="7">
      <formula>0</formula>
    </cfRule>
  </conditionalFormatting>
  <conditionalFormatting sqref="F5:F64">
    <cfRule type="dataBar" priority="10">
      <dataBar>
        <cfvo type="num" val="0"/>
        <cfvo type="num" val="1"/>
        <color rgb="002E9E5B"/>
      </dataBar>
    </cfRule>
  </conditionalFormatting>
  <conditionalFormatting sqref="I5:I64">
    <cfRule type="cellIs" priority="11" operator="greaterThan" dxfId="8">
      <formula>1</formula>
    </cfRule>
    <cfRule type="dataBar" priority="12">
      <dataBar>
        <cfvo type="num" val="0"/>
        <cfvo type="num" val="1"/>
        <color rgb="00E76F5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8338EC"/>
    <outlinePr summaryBelow="1" summaryRight="1"/>
    <pageSetUpPr/>
  </sheetPr>
  <dimension ref="A1:M3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1" customWidth="1" min="4" max="4"/>
    <col width="15" customWidth="1" min="5" max="5"/>
    <col width="15" customWidth="1" min="6" max="6"/>
    <col width="11" customWidth="1" min="7" max="7"/>
    <col width="15" customWidth="1" min="8" max="8"/>
    <col width="15" customWidth="1" min="9" max="9"/>
    <col width="13" customWidth="1" min="10" max="10"/>
    <col width="13" customWidth="1" min="11" max="11"/>
    <col width="15" customWidth="1" min="12" max="12"/>
    <col width="15" customWidth="1" min="13" max="13"/>
  </cols>
  <sheetData>
    <row r="1" ht="36" customHeight="1">
      <c r="A1" s="61" t="inlineStr">
        <is>
          <t>📊 Сводка по годам 2026–2030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2" t="n"/>
    </row>
    <row r="2" ht="30" customHeight="1">
      <c r="A2" s="3" t="inlineStr">
        <is>
          <t>Верхняя таблица — общий итог по годам, нижняя — расходы в разрезе категорий. Всё считается автоматически. Норма сбережений = остаток ÷ доход.</t>
        </is>
      </c>
    </row>
    <row r="4" ht="34" customHeight="1">
      <c r="A4" s="63" t="inlineStr">
        <is>
          <t>📆 Год</t>
        </is>
      </c>
      <c r="B4" s="34" t="inlineStr">
        <is>
          <t>💰 Доход
ПЛАН</t>
        </is>
      </c>
      <c r="C4" s="35" t="inlineStr">
        <is>
          <t>💰 Доход
ФАКТ</t>
        </is>
      </c>
      <c r="D4" s="63" t="inlineStr">
        <is>
          <t>% дохода
получено</t>
        </is>
      </c>
      <c r="E4" s="34" t="inlineStr">
        <is>
          <t>💸 Расход
ПЛАН</t>
        </is>
      </c>
      <c r="F4" s="35" t="inlineStr">
        <is>
          <t>💸 Расход
ФАКТ</t>
        </is>
      </c>
      <c r="G4" s="63" t="inlineStr">
        <is>
          <t>% бюджета
потрачено</t>
        </is>
      </c>
      <c r="H4" s="34" t="inlineStr">
        <is>
          <t>⚖️ Остаток
ПЛАН</t>
        </is>
      </c>
      <c r="I4" s="35" t="inlineStr">
        <is>
          <t>⚖️ Остаток
ФАКТ</t>
        </is>
      </c>
      <c r="J4" s="34" t="inlineStr">
        <is>
          <t>💎 Норма сбере-
жений ПЛАН</t>
        </is>
      </c>
      <c r="K4" s="35" t="inlineStr">
        <is>
          <t>💎 Норма сбере-
жений ФАКТ</t>
        </is>
      </c>
    </row>
    <row r="5" ht="22" customHeight="1">
      <c r="A5" s="64" t="n">
        <v>2026</v>
      </c>
      <c r="B5" s="50">
        <f>SUMIFS(inc_plan,inc_year,A5,inc_status,"&lt;&gt;❌ Не получено")</f>
        <v/>
      </c>
      <c r="C5" s="51">
        <f>SUMIFS(inc_fact,inc_year,A5)</f>
        <v/>
      </c>
      <c r="D5" s="52">
        <f>IF(B5=0,"",C5/B5)</f>
        <v/>
      </c>
      <c r="E5" s="50">
        <f>SUMIFS(exp_plan,exp_year,A5,exp_status,"&lt;&gt;❌ Отменено")</f>
        <v/>
      </c>
      <c r="F5" s="51">
        <f>SUMIFS(exp_fact,exp_year,A5)</f>
        <v/>
      </c>
      <c r="G5" s="52">
        <f>IF(E5=0,"",F5/E5)</f>
        <v/>
      </c>
      <c r="H5" s="50">
        <f>B5-E5</f>
        <v/>
      </c>
      <c r="I5" s="51">
        <f>C5-F5</f>
        <v/>
      </c>
      <c r="J5" s="65">
        <f>IF(B5=0,"",H5/B5)</f>
        <v/>
      </c>
      <c r="K5" s="66">
        <f>IF(C5=0,"",I5/C5)</f>
        <v/>
      </c>
    </row>
    <row r="6" ht="22" customHeight="1">
      <c r="A6" s="64" t="n">
        <v>2027</v>
      </c>
      <c r="B6" s="50">
        <f>SUMIFS(inc_plan,inc_year,A6,inc_status,"&lt;&gt;❌ Не получено")</f>
        <v/>
      </c>
      <c r="C6" s="51">
        <f>SUMIFS(inc_fact,inc_year,A6)</f>
        <v/>
      </c>
      <c r="D6" s="52">
        <f>IF(B6=0,"",C6/B6)</f>
        <v/>
      </c>
      <c r="E6" s="50">
        <f>SUMIFS(exp_plan,exp_year,A6,exp_status,"&lt;&gt;❌ Отменено")</f>
        <v/>
      </c>
      <c r="F6" s="51">
        <f>SUMIFS(exp_fact,exp_year,A6)</f>
        <v/>
      </c>
      <c r="G6" s="52">
        <f>IF(E6=0,"",F6/E6)</f>
        <v/>
      </c>
      <c r="H6" s="50">
        <f>B6-E6</f>
        <v/>
      </c>
      <c r="I6" s="51">
        <f>C6-F6</f>
        <v/>
      </c>
      <c r="J6" s="65">
        <f>IF(B6=0,"",H6/B6)</f>
        <v/>
      </c>
      <c r="K6" s="66">
        <f>IF(C6=0,"",I6/C6)</f>
        <v/>
      </c>
    </row>
    <row r="7" ht="22" customHeight="1">
      <c r="A7" s="64" t="n">
        <v>2028</v>
      </c>
      <c r="B7" s="50">
        <f>SUMIFS(inc_plan,inc_year,A7,inc_status,"&lt;&gt;❌ Не получено")</f>
        <v/>
      </c>
      <c r="C7" s="51">
        <f>SUMIFS(inc_fact,inc_year,A7)</f>
        <v/>
      </c>
      <c r="D7" s="52">
        <f>IF(B7=0,"",C7/B7)</f>
        <v/>
      </c>
      <c r="E7" s="50">
        <f>SUMIFS(exp_plan,exp_year,A7,exp_status,"&lt;&gt;❌ Отменено")</f>
        <v/>
      </c>
      <c r="F7" s="51">
        <f>SUMIFS(exp_fact,exp_year,A7)</f>
        <v/>
      </c>
      <c r="G7" s="52">
        <f>IF(E7=0,"",F7/E7)</f>
        <v/>
      </c>
      <c r="H7" s="50">
        <f>B7-E7</f>
        <v/>
      </c>
      <c r="I7" s="51">
        <f>C7-F7</f>
        <v/>
      </c>
      <c r="J7" s="65">
        <f>IF(B7=0,"",H7/B7)</f>
        <v/>
      </c>
      <c r="K7" s="66">
        <f>IF(C7=0,"",I7/C7)</f>
        <v/>
      </c>
    </row>
    <row r="8" ht="22" customHeight="1">
      <c r="A8" s="64" t="n">
        <v>2029</v>
      </c>
      <c r="B8" s="50">
        <f>SUMIFS(inc_plan,inc_year,A8,inc_status,"&lt;&gt;❌ Не получено")</f>
        <v/>
      </c>
      <c r="C8" s="51">
        <f>SUMIFS(inc_fact,inc_year,A8)</f>
        <v/>
      </c>
      <c r="D8" s="52">
        <f>IF(B8=0,"",C8/B8)</f>
        <v/>
      </c>
      <c r="E8" s="50">
        <f>SUMIFS(exp_plan,exp_year,A8,exp_status,"&lt;&gt;❌ Отменено")</f>
        <v/>
      </c>
      <c r="F8" s="51">
        <f>SUMIFS(exp_fact,exp_year,A8)</f>
        <v/>
      </c>
      <c r="G8" s="52">
        <f>IF(E8=0,"",F8/E8)</f>
        <v/>
      </c>
      <c r="H8" s="50">
        <f>B8-E8</f>
        <v/>
      </c>
      <c r="I8" s="51">
        <f>C8-F8</f>
        <v/>
      </c>
      <c r="J8" s="65">
        <f>IF(B8=0,"",H8/B8)</f>
        <v/>
      </c>
      <c r="K8" s="66">
        <f>IF(C8=0,"",I8/C8)</f>
        <v/>
      </c>
    </row>
    <row r="9" ht="22" customHeight="1">
      <c r="A9" s="64" t="n">
        <v>2030</v>
      </c>
      <c r="B9" s="50">
        <f>SUMIFS(inc_plan,inc_year,A9,inc_status,"&lt;&gt;❌ Не получено")</f>
        <v/>
      </c>
      <c r="C9" s="51">
        <f>SUMIFS(inc_fact,inc_year,A9)</f>
        <v/>
      </c>
      <c r="D9" s="52">
        <f>IF(B9=0,"",C9/B9)</f>
        <v/>
      </c>
      <c r="E9" s="50">
        <f>SUMIFS(exp_plan,exp_year,A9,exp_status,"&lt;&gt;❌ Отменено")</f>
        <v/>
      </c>
      <c r="F9" s="51">
        <f>SUMIFS(exp_fact,exp_year,A9)</f>
        <v/>
      </c>
      <c r="G9" s="52">
        <f>IF(E9=0,"",F9/E9)</f>
        <v/>
      </c>
      <c r="H9" s="50">
        <f>B9-E9</f>
        <v/>
      </c>
      <c r="I9" s="51">
        <f>C9-F9</f>
        <v/>
      </c>
      <c r="J9" s="65">
        <f>IF(B9=0,"",H9/B9)</f>
        <v/>
      </c>
      <c r="K9" s="66">
        <f>IF(C9=0,"",I9/C9)</f>
        <v/>
      </c>
    </row>
    <row r="10" ht="22" customHeight="1">
      <c r="A10" s="67" t="inlineStr">
        <is>
          <t>Σ 2026–2030</t>
        </is>
      </c>
      <c r="B10" s="68">
        <f>SUM(B5:B9)</f>
        <v/>
      </c>
      <c r="C10" s="68">
        <f>SUM(C5:C9)</f>
        <v/>
      </c>
      <c r="D10" s="69">
        <f>IF(B10=0,"",C10/B10)</f>
        <v/>
      </c>
      <c r="E10" s="68">
        <f>SUM(E5:E9)</f>
        <v/>
      </c>
      <c r="F10" s="68">
        <f>SUM(F5:F9)</f>
        <v/>
      </c>
      <c r="G10" s="69">
        <f>IF(E10=0,"",F10/E10)</f>
        <v/>
      </c>
      <c r="H10" s="68">
        <f>SUM(H5:H9)</f>
        <v/>
      </c>
      <c r="I10" s="68">
        <f>SUM(I5:I9)</f>
        <v/>
      </c>
      <c r="J10" s="69">
        <f>IF(B10=0,"",H10/B10)</f>
        <v/>
      </c>
      <c r="K10" s="69">
        <f>IF(C10=0,"",I10/C10)</f>
        <v/>
      </c>
    </row>
    <row r="12">
      <c r="A12" s="70" t="inlineStr">
        <is>
          <t>🏷 Расходы по категориям и годам</t>
        </is>
      </c>
    </row>
    <row r="13">
      <c r="A13" s="71" t="inlineStr">
        <is>
          <t>Категория</t>
        </is>
      </c>
      <c r="B13" s="71" t="inlineStr">
        <is>
          <t>2026</t>
        </is>
      </c>
      <c r="C13" s="71" t="n"/>
      <c r="D13" s="71" t="inlineStr">
        <is>
          <t>2027</t>
        </is>
      </c>
      <c r="E13" s="71" t="n"/>
      <c r="F13" s="71" t="inlineStr">
        <is>
          <t>2028</t>
        </is>
      </c>
      <c r="G13" s="71" t="n"/>
      <c r="H13" s="71" t="inlineStr">
        <is>
          <t>2029</t>
        </is>
      </c>
      <c r="I13" s="71" t="n"/>
      <c r="J13" s="71" t="inlineStr">
        <is>
          <t>2030</t>
        </is>
      </c>
      <c r="K13" s="71" t="n"/>
      <c r="L13" s="71" t="inlineStr">
        <is>
          <t>Σ Итого</t>
        </is>
      </c>
      <c r="M13" s="71" t="n"/>
    </row>
    <row r="14">
      <c r="A14" s="71" t="n"/>
      <c r="B14" s="72" t="inlineStr">
        <is>
          <t>📝 План</t>
        </is>
      </c>
      <c r="C14" s="73" t="inlineStr">
        <is>
          <t>✅ Факт</t>
        </is>
      </c>
      <c r="D14" s="72" t="inlineStr">
        <is>
          <t>📝 План</t>
        </is>
      </c>
      <c r="E14" s="73" t="inlineStr">
        <is>
          <t>✅ Факт</t>
        </is>
      </c>
      <c r="F14" s="72" t="inlineStr">
        <is>
          <t>📝 План</t>
        </is>
      </c>
      <c r="G14" s="73" t="inlineStr">
        <is>
          <t>✅ Факт</t>
        </is>
      </c>
      <c r="H14" s="72" t="inlineStr">
        <is>
          <t>📝 План</t>
        </is>
      </c>
      <c r="I14" s="73" t="inlineStr">
        <is>
          <t>✅ Факт</t>
        </is>
      </c>
      <c r="J14" s="72" t="inlineStr">
        <is>
          <t>📝 План</t>
        </is>
      </c>
      <c r="K14" s="73" t="inlineStr">
        <is>
          <t>✅ Факт</t>
        </is>
      </c>
      <c r="L14" s="72" t="inlineStr">
        <is>
          <t>📝 План</t>
        </is>
      </c>
      <c r="M14" s="73" t="inlineStr">
        <is>
          <t>✅ Факт</t>
        </is>
      </c>
    </row>
    <row r="15">
      <c r="A15" s="49">
        <f>IF('📚 Справочник'!D5="","",'📚 Справочник'!D5)</f>
        <v/>
      </c>
      <c r="B15" s="50">
        <f>IF($A15="","",SUMIFS(exp_plan,exp_cat,$A15,exp_year,2026,exp_status,"&lt;&gt;❌ Отменено"))</f>
        <v/>
      </c>
      <c r="C15" s="51">
        <f>IF($A15="","",SUMIFS(exp_fact,exp_cat,$A15,exp_year,2026))</f>
        <v/>
      </c>
      <c r="D15" s="50">
        <f>IF($A15="","",SUMIFS(exp_plan,exp_cat,$A15,exp_year,2027,exp_status,"&lt;&gt;❌ Отменено"))</f>
        <v/>
      </c>
      <c r="E15" s="51">
        <f>IF($A15="","",SUMIFS(exp_fact,exp_cat,$A15,exp_year,2027))</f>
        <v/>
      </c>
      <c r="F15" s="50">
        <f>IF($A15="","",SUMIFS(exp_plan,exp_cat,$A15,exp_year,2028,exp_status,"&lt;&gt;❌ Отменено"))</f>
        <v/>
      </c>
      <c r="G15" s="51">
        <f>IF($A15="","",SUMIFS(exp_fact,exp_cat,$A15,exp_year,2028))</f>
        <v/>
      </c>
      <c r="H15" s="50">
        <f>IF($A15="","",SUMIFS(exp_plan,exp_cat,$A15,exp_year,2029,exp_status,"&lt;&gt;❌ Отменено"))</f>
        <v/>
      </c>
      <c r="I15" s="51">
        <f>IF($A15="","",SUMIFS(exp_fact,exp_cat,$A15,exp_year,2029))</f>
        <v/>
      </c>
      <c r="J15" s="50">
        <f>IF($A15="","",SUMIFS(exp_plan,exp_cat,$A15,exp_year,2030,exp_status,"&lt;&gt;❌ Отменено"))</f>
        <v/>
      </c>
      <c r="K15" s="51">
        <f>IF($A15="","",SUMIFS(exp_fact,exp_cat,$A15,exp_year,2030))</f>
        <v/>
      </c>
      <c r="L15" s="74">
        <f>IF($A15="","",SUM(B15,D15,F15,H15,J15))</f>
        <v/>
      </c>
      <c r="M15" s="75">
        <f>IF($A15="","",SUM(C15,E15,G15,I15,K15))</f>
        <v/>
      </c>
    </row>
    <row r="16">
      <c r="A16" s="49">
        <f>IF('📚 Справочник'!D6="","",'📚 Справочник'!D6)</f>
        <v/>
      </c>
      <c r="B16" s="50">
        <f>IF($A16="","",SUMIFS(exp_plan,exp_cat,$A16,exp_year,2026,exp_status,"&lt;&gt;❌ Отменено"))</f>
        <v/>
      </c>
      <c r="C16" s="51">
        <f>IF($A16="","",SUMIFS(exp_fact,exp_cat,$A16,exp_year,2026))</f>
        <v/>
      </c>
      <c r="D16" s="50">
        <f>IF($A16="","",SUMIFS(exp_plan,exp_cat,$A16,exp_year,2027,exp_status,"&lt;&gt;❌ Отменено"))</f>
        <v/>
      </c>
      <c r="E16" s="51">
        <f>IF($A16="","",SUMIFS(exp_fact,exp_cat,$A16,exp_year,2027))</f>
        <v/>
      </c>
      <c r="F16" s="50">
        <f>IF($A16="","",SUMIFS(exp_plan,exp_cat,$A16,exp_year,2028,exp_status,"&lt;&gt;❌ Отменено"))</f>
        <v/>
      </c>
      <c r="G16" s="51">
        <f>IF($A16="","",SUMIFS(exp_fact,exp_cat,$A16,exp_year,2028))</f>
        <v/>
      </c>
      <c r="H16" s="50">
        <f>IF($A16="","",SUMIFS(exp_plan,exp_cat,$A16,exp_year,2029,exp_status,"&lt;&gt;❌ Отменено"))</f>
        <v/>
      </c>
      <c r="I16" s="51">
        <f>IF($A16="","",SUMIFS(exp_fact,exp_cat,$A16,exp_year,2029))</f>
        <v/>
      </c>
      <c r="J16" s="50">
        <f>IF($A16="","",SUMIFS(exp_plan,exp_cat,$A16,exp_year,2030,exp_status,"&lt;&gt;❌ Отменено"))</f>
        <v/>
      </c>
      <c r="K16" s="51">
        <f>IF($A16="","",SUMIFS(exp_fact,exp_cat,$A16,exp_year,2030))</f>
        <v/>
      </c>
      <c r="L16" s="74">
        <f>IF($A16="","",SUM(B16,D16,F16,H16,J16))</f>
        <v/>
      </c>
      <c r="M16" s="75">
        <f>IF($A16="","",SUM(C16,E16,G16,I16,K16))</f>
        <v/>
      </c>
    </row>
    <row r="17">
      <c r="A17" s="49">
        <f>IF('📚 Справочник'!D7="","",'📚 Справочник'!D7)</f>
        <v/>
      </c>
      <c r="B17" s="50">
        <f>IF($A17="","",SUMIFS(exp_plan,exp_cat,$A17,exp_year,2026,exp_status,"&lt;&gt;❌ Отменено"))</f>
        <v/>
      </c>
      <c r="C17" s="51">
        <f>IF($A17="","",SUMIFS(exp_fact,exp_cat,$A17,exp_year,2026))</f>
        <v/>
      </c>
      <c r="D17" s="50">
        <f>IF($A17="","",SUMIFS(exp_plan,exp_cat,$A17,exp_year,2027,exp_status,"&lt;&gt;❌ Отменено"))</f>
        <v/>
      </c>
      <c r="E17" s="51">
        <f>IF($A17="","",SUMIFS(exp_fact,exp_cat,$A17,exp_year,2027))</f>
        <v/>
      </c>
      <c r="F17" s="50">
        <f>IF($A17="","",SUMIFS(exp_plan,exp_cat,$A17,exp_year,2028,exp_status,"&lt;&gt;❌ Отменено"))</f>
        <v/>
      </c>
      <c r="G17" s="51">
        <f>IF($A17="","",SUMIFS(exp_fact,exp_cat,$A17,exp_year,2028))</f>
        <v/>
      </c>
      <c r="H17" s="50">
        <f>IF($A17="","",SUMIFS(exp_plan,exp_cat,$A17,exp_year,2029,exp_status,"&lt;&gt;❌ Отменено"))</f>
        <v/>
      </c>
      <c r="I17" s="51">
        <f>IF($A17="","",SUMIFS(exp_fact,exp_cat,$A17,exp_year,2029))</f>
        <v/>
      </c>
      <c r="J17" s="50">
        <f>IF($A17="","",SUMIFS(exp_plan,exp_cat,$A17,exp_year,2030,exp_status,"&lt;&gt;❌ Отменено"))</f>
        <v/>
      </c>
      <c r="K17" s="51">
        <f>IF($A17="","",SUMIFS(exp_fact,exp_cat,$A17,exp_year,2030))</f>
        <v/>
      </c>
      <c r="L17" s="74">
        <f>IF($A17="","",SUM(B17,D17,F17,H17,J17))</f>
        <v/>
      </c>
      <c r="M17" s="75">
        <f>IF($A17="","",SUM(C17,E17,G17,I17,K17))</f>
        <v/>
      </c>
    </row>
    <row r="18">
      <c r="A18" s="49">
        <f>IF('📚 Справочник'!D8="","",'📚 Справочник'!D8)</f>
        <v/>
      </c>
      <c r="B18" s="50">
        <f>IF($A18="","",SUMIFS(exp_plan,exp_cat,$A18,exp_year,2026,exp_status,"&lt;&gt;❌ Отменено"))</f>
        <v/>
      </c>
      <c r="C18" s="51">
        <f>IF($A18="","",SUMIFS(exp_fact,exp_cat,$A18,exp_year,2026))</f>
        <v/>
      </c>
      <c r="D18" s="50">
        <f>IF($A18="","",SUMIFS(exp_plan,exp_cat,$A18,exp_year,2027,exp_status,"&lt;&gt;❌ Отменено"))</f>
        <v/>
      </c>
      <c r="E18" s="51">
        <f>IF($A18="","",SUMIFS(exp_fact,exp_cat,$A18,exp_year,2027))</f>
        <v/>
      </c>
      <c r="F18" s="50">
        <f>IF($A18="","",SUMIFS(exp_plan,exp_cat,$A18,exp_year,2028,exp_status,"&lt;&gt;❌ Отменено"))</f>
        <v/>
      </c>
      <c r="G18" s="51">
        <f>IF($A18="","",SUMIFS(exp_fact,exp_cat,$A18,exp_year,2028))</f>
        <v/>
      </c>
      <c r="H18" s="50">
        <f>IF($A18="","",SUMIFS(exp_plan,exp_cat,$A18,exp_year,2029,exp_status,"&lt;&gt;❌ Отменено"))</f>
        <v/>
      </c>
      <c r="I18" s="51">
        <f>IF($A18="","",SUMIFS(exp_fact,exp_cat,$A18,exp_year,2029))</f>
        <v/>
      </c>
      <c r="J18" s="50">
        <f>IF($A18="","",SUMIFS(exp_plan,exp_cat,$A18,exp_year,2030,exp_status,"&lt;&gt;❌ Отменено"))</f>
        <v/>
      </c>
      <c r="K18" s="51">
        <f>IF($A18="","",SUMIFS(exp_fact,exp_cat,$A18,exp_year,2030))</f>
        <v/>
      </c>
      <c r="L18" s="74">
        <f>IF($A18="","",SUM(B18,D18,F18,H18,J18))</f>
        <v/>
      </c>
      <c r="M18" s="75">
        <f>IF($A18="","",SUM(C18,E18,G18,I18,K18))</f>
        <v/>
      </c>
    </row>
    <row r="19">
      <c r="A19" s="49">
        <f>IF('📚 Справочник'!D9="","",'📚 Справочник'!D9)</f>
        <v/>
      </c>
      <c r="B19" s="50">
        <f>IF($A19="","",SUMIFS(exp_plan,exp_cat,$A19,exp_year,2026,exp_status,"&lt;&gt;❌ Отменено"))</f>
        <v/>
      </c>
      <c r="C19" s="51">
        <f>IF($A19="","",SUMIFS(exp_fact,exp_cat,$A19,exp_year,2026))</f>
        <v/>
      </c>
      <c r="D19" s="50">
        <f>IF($A19="","",SUMIFS(exp_plan,exp_cat,$A19,exp_year,2027,exp_status,"&lt;&gt;❌ Отменено"))</f>
        <v/>
      </c>
      <c r="E19" s="51">
        <f>IF($A19="","",SUMIFS(exp_fact,exp_cat,$A19,exp_year,2027))</f>
        <v/>
      </c>
      <c r="F19" s="50">
        <f>IF($A19="","",SUMIFS(exp_plan,exp_cat,$A19,exp_year,2028,exp_status,"&lt;&gt;❌ Отменено"))</f>
        <v/>
      </c>
      <c r="G19" s="51">
        <f>IF($A19="","",SUMIFS(exp_fact,exp_cat,$A19,exp_year,2028))</f>
        <v/>
      </c>
      <c r="H19" s="50">
        <f>IF($A19="","",SUMIFS(exp_plan,exp_cat,$A19,exp_year,2029,exp_status,"&lt;&gt;❌ Отменено"))</f>
        <v/>
      </c>
      <c r="I19" s="51">
        <f>IF($A19="","",SUMIFS(exp_fact,exp_cat,$A19,exp_year,2029))</f>
        <v/>
      </c>
      <c r="J19" s="50">
        <f>IF($A19="","",SUMIFS(exp_plan,exp_cat,$A19,exp_year,2030,exp_status,"&lt;&gt;❌ Отменено"))</f>
        <v/>
      </c>
      <c r="K19" s="51">
        <f>IF($A19="","",SUMIFS(exp_fact,exp_cat,$A19,exp_year,2030))</f>
        <v/>
      </c>
      <c r="L19" s="74">
        <f>IF($A19="","",SUM(B19,D19,F19,H19,J19))</f>
        <v/>
      </c>
      <c r="M19" s="75">
        <f>IF($A19="","",SUM(C19,E19,G19,I19,K19))</f>
        <v/>
      </c>
    </row>
    <row r="20">
      <c r="A20" s="49">
        <f>IF('📚 Справочник'!D10="","",'📚 Справочник'!D10)</f>
        <v/>
      </c>
      <c r="B20" s="50">
        <f>IF($A20="","",SUMIFS(exp_plan,exp_cat,$A20,exp_year,2026,exp_status,"&lt;&gt;❌ Отменено"))</f>
        <v/>
      </c>
      <c r="C20" s="51">
        <f>IF($A20="","",SUMIFS(exp_fact,exp_cat,$A20,exp_year,2026))</f>
        <v/>
      </c>
      <c r="D20" s="50">
        <f>IF($A20="","",SUMIFS(exp_plan,exp_cat,$A20,exp_year,2027,exp_status,"&lt;&gt;❌ Отменено"))</f>
        <v/>
      </c>
      <c r="E20" s="51">
        <f>IF($A20="","",SUMIFS(exp_fact,exp_cat,$A20,exp_year,2027))</f>
        <v/>
      </c>
      <c r="F20" s="50">
        <f>IF($A20="","",SUMIFS(exp_plan,exp_cat,$A20,exp_year,2028,exp_status,"&lt;&gt;❌ Отменено"))</f>
        <v/>
      </c>
      <c r="G20" s="51">
        <f>IF($A20="","",SUMIFS(exp_fact,exp_cat,$A20,exp_year,2028))</f>
        <v/>
      </c>
      <c r="H20" s="50">
        <f>IF($A20="","",SUMIFS(exp_plan,exp_cat,$A20,exp_year,2029,exp_status,"&lt;&gt;❌ Отменено"))</f>
        <v/>
      </c>
      <c r="I20" s="51">
        <f>IF($A20="","",SUMIFS(exp_fact,exp_cat,$A20,exp_year,2029))</f>
        <v/>
      </c>
      <c r="J20" s="50">
        <f>IF($A20="","",SUMIFS(exp_plan,exp_cat,$A20,exp_year,2030,exp_status,"&lt;&gt;❌ Отменено"))</f>
        <v/>
      </c>
      <c r="K20" s="51">
        <f>IF($A20="","",SUMIFS(exp_fact,exp_cat,$A20,exp_year,2030))</f>
        <v/>
      </c>
      <c r="L20" s="74">
        <f>IF($A20="","",SUM(B20,D20,F20,H20,J20))</f>
        <v/>
      </c>
      <c r="M20" s="75">
        <f>IF($A20="","",SUM(C20,E20,G20,I20,K20))</f>
        <v/>
      </c>
    </row>
    <row r="21">
      <c r="A21" s="49">
        <f>IF('📚 Справочник'!D11="","",'📚 Справочник'!D11)</f>
        <v/>
      </c>
      <c r="B21" s="50">
        <f>IF($A21="","",SUMIFS(exp_plan,exp_cat,$A21,exp_year,2026,exp_status,"&lt;&gt;❌ Отменено"))</f>
        <v/>
      </c>
      <c r="C21" s="51">
        <f>IF($A21="","",SUMIFS(exp_fact,exp_cat,$A21,exp_year,2026))</f>
        <v/>
      </c>
      <c r="D21" s="50">
        <f>IF($A21="","",SUMIFS(exp_plan,exp_cat,$A21,exp_year,2027,exp_status,"&lt;&gt;❌ Отменено"))</f>
        <v/>
      </c>
      <c r="E21" s="51">
        <f>IF($A21="","",SUMIFS(exp_fact,exp_cat,$A21,exp_year,2027))</f>
        <v/>
      </c>
      <c r="F21" s="50">
        <f>IF($A21="","",SUMIFS(exp_plan,exp_cat,$A21,exp_year,2028,exp_status,"&lt;&gt;❌ Отменено"))</f>
        <v/>
      </c>
      <c r="G21" s="51">
        <f>IF($A21="","",SUMIFS(exp_fact,exp_cat,$A21,exp_year,2028))</f>
        <v/>
      </c>
      <c r="H21" s="50">
        <f>IF($A21="","",SUMIFS(exp_plan,exp_cat,$A21,exp_year,2029,exp_status,"&lt;&gt;❌ Отменено"))</f>
        <v/>
      </c>
      <c r="I21" s="51">
        <f>IF($A21="","",SUMIFS(exp_fact,exp_cat,$A21,exp_year,2029))</f>
        <v/>
      </c>
      <c r="J21" s="50">
        <f>IF($A21="","",SUMIFS(exp_plan,exp_cat,$A21,exp_year,2030,exp_status,"&lt;&gt;❌ Отменено"))</f>
        <v/>
      </c>
      <c r="K21" s="51">
        <f>IF($A21="","",SUMIFS(exp_fact,exp_cat,$A21,exp_year,2030))</f>
        <v/>
      </c>
      <c r="L21" s="74">
        <f>IF($A21="","",SUM(B21,D21,F21,H21,J21))</f>
        <v/>
      </c>
      <c r="M21" s="75">
        <f>IF($A21="","",SUM(C21,E21,G21,I21,K21))</f>
        <v/>
      </c>
    </row>
    <row r="22">
      <c r="A22" s="49">
        <f>IF('📚 Справочник'!D12="","",'📚 Справочник'!D12)</f>
        <v/>
      </c>
      <c r="B22" s="50">
        <f>IF($A22="","",SUMIFS(exp_plan,exp_cat,$A22,exp_year,2026,exp_status,"&lt;&gt;❌ Отменено"))</f>
        <v/>
      </c>
      <c r="C22" s="51">
        <f>IF($A22="","",SUMIFS(exp_fact,exp_cat,$A22,exp_year,2026))</f>
        <v/>
      </c>
      <c r="D22" s="50">
        <f>IF($A22="","",SUMIFS(exp_plan,exp_cat,$A22,exp_year,2027,exp_status,"&lt;&gt;❌ Отменено"))</f>
        <v/>
      </c>
      <c r="E22" s="51">
        <f>IF($A22="","",SUMIFS(exp_fact,exp_cat,$A22,exp_year,2027))</f>
        <v/>
      </c>
      <c r="F22" s="50">
        <f>IF($A22="","",SUMIFS(exp_plan,exp_cat,$A22,exp_year,2028,exp_status,"&lt;&gt;❌ Отменено"))</f>
        <v/>
      </c>
      <c r="G22" s="51">
        <f>IF($A22="","",SUMIFS(exp_fact,exp_cat,$A22,exp_year,2028))</f>
        <v/>
      </c>
      <c r="H22" s="50">
        <f>IF($A22="","",SUMIFS(exp_plan,exp_cat,$A22,exp_year,2029,exp_status,"&lt;&gt;❌ Отменено"))</f>
        <v/>
      </c>
      <c r="I22" s="51">
        <f>IF($A22="","",SUMIFS(exp_fact,exp_cat,$A22,exp_year,2029))</f>
        <v/>
      </c>
      <c r="J22" s="50">
        <f>IF($A22="","",SUMIFS(exp_plan,exp_cat,$A22,exp_year,2030,exp_status,"&lt;&gt;❌ Отменено"))</f>
        <v/>
      </c>
      <c r="K22" s="51">
        <f>IF($A22="","",SUMIFS(exp_fact,exp_cat,$A22,exp_year,2030))</f>
        <v/>
      </c>
      <c r="L22" s="74">
        <f>IF($A22="","",SUM(B22,D22,F22,H22,J22))</f>
        <v/>
      </c>
      <c r="M22" s="75">
        <f>IF($A22="","",SUM(C22,E22,G22,I22,K22))</f>
        <v/>
      </c>
    </row>
    <row r="23">
      <c r="A23" s="49">
        <f>IF('📚 Справочник'!D13="","",'📚 Справочник'!D13)</f>
        <v/>
      </c>
      <c r="B23" s="50">
        <f>IF($A23="","",SUMIFS(exp_plan,exp_cat,$A23,exp_year,2026,exp_status,"&lt;&gt;❌ Отменено"))</f>
        <v/>
      </c>
      <c r="C23" s="51">
        <f>IF($A23="","",SUMIFS(exp_fact,exp_cat,$A23,exp_year,2026))</f>
        <v/>
      </c>
      <c r="D23" s="50">
        <f>IF($A23="","",SUMIFS(exp_plan,exp_cat,$A23,exp_year,2027,exp_status,"&lt;&gt;❌ Отменено"))</f>
        <v/>
      </c>
      <c r="E23" s="51">
        <f>IF($A23="","",SUMIFS(exp_fact,exp_cat,$A23,exp_year,2027))</f>
        <v/>
      </c>
      <c r="F23" s="50">
        <f>IF($A23="","",SUMIFS(exp_plan,exp_cat,$A23,exp_year,2028,exp_status,"&lt;&gt;❌ Отменено"))</f>
        <v/>
      </c>
      <c r="G23" s="51">
        <f>IF($A23="","",SUMIFS(exp_fact,exp_cat,$A23,exp_year,2028))</f>
        <v/>
      </c>
      <c r="H23" s="50">
        <f>IF($A23="","",SUMIFS(exp_plan,exp_cat,$A23,exp_year,2029,exp_status,"&lt;&gt;❌ Отменено"))</f>
        <v/>
      </c>
      <c r="I23" s="51">
        <f>IF($A23="","",SUMIFS(exp_fact,exp_cat,$A23,exp_year,2029))</f>
        <v/>
      </c>
      <c r="J23" s="50">
        <f>IF($A23="","",SUMIFS(exp_plan,exp_cat,$A23,exp_year,2030,exp_status,"&lt;&gt;❌ Отменено"))</f>
        <v/>
      </c>
      <c r="K23" s="51">
        <f>IF($A23="","",SUMIFS(exp_fact,exp_cat,$A23,exp_year,2030))</f>
        <v/>
      </c>
      <c r="L23" s="74">
        <f>IF($A23="","",SUM(B23,D23,F23,H23,J23))</f>
        <v/>
      </c>
      <c r="M23" s="75">
        <f>IF($A23="","",SUM(C23,E23,G23,I23,K23))</f>
        <v/>
      </c>
    </row>
    <row r="24">
      <c r="A24" s="49">
        <f>IF('📚 Справочник'!D14="","",'📚 Справочник'!D14)</f>
        <v/>
      </c>
      <c r="B24" s="50">
        <f>IF($A24="","",SUMIFS(exp_plan,exp_cat,$A24,exp_year,2026,exp_status,"&lt;&gt;❌ Отменено"))</f>
        <v/>
      </c>
      <c r="C24" s="51">
        <f>IF($A24="","",SUMIFS(exp_fact,exp_cat,$A24,exp_year,2026))</f>
        <v/>
      </c>
      <c r="D24" s="50">
        <f>IF($A24="","",SUMIFS(exp_plan,exp_cat,$A24,exp_year,2027,exp_status,"&lt;&gt;❌ Отменено"))</f>
        <v/>
      </c>
      <c r="E24" s="51">
        <f>IF($A24="","",SUMIFS(exp_fact,exp_cat,$A24,exp_year,2027))</f>
        <v/>
      </c>
      <c r="F24" s="50">
        <f>IF($A24="","",SUMIFS(exp_plan,exp_cat,$A24,exp_year,2028,exp_status,"&lt;&gt;❌ Отменено"))</f>
        <v/>
      </c>
      <c r="G24" s="51">
        <f>IF($A24="","",SUMIFS(exp_fact,exp_cat,$A24,exp_year,2028))</f>
        <v/>
      </c>
      <c r="H24" s="50">
        <f>IF($A24="","",SUMIFS(exp_plan,exp_cat,$A24,exp_year,2029,exp_status,"&lt;&gt;❌ Отменено"))</f>
        <v/>
      </c>
      <c r="I24" s="51">
        <f>IF($A24="","",SUMIFS(exp_fact,exp_cat,$A24,exp_year,2029))</f>
        <v/>
      </c>
      <c r="J24" s="50">
        <f>IF($A24="","",SUMIFS(exp_plan,exp_cat,$A24,exp_year,2030,exp_status,"&lt;&gt;❌ Отменено"))</f>
        <v/>
      </c>
      <c r="K24" s="51">
        <f>IF($A24="","",SUMIFS(exp_fact,exp_cat,$A24,exp_year,2030))</f>
        <v/>
      </c>
      <c r="L24" s="74">
        <f>IF($A24="","",SUM(B24,D24,F24,H24,J24))</f>
        <v/>
      </c>
      <c r="M24" s="75">
        <f>IF($A24="","",SUM(C24,E24,G24,I24,K24))</f>
        <v/>
      </c>
    </row>
    <row r="25">
      <c r="A25" s="49">
        <f>IF('📚 Справочник'!D15="","",'📚 Справочник'!D15)</f>
        <v/>
      </c>
      <c r="B25" s="50">
        <f>IF($A25="","",SUMIFS(exp_plan,exp_cat,$A25,exp_year,2026,exp_status,"&lt;&gt;❌ Отменено"))</f>
        <v/>
      </c>
      <c r="C25" s="51">
        <f>IF($A25="","",SUMIFS(exp_fact,exp_cat,$A25,exp_year,2026))</f>
        <v/>
      </c>
      <c r="D25" s="50">
        <f>IF($A25="","",SUMIFS(exp_plan,exp_cat,$A25,exp_year,2027,exp_status,"&lt;&gt;❌ Отменено"))</f>
        <v/>
      </c>
      <c r="E25" s="51">
        <f>IF($A25="","",SUMIFS(exp_fact,exp_cat,$A25,exp_year,2027))</f>
        <v/>
      </c>
      <c r="F25" s="50">
        <f>IF($A25="","",SUMIFS(exp_plan,exp_cat,$A25,exp_year,2028,exp_status,"&lt;&gt;❌ Отменено"))</f>
        <v/>
      </c>
      <c r="G25" s="51">
        <f>IF($A25="","",SUMIFS(exp_fact,exp_cat,$A25,exp_year,2028))</f>
        <v/>
      </c>
      <c r="H25" s="50">
        <f>IF($A25="","",SUMIFS(exp_plan,exp_cat,$A25,exp_year,2029,exp_status,"&lt;&gt;❌ Отменено"))</f>
        <v/>
      </c>
      <c r="I25" s="51">
        <f>IF($A25="","",SUMIFS(exp_fact,exp_cat,$A25,exp_year,2029))</f>
        <v/>
      </c>
      <c r="J25" s="50">
        <f>IF($A25="","",SUMIFS(exp_plan,exp_cat,$A25,exp_year,2030,exp_status,"&lt;&gt;❌ Отменено"))</f>
        <v/>
      </c>
      <c r="K25" s="51">
        <f>IF($A25="","",SUMIFS(exp_fact,exp_cat,$A25,exp_year,2030))</f>
        <v/>
      </c>
      <c r="L25" s="74">
        <f>IF($A25="","",SUM(B25,D25,F25,H25,J25))</f>
        <v/>
      </c>
      <c r="M25" s="75">
        <f>IF($A25="","",SUM(C25,E25,G25,I25,K25))</f>
        <v/>
      </c>
    </row>
    <row r="26">
      <c r="A26" s="49">
        <f>IF('📚 Справочник'!D16="","",'📚 Справочник'!D16)</f>
        <v/>
      </c>
      <c r="B26" s="50">
        <f>IF($A26="","",SUMIFS(exp_plan,exp_cat,$A26,exp_year,2026,exp_status,"&lt;&gt;❌ Отменено"))</f>
        <v/>
      </c>
      <c r="C26" s="51">
        <f>IF($A26="","",SUMIFS(exp_fact,exp_cat,$A26,exp_year,2026))</f>
        <v/>
      </c>
      <c r="D26" s="50">
        <f>IF($A26="","",SUMIFS(exp_plan,exp_cat,$A26,exp_year,2027,exp_status,"&lt;&gt;❌ Отменено"))</f>
        <v/>
      </c>
      <c r="E26" s="51">
        <f>IF($A26="","",SUMIFS(exp_fact,exp_cat,$A26,exp_year,2027))</f>
        <v/>
      </c>
      <c r="F26" s="50">
        <f>IF($A26="","",SUMIFS(exp_plan,exp_cat,$A26,exp_year,2028,exp_status,"&lt;&gt;❌ Отменено"))</f>
        <v/>
      </c>
      <c r="G26" s="51">
        <f>IF($A26="","",SUMIFS(exp_fact,exp_cat,$A26,exp_year,2028))</f>
        <v/>
      </c>
      <c r="H26" s="50">
        <f>IF($A26="","",SUMIFS(exp_plan,exp_cat,$A26,exp_year,2029,exp_status,"&lt;&gt;❌ Отменено"))</f>
        <v/>
      </c>
      <c r="I26" s="51">
        <f>IF($A26="","",SUMIFS(exp_fact,exp_cat,$A26,exp_year,2029))</f>
        <v/>
      </c>
      <c r="J26" s="50">
        <f>IF($A26="","",SUMIFS(exp_plan,exp_cat,$A26,exp_year,2030,exp_status,"&lt;&gt;❌ Отменено"))</f>
        <v/>
      </c>
      <c r="K26" s="51">
        <f>IF($A26="","",SUMIFS(exp_fact,exp_cat,$A26,exp_year,2030))</f>
        <v/>
      </c>
      <c r="L26" s="74">
        <f>IF($A26="","",SUM(B26,D26,F26,H26,J26))</f>
        <v/>
      </c>
      <c r="M26" s="75">
        <f>IF($A26="","",SUM(C26,E26,G26,I26,K26))</f>
        <v/>
      </c>
    </row>
    <row r="27">
      <c r="A27" s="49">
        <f>IF('📚 Справочник'!D17="","",'📚 Справочник'!D17)</f>
        <v/>
      </c>
      <c r="B27" s="50">
        <f>IF($A27="","",SUMIFS(exp_plan,exp_cat,$A27,exp_year,2026,exp_status,"&lt;&gt;❌ Отменено"))</f>
        <v/>
      </c>
      <c r="C27" s="51">
        <f>IF($A27="","",SUMIFS(exp_fact,exp_cat,$A27,exp_year,2026))</f>
        <v/>
      </c>
      <c r="D27" s="50">
        <f>IF($A27="","",SUMIFS(exp_plan,exp_cat,$A27,exp_year,2027,exp_status,"&lt;&gt;❌ Отменено"))</f>
        <v/>
      </c>
      <c r="E27" s="51">
        <f>IF($A27="","",SUMIFS(exp_fact,exp_cat,$A27,exp_year,2027))</f>
        <v/>
      </c>
      <c r="F27" s="50">
        <f>IF($A27="","",SUMIFS(exp_plan,exp_cat,$A27,exp_year,2028,exp_status,"&lt;&gt;❌ Отменено"))</f>
        <v/>
      </c>
      <c r="G27" s="51">
        <f>IF($A27="","",SUMIFS(exp_fact,exp_cat,$A27,exp_year,2028))</f>
        <v/>
      </c>
      <c r="H27" s="50">
        <f>IF($A27="","",SUMIFS(exp_plan,exp_cat,$A27,exp_year,2029,exp_status,"&lt;&gt;❌ Отменено"))</f>
        <v/>
      </c>
      <c r="I27" s="51">
        <f>IF($A27="","",SUMIFS(exp_fact,exp_cat,$A27,exp_year,2029))</f>
        <v/>
      </c>
      <c r="J27" s="50">
        <f>IF($A27="","",SUMIFS(exp_plan,exp_cat,$A27,exp_year,2030,exp_status,"&lt;&gt;❌ Отменено"))</f>
        <v/>
      </c>
      <c r="K27" s="51">
        <f>IF($A27="","",SUMIFS(exp_fact,exp_cat,$A27,exp_year,2030))</f>
        <v/>
      </c>
      <c r="L27" s="74">
        <f>IF($A27="","",SUM(B27,D27,F27,H27,J27))</f>
        <v/>
      </c>
      <c r="M27" s="75">
        <f>IF($A27="","",SUM(C27,E27,G27,I27,K27))</f>
        <v/>
      </c>
    </row>
    <row r="28">
      <c r="A28" s="49">
        <f>IF('📚 Справочник'!D18="","",'📚 Справочник'!D18)</f>
        <v/>
      </c>
      <c r="B28" s="50">
        <f>IF($A28="","",SUMIFS(exp_plan,exp_cat,$A28,exp_year,2026,exp_status,"&lt;&gt;❌ Отменено"))</f>
        <v/>
      </c>
      <c r="C28" s="51">
        <f>IF($A28="","",SUMIFS(exp_fact,exp_cat,$A28,exp_year,2026))</f>
        <v/>
      </c>
      <c r="D28" s="50">
        <f>IF($A28="","",SUMIFS(exp_plan,exp_cat,$A28,exp_year,2027,exp_status,"&lt;&gt;❌ Отменено"))</f>
        <v/>
      </c>
      <c r="E28" s="51">
        <f>IF($A28="","",SUMIFS(exp_fact,exp_cat,$A28,exp_year,2027))</f>
        <v/>
      </c>
      <c r="F28" s="50">
        <f>IF($A28="","",SUMIFS(exp_plan,exp_cat,$A28,exp_year,2028,exp_status,"&lt;&gt;❌ Отменено"))</f>
        <v/>
      </c>
      <c r="G28" s="51">
        <f>IF($A28="","",SUMIFS(exp_fact,exp_cat,$A28,exp_year,2028))</f>
        <v/>
      </c>
      <c r="H28" s="50">
        <f>IF($A28="","",SUMIFS(exp_plan,exp_cat,$A28,exp_year,2029,exp_status,"&lt;&gt;❌ Отменено"))</f>
        <v/>
      </c>
      <c r="I28" s="51">
        <f>IF($A28="","",SUMIFS(exp_fact,exp_cat,$A28,exp_year,2029))</f>
        <v/>
      </c>
      <c r="J28" s="50">
        <f>IF($A28="","",SUMIFS(exp_plan,exp_cat,$A28,exp_year,2030,exp_status,"&lt;&gt;❌ Отменено"))</f>
        <v/>
      </c>
      <c r="K28" s="51">
        <f>IF($A28="","",SUMIFS(exp_fact,exp_cat,$A28,exp_year,2030))</f>
        <v/>
      </c>
      <c r="L28" s="74">
        <f>IF($A28="","",SUM(B28,D28,F28,H28,J28))</f>
        <v/>
      </c>
      <c r="M28" s="75">
        <f>IF($A28="","",SUM(C28,E28,G28,I28,K28))</f>
        <v/>
      </c>
    </row>
    <row r="29">
      <c r="A29" s="49">
        <f>IF('📚 Справочник'!D19="","",'📚 Справочник'!D19)</f>
        <v/>
      </c>
      <c r="B29" s="50">
        <f>IF($A29="","",SUMIFS(exp_plan,exp_cat,$A29,exp_year,2026,exp_status,"&lt;&gt;❌ Отменено"))</f>
        <v/>
      </c>
      <c r="C29" s="51">
        <f>IF($A29="","",SUMIFS(exp_fact,exp_cat,$A29,exp_year,2026))</f>
        <v/>
      </c>
      <c r="D29" s="50">
        <f>IF($A29="","",SUMIFS(exp_plan,exp_cat,$A29,exp_year,2027,exp_status,"&lt;&gt;❌ Отменено"))</f>
        <v/>
      </c>
      <c r="E29" s="51">
        <f>IF($A29="","",SUMIFS(exp_fact,exp_cat,$A29,exp_year,2027))</f>
        <v/>
      </c>
      <c r="F29" s="50">
        <f>IF($A29="","",SUMIFS(exp_plan,exp_cat,$A29,exp_year,2028,exp_status,"&lt;&gt;❌ Отменено"))</f>
        <v/>
      </c>
      <c r="G29" s="51">
        <f>IF($A29="","",SUMIFS(exp_fact,exp_cat,$A29,exp_year,2028))</f>
        <v/>
      </c>
      <c r="H29" s="50">
        <f>IF($A29="","",SUMIFS(exp_plan,exp_cat,$A29,exp_year,2029,exp_status,"&lt;&gt;❌ Отменено"))</f>
        <v/>
      </c>
      <c r="I29" s="51">
        <f>IF($A29="","",SUMIFS(exp_fact,exp_cat,$A29,exp_year,2029))</f>
        <v/>
      </c>
      <c r="J29" s="50">
        <f>IF($A29="","",SUMIFS(exp_plan,exp_cat,$A29,exp_year,2030,exp_status,"&lt;&gt;❌ Отменено"))</f>
        <v/>
      </c>
      <c r="K29" s="51">
        <f>IF($A29="","",SUMIFS(exp_fact,exp_cat,$A29,exp_year,2030))</f>
        <v/>
      </c>
      <c r="L29" s="74">
        <f>IF($A29="","",SUM(B29,D29,F29,H29,J29))</f>
        <v/>
      </c>
      <c r="M29" s="75">
        <f>IF($A29="","",SUM(C29,E29,G29,I29,K29))</f>
        <v/>
      </c>
    </row>
    <row r="30">
      <c r="A30" s="68" t="inlineStr">
        <is>
          <t>Σ ИТОГО</t>
        </is>
      </c>
      <c r="B30" s="68">
        <f>SUM(B15:B29)</f>
        <v/>
      </c>
      <c r="C30" s="68">
        <f>SUM(C15:C29)</f>
        <v/>
      </c>
      <c r="D30" s="68">
        <f>SUM(D15:D29)</f>
        <v/>
      </c>
      <c r="E30" s="68">
        <f>SUM(E15:E29)</f>
        <v/>
      </c>
      <c r="F30" s="68">
        <f>SUM(F15:F29)</f>
        <v/>
      </c>
      <c r="G30" s="68">
        <f>SUM(G15:G29)</f>
        <v/>
      </c>
      <c r="H30" s="68">
        <f>SUM(H15:H29)</f>
        <v/>
      </c>
      <c r="I30" s="68">
        <f>SUM(I15:I29)</f>
        <v/>
      </c>
      <c r="J30" s="68">
        <f>SUM(J15:J29)</f>
        <v/>
      </c>
      <c r="K30" s="68">
        <f>SUM(K15:K29)</f>
        <v/>
      </c>
      <c r="L30" s="68">
        <f>SUM(L15:L29)</f>
        <v/>
      </c>
      <c r="M30" s="68">
        <f>SUM(M15:M29)</f>
        <v/>
      </c>
    </row>
  </sheetData>
  <mergeCells count="9">
    <mergeCell ref="B13:C13"/>
    <mergeCell ref="A1:M1"/>
    <mergeCell ref="A13:A14"/>
    <mergeCell ref="D13:E13"/>
    <mergeCell ref="F13:G13"/>
    <mergeCell ref="J13:K13"/>
    <mergeCell ref="H13:I13"/>
    <mergeCell ref="A2:M2"/>
    <mergeCell ref="L13:M13"/>
  </mergeCells>
  <conditionalFormatting sqref="A5:K9">
    <cfRule type="expression" priority="1" dxfId="9">
      <formula>$A5=YEAR(TODAY())</formula>
    </cfRule>
  </conditionalFormatting>
  <conditionalFormatting sqref="H5:H10">
    <cfRule type="cellIs" priority="2" operator="lessThan" dxfId="0">
      <formula>0</formula>
    </cfRule>
  </conditionalFormatting>
  <conditionalFormatting sqref="I5:I10">
    <cfRule type="cellIs" priority="3" operator="lessThan" dxfId="0">
      <formula>0</formula>
    </cfRule>
  </conditionalFormatting>
  <conditionalFormatting sqref="D5:D10">
    <cfRule type="dataBar" priority="4">
      <dataBar>
        <cfvo type="num" val="0"/>
        <cfvo type="num" val="1"/>
        <color rgb="008338EC"/>
      </dataBar>
    </cfRule>
  </conditionalFormatting>
  <conditionalFormatting sqref="J5:J10">
    <cfRule type="dataBar" priority="5">
      <dataBar>
        <cfvo type="num" val="0"/>
        <cfvo type="num" val="1"/>
        <color rgb="008338EC"/>
      </dataBar>
    </cfRule>
  </conditionalFormatting>
  <conditionalFormatting sqref="K5:K10">
    <cfRule type="dataBar" priority="6">
      <dataBar>
        <cfvo type="num" val="0"/>
        <cfvo type="num" val="1"/>
        <color rgb="008338EC"/>
      </dataBar>
    </cfRule>
  </conditionalFormatting>
  <conditionalFormatting sqref="G5:G10">
    <cfRule type="cellIs" priority="7" operator="greaterThan" dxfId="8">
      <formula>1</formula>
    </cfRule>
  </conditionalFormatting>
  <conditionalFormatting sqref="M15:M29">
    <cfRule type="dataBar" priority="8">
      <dataBar>
        <cfvo type="min"/>
        <cfvo type="max"/>
        <color rgb="00FF5D8F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FF5D8F"/>
    <outlinePr summaryBelow="1" summaryRight="1"/>
    <pageSetUpPr/>
  </sheetPr>
  <dimension ref="A1:I20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18" customWidth="1" min="3" max="3"/>
    <col width="14" customWidth="1" min="4" max="4"/>
    <col width="9" customWidth="1" min="5" max="5"/>
    <col width="12" customWidth="1" min="6" max="6"/>
    <col width="14" customWidth="1" min="7" max="7"/>
    <col width="14" customWidth="1" min="8" max="8"/>
    <col width="18" customWidth="1" min="9" max="9"/>
  </cols>
  <sheetData>
    <row r="1" ht="36" customHeight="1">
      <c r="A1" s="76" t="inlineStr">
        <is>
          <t>✨ Список хотелок, желаний и мечт</t>
        </is>
      </c>
      <c r="B1" s="77" t="n"/>
      <c r="C1" s="77" t="n"/>
      <c r="D1" s="77" t="n"/>
      <c r="E1" s="77" t="n"/>
      <c r="F1" s="77" t="n"/>
      <c r="G1" s="77" t="n"/>
      <c r="H1" s="77" t="n"/>
      <c r="I1" s="77" t="n"/>
    </row>
    <row r="2" ht="30" customHeight="1">
      <c r="A2" s="3" t="inlineStr">
        <is>
          <t>Собирается АВТОМАТИЧЕСКИ из листа «💸 Расходы» по категориям с отметкой «Да» в справочнике. Чтобы вычеркнуть хотелку — поставьте ей статус «✅ Выполнено» в листе «Расходы».</t>
        </is>
      </c>
    </row>
    <row r="3">
      <c r="B3" s="16" t="inlineStr">
        <is>
          <t>Всего хотелок</t>
        </is>
      </c>
      <c r="C3" s="16" t="inlineStr">
        <is>
          <t>✅ Исполнено</t>
        </is>
      </c>
      <c r="D3" s="16" t="inlineStr">
        <is>
          <t>🎯 Прогресс</t>
        </is>
      </c>
      <c r="E3" s="16" t="inlineStr">
        <is>
          <t>💰 Ещё нужно, ₸</t>
        </is>
      </c>
    </row>
    <row r="4" ht="26" customHeight="1">
      <c r="B4" s="19">
        <f>COUNT(exp_wishno)</f>
        <v/>
      </c>
      <c r="C4" s="19">
        <f>COUNTIFS(exp_wishno,"&gt;0",exp_status,"✅ Выполнено")</f>
        <v/>
      </c>
      <c r="D4" s="20">
        <f>IF(B4=0,"",C4/B4)</f>
        <v/>
      </c>
      <c r="E4" s="78">
        <f>SUMPRODUCT((exp_wishno&lt;&gt;"")*(exp_status&lt;&gt;"✅ Выполнено")*(exp_status&lt;&gt;"❌ Отменено"),exp_plan)</f>
        <v/>
      </c>
    </row>
    <row r="6" ht="34" customHeight="1">
      <c r="A6" s="79" t="inlineStr">
        <is>
          <t>№</t>
        </is>
      </c>
      <c r="B6" s="79" t="inlineStr">
        <is>
          <t>✨ Хотелка</t>
        </is>
      </c>
      <c r="C6" s="79" t="inlineStr">
        <is>
          <t>🏷 Категория</t>
        </is>
      </c>
      <c r="D6" s="79" t="inlineStr">
        <is>
          <t>🎯 Приоритет</t>
        </is>
      </c>
      <c r="E6" s="79" t="inlineStr">
        <is>
          <t>📆 Год</t>
        </is>
      </c>
      <c r="F6" s="79" t="inlineStr">
        <is>
          <t>🗓 Месяц</t>
        </is>
      </c>
      <c r="G6" s="34" t="inlineStr">
        <is>
          <t>📝 ПЛАН, ₸</t>
        </is>
      </c>
      <c r="H6" s="35" t="inlineStr">
        <is>
          <t>✅ ФАКТ, ₸</t>
        </is>
      </c>
      <c r="I6" s="79" t="inlineStr">
        <is>
          <t>🚦 Статус</t>
        </is>
      </c>
    </row>
    <row r="7">
      <c r="A7" s="80">
        <f>IF(ISNA(MATCH(1,exp_wishno,0)),"",1)</f>
        <v/>
      </c>
      <c r="B7" s="41">
        <f>IF($A7="","",IF(INDEX(exp_desc,MATCH(1,exp_wishno,0))="","",INDEX(exp_desc,MATCH(1,exp_wishno,0))))</f>
        <v/>
      </c>
      <c r="C7" s="41">
        <f>IF($A7="","",IF(INDEX(exp_cat,MATCH(1,exp_wishno,0))="","",INDEX(exp_cat,MATCH(1,exp_wishno,0))))</f>
        <v/>
      </c>
      <c r="D7" s="80">
        <f>IF($A7="","",IF(INDEX(exp_prio,MATCH(1,exp_wishno,0))="","",INDEX(exp_prio,MATCH(1,exp_wishno,0))))</f>
        <v/>
      </c>
      <c r="E7" s="80">
        <f>IF($A7="","",IF(INDEX(exp_year,MATCH(1,exp_wishno,0))="","",INDEX(exp_year,MATCH(1,exp_wishno,0))))</f>
        <v/>
      </c>
      <c r="F7" s="80">
        <f>IF($A7="","",IF(INDEX(exp_month,MATCH(1,exp_wishno,0))="","",INDEX(exp_month,MATCH(1,exp_wishno,0))))</f>
        <v/>
      </c>
      <c r="G7" s="81">
        <f>IF($A7="","",IF(INDEX(exp_plan,MATCH(1,exp_wishno,0))="","",INDEX(exp_plan,MATCH(1,exp_wishno,0))))</f>
        <v/>
      </c>
      <c r="H7" s="82">
        <f>IF($A7="","",IF(INDEX(exp_fact,MATCH(1,exp_wishno,0))="","",INDEX(exp_fact,MATCH(1,exp_wishno,0))))</f>
        <v/>
      </c>
      <c r="I7" s="41">
        <f>IF($A7="","",IF(INDEX(exp_status,MATCH(1,exp_wishno,0))="","",INDEX(exp_status,MATCH(1,exp_wishno,0))))</f>
        <v/>
      </c>
    </row>
    <row r="8">
      <c r="A8" s="80">
        <f>IF(ISNA(MATCH(2,exp_wishno,0)),"",2)</f>
        <v/>
      </c>
      <c r="B8" s="41">
        <f>IF($A8="","",IF(INDEX(exp_desc,MATCH(2,exp_wishno,0))="","",INDEX(exp_desc,MATCH(2,exp_wishno,0))))</f>
        <v/>
      </c>
      <c r="C8" s="41">
        <f>IF($A8="","",IF(INDEX(exp_cat,MATCH(2,exp_wishno,0))="","",INDEX(exp_cat,MATCH(2,exp_wishno,0))))</f>
        <v/>
      </c>
      <c r="D8" s="80">
        <f>IF($A8="","",IF(INDEX(exp_prio,MATCH(2,exp_wishno,0))="","",INDEX(exp_prio,MATCH(2,exp_wishno,0))))</f>
        <v/>
      </c>
      <c r="E8" s="80">
        <f>IF($A8="","",IF(INDEX(exp_year,MATCH(2,exp_wishno,0))="","",INDEX(exp_year,MATCH(2,exp_wishno,0))))</f>
        <v/>
      </c>
      <c r="F8" s="80">
        <f>IF($A8="","",IF(INDEX(exp_month,MATCH(2,exp_wishno,0))="","",INDEX(exp_month,MATCH(2,exp_wishno,0))))</f>
        <v/>
      </c>
      <c r="G8" s="81">
        <f>IF($A8="","",IF(INDEX(exp_plan,MATCH(2,exp_wishno,0))="","",INDEX(exp_plan,MATCH(2,exp_wishno,0))))</f>
        <v/>
      </c>
      <c r="H8" s="82">
        <f>IF($A8="","",IF(INDEX(exp_fact,MATCH(2,exp_wishno,0))="","",INDEX(exp_fact,MATCH(2,exp_wishno,0))))</f>
        <v/>
      </c>
      <c r="I8" s="41">
        <f>IF($A8="","",IF(INDEX(exp_status,MATCH(2,exp_wishno,0))="","",INDEX(exp_status,MATCH(2,exp_wishno,0))))</f>
        <v/>
      </c>
    </row>
    <row r="9">
      <c r="A9" s="80">
        <f>IF(ISNA(MATCH(3,exp_wishno,0)),"",3)</f>
        <v/>
      </c>
      <c r="B9" s="41">
        <f>IF($A9="","",IF(INDEX(exp_desc,MATCH(3,exp_wishno,0))="","",INDEX(exp_desc,MATCH(3,exp_wishno,0))))</f>
        <v/>
      </c>
      <c r="C9" s="41">
        <f>IF($A9="","",IF(INDEX(exp_cat,MATCH(3,exp_wishno,0))="","",INDEX(exp_cat,MATCH(3,exp_wishno,0))))</f>
        <v/>
      </c>
      <c r="D9" s="80">
        <f>IF($A9="","",IF(INDEX(exp_prio,MATCH(3,exp_wishno,0))="","",INDEX(exp_prio,MATCH(3,exp_wishno,0))))</f>
        <v/>
      </c>
      <c r="E9" s="80">
        <f>IF($A9="","",IF(INDEX(exp_year,MATCH(3,exp_wishno,0))="","",INDEX(exp_year,MATCH(3,exp_wishno,0))))</f>
        <v/>
      </c>
      <c r="F9" s="80">
        <f>IF($A9="","",IF(INDEX(exp_month,MATCH(3,exp_wishno,0))="","",INDEX(exp_month,MATCH(3,exp_wishno,0))))</f>
        <v/>
      </c>
      <c r="G9" s="81">
        <f>IF($A9="","",IF(INDEX(exp_plan,MATCH(3,exp_wishno,0))="","",INDEX(exp_plan,MATCH(3,exp_wishno,0))))</f>
        <v/>
      </c>
      <c r="H9" s="82">
        <f>IF($A9="","",IF(INDEX(exp_fact,MATCH(3,exp_wishno,0))="","",INDEX(exp_fact,MATCH(3,exp_wishno,0))))</f>
        <v/>
      </c>
      <c r="I9" s="41">
        <f>IF($A9="","",IF(INDEX(exp_status,MATCH(3,exp_wishno,0))="","",INDEX(exp_status,MATCH(3,exp_wishno,0))))</f>
        <v/>
      </c>
    </row>
    <row r="10">
      <c r="A10" s="80">
        <f>IF(ISNA(MATCH(4,exp_wishno,0)),"",4)</f>
        <v/>
      </c>
      <c r="B10" s="41">
        <f>IF($A10="","",IF(INDEX(exp_desc,MATCH(4,exp_wishno,0))="","",INDEX(exp_desc,MATCH(4,exp_wishno,0))))</f>
        <v/>
      </c>
      <c r="C10" s="41">
        <f>IF($A10="","",IF(INDEX(exp_cat,MATCH(4,exp_wishno,0))="","",INDEX(exp_cat,MATCH(4,exp_wishno,0))))</f>
        <v/>
      </c>
      <c r="D10" s="80">
        <f>IF($A10="","",IF(INDEX(exp_prio,MATCH(4,exp_wishno,0))="","",INDEX(exp_prio,MATCH(4,exp_wishno,0))))</f>
        <v/>
      </c>
      <c r="E10" s="80">
        <f>IF($A10="","",IF(INDEX(exp_year,MATCH(4,exp_wishno,0))="","",INDEX(exp_year,MATCH(4,exp_wishno,0))))</f>
        <v/>
      </c>
      <c r="F10" s="80">
        <f>IF($A10="","",IF(INDEX(exp_month,MATCH(4,exp_wishno,0))="","",INDEX(exp_month,MATCH(4,exp_wishno,0))))</f>
        <v/>
      </c>
      <c r="G10" s="81">
        <f>IF($A10="","",IF(INDEX(exp_plan,MATCH(4,exp_wishno,0))="","",INDEX(exp_plan,MATCH(4,exp_wishno,0))))</f>
        <v/>
      </c>
      <c r="H10" s="82">
        <f>IF($A10="","",IF(INDEX(exp_fact,MATCH(4,exp_wishno,0))="","",INDEX(exp_fact,MATCH(4,exp_wishno,0))))</f>
        <v/>
      </c>
      <c r="I10" s="41">
        <f>IF($A10="","",IF(INDEX(exp_status,MATCH(4,exp_wishno,0))="","",INDEX(exp_status,MATCH(4,exp_wishno,0))))</f>
        <v/>
      </c>
    </row>
    <row r="11">
      <c r="A11" s="80">
        <f>IF(ISNA(MATCH(5,exp_wishno,0)),"",5)</f>
        <v/>
      </c>
      <c r="B11" s="41">
        <f>IF($A11="","",IF(INDEX(exp_desc,MATCH(5,exp_wishno,0))="","",INDEX(exp_desc,MATCH(5,exp_wishno,0))))</f>
        <v/>
      </c>
      <c r="C11" s="41">
        <f>IF($A11="","",IF(INDEX(exp_cat,MATCH(5,exp_wishno,0))="","",INDEX(exp_cat,MATCH(5,exp_wishno,0))))</f>
        <v/>
      </c>
      <c r="D11" s="80">
        <f>IF($A11="","",IF(INDEX(exp_prio,MATCH(5,exp_wishno,0))="","",INDEX(exp_prio,MATCH(5,exp_wishno,0))))</f>
        <v/>
      </c>
      <c r="E11" s="80">
        <f>IF($A11="","",IF(INDEX(exp_year,MATCH(5,exp_wishno,0))="","",INDEX(exp_year,MATCH(5,exp_wishno,0))))</f>
        <v/>
      </c>
      <c r="F11" s="80">
        <f>IF($A11="","",IF(INDEX(exp_month,MATCH(5,exp_wishno,0))="","",INDEX(exp_month,MATCH(5,exp_wishno,0))))</f>
        <v/>
      </c>
      <c r="G11" s="81">
        <f>IF($A11="","",IF(INDEX(exp_plan,MATCH(5,exp_wishno,0))="","",INDEX(exp_plan,MATCH(5,exp_wishno,0))))</f>
        <v/>
      </c>
      <c r="H11" s="82">
        <f>IF($A11="","",IF(INDEX(exp_fact,MATCH(5,exp_wishno,0))="","",INDEX(exp_fact,MATCH(5,exp_wishno,0))))</f>
        <v/>
      </c>
      <c r="I11" s="41">
        <f>IF($A11="","",IF(INDEX(exp_status,MATCH(5,exp_wishno,0))="","",INDEX(exp_status,MATCH(5,exp_wishno,0))))</f>
        <v/>
      </c>
    </row>
    <row r="12">
      <c r="A12" s="80">
        <f>IF(ISNA(MATCH(6,exp_wishno,0)),"",6)</f>
        <v/>
      </c>
      <c r="B12" s="41">
        <f>IF($A12="","",IF(INDEX(exp_desc,MATCH(6,exp_wishno,0))="","",INDEX(exp_desc,MATCH(6,exp_wishno,0))))</f>
        <v/>
      </c>
      <c r="C12" s="41">
        <f>IF($A12="","",IF(INDEX(exp_cat,MATCH(6,exp_wishno,0))="","",INDEX(exp_cat,MATCH(6,exp_wishno,0))))</f>
        <v/>
      </c>
      <c r="D12" s="80">
        <f>IF($A12="","",IF(INDEX(exp_prio,MATCH(6,exp_wishno,0))="","",INDEX(exp_prio,MATCH(6,exp_wishno,0))))</f>
        <v/>
      </c>
      <c r="E12" s="80">
        <f>IF($A12="","",IF(INDEX(exp_year,MATCH(6,exp_wishno,0))="","",INDEX(exp_year,MATCH(6,exp_wishno,0))))</f>
        <v/>
      </c>
      <c r="F12" s="80">
        <f>IF($A12="","",IF(INDEX(exp_month,MATCH(6,exp_wishno,0))="","",INDEX(exp_month,MATCH(6,exp_wishno,0))))</f>
        <v/>
      </c>
      <c r="G12" s="81">
        <f>IF($A12="","",IF(INDEX(exp_plan,MATCH(6,exp_wishno,0))="","",INDEX(exp_plan,MATCH(6,exp_wishno,0))))</f>
        <v/>
      </c>
      <c r="H12" s="82">
        <f>IF($A12="","",IF(INDEX(exp_fact,MATCH(6,exp_wishno,0))="","",INDEX(exp_fact,MATCH(6,exp_wishno,0))))</f>
        <v/>
      </c>
      <c r="I12" s="41">
        <f>IF($A12="","",IF(INDEX(exp_status,MATCH(6,exp_wishno,0))="","",INDEX(exp_status,MATCH(6,exp_wishno,0))))</f>
        <v/>
      </c>
    </row>
    <row r="13">
      <c r="A13" s="80">
        <f>IF(ISNA(MATCH(7,exp_wishno,0)),"",7)</f>
        <v/>
      </c>
      <c r="B13" s="41">
        <f>IF($A13="","",IF(INDEX(exp_desc,MATCH(7,exp_wishno,0))="","",INDEX(exp_desc,MATCH(7,exp_wishno,0))))</f>
        <v/>
      </c>
      <c r="C13" s="41">
        <f>IF($A13="","",IF(INDEX(exp_cat,MATCH(7,exp_wishno,0))="","",INDEX(exp_cat,MATCH(7,exp_wishno,0))))</f>
        <v/>
      </c>
      <c r="D13" s="80">
        <f>IF($A13="","",IF(INDEX(exp_prio,MATCH(7,exp_wishno,0))="","",INDEX(exp_prio,MATCH(7,exp_wishno,0))))</f>
        <v/>
      </c>
      <c r="E13" s="80">
        <f>IF($A13="","",IF(INDEX(exp_year,MATCH(7,exp_wishno,0))="","",INDEX(exp_year,MATCH(7,exp_wishno,0))))</f>
        <v/>
      </c>
      <c r="F13" s="80">
        <f>IF($A13="","",IF(INDEX(exp_month,MATCH(7,exp_wishno,0))="","",INDEX(exp_month,MATCH(7,exp_wishno,0))))</f>
        <v/>
      </c>
      <c r="G13" s="81">
        <f>IF($A13="","",IF(INDEX(exp_plan,MATCH(7,exp_wishno,0))="","",INDEX(exp_plan,MATCH(7,exp_wishno,0))))</f>
        <v/>
      </c>
      <c r="H13" s="82">
        <f>IF($A13="","",IF(INDEX(exp_fact,MATCH(7,exp_wishno,0))="","",INDEX(exp_fact,MATCH(7,exp_wishno,0))))</f>
        <v/>
      </c>
      <c r="I13" s="41">
        <f>IF($A13="","",IF(INDEX(exp_status,MATCH(7,exp_wishno,0))="","",INDEX(exp_status,MATCH(7,exp_wishno,0))))</f>
        <v/>
      </c>
    </row>
    <row r="14">
      <c r="A14" s="80">
        <f>IF(ISNA(MATCH(8,exp_wishno,0)),"",8)</f>
        <v/>
      </c>
      <c r="B14" s="41">
        <f>IF($A14="","",IF(INDEX(exp_desc,MATCH(8,exp_wishno,0))="","",INDEX(exp_desc,MATCH(8,exp_wishno,0))))</f>
        <v/>
      </c>
      <c r="C14" s="41">
        <f>IF($A14="","",IF(INDEX(exp_cat,MATCH(8,exp_wishno,0))="","",INDEX(exp_cat,MATCH(8,exp_wishno,0))))</f>
        <v/>
      </c>
      <c r="D14" s="80">
        <f>IF($A14="","",IF(INDEX(exp_prio,MATCH(8,exp_wishno,0))="","",INDEX(exp_prio,MATCH(8,exp_wishno,0))))</f>
        <v/>
      </c>
      <c r="E14" s="80">
        <f>IF($A14="","",IF(INDEX(exp_year,MATCH(8,exp_wishno,0))="","",INDEX(exp_year,MATCH(8,exp_wishno,0))))</f>
        <v/>
      </c>
      <c r="F14" s="80">
        <f>IF($A14="","",IF(INDEX(exp_month,MATCH(8,exp_wishno,0))="","",INDEX(exp_month,MATCH(8,exp_wishno,0))))</f>
        <v/>
      </c>
      <c r="G14" s="81">
        <f>IF($A14="","",IF(INDEX(exp_plan,MATCH(8,exp_wishno,0))="","",INDEX(exp_plan,MATCH(8,exp_wishno,0))))</f>
        <v/>
      </c>
      <c r="H14" s="82">
        <f>IF($A14="","",IF(INDEX(exp_fact,MATCH(8,exp_wishno,0))="","",INDEX(exp_fact,MATCH(8,exp_wishno,0))))</f>
        <v/>
      </c>
      <c r="I14" s="41">
        <f>IF($A14="","",IF(INDEX(exp_status,MATCH(8,exp_wishno,0))="","",INDEX(exp_status,MATCH(8,exp_wishno,0))))</f>
        <v/>
      </c>
    </row>
    <row r="15">
      <c r="A15" s="80">
        <f>IF(ISNA(MATCH(9,exp_wishno,0)),"",9)</f>
        <v/>
      </c>
      <c r="B15" s="41">
        <f>IF($A15="","",IF(INDEX(exp_desc,MATCH(9,exp_wishno,0))="","",INDEX(exp_desc,MATCH(9,exp_wishno,0))))</f>
        <v/>
      </c>
      <c r="C15" s="41">
        <f>IF($A15="","",IF(INDEX(exp_cat,MATCH(9,exp_wishno,0))="","",INDEX(exp_cat,MATCH(9,exp_wishno,0))))</f>
        <v/>
      </c>
      <c r="D15" s="80">
        <f>IF($A15="","",IF(INDEX(exp_prio,MATCH(9,exp_wishno,0))="","",INDEX(exp_prio,MATCH(9,exp_wishno,0))))</f>
        <v/>
      </c>
      <c r="E15" s="80">
        <f>IF($A15="","",IF(INDEX(exp_year,MATCH(9,exp_wishno,0))="","",INDEX(exp_year,MATCH(9,exp_wishno,0))))</f>
        <v/>
      </c>
      <c r="F15" s="80">
        <f>IF($A15="","",IF(INDEX(exp_month,MATCH(9,exp_wishno,0))="","",INDEX(exp_month,MATCH(9,exp_wishno,0))))</f>
        <v/>
      </c>
      <c r="G15" s="81">
        <f>IF($A15="","",IF(INDEX(exp_plan,MATCH(9,exp_wishno,0))="","",INDEX(exp_plan,MATCH(9,exp_wishno,0))))</f>
        <v/>
      </c>
      <c r="H15" s="82">
        <f>IF($A15="","",IF(INDEX(exp_fact,MATCH(9,exp_wishno,0))="","",INDEX(exp_fact,MATCH(9,exp_wishno,0))))</f>
        <v/>
      </c>
      <c r="I15" s="41">
        <f>IF($A15="","",IF(INDEX(exp_status,MATCH(9,exp_wishno,0))="","",INDEX(exp_status,MATCH(9,exp_wishno,0))))</f>
        <v/>
      </c>
    </row>
    <row r="16">
      <c r="A16" s="80">
        <f>IF(ISNA(MATCH(10,exp_wishno,0)),"",10)</f>
        <v/>
      </c>
      <c r="B16" s="41">
        <f>IF($A16="","",IF(INDEX(exp_desc,MATCH(10,exp_wishno,0))="","",INDEX(exp_desc,MATCH(10,exp_wishno,0))))</f>
        <v/>
      </c>
      <c r="C16" s="41">
        <f>IF($A16="","",IF(INDEX(exp_cat,MATCH(10,exp_wishno,0))="","",INDEX(exp_cat,MATCH(10,exp_wishno,0))))</f>
        <v/>
      </c>
      <c r="D16" s="80">
        <f>IF($A16="","",IF(INDEX(exp_prio,MATCH(10,exp_wishno,0))="","",INDEX(exp_prio,MATCH(10,exp_wishno,0))))</f>
        <v/>
      </c>
      <c r="E16" s="80">
        <f>IF($A16="","",IF(INDEX(exp_year,MATCH(10,exp_wishno,0))="","",INDEX(exp_year,MATCH(10,exp_wishno,0))))</f>
        <v/>
      </c>
      <c r="F16" s="80">
        <f>IF($A16="","",IF(INDEX(exp_month,MATCH(10,exp_wishno,0))="","",INDEX(exp_month,MATCH(10,exp_wishno,0))))</f>
        <v/>
      </c>
      <c r="G16" s="81">
        <f>IF($A16="","",IF(INDEX(exp_plan,MATCH(10,exp_wishno,0))="","",INDEX(exp_plan,MATCH(10,exp_wishno,0))))</f>
        <v/>
      </c>
      <c r="H16" s="82">
        <f>IF($A16="","",IF(INDEX(exp_fact,MATCH(10,exp_wishno,0))="","",INDEX(exp_fact,MATCH(10,exp_wishno,0))))</f>
        <v/>
      </c>
      <c r="I16" s="41">
        <f>IF($A16="","",IF(INDEX(exp_status,MATCH(10,exp_wishno,0))="","",INDEX(exp_status,MATCH(10,exp_wishno,0))))</f>
        <v/>
      </c>
    </row>
    <row r="17">
      <c r="A17" s="80">
        <f>IF(ISNA(MATCH(11,exp_wishno,0)),"",11)</f>
        <v/>
      </c>
      <c r="B17" s="41">
        <f>IF($A17="","",IF(INDEX(exp_desc,MATCH(11,exp_wishno,0))="","",INDEX(exp_desc,MATCH(11,exp_wishno,0))))</f>
        <v/>
      </c>
      <c r="C17" s="41">
        <f>IF($A17="","",IF(INDEX(exp_cat,MATCH(11,exp_wishno,0))="","",INDEX(exp_cat,MATCH(11,exp_wishno,0))))</f>
        <v/>
      </c>
      <c r="D17" s="80">
        <f>IF($A17="","",IF(INDEX(exp_prio,MATCH(11,exp_wishno,0))="","",INDEX(exp_prio,MATCH(11,exp_wishno,0))))</f>
        <v/>
      </c>
      <c r="E17" s="80">
        <f>IF($A17="","",IF(INDEX(exp_year,MATCH(11,exp_wishno,0))="","",INDEX(exp_year,MATCH(11,exp_wishno,0))))</f>
        <v/>
      </c>
      <c r="F17" s="80">
        <f>IF($A17="","",IF(INDEX(exp_month,MATCH(11,exp_wishno,0))="","",INDEX(exp_month,MATCH(11,exp_wishno,0))))</f>
        <v/>
      </c>
      <c r="G17" s="81">
        <f>IF($A17="","",IF(INDEX(exp_plan,MATCH(11,exp_wishno,0))="","",INDEX(exp_plan,MATCH(11,exp_wishno,0))))</f>
        <v/>
      </c>
      <c r="H17" s="82">
        <f>IF($A17="","",IF(INDEX(exp_fact,MATCH(11,exp_wishno,0))="","",INDEX(exp_fact,MATCH(11,exp_wishno,0))))</f>
        <v/>
      </c>
      <c r="I17" s="41">
        <f>IF($A17="","",IF(INDEX(exp_status,MATCH(11,exp_wishno,0))="","",INDEX(exp_status,MATCH(11,exp_wishno,0))))</f>
        <v/>
      </c>
    </row>
    <row r="18">
      <c r="A18" s="80">
        <f>IF(ISNA(MATCH(12,exp_wishno,0)),"",12)</f>
        <v/>
      </c>
      <c r="B18" s="41">
        <f>IF($A18="","",IF(INDEX(exp_desc,MATCH(12,exp_wishno,0))="","",INDEX(exp_desc,MATCH(12,exp_wishno,0))))</f>
        <v/>
      </c>
      <c r="C18" s="41">
        <f>IF($A18="","",IF(INDEX(exp_cat,MATCH(12,exp_wishno,0))="","",INDEX(exp_cat,MATCH(12,exp_wishno,0))))</f>
        <v/>
      </c>
      <c r="D18" s="80">
        <f>IF($A18="","",IF(INDEX(exp_prio,MATCH(12,exp_wishno,0))="","",INDEX(exp_prio,MATCH(12,exp_wishno,0))))</f>
        <v/>
      </c>
      <c r="E18" s="80">
        <f>IF($A18="","",IF(INDEX(exp_year,MATCH(12,exp_wishno,0))="","",INDEX(exp_year,MATCH(12,exp_wishno,0))))</f>
        <v/>
      </c>
      <c r="F18" s="80">
        <f>IF($A18="","",IF(INDEX(exp_month,MATCH(12,exp_wishno,0))="","",INDEX(exp_month,MATCH(12,exp_wishno,0))))</f>
        <v/>
      </c>
      <c r="G18" s="81">
        <f>IF($A18="","",IF(INDEX(exp_plan,MATCH(12,exp_wishno,0))="","",INDEX(exp_plan,MATCH(12,exp_wishno,0))))</f>
        <v/>
      </c>
      <c r="H18" s="82">
        <f>IF($A18="","",IF(INDEX(exp_fact,MATCH(12,exp_wishno,0))="","",INDEX(exp_fact,MATCH(12,exp_wishno,0))))</f>
        <v/>
      </c>
      <c r="I18" s="41">
        <f>IF($A18="","",IF(INDEX(exp_status,MATCH(12,exp_wishno,0))="","",INDEX(exp_status,MATCH(12,exp_wishno,0))))</f>
        <v/>
      </c>
    </row>
    <row r="19">
      <c r="A19" s="80">
        <f>IF(ISNA(MATCH(13,exp_wishno,0)),"",13)</f>
        <v/>
      </c>
      <c r="B19" s="41">
        <f>IF($A19="","",IF(INDEX(exp_desc,MATCH(13,exp_wishno,0))="","",INDEX(exp_desc,MATCH(13,exp_wishno,0))))</f>
        <v/>
      </c>
      <c r="C19" s="41">
        <f>IF($A19="","",IF(INDEX(exp_cat,MATCH(13,exp_wishno,0))="","",INDEX(exp_cat,MATCH(13,exp_wishno,0))))</f>
        <v/>
      </c>
      <c r="D19" s="80">
        <f>IF($A19="","",IF(INDEX(exp_prio,MATCH(13,exp_wishno,0))="","",INDEX(exp_prio,MATCH(13,exp_wishno,0))))</f>
        <v/>
      </c>
      <c r="E19" s="80">
        <f>IF($A19="","",IF(INDEX(exp_year,MATCH(13,exp_wishno,0))="","",INDEX(exp_year,MATCH(13,exp_wishno,0))))</f>
        <v/>
      </c>
      <c r="F19" s="80">
        <f>IF($A19="","",IF(INDEX(exp_month,MATCH(13,exp_wishno,0))="","",INDEX(exp_month,MATCH(13,exp_wishno,0))))</f>
        <v/>
      </c>
      <c r="G19" s="81">
        <f>IF($A19="","",IF(INDEX(exp_plan,MATCH(13,exp_wishno,0))="","",INDEX(exp_plan,MATCH(13,exp_wishno,0))))</f>
        <v/>
      </c>
      <c r="H19" s="82">
        <f>IF($A19="","",IF(INDEX(exp_fact,MATCH(13,exp_wishno,0))="","",INDEX(exp_fact,MATCH(13,exp_wishno,0))))</f>
        <v/>
      </c>
      <c r="I19" s="41">
        <f>IF($A19="","",IF(INDEX(exp_status,MATCH(13,exp_wishno,0))="","",INDEX(exp_status,MATCH(13,exp_wishno,0))))</f>
        <v/>
      </c>
    </row>
    <row r="20">
      <c r="A20" s="80">
        <f>IF(ISNA(MATCH(14,exp_wishno,0)),"",14)</f>
        <v/>
      </c>
      <c r="B20" s="41">
        <f>IF($A20="","",IF(INDEX(exp_desc,MATCH(14,exp_wishno,0))="","",INDEX(exp_desc,MATCH(14,exp_wishno,0))))</f>
        <v/>
      </c>
      <c r="C20" s="41">
        <f>IF($A20="","",IF(INDEX(exp_cat,MATCH(14,exp_wishno,0))="","",INDEX(exp_cat,MATCH(14,exp_wishno,0))))</f>
        <v/>
      </c>
      <c r="D20" s="80">
        <f>IF($A20="","",IF(INDEX(exp_prio,MATCH(14,exp_wishno,0))="","",INDEX(exp_prio,MATCH(14,exp_wishno,0))))</f>
        <v/>
      </c>
      <c r="E20" s="80">
        <f>IF($A20="","",IF(INDEX(exp_year,MATCH(14,exp_wishno,0))="","",INDEX(exp_year,MATCH(14,exp_wishno,0))))</f>
        <v/>
      </c>
      <c r="F20" s="80">
        <f>IF($A20="","",IF(INDEX(exp_month,MATCH(14,exp_wishno,0))="","",INDEX(exp_month,MATCH(14,exp_wishno,0))))</f>
        <v/>
      </c>
      <c r="G20" s="81">
        <f>IF($A20="","",IF(INDEX(exp_plan,MATCH(14,exp_wishno,0))="","",INDEX(exp_plan,MATCH(14,exp_wishno,0))))</f>
        <v/>
      </c>
      <c r="H20" s="82">
        <f>IF($A20="","",IF(INDEX(exp_fact,MATCH(14,exp_wishno,0))="","",INDEX(exp_fact,MATCH(14,exp_wishno,0))))</f>
        <v/>
      </c>
      <c r="I20" s="41">
        <f>IF($A20="","",IF(INDEX(exp_status,MATCH(14,exp_wishno,0))="","",INDEX(exp_status,MATCH(14,exp_wishno,0))))</f>
        <v/>
      </c>
    </row>
    <row r="21">
      <c r="A21" s="80">
        <f>IF(ISNA(MATCH(15,exp_wishno,0)),"",15)</f>
        <v/>
      </c>
      <c r="B21" s="41">
        <f>IF($A21="","",IF(INDEX(exp_desc,MATCH(15,exp_wishno,0))="","",INDEX(exp_desc,MATCH(15,exp_wishno,0))))</f>
        <v/>
      </c>
      <c r="C21" s="41">
        <f>IF($A21="","",IF(INDEX(exp_cat,MATCH(15,exp_wishno,0))="","",INDEX(exp_cat,MATCH(15,exp_wishno,0))))</f>
        <v/>
      </c>
      <c r="D21" s="80">
        <f>IF($A21="","",IF(INDEX(exp_prio,MATCH(15,exp_wishno,0))="","",INDEX(exp_prio,MATCH(15,exp_wishno,0))))</f>
        <v/>
      </c>
      <c r="E21" s="80">
        <f>IF($A21="","",IF(INDEX(exp_year,MATCH(15,exp_wishno,0))="","",INDEX(exp_year,MATCH(15,exp_wishno,0))))</f>
        <v/>
      </c>
      <c r="F21" s="80">
        <f>IF($A21="","",IF(INDEX(exp_month,MATCH(15,exp_wishno,0))="","",INDEX(exp_month,MATCH(15,exp_wishno,0))))</f>
        <v/>
      </c>
      <c r="G21" s="81">
        <f>IF($A21="","",IF(INDEX(exp_plan,MATCH(15,exp_wishno,0))="","",INDEX(exp_plan,MATCH(15,exp_wishno,0))))</f>
        <v/>
      </c>
      <c r="H21" s="82">
        <f>IF($A21="","",IF(INDEX(exp_fact,MATCH(15,exp_wishno,0))="","",INDEX(exp_fact,MATCH(15,exp_wishno,0))))</f>
        <v/>
      </c>
      <c r="I21" s="41">
        <f>IF($A21="","",IF(INDEX(exp_status,MATCH(15,exp_wishno,0))="","",INDEX(exp_status,MATCH(15,exp_wishno,0))))</f>
        <v/>
      </c>
    </row>
    <row r="22">
      <c r="A22" s="80">
        <f>IF(ISNA(MATCH(16,exp_wishno,0)),"",16)</f>
        <v/>
      </c>
      <c r="B22" s="41">
        <f>IF($A22="","",IF(INDEX(exp_desc,MATCH(16,exp_wishno,0))="","",INDEX(exp_desc,MATCH(16,exp_wishno,0))))</f>
        <v/>
      </c>
      <c r="C22" s="41">
        <f>IF($A22="","",IF(INDEX(exp_cat,MATCH(16,exp_wishno,0))="","",INDEX(exp_cat,MATCH(16,exp_wishno,0))))</f>
        <v/>
      </c>
      <c r="D22" s="80">
        <f>IF($A22="","",IF(INDEX(exp_prio,MATCH(16,exp_wishno,0))="","",INDEX(exp_prio,MATCH(16,exp_wishno,0))))</f>
        <v/>
      </c>
      <c r="E22" s="80">
        <f>IF($A22="","",IF(INDEX(exp_year,MATCH(16,exp_wishno,0))="","",INDEX(exp_year,MATCH(16,exp_wishno,0))))</f>
        <v/>
      </c>
      <c r="F22" s="80">
        <f>IF($A22="","",IF(INDEX(exp_month,MATCH(16,exp_wishno,0))="","",INDEX(exp_month,MATCH(16,exp_wishno,0))))</f>
        <v/>
      </c>
      <c r="G22" s="81">
        <f>IF($A22="","",IF(INDEX(exp_plan,MATCH(16,exp_wishno,0))="","",INDEX(exp_plan,MATCH(16,exp_wishno,0))))</f>
        <v/>
      </c>
      <c r="H22" s="82">
        <f>IF($A22="","",IF(INDEX(exp_fact,MATCH(16,exp_wishno,0))="","",INDEX(exp_fact,MATCH(16,exp_wishno,0))))</f>
        <v/>
      </c>
      <c r="I22" s="41">
        <f>IF($A22="","",IF(INDEX(exp_status,MATCH(16,exp_wishno,0))="","",INDEX(exp_status,MATCH(16,exp_wishno,0))))</f>
        <v/>
      </c>
    </row>
    <row r="23">
      <c r="A23" s="80">
        <f>IF(ISNA(MATCH(17,exp_wishno,0)),"",17)</f>
        <v/>
      </c>
      <c r="B23" s="41">
        <f>IF($A23="","",IF(INDEX(exp_desc,MATCH(17,exp_wishno,0))="","",INDEX(exp_desc,MATCH(17,exp_wishno,0))))</f>
        <v/>
      </c>
      <c r="C23" s="41">
        <f>IF($A23="","",IF(INDEX(exp_cat,MATCH(17,exp_wishno,0))="","",INDEX(exp_cat,MATCH(17,exp_wishno,0))))</f>
        <v/>
      </c>
      <c r="D23" s="80">
        <f>IF($A23="","",IF(INDEX(exp_prio,MATCH(17,exp_wishno,0))="","",INDEX(exp_prio,MATCH(17,exp_wishno,0))))</f>
        <v/>
      </c>
      <c r="E23" s="80">
        <f>IF($A23="","",IF(INDEX(exp_year,MATCH(17,exp_wishno,0))="","",INDEX(exp_year,MATCH(17,exp_wishno,0))))</f>
        <v/>
      </c>
      <c r="F23" s="80">
        <f>IF($A23="","",IF(INDEX(exp_month,MATCH(17,exp_wishno,0))="","",INDEX(exp_month,MATCH(17,exp_wishno,0))))</f>
        <v/>
      </c>
      <c r="G23" s="81">
        <f>IF($A23="","",IF(INDEX(exp_plan,MATCH(17,exp_wishno,0))="","",INDEX(exp_plan,MATCH(17,exp_wishno,0))))</f>
        <v/>
      </c>
      <c r="H23" s="82">
        <f>IF($A23="","",IF(INDEX(exp_fact,MATCH(17,exp_wishno,0))="","",INDEX(exp_fact,MATCH(17,exp_wishno,0))))</f>
        <v/>
      </c>
      <c r="I23" s="41">
        <f>IF($A23="","",IF(INDEX(exp_status,MATCH(17,exp_wishno,0))="","",INDEX(exp_status,MATCH(17,exp_wishno,0))))</f>
        <v/>
      </c>
    </row>
    <row r="24">
      <c r="A24" s="80">
        <f>IF(ISNA(MATCH(18,exp_wishno,0)),"",18)</f>
        <v/>
      </c>
      <c r="B24" s="41">
        <f>IF($A24="","",IF(INDEX(exp_desc,MATCH(18,exp_wishno,0))="","",INDEX(exp_desc,MATCH(18,exp_wishno,0))))</f>
        <v/>
      </c>
      <c r="C24" s="41">
        <f>IF($A24="","",IF(INDEX(exp_cat,MATCH(18,exp_wishno,0))="","",INDEX(exp_cat,MATCH(18,exp_wishno,0))))</f>
        <v/>
      </c>
      <c r="D24" s="80">
        <f>IF($A24="","",IF(INDEX(exp_prio,MATCH(18,exp_wishno,0))="","",INDEX(exp_prio,MATCH(18,exp_wishno,0))))</f>
        <v/>
      </c>
      <c r="E24" s="80">
        <f>IF($A24="","",IF(INDEX(exp_year,MATCH(18,exp_wishno,0))="","",INDEX(exp_year,MATCH(18,exp_wishno,0))))</f>
        <v/>
      </c>
      <c r="F24" s="80">
        <f>IF($A24="","",IF(INDEX(exp_month,MATCH(18,exp_wishno,0))="","",INDEX(exp_month,MATCH(18,exp_wishno,0))))</f>
        <v/>
      </c>
      <c r="G24" s="81">
        <f>IF($A24="","",IF(INDEX(exp_plan,MATCH(18,exp_wishno,0))="","",INDEX(exp_plan,MATCH(18,exp_wishno,0))))</f>
        <v/>
      </c>
      <c r="H24" s="82">
        <f>IF($A24="","",IF(INDEX(exp_fact,MATCH(18,exp_wishno,0))="","",INDEX(exp_fact,MATCH(18,exp_wishno,0))))</f>
        <v/>
      </c>
      <c r="I24" s="41">
        <f>IF($A24="","",IF(INDEX(exp_status,MATCH(18,exp_wishno,0))="","",INDEX(exp_status,MATCH(18,exp_wishno,0))))</f>
        <v/>
      </c>
    </row>
    <row r="25">
      <c r="A25" s="80">
        <f>IF(ISNA(MATCH(19,exp_wishno,0)),"",19)</f>
        <v/>
      </c>
      <c r="B25" s="41">
        <f>IF($A25="","",IF(INDEX(exp_desc,MATCH(19,exp_wishno,0))="","",INDEX(exp_desc,MATCH(19,exp_wishno,0))))</f>
        <v/>
      </c>
      <c r="C25" s="41">
        <f>IF($A25="","",IF(INDEX(exp_cat,MATCH(19,exp_wishno,0))="","",INDEX(exp_cat,MATCH(19,exp_wishno,0))))</f>
        <v/>
      </c>
      <c r="D25" s="80">
        <f>IF($A25="","",IF(INDEX(exp_prio,MATCH(19,exp_wishno,0))="","",INDEX(exp_prio,MATCH(19,exp_wishno,0))))</f>
        <v/>
      </c>
      <c r="E25" s="80">
        <f>IF($A25="","",IF(INDEX(exp_year,MATCH(19,exp_wishno,0))="","",INDEX(exp_year,MATCH(19,exp_wishno,0))))</f>
        <v/>
      </c>
      <c r="F25" s="80">
        <f>IF($A25="","",IF(INDEX(exp_month,MATCH(19,exp_wishno,0))="","",INDEX(exp_month,MATCH(19,exp_wishno,0))))</f>
        <v/>
      </c>
      <c r="G25" s="81">
        <f>IF($A25="","",IF(INDEX(exp_plan,MATCH(19,exp_wishno,0))="","",INDEX(exp_plan,MATCH(19,exp_wishno,0))))</f>
        <v/>
      </c>
      <c r="H25" s="82">
        <f>IF($A25="","",IF(INDEX(exp_fact,MATCH(19,exp_wishno,0))="","",INDEX(exp_fact,MATCH(19,exp_wishno,0))))</f>
        <v/>
      </c>
      <c r="I25" s="41">
        <f>IF($A25="","",IF(INDEX(exp_status,MATCH(19,exp_wishno,0))="","",INDEX(exp_status,MATCH(19,exp_wishno,0))))</f>
        <v/>
      </c>
    </row>
    <row r="26">
      <c r="A26" s="80">
        <f>IF(ISNA(MATCH(20,exp_wishno,0)),"",20)</f>
        <v/>
      </c>
      <c r="B26" s="41">
        <f>IF($A26="","",IF(INDEX(exp_desc,MATCH(20,exp_wishno,0))="","",INDEX(exp_desc,MATCH(20,exp_wishno,0))))</f>
        <v/>
      </c>
      <c r="C26" s="41">
        <f>IF($A26="","",IF(INDEX(exp_cat,MATCH(20,exp_wishno,0))="","",INDEX(exp_cat,MATCH(20,exp_wishno,0))))</f>
        <v/>
      </c>
      <c r="D26" s="80">
        <f>IF($A26="","",IF(INDEX(exp_prio,MATCH(20,exp_wishno,0))="","",INDEX(exp_prio,MATCH(20,exp_wishno,0))))</f>
        <v/>
      </c>
      <c r="E26" s="80">
        <f>IF($A26="","",IF(INDEX(exp_year,MATCH(20,exp_wishno,0))="","",INDEX(exp_year,MATCH(20,exp_wishno,0))))</f>
        <v/>
      </c>
      <c r="F26" s="80">
        <f>IF($A26="","",IF(INDEX(exp_month,MATCH(20,exp_wishno,0))="","",INDEX(exp_month,MATCH(20,exp_wishno,0))))</f>
        <v/>
      </c>
      <c r="G26" s="81">
        <f>IF($A26="","",IF(INDEX(exp_plan,MATCH(20,exp_wishno,0))="","",INDEX(exp_plan,MATCH(20,exp_wishno,0))))</f>
        <v/>
      </c>
      <c r="H26" s="82">
        <f>IF($A26="","",IF(INDEX(exp_fact,MATCH(20,exp_wishno,0))="","",INDEX(exp_fact,MATCH(20,exp_wishno,0))))</f>
        <v/>
      </c>
      <c r="I26" s="41">
        <f>IF($A26="","",IF(INDEX(exp_status,MATCH(20,exp_wishno,0))="","",INDEX(exp_status,MATCH(20,exp_wishno,0))))</f>
        <v/>
      </c>
    </row>
    <row r="27">
      <c r="A27" s="80">
        <f>IF(ISNA(MATCH(21,exp_wishno,0)),"",21)</f>
        <v/>
      </c>
      <c r="B27" s="41">
        <f>IF($A27="","",IF(INDEX(exp_desc,MATCH(21,exp_wishno,0))="","",INDEX(exp_desc,MATCH(21,exp_wishno,0))))</f>
        <v/>
      </c>
      <c r="C27" s="41">
        <f>IF($A27="","",IF(INDEX(exp_cat,MATCH(21,exp_wishno,0))="","",INDEX(exp_cat,MATCH(21,exp_wishno,0))))</f>
        <v/>
      </c>
      <c r="D27" s="80">
        <f>IF($A27="","",IF(INDEX(exp_prio,MATCH(21,exp_wishno,0))="","",INDEX(exp_prio,MATCH(21,exp_wishno,0))))</f>
        <v/>
      </c>
      <c r="E27" s="80">
        <f>IF($A27="","",IF(INDEX(exp_year,MATCH(21,exp_wishno,0))="","",INDEX(exp_year,MATCH(21,exp_wishno,0))))</f>
        <v/>
      </c>
      <c r="F27" s="80">
        <f>IF($A27="","",IF(INDEX(exp_month,MATCH(21,exp_wishno,0))="","",INDEX(exp_month,MATCH(21,exp_wishno,0))))</f>
        <v/>
      </c>
      <c r="G27" s="81">
        <f>IF($A27="","",IF(INDEX(exp_plan,MATCH(21,exp_wishno,0))="","",INDEX(exp_plan,MATCH(21,exp_wishno,0))))</f>
        <v/>
      </c>
      <c r="H27" s="82">
        <f>IF($A27="","",IF(INDEX(exp_fact,MATCH(21,exp_wishno,0))="","",INDEX(exp_fact,MATCH(21,exp_wishno,0))))</f>
        <v/>
      </c>
      <c r="I27" s="41">
        <f>IF($A27="","",IF(INDEX(exp_status,MATCH(21,exp_wishno,0))="","",INDEX(exp_status,MATCH(21,exp_wishno,0))))</f>
        <v/>
      </c>
    </row>
    <row r="28">
      <c r="A28" s="80">
        <f>IF(ISNA(MATCH(22,exp_wishno,0)),"",22)</f>
        <v/>
      </c>
      <c r="B28" s="41">
        <f>IF($A28="","",IF(INDEX(exp_desc,MATCH(22,exp_wishno,0))="","",INDEX(exp_desc,MATCH(22,exp_wishno,0))))</f>
        <v/>
      </c>
      <c r="C28" s="41">
        <f>IF($A28="","",IF(INDEX(exp_cat,MATCH(22,exp_wishno,0))="","",INDEX(exp_cat,MATCH(22,exp_wishno,0))))</f>
        <v/>
      </c>
      <c r="D28" s="80">
        <f>IF($A28="","",IF(INDEX(exp_prio,MATCH(22,exp_wishno,0))="","",INDEX(exp_prio,MATCH(22,exp_wishno,0))))</f>
        <v/>
      </c>
      <c r="E28" s="80">
        <f>IF($A28="","",IF(INDEX(exp_year,MATCH(22,exp_wishno,0))="","",INDEX(exp_year,MATCH(22,exp_wishno,0))))</f>
        <v/>
      </c>
      <c r="F28" s="80">
        <f>IF($A28="","",IF(INDEX(exp_month,MATCH(22,exp_wishno,0))="","",INDEX(exp_month,MATCH(22,exp_wishno,0))))</f>
        <v/>
      </c>
      <c r="G28" s="81">
        <f>IF($A28="","",IF(INDEX(exp_plan,MATCH(22,exp_wishno,0))="","",INDEX(exp_plan,MATCH(22,exp_wishno,0))))</f>
        <v/>
      </c>
      <c r="H28" s="82">
        <f>IF($A28="","",IF(INDEX(exp_fact,MATCH(22,exp_wishno,0))="","",INDEX(exp_fact,MATCH(22,exp_wishno,0))))</f>
        <v/>
      </c>
      <c r="I28" s="41">
        <f>IF($A28="","",IF(INDEX(exp_status,MATCH(22,exp_wishno,0))="","",INDEX(exp_status,MATCH(22,exp_wishno,0))))</f>
        <v/>
      </c>
    </row>
    <row r="29">
      <c r="A29" s="80">
        <f>IF(ISNA(MATCH(23,exp_wishno,0)),"",23)</f>
        <v/>
      </c>
      <c r="B29" s="41">
        <f>IF($A29="","",IF(INDEX(exp_desc,MATCH(23,exp_wishno,0))="","",INDEX(exp_desc,MATCH(23,exp_wishno,0))))</f>
        <v/>
      </c>
      <c r="C29" s="41">
        <f>IF($A29="","",IF(INDEX(exp_cat,MATCH(23,exp_wishno,0))="","",INDEX(exp_cat,MATCH(23,exp_wishno,0))))</f>
        <v/>
      </c>
      <c r="D29" s="80">
        <f>IF($A29="","",IF(INDEX(exp_prio,MATCH(23,exp_wishno,0))="","",INDEX(exp_prio,MATCH(23,exp_wishno,0))))</f>
        <v/>
      </c>
      <c r="E29" s="80">
        <f>IF($A29="","",IF(INDEX(exp_year,MATCH(23,exp_wishno,0))="","",INDEX(exp_year,MATCH(23,exp_wishno,0))))</f>
        <v/>
      </c>
      <c r="F29" s="80">
        <f>IF($A29="","",IF(INDEX(exp_month,MATCH(23,exp_wishno,0))="","",INDEX(exp_month,MATCH(23,exp_wishno,0))))</f>
        <v/>
      </c>
      <c r="G29" s="81">
        <f>IF($A29="","",IF(INDEX(exp_plan,MATCH(23,exp_wishno,0))="","",INDEX(exp_plan,MATCH(23,exp_wishno,0))))</f>
        <v/>
      </c>
      <c r="H29" s="82">
        <f>IF($A29="","",IF(INDEX(exp_fact,MATCH(23,exp_wishno,0))="","",INDEX(exp_fact,MATCH(23,exp_wishno,0))))</f>
        <v/>
      </c>
      <c r="I29" s="41">
        <f>IF($A29="","",IF(INDEX(exp_status,MATCH(23,exp_wishno,0))="","",INDEX(exp_status,MATCH(23,exp_wishno,0))))</f>
        <v/>
      </c>
    </row>
    <row r="30">
      <c r="A30" s="80">
        <f>IF(ISNA(MATCH(24,exp_wishno,0)),"",24)</f>
        <v/>
      </c>
      <c r="B30" s="41">
        <f>IF($A30="","",IF(INDEX(exp_desc,MATCH(24,exp_wishno,0))="","",INDEX(exp_desc,MATCH(24,exp_wishno,0))))</f>
        <v/>
      </c>
      <c r="C30" s="41">
        <f>IF($A30="","",IF(INDEX(exp_cat,MATCH(24,exp_wishno,0))="","",INDEX(exp_cat,MATCH(24,exp_wishno,0))))</f>
        <v/>
      </c>
      <c r="D30" s="80">
        <f>IF($A30="","",IF(INDEX(exp_prio,MATCH(24,exp_wishno,0))="","",INDEX(exp_prio,MATCH(24,exp_wishno,0))))</f>
        <v/>
      </c>
      <c r="E30" s="80">
        <f>IF($A30="","",IF(INDEX(exp_year,MATCH(24,exp_wishno,0))="","",INDEX(exp_year,MATCH(24,exp_wishno,0))))</f>
        <v/>
      </c>
      <c r="F30" s="80">
        <f>IF($A30="","",IF(INDEX(exp_month,MATCH(24,exp_wishno,0))="","",INDEX(exp_month,MATCH(24,exp_wishno,0))))</f>
        <v/>
      </c>
      <c r="G30" s="81">
        <f>IF($A30="","",IF(INDEX(exp_plan,MATCH(24,exp_wishno,0))="","",INDEX(exp_plan,MATCH(24,exp_wishno,0))))</f>
        <v/>
      </c>
      <c r="H30" s="82">
        <f>IF($A30="","",IF(INDEX(exp_fact,MATCH(24,exp_wishno,0))="","",INDEX(exp_fact,MATCH(24,exp_wishno,0))))</f>
        <v/>
      </c>
      <c r="I30" s="41">
        <f>IF($A30="","",IF(INDEX(exp_status,MATCH(24,exp_wishno,0))="","",INDEX(exp_status,MATCH(24,exp_wishno,0))))</f>
        <v/>
      </c>
    </row>
    <row r="31">
      <c r="A31" s="80">
        <f>IF(ISNA(MATCH(25,exp_wishno,0)),"",25)</f>
        <v/>
      </c>
      <c r="B31" s="41">
        <f>IF($A31="","",IF(INDEX(exp_desc,MATCH(25,exp_wishno,0))="","",INDEX(exp_desc,MATCH(25,exp_wishno,0))))</f>
        <v/>
      </c>
      <c r="C31" s="41">
        <f>IF($A31="","",IF(INDEX(exp_cat,MATCH(25,exp_wishno,0))="","",INDEX(exp_cat,MATCH(25,exp_wishno,0))))</f>
        <v/>
      </c>
      <c r="D31" s="80">
        <f>IF($A31="","",IF(INDEX(exp_prio,MATCH(25,exp_wishno,0))="","",INDEX(exp_prio,MATCH(25,exp_wishno,0))))</f>
        <v/>
      </c>
      <c r="E31" s="80">
        <f>IF($A31="","",IF(INDEX(exp_year,MATCH(25,exp_wishno,0))="","",INDEX(exp_year,MATCH(25,exp_wishno,0))))</f>
        <v/>
      </c>
      <c r="F31" s="80">
        <f>IF($A31="","",IF(INDEX(exp_month,MATCH(25,exp_wishno,0))="","",INDEX(exp_month,MATCH(25,exp_wishno,0))))</f>
        <v/>
      </c>
      <c r="G31" s="81">
        <f>IF($A31="","",IF(INDEX(exp_plan,MATCH(25,exp_wishno,0))="","",INDEX(exp_plan,MATCH(25,exp_wishno,0))))</f>
        <v/>
      </c>
      <c r="H31" s="82">
        <f>IF($A31="","",IF(INDEX(exp_fact,MATCH(25,exp_wishno,0))="","",INDEX(exp_fact,MATCH(25,exp_wishno,0))))</f>
        <v/>
      </c>
      <c r="I31" s="41">
        <f>IF($A31="","",IF(INDEX(exp_status,MATCH(25,exp_wishno,0))="","",INDEX(exp_status,MATCH(25,exp_wishno,0))))</f>
        <v/>
      </c>
    </row>
    <row r="32">
      <c r="A32" s="80">
        <f>IF(ISNA(MATCH(26,exp_wishno,0)),"",26)</f>
        <v/>
      </c>
      <c r="B32" s="41">
        <f>IF($A32="","",IF(INDEX(exp_desc,MATCH(26,exp_wishno,0))="","",INDEX(exp_desc,MATCH(26,exp_wishno,0))))</f>
        <v/>
      </c>
      <c r="C32" s="41">
        <f>IF($A32="","",IF(INDEX(exp_cat,MATCH(26,exp_wishno,0))="","",INDEX(exp_cat,MATCH(26,exp_wishno,0))))</f>
        <v/>
      </c>
      <c r="D32" s="80">
        <f>IF($A32="","",IF(INDEX(exp_prio,MATCH(26,exp_wishno,0))="","",INDEX(exp_prio,MATCH(26,exp_wishno,0))))</f>
        <v/>
      </c>
      <c r="E32" s="80">
        <f>IF($A32="","",IF(INDEX(exp_year,MATCH(26,exp_wishno,0))="","",INDEX(exp_year,MATCH(26,exp_wishno,0))))</f>
        <v/>
      </c>
      <c r="F32" s="80">
        <f>IF($A32="","",IF(INDEX(exp_month,MATCH(26,exp_wishno,0))="","",INDEX(exp_month,MATCH(26,exp_wishno,0))))</f>
        <v/>
      </c>
      <c r="G32" s="81">
        <f>IF($A32="","",IF(INDEX(exp_plan,MATCH(26,exp_wishno,0))="","",INDEX(exp_plan,MATCH(26,exp_wishno,0))))</f>
        <v/>
      </c>
      <c r="H32" s="82">
        <f>IF($A32="","",IF(INDEX(exp_fact,MATCH(26,exp_wishno,0))="","",INDEX(exp_fact,MATCH(26,exp_wishno,0))))</f>
        <v/>
      </c>
      <c r="I32" s="41">
        <f>IF($A32="","",IF(INDEX(exp_status,MATCH(26,exp_wishno,0))="","",INDEX(exp_status,MATCH(26,exp_wishno,0))))</f>
        <v/>
      </c>
    </row>
    <row r="33">
      <c r="A33" s="80">
        <f>IF(ISNA(MATCH(27,exp_wishno,0)),"",27)</f>
        <v/>
      </c>
      <c r="B33" s="41">
        <f>IF($A33="","",IF(INDEX(exp_desc,MATCH(27,exp_wishno,0))="","",INDEX(exp_desc,MATCH(27,exp_wishno,0))))</f>
        <v/>
      </c>
      <c r="C33" s="41">
        <f>IF($A33="","",IF(INDEX(exp_cat,MATCH(27,exp_wishno,0))="","",INDEX(exp_cat,MATCH(27,exp_wishno,0))))</f>
        <v/>
      </c>
      <c r="D33" s="80">
        <f>IF($A33="","",IF(INDEX(exp_prio,MATCH(27,exp_wishno,0))="","",INDEX(exp_prio,MATCH(27,exp_wishno,0))))</f>
        <v/>
      </c>
      <c r="E33" s="80">
        <f>IF($A33="","",IF(INDEX(exp_year,MATCH(27,exp_wishno,0))="","",INDEX(exp_year,MATCH(27,exp_wishno,0))))</f>
        <v/>
      </c>
      <c r="F33" s="80">
        <f>IF($A33="","",IF(INDEX(exp_month,MATCH(27,exp_wishno,0))="","",INDEX(exp_month,MATCH(27,exp_wishno,0))))</f>
        <v/>
      </c>
      <c r="G33" s="81">
        <f>IF($A33="","",IF(INDEX(exp_plan,MATCH(27,exp_wishno,0))="","",INDEX(exp_plan,MATCH(27,exp_wishno,0))))</f>
        <v/>
      </c>
      <c r="H33" s="82">
        <f>IF($A33="","",IF(INDEX(exp_fact,MATCH(27,exp_wishno,0))="","",INDEX(exp_fact,MATCH(27,exp_wishno,0))))</f>
        <v/>
      </c>
      <c r="I33" s="41">
        <f>IF($A33="","",IF(INDEX(exp_status,MATCH(27,exp_wishno,0))="","",INDEX(exp_status,MATCH(27,exp_wishno,0))))</f>
        <v/>
      </c>
    </row>
    <row r="34">
      <c r="A34" s="80">
        <f>IF(ISNA(MATCH(28,exp_wishno,0)),"",28)</f>
        <v/>
      </c>
      <c r="B34" s="41">
        <f>IF($A34="","",IF(INDEX(exp_desc,MATCH(28,exp_wishno,0))="","",INDEX(exp_desc,MATCH(28,exp_wishno,0))))</f>
        <v/>
      </c>
      <c r="C34" s="41">
        <f>IF($A34="","",IF(INDEX(exp_cat,MATCH(28,exp_wishno,0))="","",INDEX(exp_cat,MATCH(28,exp_wishno,0))))</f>
        <v/>
      </c>
      <c r="D34" s="80">
        <f>IF($A34="","",IF(INDEX(exp_prio,MATCH(28,exp_wishno,0))="","",INDEX(exp_prio,MATCH(28,exp_wishno,0))))</f>
        <v/>
      </c>
      <c r="E34" s="80">
        <f>IF($A34="","",IF(INDEX(exp_year,MATCH(28,exp_wishno,0))="","",INDEX(exp_year,MATCH(28,exp_wishno,0))))</f>
        <v/>
      </c>
      <c r="F34" s="80">
        <f>IF($A34="","",IF(INDEX(exp_month,MATCH(28,exp_wishno,0))="","",INDEX(exp_month,MATCH(28,exp_wishno,0))))</f>
        <v/>
      </c>
      <c r="G34" s="81">
        <f>IF($A34="","",IF(INDEX(exp_plan,MATCH(28,exp_wishno,0))="","",INDEX(exp_plan,MATCH(28,exp_wishno,0))))</f>
        <v/>
      </c>
      <c r="H34" s="82">
        <f>IF($A34="","",IF(INDEX(exp_fact,MATCH(28,exp_wishno,0))="","",INDEX(exp_fact,MATCH(28,exp_wishno,0))))</f>
        <v/>
      </c>
      <c r="I34" s="41">
        <f>IF($A34="","",IF(INDEX(exp_status,MATCH(28,exp_wishno,0))="","",INDEX(exp_status,MATCH(28,exp_wishno,0))))</f>
        <v/>
      </c>
    </row>
    <row r="35">
      <c r="A35" s="80">
        <f>IF(ISNA(MATCH(29,exp_wishno,0)),"",29)</f>
        <v/>
      </c>
      <c r="B35" s="41">
        <f>IF($A35="","",IF(INDEX(exp_desc,MATCH(29,exp_wishno,0))="","",INDEX(exp_desc,MATCH(29,exp_wishno,0))))</f>
        <v/>
      </c>
      <c r="C35" s="41">
        <f>IF($A35="","",IF(INDEX(exp_cat,MATCH(29,exp_wishno,0))="","",INDEX(exp_cat,MATCH(29,exp_wishno,0))))</f>
        <v/>
      </c>
      <c r="D35" s="80">
        <f>IF($A35="","",IF(INDEX(exp_prio,MATCH(29,exp_wishno,0))="","",INDEX(exp_prio,MATCH(29,exp_wishno,0))))</f>
        <v/>
      </c>
      <c r="E35" s="80">
        <f>IF($A35="","",IF(INDEX(exp_year,MATCH(29,exp_wishno,0))="","",INDEX(exp_year,MATCH(29,exp_wishno,0))))</f>
        <v/>
      </c>
      <c r="F35" s="80">
        <f>IF($A35="","",IF(INDEX(exp_month,MATCH(29,exp_wishno,0))="","",INDEX(exp_month,MATCH(29,exp_wishno,0))))</f>
        <v/>
      </c>
      <c r="G35" s="81">
        <f>IF($A35="","",IF(INDEX(exp_plan,MATCH(29,exp_wishno,0))="","",INDEX(exp_plan,MATCH(29,exp_wishno,0))))</f>
        <v/>
      </c>
      <c r="H35" s="82">
        <f>IF($A35="","",IF(INDEX(exp_fact,MATCH(29,exp_wishno,0))="","",INDEX(exp_fact,MATCH(29,exp_wishno,0))))</f>
        <v/>
      </c>
      <c r="I35" s="41">
        <f>IF($A35="","",IF(INDEX(exp_status,MATCH(29,exp_wishno,0))="","",INDEX(exp_status,MATCH(29,exp_wishno,0))))</f>
        <v/>
      </c>
    </row>
    <row r="36">
      <c r="A36" s="80">
        <f>IF(ISNA(MATCH(30,exp_wishno,0)),"",30)</f>
        <v/>
      </c>
      <c r="B36" s="41">
        <f>IF($A36="","",IF(INDEX(exp_desc,MATCH(30,exp_wishno,0))="","",INDEX(exp_desc,MATCH(30,exp_wishno,0))))</f>
        <v/>
      </c>
      <c r="C36" s="41">
        <f>IF($A36="","",IF(INDEX(exp_cat,MATCH(30,exp_wishno,0))="","",INDEX(exp_cat,MATCH(30,exp_wishno,0))))</f>
        <v/>
      </c>
      <c r="D36" s="80">
        <f>IF($A36="","",IF(INDEX(exp_prio,MATCH(30,exp_wishno,0))="","",INDEX(exp_prio,MATCH(30,exp_wishno,0))))</f>
        <v/>
      </c>
      <c r="E36" s="80">
        <f>IF($A36="","",IF(INDEX(exp_year,MATCH(30,exp_wishno,0))="","",INDEX(exp_year,MATCH(30,exp_wishno,0))))</f>
        <v/>
      </c>
      <c r="F36" s="80">
        <f>IF($A36="","",IF(INDEX(exp_month,MATCH(30,exp_wishno,0))="","",INDEX(exp_month,MATCH(30,exp_wishno,0))))</f>
        <v/>
      </c>
      <c r="G36" s="81">
        <f>IF($A36="","",IF(INDEX(exp_plan,MATCH(30,exp_wishno,0))="","",INDEX(exp_plan,MATCH(30,exp_wishno,0))))</f>
        <v/>
      </c>
      <c r="H36" s="82">
        <f>IF($A36="","",IF(INDEX(exp_fact,MATCH(30,exp_wishno,0))="","",INDEX(exp_fact,MATCH(30,exp_wishno,0))))</f>
        <v/>
      </c>
      <c r="I36" s="41">
        <f>IF($A36="","",IF(INDEX(exp_status,MATCH(30,exp_wishno,0))="","",INDEX(exp_status,MATCH(30,exp_wishno,0))))</f>
        <v/>
      </c>
    </row>
    <row r="37">
      <c r="A37" s="80">
        <f>IF(ISNA(MATCH(31,exp_wishno,0)),"",31)</f>
        <v/>
      </c>
      <c r="B37" s="41">
        <f>IF($A37="","",IF(INDEX(exp_desc,MATCH(31,exp_wishno,0))="","",INDEX(exp_desc,MATCH(31,exp_wishno,0))))</f>
        <v/>
      </c>
      <c r="C37" s="41">
        <f>IF($A37="","",IF(INDEX(exp_cat,MATCH(31,exp_wishno,0))="","",INDEX(exp_cat,MATCH(31,exp_wishno,0))))</f>
        <v/>
      </c>
      <c r="D37" s="80">
        <f>IF($A37="","",IF(INDEX(exp_prio,MATCH(31,exp_wishno,0))="","",INDEX(exp_prio,MATCH(31,exp_wishno,0))))</f>
        <v/>
      </c>
      <c r="E37" s="80">
        <f>IF($A37="","",IF(INDEX(exp_year,MATCH(31,exp_wishno,0))="","",INDEX(exp_year,MATCH(31,exp_wishno,0))))</f>
        <v/>
      </c>
      <c r="F37" s="80">
        <f>IF($A37="","",IF(INDEX(exp_month,MATCH(31,exp_wishno,0))="","",INDEX(exp_month,MATCH(31,exp_wishno,0))))</f>
        <v/>
      </c>
      <c r="G37" s="81">
        <f>IF($A37="","",IF(INDEX(exp_plan,MATCH(31,exp_wishno,0))="","",INDEX(exp_plan,MATCH(31,exp_wishno,0))))</f>
        <v/>
      </c>
      <c r="H37" s="82">
        <f>IF($A37="","",IF(INDEX(exp_fact,MATCH(31,exp_wishno,0))="","",INDEX(exp_fact,MATCH(31,exp_wishno,0))))</f>
        <v/>
      </c>
      <c r="I37" s="41">
        <f>IF($A37="","",IF(INDEX(exp_status,MATCH(31,exp_wishno,0))="","",INDEX(exp_status,MATCH(31,exp_wishno,0))))</f>
        <v/>
      </c>
    </row>
    <row r="38">
      <c r="A38" s="80">
        <f>IF(ISNA(MATCH(32,exp_wishno,0)),"",32)</f>
        <v/>
      </c>
      <c r="B38" s="41">
        <f>IF($A38="","",IF(INDEX(exp_desc,MATCH(32,exp_wishno,0))="","",INDEX(exp_desc,MATCH(32,exp_wishno,0))))</f>
        <v/>
      </c>
      <c r="C38" s="41">
        <f>IF($A38="","",IF(INDEX(exp_cat,MATCH(32,exp_wishno,0))="","",INDEX(exp_cat,MATCH(32,exp_wishno,0))))</f>
        <v/>
      </c>
      <c r="D38" s="80">
        <f>IF($A38="","",IF(INDEX(exp_prio,MATCH(32,exp_wishno,0))="","",INDEX(exp_prio,MATCH(32,exp_wishno,0))))</f>
        <v/>
      </c>
      <c r="E38" s="80">
        <f>IF($A38="","",IF(INDEX(exp_year,MATCH(32,exp_wishno,0))="","",INDEX(exp_year,MATCH(32,exp_wishno,0))))</f>
        <v/>
      </c>
      <c r="F38" s="80">
        <f>IF($A38="","",IF(INDEX(exp_month,MATCH(32,exp_wishno,0))="","",INDEX(exp_month,MATCH(32,exp_wishno,0))))</f>
        <v/>
      </c>
      <c r="G38" s="81">
        <f>IF($A38="","",IF(INDEX(exp_plan,MATCH(32,exp_wishno,0))="","",INDEX(exp_plan,MATCH(32,exp_wishno,0))))</f>
        <v/>
      </c>
      <c r="H38" s="82">
        <f>IF($A38="","",IF(INDEX(exp_fact,MATCH(32,exp_wishno,0))="","",INDEX(exp_fact,MATCH(32,exp_wishno,0))))</f>
        <v/>
      </c>
      <c r="I38" s="41">
        <f>IF($A38="","",IF(INDEX(exp_status,MATCH(32,exp_wishno,0))="","",INDEX(exp_status,MATCH(32,exp_wishno,0))))</f>
        <v/>
      </c>
    </row>
    <row r="39">
      <c r="A39" s="80">
        <f>IF(ISNA(MATCH(33,exp_wishno,0)),"",33)</f>
        <v/>
      </c>
      <c r="B39" s="41">
        <f>IF($A39="","",IF(INDEX(exp_desc,MATCH(33,exp_wishno,0))="","",INDEX(exp_desc,MATCH(33,exp_wishno,0))))</f>
        <v/>
      </c>
      <c r="C39" s="41">
        <f>IF($A39="","",IF(INDEX(exp_cat,MATCH(33,exp_wishno,0))="","",INDEX(exp_cat,MATCH(33,exp_wishno,0))))</f>
        <v/>
      </c>
      <c r="D39" s="80">
        <f>IF($A39="","",IF(INDEX(exp_prio,MATCH(33,exp_wishno,0))="","",INDEX(exp_prio,MATCH(33,exp_wishno,0))))</f>
        <v/>
      </c>
      <c r="E39" s="80">
        <f>IF($A39="","",IF(INDEX(exp_year,MATCH(33,exp_wishno,0))="","",INDEX(exp_year,MATCH(33,exp_wishno,0))))</f>
        <v/>
      </c>
      <c r="F39" s="80">
        <f>IF($A39="","",IF(INDEX(exp_month,MATCH(33,exp_wishno,0))="","",INDEX(exp_month,MATCH(33,exp_wishno,0))))</f>
        <v/>
      </c>
      <c r="G39" s="81">
        <f>IF($A39="","",IF(INDEX(exp_plan,MATCH(33,exp_wishno,0))="","",INDEX(exp_plan,MATCH(33,exp_wishno,0))))</f>
        <v/>
      </c>
      <c r="H39" s="82">
        <f>IF($A39="","",IF(INDEX(exp_fact,MATCH(33,exp_wishno,0))="","",INDEX(exp_fact,MATCH(33,exp_wishno,0))))</f>
        <v/>
      </c>
      <c r="I39" s="41">
        <f>IF($A39="","",IF(INDEX(exp_status,MATCH(33,exp_wishno,0))="","",INDEX(exp_status,MATCH(33,exp_wishno,0))))</f>
        <v/>
      </c>
    </row>
    <row r="40">
      <c r="A40" s="80">
        <f>IF(ISNA(MATCH(34,exp_wishno,0)),"",34)</f>
        <v/>
      </c>
      <c r="B40" s="41">
        <f>IF($A40="","",IF(INDEX(exp_desc,MATCH(34,exp_wishno,0))="","",INDEX(exp_desc,MATCH(34,exp_wishno,0))))</f>
        <v/>
      </c>
      <c r="C40" s="41">
        <f>IF($A40="","",IF(INDEX(exp_cat,MATCH(34,exp_wishno,0))="","",INDEX(exp_cat,MATCH(34,exp_wishno,0))))</f>
        <v/>
      </c>
      <c r="D40" s="80">
        <f>IF($A40="","",IF(INDEX(exp_prio,MATCH(34,exp_wishno,0))="","",INDEX(exp_prio,MATCH(34,exp_wishno,0))))</f>
        <v/>
      </c>
      <c r="E40" s="80">
        <f>IF($A40="","",IF(INDEX(exp_year,MATCH(34,exp_wishno,0))="","",INDEX(exp_year,MATCH(34,exp_wishno,0))))</f>
        <v/>
      </c>
      <c r="F40" s="80">
        <f>IF($A40="","",IF(INDEX(exp_month,MATCH(34,exp_wishno,0))="","",INDEX(exp_month,MATCH(34,exp_wishno,0))))</f>
        <v/>
      </c>
      <c r="G40" s="81">
        <f>IF($A40="","",IF(INDEX(exp_plan,MATCH(34,exp_wishno,0))="","",INDEX(exp_plan,MATCH(34,exp_wishno,0))))</f>
        <v/>
      </c>
      <c r="H40" s="82">
        <f>IF($A40="","",IF(INDEX(exp_fact,MATCH(34,exp_wishno,0))="","",INDEX(exp_fact,MATCH(34,exp_wishno,0))))</f>
        <v/>
      </c>
      <c r="I40" s="41">
        <f>IF($A40="","",IF(INDEX(exp_status,MATCH(34,exp_wishno,0))="","",INDEX(exp_status,MATCH(34,exp_wishno,0))))</f>
        <v/>
      </c>
    </row>
    <row r="41">
      <c r="A41" s="80">
        <f>IF(ISNA(MATCH(35,exp_wishno,0)),"",35)</f>
        <v/>
      </c>
      <c r="B41" s="41">
        <f>IF($A41="","",IF(INDEX(exp_desc,MATCH(35,exp_wishno,0))="","",INDEX(exp_desc,MATCH(35,exp_wishno,0))))</f>
        <v/>
      </c>
      <c r="C41" s="41">
        <f>IF($A41="","",IF(INDEX(exp_cat,MATCH(35,exp_wishno,0))="","",INDEX(exp_cat,MATCH(35,exp_wishno,0))))</f>
        <v/>
      </c>
      <c r="D41" s="80">
        <f>IF($A41="","",IF(INDEX(exp_prio,MATCH(35,exp_wishno,0))="","",INDEX(exp_prio,MATCH(35,exp_wishno,0))))</f>
        <v/>
      </c>
      <c r="E41" s="80">
        <f>IF($A41="","",IF(INDEX(exp_year,MATCH(35,exp_wishno,0))="","",INDEX(exp_year,MATCH(35,exp_wishno,0))))</f>
        <v/>
      </c>
      <c r="F41" s="80">
        <f>IF($A41="","",IF(INDEX(exp_month,MATCH(35,exp_wishno,0))="","",INDEX(exp_month,MATCH(35,exp_wishno,0))))</f>
        <v/>
      </c>
      <c r="G41" s="81">
        <f>IF($A41="","",IF(INDEX(exp_plan,MATCH(35,exp_wishno,0))="","",INDEX(exp_plan,MATCH(35,exp_wishno,0))))</f>
        <v/>
      </c>
      <c r="H41" s="82">
        <f>IF($A41="","",IF(INDEX(exp_fact,MATCH(35,exp_wishno,0))="","",INDEX(exp_fact,MATCH(35,exp_wishno,0))))</f>
        <v/>
      </c>
      <c r="I41" s="41">
        <f>IF($A41="","",IF(INDEX(exp_status,MATCH(35,exp_wishno,0))="","",INDEX(exp_status,MATCH(35,exp_wishno,0))))</f>
        <v/>
      </c>
    </row>
    <row r="42">
      <c r="A42" s="80">
        <f>IF(ISNA(MATCH(36,exp_wishno,0)),"",36)</f>
        <v/>
      </c>
      <c r="B42" s="41">
        <f>IF($A42="","",IF(INDEX(exp_desc,MATCH(36,exp_wishno,0))="","",INDEX(exp_desc,MATCH(36,exp_wishno,0))))</f>
        <v/>
      </c>
      <c r="C42" s="41">
        <f>IF($A42="","",IF(INDEX(exp_cat,MATCH(36,exp_wishno,0))="","",INDEX(exp_cat,MATCH(36,exp_wishno,0))))</f>
        <v/>
      </c>
      <c r="D42" s="80">
        <f>IF($A42="","",IF(INDEX(exp_prio,MATCH(36,exp_wishno,0))="","",INDEX(exp_prio,MATCH(36,exp_wishno,0))))</f>
        <v/>
      </c>
      <c r="E42" s="80">
        <f>IF($A42="","",IF(INDEX(exp_year,MATCH(36,exp_wishno,0))="","",INDEX(exp_year,MATCH(36,exp_wishno,0))))</f>
        <v/>
      </c>
      <c r="F42" s="80">
        <f>IF($A42="","",IF(INDEX(exp_month,MATCH(36,exp_wishno,0))="","",INDEX(exp_month,MATCH(36,exp_wishno,0))))</f>
        <v/>
      </c>
      <c r="G42" s="81">
        <f>IF($A42="","",IF(INDEX(exp_plan,MATCH(36,exp_wishno,0))="","",INDEX(exp_plan,MATCH(36,exp_wishno,0))))</f>
        <v/>
      </c>
      <c r="H42" s="82">
        <f>IF($A42="","",IF(INDEX(exp_fact,MATCH(36,exp_wishno,0))="","",INDEX(exp_fact,MATCH(36,exp_wishno,0))))</f>
        <v/>
      </c>
      <c r="I42" s="41">
        <f>IF($A42="","",IF(INDEX(exp_status,MATCH(36,exp_wishno,0))="","",INDEX(exp_status,MATCH(36,exp_wishno,0))))</f>
        <v/>
      </c>
    </row>
    <row r="43">
      <c r="A43" s="80">
        <f>IF(ISNA(MATCH(37,exp_wishno,0)),"",37)</f>
        <v/>
      </c>
      <c r="B43" s="41">
        <f>IF($A43="","",IF(INDEX(exp_desc,MATCH(37,exp_wishno,0))="","",INDEX(exp_desc,MATCH(37,exp_wishno,0))))</f>
        <v/>
      </c>
      <c r="C43" s="41">
        <f>IF($A43="","",IF(INDEX(exp_cat,MATCH(37,exp_wishno,0))="","",INDEX(exp_cat,MATCH(37,exp_wishno,0))))</f>
        <v/>
      </c>
      <c r="D43" s="80">
        <f>IF($A43="","",IF(INDEX(exp_prio,MATCH(37,exp_wishno,0))="","",INDEX(exp_prio,MATCH(37,exp_wishno,0))))</f>
        <v/>
      </c>
      <c r="E43" s="80">
        <f>IF($A43="","",IF(INDEX(exp_year,MATCH(37,exp_wishno,0))="","",INDEX(exp_year,MATCH(37,exp_wishno,0))))</f>
        <v/>
      </c>
      <c r="F43" s="80">
        <f>IF($A43="","",IF(INDEX(exp_month,MATCH(37,exp_wishno,0))="","",INDEX(exp_month,MATCH(37,exp_wishno,0))))</f>
        <v/>
      </c>
      <c r="G43" s="81">
        <f>IF($A43="","",IF(INDEX(exp_plan,MATCH(37,exp_wishno,0))="","",INDEX(exp_plan,MATCH(37,exp_wishno,0))))</f>
        <v/>
      </c>
      <c r="H43" s="82">
        <f>IF($A43="","",IF(INDEX(exp_fact,MATCH(37,exp_wishno,0))="","",INDEX(exp_fact,MATCH(37,exp_wishno,0))))</f>
        <v/>
      </c>
      <c r="I43" s="41">
        <f>IF($A43="","",IF(INDEX(exp_status,MATCH(37,exp_wishno,0))="","",INDEX(exp_status,MATCH(37,exp_wishno,0))))</f>
        <v/>
      </c>
    </row>
    <row r="44">
      <c r="A44" s="80">
        <f>IF(ISNA(MATCH(38,exp_wishno,0)),"",38)</f>
        <v/>
      </c>
      <c r="B44" s="41">
        <f>IF($A44="","",IF(INDEX(exp_desc,MATCH(38,exp_wishno,0))="","",INDEX(exp_desc,MATCH(38,exp_wishno,0))))</f>
        <v/>
      </c>
      <c r="C44" s="41">
        <f>IF($A44="","",IF(INDEX(exp_cat,MATCH(38,exp_wishno,0))="","",INDEX(exp_cat,MATCH(38,exp_wishno,0))))</f>
        <v/>
      </c>
      <c r="D44" s="80">
        <f>IF($A44="","",IF(INDEX(exp_prio,MATCH(38,exp_wishno,0))="","",INDEX(exp_prio,MATCH(38,exp_wishno,0))))</f>
        <v/>
      </c>
      <c r="E44" s="80">
        <f>IF($A44="","",IF(INDEX(exp_year,MATCH(38,exp_wishno,0))="","",INDEX(exp_year,MATCH(38,exp_wishno,0))))</f>
        <v/>
      </c>
      <c r="F44" s="80">
        <f>IF($A44="","",IF(INDEX(exp_month,MATCH(38,exp_wishno,0))="","",INDEX(exp_month,MATCH(38,exp_wishno,0))))</f>
        <v/>
      </c>
      <c r="G44" s="81">
        <f>IF($A44="","",IF(INDEX(exp_plan,MATCH(38,exp_wishno,0))="","",INDEX(exp_plan,MATCH(38,exp_wishno,0))))</f>
        <v/>
      </c>
      <c r="H44" s="82">
        <f>IF($A44="","",IF(INDEX(exp_fact,MATCH(38,exp_wishno,0))="","",INDEX(exp_fact,MATCH(38,exp_wishno,0))))</f>
        <v/>
      </c>
      <c r="I44" s="41">
        <f>IF($A44="","",IF(INDEX(exp_status,MATCH(38,exp_wishno,0))="","",INDEX(exp_status,MATCH(38,exp_wishno,0))))</f>
        <v/>
      </c>
    </row>
    <row r="45">
      <c r="A45" s="80">
        <f>IF(ISNA(MATCH(39,exp_wishno,0)),"",39)</f>
        <v/>
      </c>
      <c r="B45" s="41">
        <f>IF($A45="","",IF(INDEX(exp_desc,MATCH(39,exp_wishno,0))="","",INDEX(exp_desc,MATCH(39,exp_wishno,0))))</f>
        <v/>
      </c>
      <c r="C45" s="41">
        <f>IF($A45="","",IF(INDEX(exp_cat,MATCH(39,exp_wishno,0))="","",INDEX(exp_cat,MATCH(39,exp_wishno,0))))</f>
        <v/>
      </c>
      <c r="D45" s="80">
        <f>IF($A45="","",IF(INDEX(exp_prio,MATCH(39,exp_wishno,0))="","",INDEX(exp_prio,MATCH(39,exp_wishno,0))))</f>
        <v/>
      </c>
      <c r="E45" s="80">
        <f>IF($A45="","",IF(INDEX(exp_year,MATCH(39,exp_wishno,0))="","",INDEX(exp_year,MATCH(39,exp_wishno,0))))</f>
        <v/>
      </c>
      <c r="F45" s="80">
        <f>IF($A45="","",IF(INDEX(exp_month,MATCH(39,exp_wishno,0))="","",INDEX(exp_month,MATCH(39,exp_wishno,0))))</f>
        <v/>
      </c>
      <c r="G45" s="81">
        <f>IF($A45="","",IF(INDEX(exp_plan,MATCH(39,exp_wishno,0))="","",INDEX(exp_plan,MATCH(39,exp_wishno,0))))</f>
        <v/>
      </c>
      <c r="H45" s="82">
        <f>IF($A45="","",IF(INDEX(exp_fact,MATCH(39,exp_wishno,0))="","",INDEX(exp_fact,MATCH(39,exp_wishno,0))))</f>
        <v/>
      </c>
      <c r="I45" s="41">
        <f>IF($A45="","",IF(INDEX(exp_status,MATCH(39,exp_wishno,0))="","",INDEX(exp_status,MATCH(39,exp_wishno,0))))</f>
        <v/>
      </c>
    </row>
    <row r="46">
      <c r="A46" s="80">
        <f>IF(ISNA(MATCH(40,exp_wishno,0)),"",40)</f>
        <v/>
      </c>
      <c r="B46" s="41">
        <f>IF($A46="","",IF(INDEX(exp_desc,MATCH(40,exp_wishno,0))="","",INDEX(exp_desc,MATCH(40,exp_wishno,0))))</f>
        <v/>
      </c>
      <c r="C46" s="41">
        <f>IF($A46="","",IF(INDEX(exp_cat,MATCH(40,exp_wishno,0))="","",INDEX(exp_cat,MATCH(40,exp_wishno,0))))</f>
        <v/>
      </c>
      <c r="D46" s="80">
        <f>IF($A46="","",IF(INDEX(exp_prio,MATCH(40,exp_wishno,0))="","",INDEX(exp_prio,MATCH(40,exp_wishno,0))))</f>
        <v/>
      </c>
      <c r="E46" s="80">
        <f>IF($A46="","",IF(INDEX(exp_year,MATCH(40,exp_wishno,0))="","",INDEX(exp_year,MATCH(40,exp_wishno,0))))</f>
        <v/>
      </c>
      <c r="F46" s="80">
        <f>IF($A46="","",IF(INDEX(exp_month,MATCH(40,exp_wishno,0))="","",INDEX(exp_month,MATCH(40,exp_wishno,0))))</f>
        <v/>
      </c>
      <c r="G46" s="81">
        <f>IF($A46="","",IF(INDEX(exp_plan,MATCH(40,exp_wishno,0))="","",INDEX(exp_plan,MATCH(40,exp_wishno,0))))</f>
        <v/>
      </c>
      <c r="H46" s="82">
        <f>IF($A46="","",IF(INDEX(exp_fact,MATCH(40,exp_wishno,0))="","",INDEX(exp_fact,MATCH(40,exp_wishno,0))))</f>
        <v/>
      </c>
      <c r="I46" s="41">
        <f>IF($A46="","",IF(INDEX(exp_status,MATCH(40,exp_wishno,0))="","",INDEX(exp_status,MATCH(40,exp_wishno,0))))</f>
        <v/>
      </c>
    </row>
    <row r="47">
      <c r="A47" s="80">
        <f>IF(ISNA(MATCH(41,exp_wishno,0)),"",41)</f>
        <v/>
      </c>
      <c r="B47" s="41">
        <f>IF($A47="","",IF(INDEX(exp_desc,MATCH(41,exp_wishno,0))="","",INDEX(exp_desc,MATCH(41,exp_wishno,0))))</f>
        <v/>
      </c>
      <c r="C47" s="41">
        <f>IF($A47="","",IF(INDEX(exp_cat,MATCH(41,exp_wishno,0))="","",INDEX(exp_cat,MATCH(41,exp_wishno,0))))</f>
        <v/>
      </c>
      <c r="D47" s="80">
        <f>IF($A47="","",IF(INDEX(exp_prio,MATCH(41,exp_wishno,0))="","",INDEX(exp_prio,MATCH(41,exp_wishno,0))))</f>
        <v/>
      </c>
      <c r="E47" s="80">
        <f>IF($A47="","",IF(INDEX(exp_year,MATCH(41,exp_wishno,0))="","",INDEX(exp_year,MATCH(41,exp_wishno,0))))</f>
        <v/>
      </c>
      <c r="F47" s="80">
        <f>IF($A47="","",IF(INDEX(exp_month,MATCH(41,exp_wishno,0))="","",INDEX(exp_month,MATCH(41,exp_wishno,0))))</f>
        <v/>
      </c>
      <c r="G47" s="81">
        <f>IF($A47="","",IF(INDEX(exp_plan,MATCH(41,exp_wishno,0))="","",INDEX(exp_plan,MATCH(41,exp_wishno,0))))</f>
        <v/>
      </c>
      <c r="H47" s="82">
        <f>IF($A47="","",IF(INDEX(exp_fact,MATCH(41,exp_wishno,0))="","",INDEX(exp_fact,MATCH(41,exp_wishno,0))))</f>
        <v/>
      </c>
      <c r="I47" s="41">
        <f>IF($A47="","",IF(INDEX(exp_status,MATCH(41,exp_wishno,0))="","",INDEX(exp_status,MATCH(41,exp_wishno,0))))</f>
        <v/>
      </c>
    </row>
    <row r="48">
      <c r="A48" s="80">
        <f>IF(ISNA(MATCH(42,exp_wishno,0)),"",42)</f>
        <v/>
      </c>
      <c r="B48" s="41">
        <f>IF($A48="","",IF(INDEX(exp_desc,MATCH(42,exp_wishno,0))="","",INDEX(exp_desc,MATCH(42,exp_wishno,0))))</f>
        <v/>
      </c>
      <c r="C48" s="41">
        <f>IF($A48="","",IF(INDEX(exp_cat,MATCH(42,exp_wishno,0))="","",INDEX(exp_cat,MATCH(42,exp_wishno,0))))</f>
        <v/>
      </c>
      <c r="D48" s="80">
        <f>IF($A48="","",IF(INDEX(exp_prio,MATCH(42,exp_wishno,0))="","",INDEX(exp_prio,MATCH(42,exp_wishno,0))))</f>
        <v/>
      </c>
      <c r="E48" s="80">
        <f>IF($A48="","",IF(INDEX(exp_year,MATCH(42,exp_wishno,0))="","",INDEX(exp_year,MATCH(42,exp_wishno,0))))</f>
        <v/>
      </c>
      <c r="F48" s="80">
        <f>IF($A48="","",IF(INDEX(exp_month,MATCH(42,exp_wishno,0))="","",INDEX(exp_month,MATCH(42,exp_wishno,0))))</f>
        <v/>
      </c>
      <c r="G48" s="81">
        <f>IF($A48="","",IF(INDEX(exp_plan,MATCH(42,exp_wishno,0))="","",INDEX(exp_plan,MATCH(42,exp_wishno,0))))</f>
        <v/>
      </c>
      <c r="H48" s="82">
        <f>IF($A48="","",IF(INDEX(exp_fact,MATCH(42,exp_wishno,0))="","",INDEX(exp_fact,MATCH(42,exp_wishno,0))))</f>
        <v/>
      </c>
      <c r="I48" s="41">
        <f>IF($A48="","",IF(INDEX(exp_status,MATCH(42,exp_wishno,0))="","",INDEX(exp_status,MATCH(42,exp_wishno,0))))</f>
        <v/>
      </c>
    </row>
    <row r="49">
      <c r="A49" s="80">
        <f>IF(ISNA(MATCH(43,exp_wishno,0)),"",43)</f>
        <v/>
      </c>
      <c r="B49" s="41">
        <f>IF($A49="","",IF(INDEX(exp_desc,MATCH(43,exp_wishno,0))="","",INDEX(exp_desc,MATCH(43,exp_wishno,0))))</f>
        <v/>
      </c>
      <c r="C49" s="41">
        <f>IF($A49="","",IF(INDEX(exp_cat,MATCH(43,exp_wishno,0))="","",INDEX(exp_cat,MATCH(43,exp_wishno,0))))</f>
        <v/>
      </c>
      <c r="D49" s="80">
        <f>IF($A49="","",IF(INDEX(exp_prio,MATCH(43,exp_wishno,0))="","",INDEX(exp_prio,MATCH(43,exp_wishno,0))))</f>
        <v/>
      </c>
      <c r="E49" s="80">
        <f>IF($A49="","",IF(INDEX(exp_year,MATCH(43,exp_wishno,0))="","",INDEX(exp_year,MATCH(43,exp_wishno,0))))</f>
        <v/>
      </c>
      <c r="F49" s="80">
        <f>IF($A49="","",IF(INDEX(exp_month,MATCH(43,exp_wishno,0))="","",INDEX(exp_month,MATCH(43,exp_wishno,0))))</f>
        <v/>
      </c>
      <c r="G49" s="81">
        <f>IF($A49="","",IF(INDEX(exp_plan,MATCH(43,exp_wishno,0))="","",INDEX(exp_plan,MATCH(43,exp_wishno,0))))</f>
        <v/>
      </c>
      <c r="H49" s="82">
        <f>IF($A49="","",IF(INDEX(exp_fact,MATCH(43,exp_wishno,0))="","",INDEX(exp_fact,MATCH(43,exp_wishno,0))))</f>
        <v/>
      </c>
      <c r="I49" s="41">
        <f>IF($A49="","",IF(INDEX(exp_status,MATCH(43,exp_wishno,0))="","",INDEX(exp_status,MATCH(43,exp_wishno,0))))</f>
        <v/>
      </c>
    </row>
    <row r="50">
      <c r="A50" s="80">
        <f>IF(ISNA(MATCH(44,exp_wishno,0)),"",44)</f>
        <v/>
      </c>
      <c r="B50" s="41">
        <f>IF($A50="","",IF(INDEX(exp_desc,MATCH(44,exp_wishno,0))="","",INDEX(exp_desc,MATCH(44,exp_wishno,0))))</f>
        <v/>
      </c>
      <c r="C50" s="41">
        <f>IF($A50="","",IF(INDEX(exp_cat,MATCH(44,exp_wishno,0))="","",INDEX(exp_cat,MATCH(44,exp_wishno,0))))</f>
        <v/>
      </c>
      <c r="D50" s="80">
        <f>IF($A50="","",IF(INDEX(exp_prio,MATCH(44,exp_wishno,0))="","",INDEX(exp_prio,MATCH(44,exp_wishno,0))))</f>
        <v/>
      </c>
      <c r="E50" s="80">
        <f>IF($A50="","",IF(INDEX(exp_year,MATCH(44,exp_wishno,0))="","",INDEX(exp_year,MATCH(44,exp_wishno,0))))</f>
        <v/>
      </c>
      <c r="F50" s="80">
        <f>IF($A50="","",IF(INDEX(exp_month,MATCH(44,exp_wishno,0))="","",INDEX(exp_month,MATCH(44,exp_wishno,0))))</f>
        <v/>
      </c>
      <c r="G50" s="81">
        <f>IF($A50="","",IF(INDEX(exp_plan,MATCH(44,exp_wishno,0))="","",INDEX(exp_plan,MATCH(44,exp_wishno,0))))</f>
        <v/>
      </c>
      <c r="H50" s="82">
        <f>IF($A50="","",IF(INDEX(exp_fact,MATCH(44,exp_wishno,0))="","",INDEX(exp_fact,MATCH(44,exp_wishno,0))))</f>
        <v/>
      </c>
      <c r="I50" s="41">
        <f>IF($A50="","",IF(INDEX(exp_status,MATCH(44,exp_wishno,0))="","",INDEX(exp_status,MATCH(44,exp_wishno,0))))</f>
        <v/>
      </c>
    </row>
    <row r="51">
      <c r="A51" s="80">
        <f>IF(ISNA(MATCH(45,exp_wishno,0)),"",45)</f>
        <v/>
      </c>
      <c r="B51" s="41">
        <f>IF($A51="","",IF(INDEX(exp_desc,MATCH(45,exp_wishno,0))="","",INDEX(exp_desc,MATCH(45,exp_wishno,0))))</f>
        <v/>
      </c>
      <c r="C51" s="41">
        <f>IF($A51="","",IF(INDEX(exp_cat,MATCH(45,exp_wishno,0))="","",INDEX(exp_cat,MATCH(45,exp_wishno,0))))</f>
        <v/>
      </c>
      <c r="D51" s="80">
        <f>IF($A51="","",IF(INDEX(exp_prio,MATCH(45,exp_wishno,0))="","",INDEX(exp_prio,MATCH(45,exp_wishno,0))))</f>
        <v/>
      </c>
      <c r="E51" s="80">
        <f>IF($A51="","",IF(INDEX(exp_year,MATCH(45,exp_wishno,0))="","",INDEX(exp_year,MATCH(45,exp_wishno,0))))</f>
        <v/>
      </c>
      <c r="F51" s="80">
        <f>IF($A51="","",IF(INDEX(exp_month,MATCH(45,exp_wishno,0))="","",INDEX(exp_month,MATCH(45,exp_wishno,0))))</f>
        <v/>
      </c>
      <c r="G51" s="81">
        <f>IF($A51="","",IF(INDEX(exp_plan,MATCH(45,exp_wishno,0))="","",INDEX(exp_plan,MATCH(45,exp_wishno,0))))</f>
        <v/>
      </c>
      <c r="H51" s="82">
        <f>IF($A51="","",IF(INDEX(exp_fact,MATCH(45,exp_wishno,0))="","",INDEX(exp_fact,MATCH(45,exp_wishno,0))))</f>
        <v/>
      </c>
      <c r="I51" s="41">
        <f>IF($A51="","",IF(INDEX(exp_status,MATCH(45,exp_wishno,0))="","",INDEX(exp_status,MATCH(45,exp_wishno,0))))</f>
        <v/>
      </c>
    </row>
    <row r="52">
      <c r="A52" s="80">
        <f>IF(ISNA(MATCH(46,exp_wishno,0)),"",46)</f>
        <v/>
      </c>
      <c r="B52" s="41">
        <f>IF($A52="","",IF(INDEX(exp_desc,MATCH(46,exp_wishno,0))="","",INDEX(exp_desc,MATCH(46,exp_wishno,0))))</f>
        <v/>
      </c>
      <c r="C52" s="41">
        <f>IF($A52="","",IF(INDEX(exp_cat,MATCH(46,exp_wishno,0))="","",INDEX(exp_cat,MATCH(46,exp_wishno,0))))</f>
        <v/>
      </c>
      <c r="D52" s="80">
        <f>IF($A52="","",IF(INDEX(exp_prio,MATCH(46,exp_wishno,0))="","",INDEX(exp_prio,MATCH(46,exp_wishno,0))))</f>
        <v/>
      </c>
      <c r="E52" s="80">
        <f>IF($A52="","",IF(INDEX(exp_year,MATCH(46,exp_wishno,0))="","",INDEX(exp_year,MATCH(46,exp_wishno,0))))</f>
        <v/>
      </c>
      <c r="F52" s="80">
        <f>IF($A52="","",IF(INDEX(exp_month,MATCH(46,exp_wishno,0))="","",INDEX(exp_month,MATCH(46,exp_wishno,0))))</f>
        <v/>
      </c>
      <c r="G52" s="81">
        <f>IF($A52="","",IF(INDEX(exp_plan,MATCH(46,exp_wishno,0))="","",INDEX(exp_plan,MATCH(46,exp_wishno,0))))</f>
        <v/>
      </c>
      <c r="H52" s="82">
        <f>IF($A52="","",IF(INDEX(exp_fact,MATCH(46,exp_wishno,0))="","",INDEX(exp_fact,MATCH(46,exp_wishno,0))))</f>
        <v/>
      </c>
      <c r="I52" s="41">
        <f>IF($A52="","",IF(INDEX(exp_status,MATCH(46,exp_wishno,0))="","",INDEX(exp_status,MATCH(46,exp_wishno,0))))</f>
        <v/>
      </c>
    </row>
    <row r="53">
      <c r="A53" s="80">
        <f>IF(ISNA(MATCH(47,exp_wishno,0)),"",47)</f>
        <v/>
      </c>
      <c r="B53" s="41">
        <f>IF($A53="","",IF(INDEX(exp_desc,MATCH(47,exp_wishno,0))="","",INDEX(exp_desc,MATCH(47,exp_wishno,0))))</f>
        <v/>
      </c>
      <c r="C53" s="41">
        <f>IF($A53="","",IF(INDEX(exp_cat,MATCH(47,exp_wishno,0))="","",INDEX(exp_cat,MATCH(47,exp_wishno,0))))</f>
        <v/>
      </c>
      <c r="D53" s="80">
        <f>IF($A53="","",IF(INDEX(exp_prio,MATCH(47,exp_wishno,0))="","",INDEX(exp_prio,MATCH(47,exp_wishno,0))))</f>
        <v/>
      </c>
      <c r="E53" s="80">
        <f>IF($A53="","",IF(INDEX(exp_year,MATCH(47,exp_wishno,0))="","",INDEX(exp_year,MATCH(47,exp_wishno,0))))</f>
        <v/>
      </c>
      <c r="F53" s="80">
        <f>IF($A53="","",IF(INDEX(exp_month,MATCH(47,exp_wishno,0))="","",INDEX(exp_month,MATCH(47,exp_wishno,0))))</f>
        <v/>
      </c>
      <c r="G53" s="81">
        <f>IF($A53="","",IF(INDEX(exp_plan,MATCH(47,exp_wishno,0))="","",INDEX(exp_plan,MATCH(47,exp_wishno,0))))</f>
        <v/>
      </c>
      <c r="H53" s="82">
        <f>IF($A53="","",IF(INDEX(exp_fact,MATCH(47,exp_wishno,0))="","",INDEX(exp_fact,MATCH(47,exp_wishno,0))))</f>
        <v/>
      </c>
      <c r="I53" s="41">
        <f>IF($A53="","",IF(INDEX(exp_status,MATCH(47,exp_wishno,0))="","",INDEX(exp_status,MATCH(47,exp_wishno,0))))</f>
        <v/>
      </c>
    </row>
    <row r="54">
      <c r="A54" s="80">
        <f>IF(ISNA(MATCH(48,exp_wishno,0)),"",48)</f>
        <v/>
      </c>
      <c r="B54" s="41">
        <f>IF($A54="","",IF(INDEX(exp_desc,MATCH(48,exp_wishno,0))="","",INDEX(exp_desc,MATCH(48,exp_wishno,0))))</f>
        <v/>
      </c>
      <c r="C54" s="41">
        <f>IF($A54="","",IF(INDEX(exp_cat,MATCH(48,exp_wishno,0))="","",INDEX(exp_cat,MATCH(48,exp_wishno,0))))</f>
        <v/>
      </c>
      <c r="D54" s="80">
        <f>IF($A54="","",IF(INDEX(exp_prio,MATCH(48,exp_wishno,0))="","",INDEX(exp_prio,MATCH(48,exp_wishno,0))))</f>
        <v/>
      </c>
      <c r="E54" s="80">
        <f>IF($A54="","",IF(INDEX(exp_year,MATCH(48,exp_wishno,0))="","",INDEX(exp_year,MATCH(48,exp_wishno,0))))</f>
        <v/>
      </c>
      <c r="F54" s="80">
        <f>IF($A54="","",IF(INDEX(exp_month,MATCH(48,exp_wishno,0))="","",INDEX(exp_month,MATCH(48,exp_wishno,0))))</f>
        <v/>
      </c>
      <c r="G54" s="81">
        <f>IF($A54="","",IF(INDEX(exp_plan,MATCH(48,exp_wishno,0))="","",INDEX(exp_plan,MATCH(48,exp_wishno,0))))</f>
        <v/>
      </c>
      <c r="H54" s="82">
        <f>IF($A54="","",IF(INDEX(exp_fact,MATCH(48,exp_wishno,0))="","",INDEX(exp_fact,MATCH(48,exp_wishno,0))))</f>
        <v/>
      </c>
      <c r="I54" s="41">
        <f>IF($A54="","",IF(INDEX(exp_status,MATCH(48,exp_wishno,0))="","",INDEX(exp_status,MATCH(48,exp_wishno,0))))</f>
        <v/>
      </c>
    </row>
    <row r="55">
      <c r="A55" s="80">
        <f>IF(ISNA(MATCH(49,exp_wishno,0)),"",49)</f>
        <v/>
      </c>
      <c r="B55" s="41">
        <f>IF($A55="","",IF(INDEX(exp_desc,MATCH(49,exp_wishno,0))="","",INDEX(exp_desc,MATCH(49,exp_wishno,0))))</f>
        <v/>
      </c>
      <c r="C55" s="41">
        <f>IF($A55="","",IF(INDEX(exp_cat,MATCH(49,exp_wishno,0))="","",INDEX(exp_cat,MATCH(49,exp_wishno,0))))</f>
        <v/>
      </c>
      <c r="D55" s="80">
        <f>IF($A55="","",IF(INDEX(exp_prio,MATCH(49,exp_wishno,0))="","",INDEX(exp_prio,MATCH(49,exp_wishno,0))))</f>
        <v/>
      </c>
      <c r="E55" s="80">
        <f>IF($A55="","",IF(INDEX(exp_year,MATCH(49,exp_wishno,0))="","",INDEX(exp_year,MATCH(49,exp_wishno,0))))</f>
        <v/>
      </c>
      <c r="F55" s="80">
        <f>IF($A55="","",IF(INDEX(exp_month,MATCH(49,exp_wishno,0))="","",INDEX(exp_month,MATCH(49,exp_wishno,0))))</f>
        <v/>
      </c>
      <c r="G55" s="81">
        <f>IF($A55="","",IF(INDEX(exp_plan,MATCH(49,exp_wishno,0))="","",INDEX(exp_plan,MATCH(49,exp_wishno,0))))</f>
        <v/>
      </c>
      <c r="H55" s="82">
        <f>IF($A55="","",IF(INDEX(exp_fact,MATCH(49,exp_wishno,0))="","",INDEX(exp_fact,MATCH(49,exp_wishno,0))))</f>
        <v/>
      </c>
      <c r="I55" s="41">
        <f>IF($A55="","",IF(INDEX(exp_status,MATCH(49,exp_wishno,0))="","",INDEX(exp_status,MATCH(49,exp_wishno,0))))</f>
        <v/>
      </c>
    </row>
    <row r="56">
      <c r="A56" s="80">
        <f>IF(ISNA(MATCH(50,exp_wishno,0)),"",50)</f>
        <v/>
      </c>
      <c r="B56" s="41">
        <f>IF($A56="","",IF(INDEX(exp_desc,MATCH(50,exp_wishno,0))="","",INDEX(exp_desc,MATCH(50,exp_wishno,0))))</f>
        <v/>
      </c>
      <c r="C56" s="41">
        <f>IF($A56="","",IF(INDEX(exp_cat,MATCH(50,exp_wishno,0))="","",INDEX(exp_cat,MATCH(50,exp_wishno,0))))</f>
        <v/>
      </c>
      <c r="D56" s="80">
        <f>IF($A56="","",IF(INDEX(exp_prio,MATCH(50,exp_wishno,0))="","",INDEX(exp_prio,MATCH(50,exp_wishno,0))))</f>
        <v/>
      </c>
      <c r="E56" s="80">
        <f>IF($A56="","",IF(INDEX(exp_year,MATCH(50,exp_wishno,0))="","",INDEX(exp_year,MATCH(50,exp_wishno,0))))</f>
        <v/>
      </c>
      <c r="F56" s="80">
        <f>IF($A56="","",IF(INDEX(exp_month,MATCH(50,exp_wishno,0))="","",INDEX(exp_month,MATCH(50,exp_wishno,0))))</f>
        <v/>
      </c>
      <c r="G56" s="81">
        <f>IF($A56="","",IF(INDEX(exp_plan,MATCH(50,exp_wishno,0))="","",INDEX(exp_plan,MATCH(50,exp_wishno,0))))</f>
        <v/>
      </c>
      <c r="H56" s="82">
        <f>IF($A56="","",IF(INDEX(exp_fact,MATCH(50,exp_wishno,0))="","",INDEX(exp_fact,MATCH(50,exp_wishno,0))))</f>
        <v/>
      </c>
      <c r="I56" s="41">
        <f>IF($A56="","",IF(INDEX(exp_status,MATCH(50,exp_wishno,0))="","",INDEX(exp_status,MATCH(50,exp_wishno,0))))</f>
        <v/>
      </c>
    </row>
    <row r="57">
      <c r="A57" s="80">
        <f>IF(ISNA(MATCH(51,exp_wishno,0)),"",51)</f>
        <v/>
      </c>
      <c r="B57" s="41">
        <f>IF($A57="","",IF(INDEX(exp_desc,MATCH(51,exp_wishno,0))="","",INDEX(exp_desc,MATCH(51,exp_wishno,0))))</f>
        <v/>
      </c>
      <c r="C57" s="41">
        <f>IF($A57="","",IF(INDEX(exp_cat,MATCH(51,exp_wishno,0))="","",INDEX(exp_cat,MATCH(51,exp_wishno,0))))</f>
        <v/>
      </c>
      <c r="D57" s="80">
        <f>IF($A57="","",IF(INDEX(exp_prio,MATCH(51,exp_wishno,0))="","",INDEX(exp_prio,MATCH(51,exp_wishno,0))))</f>
        <v/>
      </c>
      <c r="E57" s="80">
        <f>IF($A57="","",IF(INDEX(exp_year,MATCH(51,exp_wishno,0))="","",INDEX(exp_year,MATCH(51,exp_wishno,0))))</f>
        <v/>
      </c>
      <c r="F57" s="80">
        <f>IF($A57="","",IF(INDEX(exp_month,MATCH(51,exp_wishno,0))="","",INDEX(exp_month,MATCH(51,exp_wishno,0))))</f>
        <v/>
      </c>
      <c r="G57" s="81">
        <f>IF($A57="","",IF(INDEX(exp_plan,MATCH(51,exp_wishno,0))="","",INDEX(exp_plan,MATCH(51,exp_wishno,0))))</f>
        <v/>
      </c>
      <c r="H57" s="82">
        <f>IF($A57="","",IF(INDEX(exp_fact,MATCH(51,exp_wishno,0))="","",INDEX(exp_fact,MATCH(51,exp_wishno,0))))</f>
        <v/>
      </c>
      <c r="I57" s="41">
        <f>IF($A57="","",IF(INDEX(exp_status,MATCH(51,exp_wishno,0))="","",INDEX(exp_status,MATCH(51,exp_wishno,0))))</f>
        <v/>
      </c>
    </row>
    <row r="58">
      <c r="A58" s="80">
        <f>IF(ISNA(MATCH(52,exp_wishno,0)),"",52)</f>
        <v/>
      </c>
      <c r="B58" s="41">
        <f>IF($A58="","",IF(INDEX(exp_desc,MATCH(52,exp_wishno,0))="","",INDEX(exp_desc,MATCH(52,exp_wishno,0))))</f>
        <v/>
      </c>
      <c r="C58" s="41">
        <f>IF($A58="","",IF(INDEX(exp_cat,MATCH(52,exp_wishno,0))="","",INDEX(exp_cat,MATCH(52,exp_wishno,0))))</f>
        <v/>
      </c>
      <c r="D58" s="80">
        <f>IF($A58="","",IF(INDEX(exp_prio,MATCH(52,exp_wishno,0))="","",INDEX(exp_prio,MATCH(52,exp_wishno,0))))</f>
        <v/>
      </c>
      <c r="E58" s="80">
        <f>IF($A58="","",IF(INDEX(exp_year,MATCH(52,exp_wishno,0))="","",INDEX(exp_year,MATCH(52,exp_wishno,0))))</f>
        <v/>
      </c>
      <c r="F58" s="80">
        <f>IF($A58="","",IF(INDEX(exp_month,MATCH(52,exp_wishno,0))="","",INDEX(exp_month,MATCH(52,exp_wishno,0))))</f>
        <v/>
      </c>
      <c r="G58" s="81">
        <f>IF($A58="","",IF(INDEX(exp_plan,MATCH(52,exp_wishno,0))="","",INDEX(exp_plan,MATCH(52,exp_wishno,0))))</f>
        <v/>
      </c>
      <c r="H58" s="82">
        <f>IF($A58="","",IF(INDEX(exp_fact,MATCH(52,exp_wishno,0))="","",INDEX(exp_fact,MATCH(52,exp_wishno,0))))</f>
        <v/>
      </c>
      <c r="I58" s="41">
        <f>IF($A58="","",IF(INDEX(exp_status,MATCH(52,exp_wishno,0))="","",INDEX(exp_status,MATCH(52,exp_wishno,0))))</f>
        <v/>
      </c>
    </row>
    <row r="59">
      <c r="A59" s="80">
        <f>IF(ISNA(MATCH(53,exp_wishno,0)),"",53)</f>
        <v/>
      </c>
      <c r="B59" s="41">
        <f>IF($A59="","",IF(INDEX(exp_desc,MATCH(53,exp_wishno,0))="","",INDEX(exp_desc,MATCH(53,exp_wishno,0))))</f>
        <v/>
      </c>
      <c r="C59" s="41">
        <f>IF($A59="","",IF(INDEX(exp_cat,MATCH(53,exp_wishno,0))="","",INDEX(exp_cat,MATCH(53,exp_wishno,0))))</f>
        <v/>
      </c>
      <c r="D59" s="80">
        <f>IF($A59="","",IF(INDEX(exp_prio,MATCH(53,exp_wishno,0))="","",INDEX(exp_prio,MATCH(53,exp_wishno,0))))</f>
        <v/>
      </c>
      <c r="E59" s="80">
        <f>IF($A59="","",IF(INDEX(exp_year,MATCH(53,exp_wishno,0))="","",INDEX(exp_year,MATCH(53,exp_wishno,0))))</f>
        <v/>
      </c>
      <c r="F59" s="80">
        <f>IF($A59="","",IF(INDEX(exp_month,MATCH(53,exp_wishno,0))="","",INDEX(exp_month,MATCH(53,exp_wishno,0))))</f>
        <v/>
      </c>
      <c r="G59" s="81">
        <f>IF($A59="","",IF(INDEX(exp_plan,MATCH(53,exp_wishno,0))="","",INDEX(exp_plan,MATCH(53,exp_wishno,0))))</f>
        <v/>
      </c>
      <c r="H59" s="82">
        <f>IF($A59="","",IF(INDEX(exp_fact,MATCH(53,exp_wishno,0))="","",INDEX(exp_fact,MATCH(53,exp_wishno,0))))</f>
        <v/>
      </c>
      <c r="I59" s="41">
        <f>IF($A59="","",IF(INDEX(exp_status,MATCH(53,exp_wishno,0))="","",INDEX(exp_status,MATCH(53,exp_wishno,0))))</f>
        <v/>
      </c>
    </row>
    <row r="60">
      <c r="A60" s="80">
        <f>IF(ISNA(MATCH(54,exp_wishno,0)),"",54)</f>
        <v/>
      </c>
      <c r="B60" s="41">
        <f>IF($A60="","",IF(INDEX(exp_desc,MATCH(54,exp_wishno,0))="","",INDEX(exp_desc,MATCH(54,exp_wishno,0))))</f>
        <v/>
      </c>
      <c r="C60" s="41">
        <f>IF($A60="","",IF(INDEX(exp_cat,MATCH(54,exp_wishno,0))="","",INDEX(exp_cat,MATCH(54,exp_wishno,0))))</f>
        <v/>
      </c>
      <c r="D60" s="80">
        <f>IF($A60="","",IF(INDEX(exp_prio,MATCH(54,exp_wishno,0))="","",INDEX(exp_prio,MATCH(54,exp_wishno,0))))</f>
        <v/>
      </c>
      <c r="E60" s="80">
        <f>IF($A60="","",IF(INDEX(exp_year,MATCH(54,exp_wishno,0))="","",INDEX(exp_year,MATCH(54,exp_wishno,0))))</f>
        <v/>
      </c>
      <c r="F60" s="80">
        <f>IF($A60="","",IF(INDEX(exp_month,MATCH(54,exp_wishno,0))="","",INDEX(exp_month,MATCH(54,exp_wishno,0))))</f>
        <v/>
      </c>
      <c r="G60" s="81">
        <f>IF($A60="","",IF(INDEX(exp_plan,MATCH(54,exp_wishno,0))="","",INDEX(exp_plan,MATCH(54,exp_wishno,0))))</f>
        <v/>
      </c>
      <c r="H60" s="82">
        <f>IF($A60="","",IF(INDEX(exp_fact,MATCH(54,exp_wishno,0))="","",INDEX(exp_fact,MATCH(54,exp_wishno,0))))</f>
        <v/>
      </c>
      <c r="I60" s="41">
        <f>IF($A60="","",IF(INDEX(exp_status,MATCH(54,exp_wishno,0))="","",INDEX(exp_status,MATCH(54,exp_wishno,0))))</f>
        <v/>
      </c>
    </row>
    <row r="61">
      <c r="A61" s="80">
        <f>IF(ISNA(MATCH(55,exp_wishno,0)),"",55)</f>
        <v/>
      </c>
      <c r="B61" s="41">
        <f>IF($A61="","",IF(INDEX(exp_desc,MATCH(55,exp_wishno,0))="","",INDEX(exp_desc,MATCH(55,exp_wishno,0))))</f>
        <v/>
      </c>
      <c r="C61" s="41">
        <f>IF($A61="","",IF(INDEX(exp_cat,MATCH(55,exp_wishno,0))="","",INDEX(exp_cat,MATCH(55,exp_wishno,0))))</f>
        <v/>
      </c>
      <c r="D61" s="80">
        <f>IF($A61="","",IF(INDEX(exp_prio,MATCH(55,exp_wishno,0))="","",INDEX(exp_prio,MATCH(55,exp_wishno,0))))</f>
        <v/>
      </c>
      <c r="E61" s="80">
        <f>IF($A61="","",IF(INDEX(exp_year,MATCH(55,exp_wishno,0))="","",INDEX(exp_year,MATCH(55,exp_wishno,0))))</f>
        <v/>
      </c>
      <c r="F61" s="80">
        <f>IF($A61="","",IF(INDEX(exp_month,MATCH(55,exp_wishno,0))="","",INDEX(exp_month,MATCH(55,exp_wishno,0))))</f>
        <v/>
      </c>
      <c r="G61" s="81">
        <f>IF($A61="","",IF(INDEX(exp_plan,MATCH(55,exp_wishno,0))="","",INDEX(exp_plan,MATCH(55,exp_wishno,0))))</f>
        <v/>
      </c>
      <c r="H61" s="82">
        <f>IF($A61="","",IF(INDEX(exp_fact,MATCH(55,exp_wishno,0))="","",INDEX(exp_fact,MATCH(55,exp_wishno,0))))</f>
        <v/>
      </c>
      <c r="I61" s="41">
        <f>IF($A61="","",IF(INDEX(exp_status,MATCH(55,exp_wishno,0))="","",INDEX(exp_status,MATCH(55,exp_wishno,0))))</f>
        <v/>
      </c>
    </row>
    <row r="62">
      <c r="A62" s="80">
        <f>IF(ISNA(MATCH(56,exp_wishno,0)),"",56)</f>
        <v/>
      </c>
      <c r="B62" s="41">
        <f>IF($A62="","",IF(INDEX(exp_desc,MATCH(56,exp_wishno,0))="","",INDEX(exp_desc,MATCH(56,exp_wishno,0))))</f>
        <v/>
      </c>
      <c r="C62" s="41">
        <f>IF($A62="","",IF(INDEX(exp_cat,MATCH(56,exp_wishno,0))="","",INDEX(exp_cat,MATCH(56,exp_wishno,0))))</f>
        <v/>
      </c>
      <c r="D62" s="80">
        <f>IF($A62="","",IF(INDEX(exp_prio,MATCH(56,exp_wishno,0))="","",INDEX(exp_prio,MATCH(56,exp_wishno,0))))</f>
        <v/>
      </c>
      <c r="E62" s="80">
        <f>IF($A62="","",IF(INDEX(exp_year,MATCH(56,exp_wishno,0))="","",INDEX(exp_year,MATCH(56,exp_wishno,0))))</f>
        <v/>
      </c>
      <c r="F62" s="80">
        <f>IF($A62="","",IF(INDEX(exp_month,MATCH(56,exp_wishno,0))="","",INDEX(exp_month,MATCH(56,exp_wishno,0))))</f>
        <v/>
      </c>
      <c r="G62" s="81">
        <f>IF($A62="","",IF(INDEX(exp_plan,MATCH(56,exp_wishno,0))="","",INDEX(exp_plan,MATCH(56,exp_wishno,0))))</f>
        <v/>
      </c>
      <c r="H62" s="82">
        <f>IF($A62="","",IF(INDEX(exp_fact,MATCH(56,exp_wishno,0))="","",INDEX(exp_fact,MATCH(56,exp_wishno,0))))</f>
        <v/>
      </c>
      <c r="I62" s="41">
        <f>IF($A62="","",IF(INDEX(exp_status,MATCH(56,exp_wishno,0))="","",INDEX(exp_status,MATCH(56,exp_wishno,0))))</f>
        <v/>
      </c>
    </row>
    <row r="63">
      <c r="A63" s="80">
        <f>IF(ISNA(MATCH(57,exp_wishno,0)),"",57)</f>
        <v/>
      </c>
      <c r="B63" s="41">
        <f>IF($A63="","",IF(INDEX(exp_desc,MATCH(57,exp_wishno,0))="","",INDEX(exp_desc,MATCH(57,exp_wishno,0))))</f>
        <v/>
      </c>
      <c r="C63" s="41">
        <f>IF($A63="","",IF(INDEX(exp_cat,MATCH(57,exp_wishno,0))="","",INDEX(exp_cat,MATCH(57,exp_wishno,0))))</f>
        <v/>
      </c>
      <c r="D63" s="80">
        <f>IF($A63="","",IF(INDEX(exp_prio,MATCH(57,exp_wishno,0))="","",INDEX(exp_prio,MATCH(57,exp_wishno,0))))</f>
        <v/>
      </c>
      <c r="E63" s="80">
        <f>IF($A63="","",IF(INDEX(exp_year,MATCH(57,exp_wishno,0))="","",INDEX(exp_year,MATCH(57,exp_wishno,0))))</f>
        <v/>
      </c>
      <c r="F63" s="80">
        <f>IF($A63="","",IF(INDEX(exp_month,MATCH(57,exp_wishno,0))="","",INDEX(exp_month,MATCH(57,exp_wishno,0))))</f>
        <v/>
      </c>
      <c r="G63" s="81">
        <f>IF($A63="","",IF(INDEX(exp_plan,MATCH(57,exp_wishno,0))="","",INDEX(exp_plan,MATCH(57,exp_wishno,0))))</f>
        <v/>
      </c>
      <c r="H63" s="82">
        <f>IF($A63="","",IF(INDEX(exp_fact,MATCH(57,exp_wishno,0))="","",INDEX(exp_fact,MATCH(57,exp_wishno,0))))</f>
        <v/>
      </c>
      <c r="I63" s="41">
        <f>IF($A63="","",IF(INDEX(exp_status,MATCH(57,exp_wishno,0))="","",INDEX(exp_status,MATCH(57,exp_wishno,0))))</f>
        <v/>
      </c>
    </row>
    <row r="64">
      <c r="A64" s="80">
        <f>IF(ISNA(MATCH(58,exp_wishno,0)),"",58)</f>
        <v/>
      </c>
      <c r="B64" s="41">
        <f>IF($A64="","",IF(INDEX(exp_desc,MATCH(58,exp_wishno,0))="","",INDEX(exp_desc,MATCH(58,exp_wishno,0))))</f>
        <v/>
      </c>
      <c r="C64" s="41">
        <f>IF($A64="","",IF(INDEX(exp_cat,MATCH(58,exp_wishno,0))="","",INDEX(exp_cat,MATCH(58,exp_wishno,0))))</f>
        <v/>
      </c>
      <c r="D64" s="80">
        <f>IF($A64="","",IF(INDEX(exp_prio,MATCH(58,exp_wishno,0))="","",INDEX(exp_prio,MATCH(58,exp_wishno,0))))</f>
        <v/>
      </c>
      <c r="E64" s="80">
        <f>IF($A64="","",IF(INDEX(exp_year,MATCH(58,exp_wishno,0))="","",INDEX(exp_year,MATCH(58,exp_wishno,0))))</f>
        <v/>
      </c>
      <c r="F64" s="80">
        <f>IF($A64="","",IF(INDEX(exp_month,MATCH(58,exp_wishno,0))="","",INDEX(exp_month,MATCH(58,exp_wishno,0))))</f>
        <v/>
      </c>
      <c r="G64" s="81">
        <f>IF($A64="","",IF(INDEX(exp_plan,MATCH(58,exp_wishno,0))="","",INDEX(exp_plan,MATCH(58,exp_wishno,0))))</f>
        <v/>
      </c>
      <c r="H64" s="82">
        <f>IF($A64="","",IF(INDEX(exp_fact,MATCH(58,exp_wishno,0))="","",INDEX(exp_fact,MATCH(58,exp_wishno,0))))</f>
        <v/>
      </c>
      <c r="I64" s="41">
        <f>IF($A64="","",IF(INDEX(exp_status,MATCH(58,exp_wishno,0))="","",INDEX(exp_status,MATCH(58,exp_wishno,0))))</f>
        <v/>
      </c>
    </row>
    <row r="65">
      <c r="A65" s="80">
        <f>IF(ISNA(MATCH(59,exp_wishno,0)),"",59)</f>
        <v/>
      </c>
      <c r="B65" s="41">
        <f>IF($A65="","",IF(INDEX(exp_desc,MATCH(59,exp_wishno,0))="","",INDEX(exp_desc,MATCH(59,exp_wishno,0))))</f>
        <v/>
      </c>
      <c r="C65" s="41">
        <f>IF($A65="","",IF(INDEX(exp_cat,MATCH(59,exp_wishno,0))="","",INDEX(exp_cat,MATCH(59,exp_wishno,0))))</f>
        <v/>
      </c>
      <c r="D65" s="80">
        <f>IF($A65="","",IF(INDEX(exp_prio,MATCH(59,exp_wishno,0))="","",INDEX(exp_prio,MATCH(59,exp_wishno,0))))</f>
        <v/>
      </c>
      <c r="E65" s="80">
        <f>IF($A65="","",IF(INDEX(exp_year,MATCH(59,exp_wishno,0))="","",INDEX(exp_year,MATCH(59,exp_wishno,0))))</f>
        <v/>
      </c>
      <c r="F65" s="80">
        <f>IF($A65="","",IF(INDEX(exp_month,MATCH(59,exp_wishno,0))="","",INDEX(exp_month,MATCH(59,exp_wishno,0))))</f>
        <v/>
      </c>
      <c r="G65" s="81">
        <f>IF($A65="","",IF(INDEX(exp_plan,MATCH(59,exp_wishno,0))="","",INDEX(exp_plan,MATCH(59,exp_wishno,0))))</f>
        <v/>
      </c>
      <c r="H65" s="82">
        <f>IF($A65="","",IF(INDEX(exp_fact,MATCH(59,exp_wishno,0))="","",INDEX(exp_fact,MATCH(59,exp_wishno,0))))</f>
        <v/>
      </c>
      <c r="I65" s="41">
        <f>IF($A65="","",IF(INDEX(exp_status,MATCH(59,exp_wishno,0))="","",INDEX(exp_status,MATCH(59,exp_wishno,0))))</f>
        <v/>
      </c>
    </row>
    <row r="66">
      <c r="A66" s="80">
        <f>IF(ISNA(MATCH(60,exp_wishno,0)),"",60)</f>
        <v/>
      </c>
      <c r="B66" s="41">
        <f>IF($A66="","",IF(INDEX(exp_desc,MATCH(60,exp_wishno,0))="","",INDEX(exp_desc,MATCH(60,exp_wishno,0))))</f>
        <v/>
      </c>
      <c r="C66" s="41">
        <f>IF($A66="","",IF(INDEX(exp_cat,MATCH(60,exp_wishno,0))="","",INDEX(exp_cat,MATCH(60,exp_wishno,0))))</f>
        <v/>
      </c>
      <c r="D66" s="80">
        <f>IF($A66="","",IF(INDEX(exp_prio,MATCH(60,exp_wishno,0))="","",INDEX(exp_prio,MATCH(60,exp_wishno,0))))</f>
        <v/>
      </c>
      <c r="E66" s="80">
        <f>IF($A66="","",IF(INDEX(exp_year,MATCH(60,exp_wishno,0))="","",INDEX(exp_year,MATCH(60,exp_wishno,0))))</f>
        <v/>
      </c>
      <c r="F66" s="80">
        <f>IF($A66="","",IF(INDEX(exp_month,MATCH(60,exp_wishno,0))="","",INDEX(exp_month,MATCH(60,exp_wishno,0))))</f>
        <v/>
      </c>
      <c r="G66" s="81">
        <f>IF($A66="","",IF(INDEX(exp_plan,MATCH(60,exp_wishno,0))="","",INDEX(exp_plan,MATCH(60,exp_wishno,0))))</f>
        <v/>
      </c>
      <c r="H66" s="82">
        <f>IF($A66="","",IF(INDEX(exp_fact,MATCH(60,exp_wishno,0))="","",INDEX(exp_fact,MATCH(60,exp_wishno,0))))</f>
        <v/>
      </c>
      <c r="I66" s="41">
        <f>IF($A66="","",IF(INDEX(exp_status,MATCH(60,exp_wishno,0))="","",INDEX(exp_status,MATCH(60,exp_wishno,0))))</f>
        <v/>
      </c>
    </row>
    <row r="67">
      <c r="A67" s="80">
        <f>IF(ISNA(MATCH(61,exp_wishno,0)),"",61)</f>
        <v/>
      </c>
      <c r="B67" s="41">
        <f>IF($A67="","",IF(INDEX(exp_desc,MATCH(61,exp_wishno,0))="","",INDEX(exp_desc,MATCH(61,exp_wishno,0))))</f>
        <v/>
      </c>
      <c r="C67" s="41">
        <f>IF($A67="","",IF(INDEX(exp_cat,MATCH(61,exp_wishno,0))="","",INDEX(exp_cat,MATCH(61,exp_wishno,0))))</f>
        <v/>
      </c>
      <c r="D67" s="80">
        <f>IF($A67="","",IF(INDEX(exp_prio,MATCH(61,exp_wishno,0))="","",INDEX(exp_prio,MATCH(61,exp_wishno,0))))</f>
        <v/>
      </c>
      <c r="E67" s="80">
        <f>IF($A67="","",IF(INDEX(exp_year,MATCH(61,exp_wishno,0))="","",INDEX(exp_year,MATCH(61,exp_wishno,0))))</f>
        <v/>
      </c>
      <c r="F67" s="80">
        <f>IF($A67="","",IF(INDEX(exp_month,MATCH(61,exp_wishno,0))="","",INDEX(exp_month,MATCH(61,exp_wishno,0))))</f>
        <v/>
      </c>
      <c r="G67" s="81">
        <f>IF($A67="","",IF(INDEX(exp_plan,MATCH(61,exp_wishno,0))="","",INDEX(exp_plan,MATCH(61,exp_wishno,0))))</f>
        <v/>
      </c>
      <c r="H67" s="82">
        <f>IF($A67="","",IF(INDEX(exp_fact,MATCH(61,exp_wishno,0))="","",INDEX(exp_fact,MATCH(61,exp_wishno,0))))</f>
        <v/>
      </c>
      <c r="I67" s="41">
        <f>IF($A67="","",IF(INDEX(exp_status,MATCH(61,exp_wishno,0))="","",INDEX(exp_status,MATCH(61,exp_wishno,0))))</f>
        <v/>
      </c>
    </row>
    <row r="68">
      <c r="A68" s="80">
        <f>IF(ISNA(MATCH(62,exp_wishno,0)),"",62)</f>
        <v/>
      </c>
      <c r="B68" s="41">
        <f>IF($A68="","",IF(INDEX(exp_desc,MATCH(62,exp_wishno,0))="","",INDEX(exp_desc,MATCH(62,exp_wishno,0))))</f>
        <v/>
      </c>
      <c r="C68" s="41">
        <f>IF($A68="","",IF(INDEX(exp_cat,MATCH(62,exp_wishno,0))="","",INDEX(exp_cat,MATCH(62,exp_wishno,0))))</f>
        <v/>
      </c>
      <c r="D68" s="80">
        <f>IF($A68="","",IF(INDEX(exp_prio,MATCH(62,exp_wishno,0))="","",INDEX(exp_prio,MATCH(62,exp_wishno,0))))</f>
        <v/>
      </c>
      <c r="E68" s="80">
        <f>IF($A68="","",IF(INDEX(exp_year,MATCH(62,exp_wishno,0))="","",INDEX(exp_year,MATCH(62,exp_wishno,0))))</f>
        <v/>
      </c>
      <c r="F68" s="80">
        <f>IF($A68="","",IF(INDEX(exp_month,MATCH(62,exp_wishno,0))="","",INDEX(exp_month,MATCH(62,exp_wishno,0))))</f>
        <v/>
      </c>
      <c r="G68" s="81">
        <f>IF($A68="","",IF(INDEX(exp_plan,MATCH(62,exp_wishno,0))="","",INDEX(exp_plan,MATCH(62,exp_wishno,0))))</f>
        <v/>
      </c>
      <c r="H68" s="82">
        <f>IF($A68="","",IF(INDEX(exp_fact,MATCH(62,exp_wishno,0))="","",INDEX(exp_fact,MATCH(62,exp_wishno,0))))</f>
        <v/>
      </c>
      <c r="I68" s="41">
        <f>IF($A68="","",IF(INDEX(exp_status,MATCH(62,exp_wishno,0))="","",INDEX(exp_status,MATCH(62,exp_wishno,0))))</f>
        <v/>
      </c>
    </row>
    <row r="69">
      <c r="A69" s="80">
        <f>IF(ISNA(MATCH(63,exp_wishno,0)),"",63)</f>
        <v/>
      </c>
      <c r="B69" s="41">
        <f>IF($A69="","",IF(INDEX(exp_desc,MATCH(63,exp_wishno,0))="","",INDEX(exp_desc,MATCH(63,exp_wishno,0))))</f>
        <v/>
      </c>
      <c r="C69" s="41">
        <f>IF($A69="","",IF(INDEX(exp_cat,MATCH(63,exp_wishno,0))="","",INDEX(exp_cat,MATCH(63,exp_wishno,0))))</f>
        <v/>
      </c>
      <c r="D69" s="80">
        <f>IF($A69="","",IF(INDEX(exp_prio,MATCH(63,exp_wishno,0))="","",INDEX(exp_prio,MATCH(63,exp_wishno,0))))</f>
        <v/>
      </c>
      <c r="E69" s="80">
        <f>IF($A69="","",IF(INDEX(exp_year,MATCH(63,exp_wishno,0))="","",INDEX(exp_year,MATCH(63,exp_wishno,0))))</f>
        <v/>
      </c>
      <c r="F69" s="80">
        <f>IF($A69="","",IF(INDEX(exp_month,MATCH(63,exp_wishno,0))="","",INDEX(exp_month,MATCH(63,exp_wishno,0))))</f>
        <v/>
      </c>
      <c r="G69" s="81">
        <f>IF($A69="","",IF(INDEX(exp_plan,MATCH(63,exp_wishno,0))="","",INDEX(exp_plan,MATCH(63,exp_wishno,0))))</f>
        <v/>
      </c>
      <c r="H69" s="82">
        <f>IF($A69="","",IF(INDEX(exp_fact,MATCH(63,exp_wishno,0))="","",INDEX(exp_fact,MATCH(63,exp_wishno,0))))</f>
        <v/>
      </c>
      <c r="I69" s="41">
        <f>IF($A69="","",IF(INDEX(exp_status,MATCH(63,exp_wishno,0))="","",INDEX(exp_status,MATCH(63,exp_wishno,0))))</f>
        <v/>
      </c>
    </row>
    <row r="70">
      <c r="A70" s="80">
        <f>IF(ISNA(MATCH(64,exp_wishno,0)),"",64)</f>
        <v/>
      </c>
      <c r="B70" s="41">
        <f>IF($A70="","",IF(INDEX(exp_desc,MATCH(64,exp_wishno,0))="","",INDEX(exp_desc,MATCH(64,exp_wishno,0))))</f>
        <v/>
      </c>
      <c r="C70" s="41">
        <f>IF($A70="","",IF(INDEX(exp_cat,MATCH(64,exp_wishno,0))="","",INDEX(exp_cat,MATCH(64,exp_wishno,0))))</f>
        <v/>
      </c>
      <c r="D70" s="80">
        <f>IF($A70="","",IF(INDEX(exp_prio,MATCH(64,exp_wishno,0))="","",INDEX(exp_prio,MATCH(64,exp_wishno,0))))</f>
        <v/>
      </c>
      <c r="E70" s="80">
        <f>IF($A70="","",IF(INDEX(exp_year,MATCH(64,exp_wishno,0))="","",INDEX(exp_year,MATCH(64,exp_wishno,0))))</f>
        <v/>
      </c>
      <c r="F70" s="80">
        <f>IF($A70="","",IF(INDEX(exp_month,MATCH(64,exp_wishno,0))="","",INDEX(exp_month,MATCH(64,exp_wishno,0))))</f>
        <v/>
      </c>
      <c r="G70" s="81">
        <f>IF($A70="","",IF(INDEX(exp_plan,MATCH(64,exp_wishno,0))="","",INDEX(exp_plan,MATCH(64,exp_wishno,0))))</f>
        <v/>
      </c>
      <c r="H70" s="82">
        <f>IF($A70="","",IF(INDEX(exp_fact,MATCH(64,exp_wishno,0))="","",INDEX(exp_fact,MATCH(64,exp_wishno,0))))</f>
        <v/>
      </c>
      <c r="I70" s="41">
        <f>IF($A70="","",IF(INDEX(exp_status,MATCH(64,exp_wishno,0))="","",INDEX(exp_status,MATCH(64,exp_wishno,0))))</f>
        <v/>
      </c>
    </row>
    <row r="71">
      <c r="A71" s="80">
        <f>IF(ISNA(MATCH(65,exp_wishno,0)),"",65)</f>
        <v/>
      </c>
      <c r="B71" s="41">
        <f>IF($A71="","",IF(INDEX(exp_desc,MATCH(65,exp_wishno,0))="","",INDEX(exp_desc,MATCH(65,exp_wishno,0))))</f>
        <v/>
      </c>
      <c r="C71" s="41">
        <f>IF($A71="","",IF(INDEX(exp_cat,MATCH(65,exp_wishno,0))="","",INDEX(exp_cat,MATCH(65,exp_wishno,0))))</f>
        <v/>
      </c>
      <c r="D71" s="80">
        <f>IF($A71="","",IF(INDEX(exp_prio,MATCH(65,exp_wishno,0))="","",INDEX(exp_prio,MATCH(65,exp_wishno,0))))</f>
        <v/>
      </c>
      <c r="E71" s="80">
        <f>IF($A71="","",IF(INDEX(exp_year,MATCH(65,exp_wishno,0))="","",INDEX(exp_year,MATCH(65,exp_wishno,0))))</f>
        <v/>
      </c>
      <c r="F71" s="80">
        <f>IF($A71="","",IF(INDEX(exp_month,MATCH(65,exp_wishno,0))="","",INDEX(exp_month,MATCH(65,exp_wishno,0))))</f>
        <v/>
      </c>
      <c r="G71" s="81">
        <f>IF($A71="","",IF(INDEX(exp_plan,MATCH(65,exp_wishno,0))="","",INDEX(exp_plan,MATCH(65,exp_wishno,0))))</f>
        <v/>
      </c>
      <c r="H71" s="82">
        <f>IF($A71="","",IF(INDEX(exp_fact,MATCH(65,exp_wishno,0))="","",INDEX(exp_fact,MATCH(65,exp_wishno,0))))</f>
        <v/>
      </c>
      <c r="I71" s="41">
        <f>IF($A71="","",IF(INDEX(exp_status,MATCH(65,exp_wishno,0))="","",INDEX(exp_status,MATCH(65,exp_wishno,0))))</f>
        <v/>
      </c>
    </row>
    <row r="72">
      <c r="A72" s="80">
        <f>IF(ISNA(MATCH(66,exp_wishno,0)),"",66)</f>
        <v/>
      </c>
      <c r="B72" s="41">
        <f>IF($A72="","",IF(INDEX(exp_desc,MATCH(66,exp_wishno,0))="","",INDEX(exp_desc,MATCH(66,exp_wishno,0))))</f>
        <v/>
      </c>
      <c r="C72" s="41">
        <f>IF($A72="","",IF(INDEX(exp_cat,MATCH(66,exp_wishno,0))="","",INDEX(exp_cat,MATCH(66,exp_wishno,0))))</f>
        <v/>
      </c>
      <c r="D72" s="80">
        <f>IF($A72="","",IF(INDEX(exp_prio,MATCH(66,exp_wishno,0))="","",INDEX(exp_prio,MATCH(66,exp_wishno,0))))</f>
        <v/>
      </c>
      <c r="E72" s="80">
        <f>IF($A72="","",IF(INDEX(exp_year,MATCH(66,exp_wishno,0))="","",INDEX(exp_year,MATCH(66,exp_wishno,0))))</f>
        <v/>
      </c>
      <c r="F72" s="80">
        <f>IF($A72="","",IF(INDEX(exp_month,MATCH(66,exp_wishno,0))="","",INDEX(exp_month,MATCH(66,exp_wishno,0))))</f>
        <v/>
      </c>
      <c r="G72" s="81">
        <f>IF($A72="","",IF(INDEX(exp_plan,MATCH(66,exp_wishno,0))="","",INDEX(exp_plan,MATCH(66,exp_wishno,0))))</f>
        <v/>
      </c>
      <c r="H72" s="82">
        <f>IF($A72="","",IF(INDEX(exp_fact,MATCH(66,exp_wishno,0))="","",INDEX(exp_fact,MATCH(66,exp_wishno,0))))</f>
        <v/>
      </c>
      <c r="I72" s="41">
        <f>IF($A72="","",IF(INDEX(exp_status,MATCH(66,exp_wishno,0))="","",INDEX(exp_status,MATCH(66,exp_wishno,0))))</f>
        <v/>
      </c>
    </row>
    <row r="73">
      <c r="A73" s="80">
        <f>IF(ISNA(MATCH(67,exp_wishno,0)),"",67)</f>
        <v/>
      </c>
      <c r="B73" s="41">
        <f>IF($A73="","",IF(INDEX(exp_desc,MATCH(67,exp_wishno,0))="","",INDEX(exp_desc,MATCH(67,exp_wishno,0))))</f>
        <v/>
      </c>
      <c r="C73" s="41">
        <f>IF($A73="","",IF(INDEX(exp_cat,MATCH(67,exp_wishno,0))="","",INDEX(exp_cat,MATCH(67,exp_wishno,0))))</f>
        <v/>
      </c>
      <c r="D73" s="80">
        <f>IF($A73="","",IF(INDEX(exp_prio,MATCH(67,exp_wishno,0))="","",INDEX(exp_prio,MATCH(67,exp_wishno,0))))</f>
        <v/>
      </c>
      <c r="E73" s="80">
        <f>IF($A73="","",IF(INDEX(exp_year,MATCH(67,exp_wishno,0))="","",INDEX(exp_year,MATCH(67,exp_wishno,0))))</f>
        <v/>
      </c>
      <c r="F73" s="80">
        <f>IF($A73="","",IF(INDEX(exp_month,MATCH(67,exp_wishno,0))="","",INDEX(exp_month,MATCH(67,exp_wishno,0))))</f>
        <v/>
      </c>
      <c r="G73" s="81">
        <f>IF($A73="","",IF(INDEX(exp_plan,MATCH(67,exp_wishno,0))="","",INDEX(exp_plan,MATCH(67,exp_wishno,0))))</f>
        <v/>
      </c>
      <c r="H73" s="82">
        <f>IF($A73="","",IF(INDEX(exp_fact,MATCH(67,exp_wishno,0))="","",INDEX(exp_fact,MATCH(67,exp_wishno,0))))</f>
        <v/>
      </c>
      <c r="I73" s="41">
        <f>IF($A73="","",IF(INDEX(exp_status,MATCH(67,exp_wishno,0))="","",INDEX(exp_status,MATCH(67,exp_wishno,0))))</f>
        <v/>
      </c>
    </row>
    <row r="74">
      <c r="A74" s="80">
        <f>IF(ISNA(MATCH(68,exp_wishno,0)),"",68)</f>
        <v/>
      </c>
      <c r="B74" s="41">
        <f>IF($A74="","",IF(INDEX(exp_desc,MATCH(68,exp_wishno,0))="","",INDEX(exp_desc,MATCH(68,exp_wishno,0))))</f>
        <v/>
      </c>
      <c r="C74" s="41">
        <f>IF($A74="","",IF(INDEX(exp_cat,MATCH(68,exp_wishno,0))="","",INDEX(exp_cat,MATCH(68,exp_wishno,0))))</f>
        <v/>
      </c>
      <c r="D74" s="80">
        <f>IF($A74="","",IF(INDEX(exp_prio,MATCH(68,exp_wishno,0))="","",INDEX(exp_prio,MATCH(68,exp_wishno,0))))</f>
        <v/>
      </c>
      <c r="E74" s="80">
        <f>IF($A74="","",IF(INDEX(exp_year,MATCH(68,exp_wishno,0))="","",INDEX(exp_year,MATCH(68,exp_wishno,0))))</f>
        <v/>
      </c>
      <c r="F74" s="80">
        <f>IF($A74="","",IF(INDEX(exp_month,MATCH(68,exp_wishno,0))="","",INDEX(exp_month,MATCH(68,exp_wishno,0))))</f>
        <v/>
      </c>
      <c r="G74" s="81">
        <f>IF($A74="","",IF(INDEX(exp_plan,MATCH(68,exp_wishno,0))="","",INDEX(exp_plan,MATCH(68,exp_wishno,0))))</f>
        <v/>
      </c>
      <c r="H74" s="82">
        <f>IF($A74="","",IF(INDEX(exp_fact,MATCH(68,exp_wishno,0))="","",INDEX(exp_fact,MATCH(68,exp_wishno,0))))</f>
        <v/>
      </c>
      <c r="I74" s="41">
        <f>IF($A74="","",IF(INDEX(exp_status,MATCH(68,exp_wishno,0))="","",INDEX(exp_status,MATCH(68,exp_wishno,0))))</f>
        <v/>
      </c>
    </row>
    <row r="75">
      <c r="A75" s="80">
        <f>IF(ISNA(MATCH(69,exp_wishno,0)),"",69)</f>
        <v/>
      </c>
      <c r="B75" s="41">
        <f>IF($A75="","",IF(INDEX(exp_desc,MATCH(69,exp_wishno,0))="","",INDEX(exp_desc,MATCH(69,exp_wishno,0))))</f>
        <v/>
      </c>
      <c r="C75" s="41">
        <f>IF($A75="","",IF(INDEX(exp_cat,MATCH(69,exp_wishno,0))="","",INDEX(exp_cat,MATCH(69,exp_wishno,0))))</f>
        <v/>
      </c>
      <c r="D75" s="80">
        <f>IF($A75="","",IF(INDEX(exp_prio,MATCH(69,exp_wishno,0))="","",INDEX(exp_prio,MATCH(69,exp_wishno,0))))</f>
        <v/>
      </c>
      <c r="E75" s="80">
        <f>IF($A75="","",IF(INDEX(exp_year,MATCH(69,exp_wishno,0))="","",INDEX(exp_year,MATCH(69,exp_wishno,0))))</f>
        <v/>
      </c>
      <c r="F75" s="80">
        <f>IF($A75="","",IF(INDEX(exp_month,MATCH(69,exp_wishno,0))="","",INDEX(exp_month,MATCH(69,exp_wishno,0))))</f>
        <v/>
      </c>
      <c r="G75" s="81">
        <f>IF($A75="","",IF(INDEX(exp_plan,MATCH(69,exp_wishno,0))="","",INDEX(exp_plan,MATCH(69,exp_wishno,0))))</f>
        <v/>
      </c>
      <c r="H75" s="82">
        <f>IF($A75="","",IF(INDEX(exp_fact,MATCH(69,exp_wishno,0))="","",INDEX(exp_fact,MATCH(69,exp_wishno,0))))</f>
        <v/>
      </c>
      <c r="I75" s="41">
        <f>IF($A75="","",IF(INDEX(exp_status,MATCH(69,exp_wishno,0))="","",INDEX(exp_status,MATCH(69,exp_wishno,0))))</f>
        <v/>
      </c>
    </row>
    <row r="76">
      <c r="A76" s="80">
        <f>IF(ISNA(MATCH(70,exp_wishno,0)),"",70)</f>
        <v/>
      </c>
      <c r="B76" s="41">
        <f>IF($A76="","",IF(INDEX(exp_desc,MATCH(70,exp_wishno,0))="","",INDEX(exp_desc,MATCH(70,exp_wishno,0))))</f>
        <v/>
      </c>
      <c r="C76" s="41">
        <f>IF($A76="","",IF(INDEX(exp_cat,MATCH(70,exp_wishno,0))="","",INDEX(exp_cat,MATCH(70,exp_wishno,0))))</f>
        <v/>
      </c>
      <c r="D76" s="80">
        <f>IF($A76="","",IF(INDEX(exp_prio,MATCH(70,exp_wishno,0))="","",INDEX(exp_prio,MATCH(70,exp_wishno,0))))</f>
        <v/>
      </c>
      <c r="E76" s="80">
        <f>IF($A76="","",IF(INDEX(exp_year,MATCH(70,exp_wishno,0))="","",INDEX(exp_year,MATCH(70,exp_wishno,0))))</f>
        <v/>
      </c>
      <c r="F76" s="80">
        <f>IF($A76="","",IF(INDEX(exp_month,MATCH(70,exp_wishno,0))="","",INDEX(exp_month,MATCH(70,exp_wishno,0))))</f>
        <v/>
      </c>
      <c r="G76" s="81">
        <f>IF($A76="","",IF(INDEX(exp_plan,MATCH(70,exp_wishno,0))="","",INDEX(exp_plan,MATCH(70,exp_wishno,0))))</f>
        <v/>
      </c>
      <c r="H76" s="82">
        <f>IF($A76="","",IF(INDEX(exp_fact,MATCH(70,exp_wishno,0))="","",INDEX(exp_fact,MATCH(70,exp_wishno,0))))</f>
        <v/>
      </c>
      <c r="I76" s="41">
        <f>IF($A76="","",IF(INDEX(exp_status,MATCH(70,exp_wishno,0))="","",INDEX(exp_status,MATCH(70,exp_wishno,0))))</f>
        <v/>
      </c>
    </row>
    <row r="77">
      <c r="A77" s="80">
        <f>IF(ISNA(MATCH(71,exp_wishno,0)),"",71)</f>
        <v/>
      </c>
      <c r="B77" s="41">
        <f>IF($A77="","",IF(INDEX(exp_desc,MATCH(71,exp_wishno,0))="","",INDEX(exp_desc,MATCH(71,exp_wishno,0))))</f>
        <v/>
      </c>
      <c r="C77" s="41">
        <f>IF($A77="","",IF(INDEX(exp_cat,MATCH(71,exp_wishno,0))="","",INDEX(exp_cat,MATCH(71,exp_wishno,0))))</f>
        <v/>
      </c>
      <c r="D77" s="80">
        <f>IF($A77="","",IF(INDEX(exp_prio,MATCH(71,exp_wishno,0))="","",INDEX(exp_prio,MATCH(71,exp_wishno,0))))</f>
        <v/>
      </c>
      <c r="E77" s="80">
        <f>IF($A77="","",IF(INDEX(exp_year,MATCH(71,exp_wishno,0))="","",INDEX(exp_year,MATCH(71,exp_wishno,0))))</f>
        <v/>
      </c>
      <c r="F77" s="80">
        <f>IF($A77="","",IF(INDEX(exp_month,MATCH(71,exp_wishno,0))="","",INDEX(exp_month,MATCH(71,exp_wishno,0))))</f>
        <v/>
      </c>
      <c r="G77" s="81">
        <f>IF($A77="","",IF(INDEX(exp_plan,MATCH(71,exp_wishno,0))="","",INDEX(exp_plan,MATCH(71,exp_wishno,0))))</f>
        <v/>
      </c>
      <c r="H77" s="82">
        <f>IF($A77="","",IF(INDEX(exp_fact,MATCH(71,exp_wishno,0))="","",INDEX(exp_fact,MATCH(71,exp_wishno,0))))</f>
        <v/>
      </c>
      <c r="I77" s="41">
        <f>IF($A77="","",IF(INDEX(exp_status,MATCH(71,exp_wishno,0))="","",INDEX(exp_status,MATCH(71,exp_wishno,0))))</f>
        <v/>
      </c>
    </row>
    <row r="78">
      <c r="A78" s="80">
        <f>IF(ISNA(MATCH(72,exp_wishno,0)),"",72)</f>
        <v/>
      </c>
      <c r="B78" s="41">
        <f>IF($A78="","",IF(INDEX(exp_desc,MATCH(72,exp_wishno,0))="","",INDEX(exp_desc,MATCH(72,exp_wishno,0))))</f>
        <v/>
      </c>
      <c r="C78" s="41">
        <f>IF($A78="","",IF(INDEX(exp_cat,MATCH(72,exp_wishno,0))="","",INDEX(exp_cat,MATCH(72,exp_wishno,0))))</f>
        <v/>
      </c>
      <c r="D78" s="80">
        <f>IF($A78="","",IF(INDEX(exp_prio,MATCH(72,exp_wishno,0))="","",INDEX(exp_prio,MATCH(72,exp_wishno,0))))</f>
        <v/>
      </c>
      <c r="E78" s="80">
        <f>IF($A78="","",IF(INDEX(exp_year,MATCH(72,exp_wishno,0))="","",INDEX(exp_year,MATCH(72,exp_wishno,0))))</f>
        <v/>
      </c>
      <c r="F78" s="80">
        <f>IF($A78="","",IF(INDEX(exp_month,MATCH(72,exp_wishno,0))="","",INDEX(exp_month,MATCH(72,exp_wishno,0))))</f>
        <v/>
      </c>
      <c r="G78" s="81">
        <f>IF($A78="","",IF(INDEX(exp_plan,MATCH(72,exp_wishno,0))="","",INDEX(exp_plan,MATCH(72,exp_wishno,0))))</f>
        <v/>
      </c>
      <c r="H78" s="82">
        <f>IF($A78="","",IF(INDEX(exp_fact,MATCH(72,exp_wishno,0))="","",INDEX(exp_fact,MATCH(72,exp_wishno,0))))</f>
        <v/>
      </c>
      <c r="I78" s="41">
        <f>IF($A78="","",IF(INDEX(exp_status,MATCH(72,exp_wishno,0))="","",INDEX(exp_status,MATCH(72,exp_wishno,0))))</f>
        <v/>
      </c>
    </row>
    <row r="79">
      <c r="A79" s="80">
        <f>IF(ISNA(MATCH(73,exp_wishno,0)),"",73)</f>
        <v/>
      </c>
      <c r="B79" s="41">
        <f>IF($A79="","",IF(INDEX(exp_desc,MATCH(73,exp_wishno,0))="","",INDEX(exp_desc,MATCH(73,exp_wishno,0))))</f>
        <v/>
      </c>
      <c r="C79" s="41">
        <f>IF($A79="","",IF(INDEX(exp_cat,MATCH(73,exp_wishno,0))="","",INDEX(exp_cat,MATCH(73,exp_wishno,0))))</f>
        <v/>
      </c>
      <c r="D79" s="80">
        <f>IF($A79="","",IF(INDEX(exp_prio,MATCH(73,exp_wishno,0))="","",INDEX(exp_prio,MATCH(73,exp_wishno,0))))</f>
        <v/>
      </c>
      <c r="E79" s="80">
        <f>IF($A79="","",IF(INDEX(exp_year,MATCH(73,exp_wishno,0))="","",INDEX(exp_year,MATCH(73,exp_wishno,0))))</f>
        <v/>
      </c>
      <c r="F79" s="80">
        <f>IF($A79="","",IF(INDEX(exp_month,MATCH(73,exp_wishno,0))="","",INDEX(exp_month,MATCH(73,exp_wishno,0))))</f>
        <v/>
      </c>
      <c r="G79" s="81">
        <f>IF($A79="","",IF(INDEX(exp_plan,MATCH(73,exp_wishno,0))="","",INDEX(exp_plan,MATCH(73,exp_wishno,0))))</f>
        <v/>
      </c>
      <c r="H79" s="82">
        <f>IF($A79="","",IF(INDEX(exp_fact,MATCH(73,exp_wishno,0))="","",INDEX(exp_fact,MATCH(73,exp_wishno,0))))</f>
        <v/>
      </c>
      <c r="I79" s="41">
        <f>IF($A79="","",IF(INDEX(exp_status,MATCH(73,exp_wishno,0))="","",INDEX(exp_status,MATCH(73,exp_wishno,0))))</f>
        <v/>
      </c>
    </row>
    <row r="80">
      <c r="A80" s="80">
        <f>IF(ISNA(MATCH(74,exp_wishno,0)),"",74)</f>
        <v/>
      </c>
      <c r="B80" s="41">
        <f>IF($A80="","",IF(INDEX(exp_desc,MATCH(74,exp_wishno,0))="","",INDEX(exp_desc,MATCH(74,exp_wishno,0))))</f>
        <v/>
      </c>
      <c r="C80" s="41">
        <f>IF($A80="","",IF(INDEX(exp_cat,MATCH(74,exp_wishno,0))="","",INDEX(exp_cat,MATCH(74,exp_wishno,0))))</f>
        <v/>
      </c>
      <c r="D80" s="80">
        <f>IF($A80="","",IF(INDEX(exp_prio,MATCH(74,exp_wishno,0))="","",INDEX(exp_prio,MATCH(74,exp_wishno,0))))</f>
        <v/>
      </c>
      <c r="E80" s="80">
        <f>IF($A80="","",IF(INDEX(exp_year,MATCH(74,exp_wishno,0))="","",INDEX(exp_year,MATCH(74,exp_wishno,0))))</f>
        <v/>
      </c>
      <c r="F80" s="80">
        <f>IF($A80="","",IF(INDEX(exp_month,MATCH(74,exp_wishno,0))="","",INDEX(exp_month,MATCH(74,exp_wishno,0))))</f>
        <v/>
      </c>
      <c r="G80" s="81">
        <f>IF($A80="","",IF(INDEX(exp_plan,MATCH(74,exp_wishno,0))="","",INDEX(exp_plan,MATCH(74,exp_wishno,0))))</f>
        <v/>
      </c>
      <c r="H80" s="82">
        <f>IF($A80="","",IF(INDEX(exp_fact,MATCH(74,exp_wishno,0))="","",INDEX(exp_fact,MATCH(74,exp_wishno,0))))</f>
        <v/>
      </c>
      <c r="I80" s="41">
        <f>IF($A80="","",IF(INDEX(exp_status,MATCH(74,exp_wishno,0))="","",INDEX(exp_status,MATCH(74,exp_wishno,0))))</f>
        <v/>
      </c>
    </row>
    <row r="81">
      <c r="A81" s="80">
        <f>IF(ISNA(MATCH(75,exp_wishno,0)),"",75)</f>
        <v/>
      </c>
      <c r="B81" s="41">
        <f>IF($A81="","",IF(INDEX(exp_desc,MATCH(75,exp_wishno,0))="","",INDEX(exp_desc,MATCH(75,exp_wishno,0))))</f>
        <v/>
      </c>
      <c r="C81" s="41">
        <f>IF($A81="","",IF(INDEX(exp_cat,MATCH(75,exp_wishno,0))="","",INDEX(exp_cat,MATCH(75,exp_wishno,0))))</f>
        <v/>
      </c>
      <c r="D81" s="80">
        <f>IF($A81="","",IF(INDEX(exp_prio,MATCH(75,exp_wishno,0))="","",INDEX(exp_prio,MATCH(75,exp_wishno,0))))</f>
        <v/>
      </c>
      <c r="E81" s="80">
        <f>IF($A81="","",IF(INDEX(exp_year,MATCH(75,exp_wishno,0))="","",INDEX(exp_year,MATCH(75,exp_wishno,0))))</f>
        <v/>
      </c>
      <c r="F81" s="80">
        <f>IF($A81="","",IF(INDEX(exp_month,MATCH(75,exp_wishno,0))="","",INDEX(exp_month,MATCH(75,exp_wishno,0))))</f>
        <v/>
      </c>
      <c r="G81" s="81">
        <f>IF($A81="","",IF(INDEX(exp_plan,MATCH(75,exp_wishno,0))="","",INDEX(exp_plan,MATCH(75,exp_wishno,0))))</f>
        <v/>
      </c>
      <c r="H81" s="82">
        <f>IF($A81="","",IF(INDEX(exp_fact,MATCH(75,exp_wishno,0))="","",INDEX(exp_fact,MATCH(75,exp_wishno,0))))</f>
        <v/>
      </c>
      <c r="I81" s="41">
        <f>IF($A81="","",IF(INDEX(exp_status,MATCH(75,exp_wishno,0))="","",INDEX(exp_status,MATCH(75,exp_wishno,0))))</f>
        <v/>
      </c>
    </row>
    <row r="82">
      <c r="A82" s="80">
        <f>IF(ISNA(MATCH(76,exp_wishno,0)),"",76)</f>
        <v/>
      </c>
      <c r="B82" s="41">
        <f>IF($A82="","",IF(INDEX(exp_desc,MATCH(76,exp_wishno,0))="","",INDEX(exp_desc,MATCH(76,exp_wishno,0))))</f>
        <v/>
      </c>
      <c r="C82" s="41">
        <f>IF($A82="","",IF(INDEX(exp_cat,MATCH(76,exp_wishno,0))="","",INDEX(exp_cat,MATCH(76,exp_wishno,0))))</f>
        <v/>
      </c>
      <c r="D82" s="80">
        <f>IF($A82="","",IF(INDEX(exp_prio,MATCH(76,exp_wishno,0))="","",INDEX(exp_prio,MATCH(76,exp_wishno,0))))</f>
        <v/>
      </c>
      <c r="E82" s="80">
        <f>IF($A82="","",IF(INDEX(exp_year,MATCH(76,exp_wishno,0))="","",INDEX(exp_year,MATCH(76,exp_wishno,0))))</f>
        <v/>
      </c>
      <c r="F82" s="80">
        <f>IF($A82="","",IF(INDEX(exp_month,MATCH(76,exp_wishno,0))="","",INDEX(exp_month,MATCH(76,exp_wishno,0))))</f>
        <v/>
      </c>
      <c r="G82" s="81">
        <f>IF($A82="","",IF(INDEX(exp_plan,MATCH(76,exp_wishno,0))="","",INDEX(exp_plan,MATCH(76,exp_wishno,0))))</f>
        <v/>
      </c>
      <c r="H82" s="82">
        <f>IF($A82="","",IF(INDEX(exp_fact,MATCH(76,exp_wishno,0))="","",INDEX(exp_fact,MATCH(76,exp_wishno,0))))</f>
        <v/>
      </c>
      <c r="I82" s="41">
        <f>IF($A82="","",IF(INDEX(exp_status,MATCH(76,exp_wishno,0))="","",INDEX(exp_status,MATCH(76,exp_wishno,0))))</f>
        <v/>
      </c>
    </row>
    <row r="83">
      <c r="A83" s="80">
        <f>IF(ISNA(MATCH(77,exp_wishno,0)),"",77)</f>
        <v/>
      </c>
      <c r="B83" s="41">
        <f>IF($A83="","",IF(INDEX(exp_desc,MATCH(77,exp_wishno,0))="","",INDEX(exp_desc,MATCH(77,exp_wishno,0))))</f>
        <v/>
      </c>
      <c r="C83" s="41">
        <f>IF($A83="","",IF(INDEX(exp_cat,MATCH(77,exp_wishno,0))="","",INDEX(exp_cat,MATCH(77,exp_wishno,0))))</f>
        <v/>
      </c>
      <c r="D83" s="80">
        <f>IF($A83="","",IF(INDEX(exp_prio,MATCH(77,exp_wishno,0))="","",INDEX(exp_prio,MATCH(77,exp_wishno,0))))</f>
        <v/>
      </c>
      <c r="E83" s="80">
        <f>IF($A83="","",IF(INDEX(exp_year,MATCH(77,exp_wishno,0))="","",INDEX(exp_year,MATCH(77,exp_wishno,0))))</f>
        <v/>
      </c>
      <c r="F83" s="80">
        <f>IF($A83="","",IF(INDEX(exp_month,MATCH(77,exp_wishno,0))="","",INDEX(exp_month,MATCH(77,exp_wishno,0))))</f>
        <v/>
      </c>
      <c r="G83" s="81">
        <f>IF($A83="","",IF(INDEX(exp_plan,MATCH(77,exp_wishno,0))="","",INDEX(exp_plan,MATCH(77,exp_wishno,0))))</f>
        <v/>
      </c>
      <c r="H83" s="82">
        <f>IF($A83="","",IF(INDEX(exp_fact,MATCH(77,exp_wishno,0))="","",INDEX(exp_fact,MATCH(77,exp_wishno,0))))</f>
        <v/>
      </c>
      <c r="I83" s="41">
        <f>IF($A83="","",IF(INDEX(exp_status,MATCH(77,exp_wishno,0))="","",INDEX(exp_status,MATCH(77,exp_wishno,0))))</f>
        <v/>
      </c>
    </row>
    <row r="84">
      <c r="A84" s="80">
        <f>IF(ISNA(MATCH(78,exp_wishno,0)),"",78)</f>
        <v/>
      </c>
      <c r="B84" s="41">
        <f>IF($A84="","",IF(INDEX(exp_desc,MATCH(78,exp_wishno,0))="","",INDEX(exp_desc,MATCH(78,exp_wishno,0))))</f>
        <v/>
      </c>
      <c r="C84" s="41">
        <f>IF($A84="","",IF(INDEX(exp_cat,MATCH(78,exp_wishno,0))="","",INDEX(exp_cat,MATCH(78,exp_wishno,0))))</f>
        <v/>
      </c>
      <c r="D84" s="80">
        <f>IF($A84="","",IF(INDEX(exp_prio,MATCH(78,exp_wishno,0))="","",INDEX(exp_prio,MATCH(78,exp_wishno,0))))</f>
        <v/>
      </c>
      <c r="E84" s="80">
        <f>IF($A84="","",IF(INDEX(exp_year,MATCH(78,exp_wishno,0))="","",INDEX(exp_year,MATCH(78,exp_wishno,0))))</f>
        <v/>
      </c>
      <c r="F84" s="80">
        <f>IF($A84="","",IF(INDEX(exp_month,MATCH(78,exp_wishno,0))="","",INDEX(exp_month,MATCH(78,exp_wishno,0))))</f>
        <v/>
      </c>
      <c r="G84" s="81">
        <f>IF($A84="","",IF(INDEX(exp_plan,MATCH(78,exp_wishno,0))="","",INDEX(exp_plan,MATCH(78,exp_wishno,0))))</f>
        <v/>
      </c>
      <c r="H84" s="82">
        <f>IF($A84="","",IF(INDEX(exp_fact,MATCH(78,exp_wishno,0))="","",INDEX(exp_fact,MATCH(78,exp_wishno,0))))</f>
        <v/>
      </c>
      <c r="I84" s="41">
        <f>IF($A84="","",IF(INDEX(exp_status,MATCH(78,exp_wishno,0))="","",INDEX(exp_status,MATCH(78,exp_wishno,0))))</f>
        <v/>
      </c>
    </row>
    <row r="85">
      <c r="A85" s="80">
        <f>IF(ISNA(MATCH(79,exp_wishno,0)),"",79)</f>
        <v/>
      </c>
      <c r="B85" s="41">
        <f>IF($A85="","",IF(INDEX(exp_desc,MATCH(79,exp_wishno,0))="","",INDEX(exp_desc,MATCH(79,exp_wishno,0))))</f>
        <v/>
      </c>
      <c r="C85" s="41">
        <f>IF($A85="","",IF(INDEX(exp_cat,MATCH(79,exp_wishno,0))="","",INDEX(exp_cat,MATCH(79,exp_wishno,0))))</f>
        <v/>
      </c>
      <c r="D85" s="80">
        <f>IF($A85="","",IF(INDEX(exp_prio,MATCH(79,exp_wishno,0))="","",INDEX(exp_prio,MATCH(79,exp_wishno,0))))</f>
        <v/>
      </c>
      <c r="E85" s="80">
        <f>IF($A85="","",IF(INDEX(exp_year,MATCH(79,exp_wishno,0))="","",INDEX(exp_year,MATCH(79,exp_wishno,0))))</f>
        <v/>
      </c>
      <c r="F85" s="80">
        <f>IF($A85="","",IF(INDEX(exp_month,MATCH(79,exp_wishno,0))="","",INDEX(exp_month,MATCH(79,exp_wishno,0))))</f>
        <v/>
      </c>
      <c r="G85" s="81">
        <f>IF($A85="","",IF(INDEX(exp_plan,MATCH(79,exp_wishno,0))="","",INDEX(exp_plan,MATCH(79,exp_wishno,0))))</f>
        <v/>
      </c>
      <c r="H85" s="82">
        <f>IF($A85="","",IF(INDEX(exp_fact,MATCH(79,exp_wishno,0))="","",INDEX(exp_fact,MATCH(79,exp_wishno,0))))</f>
        <v/>
      </c>
      <c r="I85" s="41">
        <f>IF($A85="","",IF(INDEX(exp_status,MATCH(79,exp_wishno,0))="","",INDEX(exp_status,MATCH(79,exp_wishno,0))))</f>
        <v/>
      </c>
    </row>
    <row r="86">
      <c r="A86" s="80">
        <f>IF(ISNA(MATCH(80,exp_wishno,0)),"",80)</f>
        <v/>
      </c>
      <c r="B86" s="41">
        <f>IF($A86="","",IF(INDEX(exp_desc,MATCH(80,exp_wishno,0))="","",INDEX(exp_desc,MATCH(80,exp_wishno,0))))</f>
        <v/>
      </c>
      <c r="C86" s="41">
        <f>IF($A86="","",IF(INDEX(exp_cat,MATCH(80,exp_wishno,0))="","",INDEX(exp_cat,MATCH(80,exp_wishno,0))))</f>
        <v/>
      </c>
      <c r="D86" s="80">
        <f>IF($A86="","",IF(INDEX(exp_prio,MATCH(80,exp_wishno,0))="","",INDEX(exp_prio,MATCH(80,exp_wishno,0))))</f>
        <v/>
      </c>
      <c r="E86" s="80">
        <f>IF($A86="","",IF(INDEX(exp_year,MATCH(80,exp_wishno,0))="","",INDEX(exp_year,MATCH(80,exp_wishno,0))))</f>
        <v/>
      </c>
      <c r="F86" s="80">
        <f>IF($A86="","",IF(INDEX(exp_month,MATCH(80,exp_wishno,0))="","",INDEX(exp_month,MATCH(80,exp_wishno,0))))</f>
        <v/>
      </c>
      <c r="G86" s="81">
        <f>IF($A86="","",IF(INDEX(exp_plan,MATCH(80,exp_wishno,0))="","",INDEX(exp_plan,MATCH(80,exp_wishno,0))))</f>
        <v/>
      </c>
      <c r="H86" s="82">
        <f>IF($A86="","",IF(INDEX(exp_fact,MATCH(80,exp_wishno,0))="","",INDEX(exp_fact,MATCH(80,exp_wishno,0))))</f>
        <v/>
      </c>
      <c r="I86" s="41">
        <f>IF($A86="","",IF(INDEX(exp_status,MATCH(80,exp_wishno,0))="","",INDEX(exp_status,MATCH(80,exp_wishno,0))))</f>
        <v/>
      </c>
    </row>
    <row r="87">
      <c r="A87" s="80">
        <f>IF(ISNA(MATCH(81,exp_wishno,0)),"",81)</f>
        <v/>
      </c>
      <c r="B87" s="41">
        <f>IF($A87="","",IF(INDEX(exp_desc,MATCH(81,exp_wishno,0))="","",INDEX(exp_desc,MATCH(81,exp_wishno,0))))</f>
        <v/>
      </c>
      <c r="C87" s="41">
        <f>IF($A87="","",IF(INDEX(exp_cat,MATCH(81,exp_wishno,0))="","",INDEX(exp_cat,MATCH(81,exp_wishno,0))))</f>
        <v/>
      </c>
      <c r="D87" s="80">
        <f>IF($A87="","",IF(INDEX(exp_prio,MATCH(81,exp_wishno,0))="","",INDEX(exp_prio,MATCH(81,exp_wishno,0))))</f>
        <v/>
      </c>
      <c r="E87" s="80">
        <f>IF($A87="","",IF(INDEX(exp_year,MATCH(81,exp_wishno,0))="","",INDEX(exp_year,MATCH(81,exp_wishno,0))))</f>
        <v/>
      </c>
      <c r="F87" s="80">
        <f>IF($A87="","",IF(INDEX(exp_month,MATCH(81,exp_wishno,0))="","",INDEX(exp_month,MATCH(81,exp_wishno,0))))</f>
        <v/>
      </c>
      <c r="G87" s="81">
        <f>IF($A87="","",IF(INDEX(exp_plan,MATCH(81,exp_wishno,0))="","",INDEX(exp_plan,MATCH(81,exp_wishno,0))))</f>
        <v/>
      </c>
      <c r="H87" s="82">
        <f>IF($A87="","",IF(INDEX(exp_fact,MATCH(81,exp_wishno,0))="","",INDEX(exp_fact,MATCH(81,exp_wishno,0))))</f>
        <v/>
      </c>
      <c r="I87" s="41">
        <f>IF($A87="","",IF(INDEX(exp_status,MATCH(81,exp_wishno,0))="","",INDEX(exp_status,MATCH(81,exp_wishno,0))))</f>
        <v/>
      </c>
    </row>
    <row r="88">
      <c r="A88" s="80">
        <f>IF(ISNA(MATCH(82,exp_wishno,0)),"",82)</f>
        <v/>
      </c>
      <c r="B88" s="41">
        <f>IF($A88="","",IF(INDEX(exp_desc,MATCH(82,exp_wishno,0))="","",INDEX(exp_desc,MATCH(82,exp_wishno,0))))</f>
        <v/>
      </c>
      <c r="C88" s="41">
        <f>IF($A88="","",IF(INDEX(exp_cat,MATCH(82,exp_wishno,0))="","",INDEX(exp_cat,MATCH(82,exp_wishno,0))))</f>
        <v/>
      </c>
      <c r="D88" s="80">
        <f>IF($A88="","",IF(INDEX(exp_prio,MATCH(82,exp_wishno,0))="","",INDEX(exp_prio,MATCH(82,exp_wishno,0))))</f>
        <v/>
      </c>
      <c r="E88" s="80">
        <f>IF($A88="","",IF(INDEX(exp_year,MATCH(82,exp_wishno,0))="","",INDEX(exp_year,MATCH(82,exp_wishno,0))))</f>
        <v/>
      </c>
      <c r="F88" s="80">
        <f>IF($A88="","",IF(INDEX(exp_month,MATCH(82,exp_wishno,0))="","",INDEX(exp_month,MATCH(82,exp_wishno,0))))</f>
        <v/>
      </c>
      <c r="G88" s="81">
        <f>IF($A88="","",IF(INDEX(exp_plan,MATCH(82,exp_wishno,0))="","",INDEX(exp_plan,MATCH(82,exp_wishno,0))))</f>
        <v/>
      </c>
      <c r="H88" s="82">
        <f>IF($A88="","",IF(INDEX(exp_fact,MATCH(82,exp_wishno,0))="","",INDEX(exp_fact,MATCH(82,exp_wishno,0))))</f>
        <v/>
      </c>
      <c r="I88" s="41">
        <f>IF($A88="","",IF(INDEX(exp_status,MATCH(82,exp_wishno,0))="","",INDEX(exp_status,MATCH(82,exp_wishno,0))))</f>
        <v/>
      </c>
    </row>
    <row r="89">
      <c r="A89" s="80">
        <f>IF(ISNA(MATCH(83,exp_wishno,0)),"",83)</f>
        <v/>
      </c>
      <c r="B89" s="41">
        <f>IF($A89="","",IF(INDEX(exp_desc,MATCH(83,exp_wishno,0))="","",INDEX(exp_desc,MATCH(83,exp_wishno,0))))</f>
        <v/>
      </c>
      <c r="C89" s="41">
        <f>IF($A89="","",IF(INDEX(exp_cat,MATCH(83,exp_wishno,0))="","",INDEX(exp_cat,MATCH(83,exp_wishno,0))))</f>
        <v/>
      </c>
      <c r="D89" s="80">
        <f>IF($A89="","",IF(INDEX(exp_prio,MATCH(83,exp_wishno,0))="","",INDEX(exp_prio,MATCH(83,exp_wishno,0))))</f>
        <v/>
      </c>
      <c r="E89" s="80">
        <f>IF($A89="","",IF(INDEX(exp_year,MATCH(83,exp_wishno,0))="","",INDEX(exp_year,MATCH(83,exp_wishno,0))))</f>
        <v/>
      </c>
      <c r="F89" s="80">
        <f>IF($A89="","",IF(INDEX(exp_month,MATCH(83,exp_wishno,0))="","",INDEX(exp_month,MATCH(83,exp_wishno,0))))</f>
        <v/>
      </c>
      <c r="G89" s="81">
        <f>IF($A89="","",IF(INDEX(exp_plan,MATCH(83,exp_wishno,0))="","",INDEX(exp_plan,MATCH(83,exp_wishno,0))))</f>
        <v/>
      </c>
      <c r="H89" s="82">
        <f>IF($A89="","",IF(INDEX(exp_fact,MATCH(83,exp_wishno,0))="","",INDEX(exp_fact,MATCH(83,exp_wishno,0))))</f>
        <v/>
      </c>
      <c r="I89" s="41">
        <f>IF($A89="","",IF(INDEX(exp_status,MATCH(83,exp_wishno,0))="","",INDEX(exp_status,MATCH(83,exp_wishno,0))))</f>
        <v/>
      </c>
    </row>
    <row r="90">
      <c r="A90" s="80">
        <f>IF(ISNA(MATCH(84,exp_wishno,0)),"",84)</f>
        <v/>
      </c>
      <c r="B90" s="41">
        <f>IF($A90="","",IF(INDEX(exp_desc,MATCH(84,exp_wishno,0))="","",INDEX(exp_desc,MATCH(84,exp_wishno,0))))</f>
        <v/>
      </c>
      <c r="C90" s="41">
        <f>IF($A90="","",IF(INDEX(exp_cat,MATCH(84,exp_wishno,0))="","",INDEX(exp_cat,MATCH(84,exp_wishno,0))))</f>
        <v/>
      </c>
      <c r="D90" s="80">
        <f>IF($A90="","",IF(INDEX(exp_prio,MATCH(84,exp_wishno,0))="","",INDEX(exp_prio,MATCH(84,exp_wishno,0))))</f>
        <v/>
      </c>
      <c r="E90" s="80">
        <f>IF($A90="","",IF(INDEX(exp_year,MATCH(84,exp_wishno,0))="","",INDEX(exp_year,MATCH(84,exp_wishno,0))))</f>
        <v/>
      </c>
      <c r="F90" s="80">
        <f>IF($A90="","",IF(INDEX(exp_month,MATCH(84,exp_wishno,0))="","",INDEX(exp_month,MATCH(84,exp_wishno,0))))</f>
        <v/>
      </c>
      <c r="G90" s="81">
        <f>IF($A90="","",IF(INDEX(exp_plan,MATCH(84,exp_wishno,0))="","",INDEX(exp_plan,MATCH(84,exp_wishno,0))))</f>
        <v/>
      </c>
      <c r="H90" s="82">
        <f>IF($A90="","",IF(INDEX(exp_fact,MATCH(84,exp_wishno,0))="","",INDEX(exp_fact,MATCH(84,exp_wishno,0))))</f>
        <v/>
      </c>
      <c r="I90" s="41">
        <f>IF($A90="","",IF(INDEX(exp_status,MATCH(84,exp_wishno,0))="","",INDEX(exp_status,MATCH(84,exp_wishno,0))))</f>
        <v/>
      </c>
    </row>
    <row r="91">
      <c r="A91" s="80">
        <f>IF(ISNA(MATCH(85,exp_wishno,0)),"",85)</f>
        <v/>
      </c>
      <c r="B91" s="41">
        <f>IF($A91="","",IF(INDEX(exp_desc,MATCH(85,exp_wishno,0))="","",INDEX(exp_desc,MATCH(85,exp_wishno,0))))</f>
        <v/>
      </c>
      <c r="C91" s="41">
        <f>IF($A91="","",IF(INDEX(exp_cat,MATCH(85,exp_wishno,0))="","",INDEX(exp_cat,MATCH(85,exp_wishno,0))))</f>
        <v/>
      </c>
      <c r="D91" s="80">
        <f>IF($A91="","",IF(INDEX(exp_prio,MATCH(85,exp_wishno,0))="","",INDEX(exp_prio,MATCH(85,exp_wishno,0))))</f>
        <v/>
      </c>
      <c r="E91" s="80">
        <f>IF($A91="","",IF(INDEX(exp_year,MATCH(85,exp_wishno,0))="","",INDEX(exp_year,MATCH(85,exp_wishno,0))))</f>
        <v/>
      </c>
      <c r="F91" s="80">
        <f>IF($A91="","",IF(INDEX(exp_month,MATCH(85,exp_wishno,0))="","",INDEX(exp_month,MATCH(85,exp_wishno,0))))</f>
        <v/>
      </c>
      <c r="G91" s="81">
        <f>IF($A91="","",IF(INDEX(exp_plan,MATCH(85,exp_wishno,0))="","",INDEX(exp_plan,MATCH(85,exp_wishno,0))))</f>
        <v/>
      </c>
      <c r="H91" s="82">
        <f>IF($A91="","",IF(INDEX(exp_fact,MATCH(85,exp_wishno,0))="","",INDEX(exp_fact,MATCH(85,exp_wishno,0))))</f>
        <v/>
      </c>
      <c r="I91" s="41">
        <f>IF($A91="","",IF(INDEX(exp_status,MATCH(85,exp_wishno,0))="","",INDEX(exp_status,MATCH(85,exp_wishno,0))))</f>
        <v/>
      </c>
    </row>
    <row r="92">
      <c r="A92" s="80">
        <f>IF(ISNA(MATCH(86,exp_wishno,0)),"",86)</f>
        <v/>
      </c>
      <c r="B92" s="41">
        <f>IF($A92="","",IF(INDEX(exp_desc,MATCH(86,exp_wishno,0))="","",INDEX(exp_desc,MATCH(86,exp_wishno,0))))</f>
        <v/>
      </c>
      <c r="C92" s="41">
        <f>IF($A92="","",IF(INDEX(exp_cat,MATCH(86,exp_wishno,0))="","",INDEX(exp_cat,MATCH(86,exp_wishno,0))))</f>
        <v/>
      </c>
      <c r="D92" s="80">
        <f>IF($A92="","",IF(INDEX(exp_prio,MATCH(86,exp_wishno,0))="","",INDEX(exp_prio,MATCH(86,exp_wishno,0))))</f>
        <v/>
      </c>
      <c r="E92" s="80">
        <f>IF($A92="","",IF(INDEX(exp_year,MATCH(86,exp_wishno,0))="","",INDEX(exp_year,MATCH(86,exp_wishno,0))))</f>
        <v/>
      </c>
      <c r="F92" s="80">
        <f>IF($A92="","",IF(INDEX(exp_month,MATCH(86,exp_wishno,0))="","",INDEX(exp_month,MATCH(86,exp_wishno,0))))</f>
        <v/>
      </c>
      <c r="G92" s="81">
        <f>IF($A92="","",IF(INDEX(exp_plan,MATCH(86,exp_wishno,0))="","",INDEX(exp_plan,MATCH(86,exp_wishno,0))))</f>
        <v/>
      </c>
      <c r="H92" s="82">
        <f>IF($A92="","",IF(INDEX(exp_fact,MATCH(86,exp_wishno,0))="","",INDEX(exp_fact,MATCH(86,exp_wishno,0))))</f>
        <v/>
      </c>
      <c r="I92" s="41">
        <f>IF($A92="","",IF(INDEX(exp_status,MATCH(86,exp_wishno,0))="","",INDEX(exp_status,MATCH(86,exp_wishno,0))))</f>
        <v/>
      </c>
    </row>
    <row r="93">
      <c r="A93" s="80">
        <f>IF(ISNA(MATCH(87,exp_wishno,0)),"",87)</f>
        <v/>
      </c>
      <c r="B93" s="41">
        <f>IF($A93="","",IF(INDEX(exp_desc,MATCH(87,exp_wishno,0))="","",INDEX(exp_desc,MATCH(87,exp_wishno,0))))</f>
        <v/>
      </c>
      <c r="C93" s="41">
        <f>IF($A93="","",IF(INDEX(exp_cat,MATCH(87,exp_wishno,0))="","",INDEX(exp_cat,MATCH(87,exp_wishno,0))))</f>
        <v/>
      </c>
      <c r="D93" s="80">
        <f>IF($A93="","",IF(INDEX(exp_prio,MATCH(87,exp_wishno,0))="","",INDEX(exp_prio,MATCH(87,exp_wishno,0))))</f>
        <v/>
      </c>
      <c r="E93" s="80">
        <f>IF($A93="","",IF(INDEX(exp_year,MATCH(87,exp_wishno,0))="","",INDEX(exp_year,MATCH(87,exp_wishno,0))))</f>
        <v/>
      </c>
      <c r="F93" s="80">
        <f>IF($A93="","",IF(INDEX(exp_month,MATCH(87,exp_wishno,0))="","",INDEX(exp_month,MATCH(87,exp_wishno,0))))</f>
        <v/>
      </c>
      <c r="G93" s="81">
        <f>IF($A93="","",IF(INDEX(exp_plan,MATCH(87,exp_wishno,0))="","",INDEX(exp_plan,MATCH(87,exp_wishno,0))))</f>
        <v/>
      </c>
      <c r="H93" s="82">
        <f>IF($A93="","",IF(INDEX(exp_fact,MATCH(87,exp_wishno,0))="","",INDEX(exp_fact,MATCH(87,exp_wishno,0))))</f>
        <v/>
      </c>
      <c r="I93" s="41">
        <f>IF($A93="","",IF(INDEX(exp_status,MATCH(87,exp_wishno,0))="","",INDEX(exp_status,MATCH(87,exp_wishno,0))))</f>
        <v/>
      </c>
    </row>
    <row r="94">
      <c r="A94" s="80">
        <f>IF(ISNA(MATCH(88,exp_wishno,0)),"",88)</f>
        <v/>
      </c>
      <c r="B94" s="41">
        <f>IF($A94="","",IF(INDEX(exp_desc,MATCH(88,exp_wishno,0))="","",INDEX(exp_desc,MATCH(88,exp_wishno,0))))</f>
        <v/>
      </c>
      <c r="C94" s="41">
        <f>IF($A94="","",IF(INDEX(exp_cat,MATCH(88,exp_wishno,0))="","",INDEX(exp_cat,MATCH(88,exp_wishno,0))))</f>
        <v/>
      </c>
      <c r="D94" s="80">
        <f>IF($A94="","",IF(INDEX(exp_prio,MATCH(88,exp_wishno,0))="","",INDEX(exp_prio,MATCH(88,exp_wishno,0))))</f>
        <v/>
      </c>
      <c r="E94" s="80">
        <f>IF($A94="","",IF(INDEX(exp_year,MATCH(88,exp_wishno,0))="","",INDEX(exp_year,MATCH(88,exp_wishno,0))))</f>
        <v/>
      </c>
      <c r="F94" s="80">
        <f>IF($A94="","",IF(INDEX(exp_month,MATCH(88,exp_wishno,0))="","",INDEX(exp_month,MATCH(88,exp_wishno,0))))</f>
        <v/>
      </c>
      <c r="G94" s="81">
        <f>IF($A94="","",IF(INDEX(exp_plan,MATCH(88,exp_wishno,0))="","",INDEX(exp_plan,MATCH(88,exp_wishno,0))))</f>
        <v/>
      </c>
      <c r="H94" s="82">
        <f>IF($A94="","",IF(INDEX(exp_fact,MATCH(88,exp_wishno,0))="","",INDEX(exp_fact,MATCH(88,exp_wishno,0))))</f>
        <v/>
      </c>
      <c r="I94" s="41">
        <f>IF($A94="","",IF(INDEX(exp_status,MATCH(88,exp_wishno,0))="","",INDEX(exp_status,MATCH(88,exp_wishno,0))))</f>
        <v/>
      </c>
    </row>
    <row r="95">
      <c r="A95" s="80">
        <f>IF(ISNA(MATCH(89,exp_wishno,0)),"",89)</f>
        <v/>
      </c>
      <c r="B95" s="41">
        <f>IF($A95="","",IF(INDEX(exp_desc,MATCH(89,exp_wishno,0))="","",INDEX(exp_desc,MATCH(89,exp_wishno,0))))</f>
        <v/>
      </c>
      <c r="C95" s="41">
        <f>IF($A95="","",IF(INDEX(exp_cat,MATCH(89,exp_wishno,0))="","",INDEX(exp_cat,MATCH(89,exp_wishno,0))))</f>
        <v/>
      </c>
      <c r="D95" s="80">
        <f>IF($A95="","",IF(INDEX(exp_prio,MATCH(89,exp_wishno,0))="","",INDEX(exp_prio,MATCH(89,exp_wishno,0))))</f>
        <v/>
      </c>
      <c r="E95" s="80">
        <f>IF($A95="","",IF(INDEX(exp_year,MATCH(89,exp_wishno,0))="","",INDEX(exp_year,MATCH(89,exp_wishno,0))))</f>
        <v/>
      </c>
      <c r="F95" s="80">
        <f>IF($A95="","",IF(INDEX(exp_month,MATCH(89,exp_wishno,0))="","",INDEX(exp_month,MATCH(89,exp_wishno,0))))</f>
        <v/>
      </c>
      <c r="G95" s="81">
        <f>IF($A95="","",IF(INDEX(exp_plan,MATCH(89,exp_wishno,0))="","",INDEX(exp_plan,MATCH(89,exp_wishno,0))))</f>
        <v/>
      </c>
      <c r="H95" s="82">
        <f>IF($A95="","",IF(INDEX(exp_fact,MATCH(89,exp_wishno,0))="","",INDEX(exp_fact,MATCH(89,exp_wishno,0))))</f>
        <v/>
      </c>
      <c r="I95" s="41">
        <f>IF($A95="","",IF(INDEX(exp_status,MATCH(89,exp_wishno,0))="","",INDEX(exp_status,MATCH(89,exp_wishno,0))))</f>
        <v/>
      </c>
    </row>
    <row r="96">
      <c r="A96" s="80">
        <f>IF(ISNA(MATCH(90,exp_wishno,0)),"",90)</f>
        <v/>
      </c>
      <c r="B96" s="41">
        <f>IF($A96="","",IF(INDEX(exp_desc,MATCH(90,exp_wishno,0))="","",INDEX(exp_desc,MATCH(90,exp_wishno,0))))</f>
        <v/>
      </c>
      <c r="C96" s="41">
        <f>IF($A96="","",IF(INDEX(exp_cat,MATCH(90,exp_wishno,0))="","",INDEX(exp_cat,MATCH(90,exp_wishno,0))))</f>
        <v/>
      </c>
      <c r="D96" s="80">
        <f>IF($A96="","",IF(INDEX(exp_prio,MATCH(90,exp_wishno,0))="","",INDEX(exp_prio,MATCH(90,exp_wishno,0))))</f>
        <v/>
      </c>
      <c r="E96" s="80">
        <f>IF($A96="","",IF(INDEX(exp_year,MATCH(90,exp_wishno,0))="","",INDEX(exp_year,MATCH(90,exp_wishno,0))))</f>
        <v/>
      </c>
      <c r="F96" s="80">
        <f>IF($A96="","",IF(INDEX(exp_month,MATCH(90,exp_wishno,0))="","",INDEX(exp_month,MATCH(90,exp_wishno,0))))</f>
        <v/>
      </c>
      <c r="G96" s="81">
        <f>IF($A96="","",IF(INDEX(exp_plan,MATCH(90,exp_wishno,0))="","",INDEX(exp_plan,MATCH(90,exp_wishno,0))))</f>
        <v/>
      </c>
      <c r="H96" s="82">
        <f>IF($A96="","",IF(INDEX(exp_fact,MATCH(90,exp_wishno,0))="","",INDEX(exp_fact,MATCH(90,exp_wishno,0))))</f>
        <v/>
      </c>
      <c r="I96" s="41">
        <f>IF($A96="","",IF(INDEX(exp_status,MATCH(90,exp_wishno,0))="","",INDEX(exp_status,MATCH(90,exp_wishno,0))))</f>
        <v/>
      </c>
    </row>
    <row r="97">
      <c r="A97" s="80">
        <f>IF(ISNA(MATCH(91,exp_wishno,0)),"",91)</f>
        <v/>
      </c>
      <c r="B97" s="41">
        <f>IF($A97="","",IF(INDEX(exp_desc,MATCH(91,exp_wishno,0))="","",INDEX(exp_desc,MATCH(91,exp_wishno,0))))</f>
        <v/>
      </c>
      <c r="C97" s="41">
        <f>IF($A97="","",IF(INDEX(exp_cat,MATCH(91,exp_wishno,0))="","",INDEX(exp_cat,MATCH(91,exp_wishno,0))))</f>
        <v/>
      </c>
      <c r="D97" s="80">
        <f>IF($A97="","",IF(INDEX(exp_prio,MATCH(91,exp_wishno,0))="","",INDEX(exp_prio,MATCH(91,exp_wishno,0))))</f>
        <v/>
      </c>
      <c r="E97" s="80">
        <f>IF($A97="","",IF(INDEX(exp_year,MATCH(91,exp_wishno,0))="","",INDEX(exp_year,MATCH(91,exp_wishno,0))))</f>
        <v/>
      </c>
      <c r="F97" s="80">
        <f>IF($A97="","",IF(INDEX(exp_month,MATCH(91,exp_wishno,0))="","",INDEX(exp_month,MATCH(91,exp_wishno,0))))</f>
        <v/>
      </c>
      <c r="G97" s="81">
        <f>IF($A97="","",IF(INDEX(exp_plan,MATCH(91,exp_wishno,0))="","",INDEX(exp_plan,MATCH(91,exp_wishno,0))))</f>
        <v/>
      </c>
      <c r="H97" s="82">
        <f>IF($A97="","",IF(INDEX(exp_fact,MATCH(91,exp_wishno,0))="","",INDEX(exp_fact,MATCH(91,exp_wishno,0))))</f>
        <v/>
      </c>
      <c r="I97" s="41">
        <f>IF($A97="","",IF(INDEX(exp_status,MATCH(91,exp_wishno,0))="","",INDEX(exp_status,MATCH(91,exp_wishno,0))))</f>
        <v/>
      </c>
    </row>
    <row r="98">
      <c r="A98" s="80">
        <f>IF(ISNA(MATCH(92,exp_wishno,0)),"",92)</f>
        <v/>
      </c>
      <c r="B98" s="41">
        <f>IF($A98="","",IF(INDEX(exp_desc,MATCH(92,exp_wishno,0))="","",INDEX(exp_desc,MATCH(92,exp_wishno,0))))</f>
        <v/>
      </c>
      <c r="C98" s="41">
        <f>IF($A98="","",IF(INDEX(exp_cat,MATCH(92,exp_wishno,0))="","",INDEX(exp_cat,MATCH(92,exp_wishno,0))))</f>
        <v/>
      </c>
      <c r="D98" s="80">
        <f>IF($A98="","",IF(INDEX(exp_prio,MATCH(92,exp_wishno,0))="","",INDEX(exp_prio,MATCH(92,exp_wishno,0))))</f>
        <v/>
      </c>
      <c r="E98" s="80">
        <f>IF($A98="","",IF(INDEX(exp_year,MATCH(92,exp_wishno,0))="","",INDEX(exp_year,MATCH(92,exp_wishno,0))))</f>
        <v/>
      </c>
      <c r="F98" s="80">
        <f>IF($A98="","",IF(INDEX(exp_month,MATCH(92,exp_wishno,0))="","",INDEX(exp_month,MATCH(92,exp_wishno,0))))</f>
        <v/>
      </c>
      <c r="G98" s="81">
        <f>IF($A98="","",IF(INDEX(exp_plan,MATCH(92,exp_wishno,0))="","",INDEX(exp_plan,MATCH(92,exp_wishno,0))))</f>
        <v/>
      </c>
      <c r="H98" s="82">
        <f>IF($A98="","",IF(INDEX(exp_fact,MATCH(92,exp_wishno,0))="","",INDEX(exp_fact,MATCH(92,exp_wishno,0))))</f>
        <v/>
      </c>
      <c r="I98" s="41">
        <f>IF($A98="","",IF(INDEX(exp_status,MATCH(92,exp_wishno,0))="","",INDEX(exp_status,MATCH(92,exp_wishno,0))))</f>
        <v/>
      </c>
    </row>
    <row r="99">
      <c r="A99" s="80">
        <f>IF(ISNA(MATCH(93,exp_wishno,0)),"",93)</f>
        <v/>
      </c>
      <c r="B99" s="41">
        <f>IF($A99="","",IF(INDEX(exp_desc,MATCH(93,exp_wishno,0))="","",INDEX(exp_desc,MATCH(93,exp_wishno,0))))</f>
        <v/>
      </c>
      <c r="C99" s="41">
        <f>IF($A99="","",IF(INDEX(exp_cat,MATCH(93,exp_wishno,0))="","",INDEX(exp_cat,MATCH(93,exp_wishno,0))))</f>
        <v/>
      </c>
      <c r="D99" s="80">
        <f>IF($A99="","",IF(INDEX(exp_prio,MATCH(93,exp_wishno,0))="","",INDEX(exp_prio,MATCH(93,exp_wishno,0))))</f>
        <v/>
      </c>
      <c r="E99" s="80">
        <f>IF($A99="","",IF(INDEX(exp_year,MATCH(93,exp_wishno,0))="","",INDEX(exp_year,MATCH(93,exp_wishno,0))))</f>
        <v/>
      </c>
      <c r="F99" s="80">
        <f>IF($A99="","",IF(INDEX(exp_month,MATCH(93,exp_wishno,0))="","",INDEX(exp_month,MATCH(93,exp_wishno,0))))</f>
        <v/>
      </c>
      <c r="G99" s="81">
        <f>IF($A99="","",IF(INDEX(exp_plan,MATCH(93,exp_wishno,0))="","",INDEX(exp_plan,MATCH(93,exp_wishno,0))))</f>
        <v/>
      </c>
      <c r="H99" s="82">
        <f>IF($A99="","",IF(INDEX(exp_fact,MATCH(93,exp_wishno,0))="","",INDEX(exp_fact,MATCH(93,exp_wishno,0))))</f>
        <v/>
      </c>
      <c r="I99" s="41">
        <f>IF($A99="","",IF(INDEX(exp_status,MATCH(93,exp_wishno,0))="","",INDEX(exp_status,MATCH(93,exp_wishno,0))))</f>
        <v/>
      </c>
    </row>
    <row r="100">
      <c r="A100" s="80">
        <f>IF(ISNA(MATCH(94,exp_wishno,0)),"",94)</f>
        <v/>
      </c>
      <c r="B100" s="41">
        <f>IF($A100="","",IF(INDEX(exp_desc,MATCH(94,exp_wishno,0))="","",INDEX(exp_desc,MATCH(94,exp_wishno,0))))</f>
        <v/>
      </c>
      <c r="C100" s="41">
        <f>IF($A100="","",IF(INDEX(exp_cat,MATCH(94,exp_wishno,0))="","",INDEX(exp_cat,MATCH(94,exp_wishno,0))))</f>
        <v/>
      </c>
      <c r="D100" s="80">
        <f>IF($A100="","",IF(INDEX(exp_prio,MATCH(94,exp_wishno,0))="","",INDEX(exp_prio,MATCH(94,exp_wishno,0))))</f>
        <v/>
      </c>
      <c r="E100" s="80">
        <f>IF($A100="","",IF(INDEX(exp_year,MATCH(94,exp_wishno,0))="","",INDEX(exp_year,MATCH(94,exp_wishno,0))))</f>
        <v/>
      </c>
      <c r="F100" s="80">
        <f>IF($A100="","",IF(INDEX(exp_month,MATCH(94,exp_wishno,0))="","",INDEX(exp_month,MATCH(94,exp_wishno,0))))</f>
        <v/>
      </c>
      <c r="G100" s="81">
        <f>IF($A100="","",IF(INDEX(exp_plan,MATCH(94,exp_wishno,0))="","",INDEX(exp_plan,MATCH(94,exp_wishno,0))))</f>
        <v/>
      </c>
      <c r="H100" s="82">
        <f>IF($A100="","",IF(INDEX(exp_fact,MATCH(94,exp_wishno,0))="","",INDEX(exp_fact,MATCH(94,exp_wishno,0))))</f>
        <v/>
      </c>
      <c r="I100" s="41">
        <f>IF($A100="","",IF(INDEX(exp_status,MATCH(94,exp_wishno,0))="","",INDEX(exp_status,MATCH(94,exp_wishno,0))))</f>
        <v/>
      </c>
    </row>
    <row r="101">
      <c r="A101" s="80">
        <f>IF(ISNA(MATCH(95,exp_wishno,0)),"",95)</f>
        <v/>
      </c>
      <c r="B101" s="41">
        <f>IF($A101="","",IF(INDEX(exp_desc,MATCH(95,exp_wishno,0))="","",INDEX(exp_desc,MATCH(95,exp_wishno,0))))</f>
        <v/>
      </c>
      <c r="C101" s="41">
        <f>IF($A101="","",IF(INDEX(exp_cat,MATCH(95,exp_wishno,0))="","",INDEX(exp_cat,MATCH(95,exp_wishno,0))))</f>
        <v/>
      </c>
      <c r="D101" s="80">
        <f>IF($A101="","",IF(INDEX(exp_prio,MATCH(95,exp_wishno,0))="","",INDEX(exp_prio,MATCH(95,exp_wishno,0))))</f>
        <v/>
      </c>
      <c r="E101" s="80">
        <f>IF($A101="","",IF(INDEX(exp_year,MATCH(95,exp_wishno,0))="","",INDEX(exp_year,MATCH(95,exp_wishno,0))))</f>
        <v/>
      </c>
      <c r="F101" s="80">
        <f>IF($A101="","",IF(INDEX(exp_month,MATCH(95,exp_wishno,0))="","",INDEX(exp_month,MATCH(95,exp_wishno,0))))</f>
        <v/>
      </c>
      <c r="G101" s="81">
        <f>IF($A101="","",IF(INDEX(exp_plan,MATCH(95,exp_wishno,0))="","",INDEX(exp_plan,MATCH(95,exp_wishno,0))))</f>
        <v/>
      </c>
      <c r="H101" s="82">
        <f>IF($A101="","",IF(INDEX(exp_fact,MATCH(95,exp_wishno,0))="","",INDEX(exp_fact,MATCH(95,exp_wishno,0))))</f>
        <v/>
      </c>
      <c r="I101" s="41">
        <f>IF($A101="","",IF(INDEX(exp_status,MATCH(95,exp_wishno,0))="","",INDEX(exp_status,MATCH(95,exp_wishno,0))))</f>
        <v/>
      </c>
    </row>
    <row r="102">
      <c r="A102" s="80">
        <f>IF(ISNA(MATCH(96,exp_wishno,0)),"",96)</f>
        <v/>
      </c>
      <c r="B102" s="41">
        <f>IF($A102="","",IF(INDEX(exp_desc,MATCH(96,exp_wishno,0))="","",INDEX(exp_desc,MATCH(96,exp_wishno,0))))</f>
        <v/>
      </c>
      <c r="C102" s="41">
        <f>IF($A102="","",IF(INDEX(exp_cat,MATCH(96,exp_wishno,0))="","",INDEX(exp_cat,MATCH(96,exp_wishno,0))))</f>
        <v/>
      </c>
      <c r="D102" s="80">
        <f>IF($A102="","",IF(INDEX(exp_prio,MATCH(96,exp_wishno,0))="","",INDEX(exp_prio,MATCH(96,exp_wishno,0))))</f>
        <v/>
      </c>
      <c r="E102" s="80">
        <f>IF($A102="","",IF(INDEX(exp_year,MATCH(96,exp_wishno,0))="","",INDEX(exp_year,MATCH(96,exp_wishno,0))))</f>
        <v/>
      </c>
      <c r="F102" s="80">
        <f>IF($A102="","",IF(INDEX(exp_month,MATCH(96,exp_wishno,0))="","",INDEX(exp_month,MATCH(96,exp_wishno,0))))</f>
        <v/>
      </c>
      <c r="G102" s="81">
        <f>IF($A102="","",IF(INDEX(exp_plan,MATCH(96,exp_wishno,0))="","",INDEX(exp_plan,MATCH(96,exp_wishno,0))))</f>
        <v/>
      </c>
      <c r="H102" s="82">
        <f>IF($A102="","",IF(INDEX(exp_fact,MATCH(96,exp_wishno,0))="","",INDEX(exp_fact,MATCH(96,exp_wishno,0))))</f>
        <v/>
      </c>
      <c r="I102" s="41">
        <f>IF($A102="","",IF(INDEX(exp_status,MATCH(96,exp_wishno,0))="","",INDEX(exp_status,MATCH(96,exp_wishno,0))))</f>
        <v/>
      </c>
    </row>
    <row r="103">
      <c r="A103" s="80">
        <f>IF(ISNA(MATCH(97,exp_wishno,0)),"",97)</f>
        <v/>
      </c>
      <c r="B103" s="41">
        <f>IF($A103="","",IF(INDEX(exp_desc,MATCH(97,exp_wishno,0))="","",INDEX(exp_desc,MATCH(97,exp_wishno,0))))</f>
        <v/>
      </c>
      <c r="C103" s="41">
        <f>IF($A103="","",IF(INDEX(exp_cat,MATCH(97,exp_wishno,0))="","",INDEX(exp_cat,MATCH(97,exp_wishno,0))))</f>
        <v/>
      </c>
      <c r="D103" s="80">
        <f>IF($A103="","",IF(INDEX(exp_prio,MATCH(97,exp_wishno,0))="","",INDEX(exp_prio,MATCH(97,exp_wishno,0))))</f>
        <v/>
      </c>
      <c r="E103" s="80">
        <f>IF($A103="","",IF(INDEX(exp_year,MATCH(97,exp_wishno,0))="","",INDEX(exp_year,MATCH(97,exp_wishno,0))))</f>
        <v/>
      </c>
      <c r="F103" s="80">
        <f>IF($A103="","",IF(INDEX(exp_month,MATCH(97,exp_wishno,0))="","",INDEX(exp_month,MATCH(97,exp_wishno,0))))</f>
        <v/>
      </c>
      <c r="G103" s="81">
        <f>IF($A103="","",IF(INDEX(exp_plan,MATCH(97,exp_wishno,0))="","",INDEX(exp_plan,MATCH(97,exp_wishno,0))))</f>
        <v/>
      </c>
      <c r="H103" s="82">
        <f>IF($A103="","",IF(INDEX(exp_fact,MATCH(97,exp_wishno,0))="","",INDEX(exp_fact,MATCH(97,exp_wishno,0))))</f>
        <v/>
      </c>
      <c r="I103" s="41">
        <f>IF($A103="","",IF(INDEX(exp_status,MATCH(97,exp_wishno,0))="","",INDEX(exp_status,MATCH(97,exp_wishno,0))))</f>
        <v/>
      </c>
    </row>
    <row r="104">
      <c r="A104" s="80">
        <f>IF(ISNA(MATCH(98,exp_wishno,0)),"",98)</f>
        <v/>
      </c>
      <c r="B104" s="41">
        <f>IF($A104="","",IF(INDEX(exp_desc,MATCH(98,exp_wishno,0))="","",INDEX(exp_desc,MATCH(98,exp_wishno,0))))</f>
        <v/>
      </c>
      <c r="C104" s="41">
        <f>IF($A104="","",IF(INDEX(exp_cat,MATCH(98,exp_wishno,0))="","",INDEX(exp_cat,MATCH(98,exp_wishno,0))))</f>
        <v/>
      </c>
      <c r="D104" s="80">
        <f>IF($A104="","",IF(INDEX(exp_prio,MATCH(98,exp_wishno,0))="","",INDEX(exp_prio,MATCH(98,exp_wishno,0))))</f>
        <v/>
      </c>
      <c r="E104" s="80">
        <f>IF($A104="","",IF(INDEX(exp_year,MATCH(98,exp_wishno,0))="","",INDEX(exp_year,MATCH(98,exp_wishno,0))))</f>
        <v/>
      </c>
      <c r="F104" s="80">
        <f>IF($A104="","",IF(INDEX(exp_month,MATCH(98,exp_wishno,0))="","",INDEX(exp_month,MATCH(98,exp_wishno,0))))</f>
        <v/>
      </c>
      <c r="G104" s="81">
        <f>IF($A104="","",IF(INDEX(exp_plan,MATCH(98,exp_wishno,0))="","",INDEX(exp_plan,MATCH(98,exp_wishno,0))))</f>
        <v/>
      </c>
      <c r="H104" s="82">
        <f>IF($A104="","",IF(INDEX(exp_fact,MATCH(98,exp_wishno,0))="","",INDEX(exp_fact,MATCH(98,exp_wishno,0))))</f>
        <v/>
      </c>
      <c r="I104" s="41">
        <f>IF($A104="","",IF(INDEX(exp_status,MATCH(98,exp_wishno,0))="","",INDEX(exp_status,MATCH(98,exp_wishno,0))))</f>
        <v/>
      </c>
    </row>
    <row r="105">
      <c r="A105" s="80">
        <f>IF(ISNA(MATCH(99,exp_wishno,0)),"",99)</f>
        <v/>
      </c>
      <c r="B105" s="41">
        <f>IF($A105="","",IF(INDEX(exp_desc,MATCH(99,exp_wishno,0))="","",INDEX(exp_desc,MATCH(99,exp_wishno,0))))</f>
        <v/>
      </c>
      <c r="C105" s="41">
        <f>IF($A105="","",IF(INDEX(exp_cat,MATCH(99,exp_wishno,0))="","",INDEX(exp_cat,MATCH(99,exp_wishno,0))))</f>
        <v/>
      </c>
      <c r="D105" s="80">
        <f>IF($A105="","",IF(INDEX(exp_prio,MATCH(99,exp_wishno,0))="","",INDEX(exp_prio,MATCH(99,exp_wishno,0))))</f>
        <v/>
      </c>
      <c r="E105" s="80">
        <f>IF($A105="","",IF(INDEX(exp_year,MATCH(99,exp_wishno,0))="","",INDEX(exp_year,MATCH(99,exp_wishno,0))))</f>
        <v/>
      </c>
      <c r="F105" s="80">
        <f>IF($A105="","",IF(INDEX(exp_month,MATCH(99,exp_wishno,0))="","",INDEX(exp_month,MATCH(99,exp_wishno,0))))</f>
        <v/>
      </c>
      <c r="G105" s="81">
        <f>IF($A105="","",IF(INDEX(exp_plan,MATCH(99,exp_wishno,0))="","",INDEX(exp_plan,MATCH(99,exp_wishno,0))))</f>
        <v/>
      </c>
      <c r="H105" s="82">
        <f>IF($A105="","",IF(INDEX(exp_fact,MATCH(99,exp_wishno,0))="","",INDEX(exp_fact,MATCH(99,exp_wishno,0))))</f>
        <v/>
      </c>
      <c r="I105" s="41">
        <f>IF($A105="","",IF(INDEX(exp_status,MATCH(99,exp_wishno,0))="","",INDEX(exp_status,MATCH(99,exp_wishno,0))))</f>
        <v/>
      </c>
    </row>
    <row r="106">
      <c r="A106" s="80">
        <f>IF(ISNA(MATCH(100,exp_wishno,0)),"",100)</f>
        <v/>
      </c>
      <c r="B106" s="41">
        <f>IF($A106="","",IF(INDEX(exp_desc,MATCH(100,exp_wishno,0))="","",INDEX(exp_desc,MATCH(100,exp_wishno,0))))</f>
        <v/>
      </c>
      <c r="C106" s="41">
        <f>IF($A106="","",IF(INDEX(exp_cat,MATCH(100,exp_wishno,0))="","",INDEX(exp_cat,MATCH(100,exp_wishno,0))))</f>
        <v/>
      </c>
      <c r="D106" s="80">
        <f>IF($A106="","",IF(INDEX(exp_prio,MATCH(100,exp_wishno,0))="","",INDEX(exp_prio,MATCH(100,exp_wishno,0))))</f>
        <v/>
      </c>
      <c r="E106" s="80">
        <f>IF($A106="","",IF(INDEX(exp_year,MATCH(100,exp_wishno,0))="","",INDEX(exp_year,MATCH(100,exp_wishno,0))))</f>
        <v/>
      </c>
      <c r="F106" s="80">
        <f>IF($A106="","",IF(INDEX(exp_month,MATCH(100,exp_wishno,0))="","",INDEX(exp_month,MATCH(100,exp_wishno,0))))</f>
        <v/>
      </c>
      <c r="G106" s="81">
        <f>IF($A106="","",IF(INDEX(exp_plan,MATCH(100,exp_wishno,0))="","",INDEX(exp_plan,MATCH(100,exp_wishno,0))))</f>
        <v/>
      </c>
      <c r="H106" s="82">
        <f>IF($A106="","",IF(INDEX(exp_fact,MATCH(100,exp_wishno,0))="","",INDEX(exp_fact,MATCH(100,exp_wishno,0))))</f>
        <v/>
      </c>
      <c r="I106" s="41">
        <f>IF($A106="","",IF(INDEX(exp_status,MATCH(100,exp_wishno,0))="","",INDEX(exp_status,MATCH(100,exp_wishno,0))))</f>
        <v/>
      </c>
    </row>
    <row r="107">
      <c r="A107" s="80">
        <f>IF(ISNA(MATCH(101,exp_wishno,0)),"",101)</f>
        <v/>
      </c>
      <c r="B107" s="41">
        <f>IF($A107="","",IF(INDEX(exp_desc,MATCH(101,exp_wishno,0))="","",INDEX(exp_desc,MATCH(101,exp_wishno,0))))</f>
        <v/>
      </c>
      <c r="C107" s="41">
        <f>IF($A107="","",IF(INDEX(exp_cat,MATCH(101,exp_wishno,0))="","",INDEX(exp_cat,MATCH(101,exp_wishno,0))))</f>
        <v/>
      </c>
      <c r="D107" s="80">
        <f>IF($A107="","",IF(INDEX(exp_prio,MATCH(101,exp_wishno,0))="","",INDEX(exp_prio,MATCH(101,exp_wishno,0))))</f>
        <v/>
      </c>
      <c r="E107" s="80">
        <f>IF($A107="","",IF(INDEX(exp_year,MATCH(101,exp_wishno,0))="","",INDEX(exp_year,MATCH(101,exp_wishno,0))))</f>
        <v/>
      </c>
      <c r="F107" s="80">
        <f>IF($A107="","",IF(INDEX(exp_month,MATCH(101,exp_wishno,0))="","",INDEX(exp_month,MATCH(101,exp_wishno,0))))</f>
        <v/>
      </c>
      <c r="G107" s="81">
        <f>IF($A107="","",IF(INDEX(exp_plan,MATCH(101,exp_wishno,0))="","",INDEX(exp_plan,MATCH(101,exp_wishno,0))))</f>
        <v/>
      </c>
      <c r="H107" s="82">
        <f>IF($A107="","",IF(INDEX(exp_fact,MATCH(101,exp_wishno,0))="","",INDEX(exp_fact,MATCH(101,exp_wishno,0))))</f>
        <v/>
      </c>
      <c r="I107" s="41">
        <f>IF($A107="","",IF(INDEX(exp_status,MATCH(101,exp_wishno,0))="","",INDEX(exp_status,MATCH(101,exp_wishno,0))))</f>
        <v/>
      </c>
    </row>
    <row r="108">
      <c r="A108" s="80">
        <f>IF(ISNA(MATCH(102,exp_wishno,0)),"",102)</f>
        <v/>
      </c>
      <c r="B108" s="41">
        <f>IF($A108="","",IF(INDEX(exp_desc,MATCH(102,exp_wishno,0))="","",INDEX(exp_desc,MATCH(102,exp_wishno,0))))</f>
        <v/>
      </c>
      <c r="C108" s="41">
        <f>IF($A108="","",IF(INDEX(exp_cat,MATCH(102,exp_wishno,0))="","",INDEX(exp_cat,MATCH(102,exp_wishno,0))))</f>
        <v/>
      </c>
      <c r="D108" s="80">
        <f>IF($A108="","",IF(INDEX(exp_prio,MATCH(102,exp_wishno,0))="","",INDEX(exp_prio,MATCH(102,exp_wishno,0))))</f>
        <v/>
      </c>
      <c r="E108" s="80">
        <f>IF($A108="","",IF(INDEX(exp_year,MATCH(102,exp_wishno,0))="","",INDEX(exp_year,MATCH(102,exp_wishno,0))))</f>
        <v/>
      </c>
      <c r="F108" s="80">
        <f>IF($A108="","",IF(INDEX(exp_month,MATCH(102,exp_wishno,0))="","",INDEX(exp_month,MATCH(102,exp_wishno,0))))</f>
        <v/>
      </c>
      <c r="G108" s="81">
        <f>IF($A108="","",IF(INDEX(exp_plan,MATCH(102,exp_wishno,0))="","",INDEX(exp_plan,MATCH(102,exp_wishno,0))))</f>
        <v/>
      </c>
      <c r="H108" s="82">
        <f>IF($A108="","",IF(INDEX(exp_fact,MATCH(102,exp_wishno,0))="","",INDEX(exp_fact,MATCH(102,exp_wishno,0))))</f>
        <v/>
      </c>
      <c r="I108" s="41">
        <f>IF($A108="","",IF(INDEX(exp_status,MATCH(102,exp_wishno,0))="","",INDEX(exp_status,MATCH(102,exp_wishno,0))))</f>
        <v/>
      </c>
    </row>
    <row r="109">
      <c r="A109" s="80">
        <f>IF(ISNA(MATCH(103,exp_wishno,0)),"",103)</f>
        <v/>
      </c>
      <c r="B109" s="41">
        <f>IF($A109="","",IF(INDEX(exp_desc,MATCH(103,exp_wishno,0))="","",INDEX(exp_desc,MATCH(103,exp_wishno,0))))</f>
        <v/>
      </c>
      <c r="C109" s="41">
        <f>IF($A109="","",IF(INDEX(exp_cat,MATCH(103,exp_wishno,0))="","",INDEX(exp_cat,MATCH(103,exp_wishno,0))))</f>
        <v/>
      </c>
      <c r="D109" s="80">
        <f>IF($A109="","",IF(INDEX(exp_prio,MATCH(103,exp_wishno,0))="","",INDEX(exp_prio,MATCH(103,exp_wishno,0))))</f>
        <v/>
      </c>
      <c r="E109" s="80">
        <f>IF($A109="","",IF(INDEX(exp_year,MATCH(103,exp_wishno,0))="","",INDEX(exp_year,MATCH(103,exp_wishno,0))))</f>
        <v/>
      </c>
      <c r="F109" s="80">
        <f>IF($A109="","",IF(INDEX(exp_month,MATCH(103,exp_wishno,0))="","",INDEX(exp_month,MATCH(103,exp_wishno,0))))</f>
        <v/>
      </c>
      <c r="G109" s="81">
        <f>IF($A109="","",IF(INDEX(exp_plan,MATCH(103,exp_wishno,0))="","",INDEX(exp_plan,MATCH(103,exp_wishno,0))))</f>
        <v/>
      </c>
      <c r="H109" s="82">
        <f>IF($A109="","",IF(INDEX(exp_fact,MATCH(103,exp_wishno,0))="","",INDEX(exp_fact,MATCH(103,exp_wishno,0))))</f>
        <v/>
      </c>
      <c r="I109" s="41">
        <f>IF($A109="","",IF(INDEX(exp_status,MATCH(103,exp_wishno,0))="","",INDEX(exp_status,MATCH(103,exp_wishno,0))))</f>
        <v/>
      </c>
    </row>
    <row r="110">
      <c r="A110" s="80">
        <f>IF(ISNA(MATCH(104,exp_wishno,0)),"",104)</f>
        <v/>
      </c>
      <c r="B110" s="41">
        <f>IF($A110="","",IF(INDEX(exp_desc,MATCH(104,exp_wishno,0))="","",INDEX(exp_desc,MATCH(104,exp_wishno,0))))</f>
        <v/>
      </c>
      <c r="C110" s="41">
        <f>IF($A110="","",IF(INDEX(exp_cat,MATCH(104,exp_wishno,0))="","",INDEX(exp_cat,MATCH(104,exp_wishno,0))))</f>
        <v/>
      </c>
      <c r="D110" s="80">
        <f>IF($A110="","",IF(INDEX(exp_prio,MATCH(104,exp_wishno,0))="","",INDEX(exp_prio,MATCH(104,exp_wishno,0))))</f>
        <v/>
      </c>
      <c r="E110" s="80">
        <f>IF($A110="","",IF(INDEX(exp_year,MATCH(104,exp_wishno,0))="","",INDEX(exp_year,MATCH(104,exp_wishno,0))))</f>
        <v/>
      </c>
      <c r="F110" s="80">
        <f>IF($A110="","",IF(INDEX(exp_month,MATCH(104,exp_wishno,0))="","",INDEX(exp_month,MATCH(104,exp_wishno,0))))</f>
        <v/>
      </c>
      <c r="G110" s="81">
        <f>IF($A110="","",IF(INDEX(exp_plan,MATCH(104,exp_wishno,0))="","",INDEX(exp_plan,MATCH(104,exp_wishno,0))))</f>
        <v/>
      </c>
      <c r="H110" s="82">
        <f>IF($A110="","",IF(INDEX(exp_fact,MATCH(104,exp_wishno,0))="","",INDEX(exp_fact,MATCH(104,exp_wishno,0))))</f>
        <v/>
      </c>
      <c r="I110" s="41">
        <f>IF($A110="","",IF(INDEX(exp_status,MATCH(104,exp_wishno,0))="","",INDEX(exp_status,MATCH(104,exp_wishno,0))))</f>
        <v/>
      </c>
    </row>
    <row r="111">
      <c r="A111" s="80">
        <f>IF(ISNA(MATCH(105,exp_wishno,0)),"",105)</f>
        <v/>
      </c>
      <c r="B111" s="41">
        <f>IF($A111="","",IF(INDEX(exp_desc,MATCH(105,exp_wishno,0))="","",INDEX(exp_desc,MATCH(105,exp_wishno,0))))</f>
        <v/>
      </c>
      <c r="C111" s="41">
        <f>IF($A111="","",IF(INDEX(exp_cat,MATCH(105,exp_wishno,0))="","",INDEX(exp_cat,MATCH(105,exp_wishno,0))))</f>
        <v/>
      </c>
      <c r="D111" s="80">
        <f>IF($A111="","",IF(INDEX(exp_prio,MATCH(105,exp_wishno,0))="","",INDEX(exp_prio,MATCH(105,exp_wishno,0))))</f>
        <v/>
      </c>
      <c r="E111" s="80">
        <f>IF($A111="","",IF(INDEX(exp_year,MATCH(105,exp_wishno,0))="","",INDEX(exp_year,MATCH(105,exp_wishno,0))))</f>
        <v/>
      </c>
      <c r="F111" s="80">
        <f>IF($A111="","",IF(INDEX(exp_month,MATCH(105,exp_wishno,0))="","",INDEX(exp_month,MATCH(105,exp_wishno,0))))</f>
        <v/>
      </c>
      <c r="G111" s="81">
        <f>IF($A111="","",IF(INDEX(exp_plan,MATCH(105,exp_wishno,0))="","",INDEX(exp_plan,MATCH(105,exp_wishno,0))))</f>
        <v/>
      </c>
      <c r="H111" s="82">
        <f>IF($A111="","",IF(INDEX(exp_fact,MATCH(105,exp_wishno,0))="","",INDEX(exp_fact,MATCH(105,exp_wishno,0))))</f>
        <v/>
      </c>
      <c r="I111" s="41">
        <f>IF($A111="","",IF(INDEX(exp_status,MATCH(105,exp_wishno,0))="","",INDEX(exp_status,MATCH(105,exp_wishno,0))))</f>
        <v/>
      </c>
    </row>
    <row r="112">
      <c r="A112" s="80">
        <f>IF(ISNA(MATCH(106,exp_wishno,0)),"",106)</f>
        <v/>
      </c>
      <c r="B112" s="41">
        <f>IF($A112="","",IF(INDEX(exp_desc,MATCH(106,exp_wishno,0))="","",INDEX(exp_desc,MATCH(106,exp_wishno,0))))</f>
        <v/>
      </c>
      <c r="C112" s="41">
        <f>IF($A112="","",IF(INDEX(exp_cat,MATCH(106,exp_wishno,0))="","",INDEX(exp_cat,MATCH(106,exp_wishno,0))))</f>
        <v/>
      </c>
      <c r="D112" s="80">
        <f>IF($A112="","",IF(INDEX(exp_prio,MATCH(106,exp_wishno,0))="","",INDEX(exp_prio,MATCH(106,exp_wishno,0))))</f>
        <v/>
      </c>
      <c r="E112" s="80">
        <f>IF($A112="","",IF(INDEX(exp_year,MATCH(106,exp_wishno,0))="","",INDEX(exp_year,MATCH(106,exp_wishno,0))))</f>
        <v/>
      </c>
      <c r="F112" s="80">
        <f>IF($A112="","",IF(INDEX(exp_month,MATCH(106,exp_wishno,0))="","",INDEX(exp_month,MATCH(106,exp_wishno,0))))</f>
        <v/>
      </c>
      <c r="G112" s="81">
        <f>IF($A112="","",IF(INDEX(exp_plan,MATCH(106,exp_wishno,0))="","",INDEX(exp_plan,MATCH(106,exp_wishno,0))))</f>
        <v/>
      </c>
      <c r="H112" s="82">
        <f>IF($A112="","",IF(INDEX(exp_fact,MATCH(106,exp_wishno,0))="","",INDEX(exp_fact,MATCH(106,exp_wishno,0))))</f>
        <v/>
      </c>
      <c r="I112" s="41">
        <f>IF($A112="","",IF(INDEX(exp_status,MATCH(106,exp_wishno,0))="","",INDEX(exp_status,MATCH(106,exp_wishno,0))))</f>
        <v/>
      </c>
    </row>
    <row r="113">
      <c r="A113" s="80">
        <f>IF(ISNA(MATCH(107,exp_wishno,0)),"",107)</f>
        <v/>
      </c>
      <c r="B113" s="41">
        <f>IF($A113="","",IF(INDEX(exp_desc,MATCH(107,exp_wishno,0))="","",INDEX(exp_desc,MATCH(107,exp_wishno,0))))</f>
        <v/>
      </c>
      <c r="C113" s="41">
        <f>IF($A113="","",IF(INDEX(exp_cat,MATCH(107,exp_wishno,0))="","",INDEX(exp_cat,MATCH(107,exp_wishno,0))))</f>
        <v/>
      </c>
      <c r="D113" s="80">
        <f>IF($A113="","",IF(INDEX(exp_prio,MATCH(107,exp_wishno,0))="","",INDEX(exp_prio,MATCH(107,exp_wishno,0))))</f>
        <v/>
      </c>
      <c r="E113" s="80">
        <f>IF($A113="","",IF(INDEX(exp_year,MATCH(107,exp_wishno,0))="","",INDEX(exp_year,MATCH(107,exp_wishno,0))))</f>
        <v/>
      </c>
      <c r="F113" s="80">
        <f>IF($A113="","",IF(INDEX(exp_month,MATCH(107,exp_wishno,0))="","",INDEX(exp_month,MATCH(107,exp_wishno,0))))</f>
        <v/>
      </c>
      <c r="G113" s="81">
        <f>IF($A113="","",IF(INDEX(exp_plan,MATCH(107,exp_wishno,0))="","",INDEX(exp_plan,MATCH(107,exp_wishno,0))))</f>
        <v/>
      </c>
      <c r="H113" s="82">
        <f>IF($A113="","",IF(INDEX(exp_fact,MATCH(107,exp_wishno,0))="","",INDEX(exp_fact,MATCH(107,exp_wishno,0))))</f>
        <v/>
      </c>
      <c r="I113" s="41">
        <f>IF($A113="","",IF(INDEX(exp_status,MATCH(107,exp_wishno,0))="","",INDEX(exp_status,MATCH(107,exp_wishno,0))))</f>
        <v/>
      </c>
    </row>
    <row r="114">
      <c r="A114" s="80">
        <f>IF(ISNA(MATCH(108,exp_wishno,0)),"",108)</f>
        <v/>
      </c>
      <c r="B114" s="41">
        <f>IF($A114="","",IF(INDEX(exp_desc,MATCH(108,exp_wishno,0))="","",INDEX(exp_desc,MATCH(108,exp_wishno,0))))</f>
        <v/>
      </c>
      <c r="C114" s="41">
        <f>IF($A114="","",IF(INDEX(exp_cat,MATCH(108,exp_wishno,0))="","",INDEX(exp_cat,MATCH(108,exp_wishno,0))))</f>
        <v/>
      </c>
      <c r="D114" s="80">
        <f>IF($A114="","",IF(INDEX(exp_prio,MATCH(108,exp_wishno,0))="","",INDEX(exp_prio,MATCH(108,exp_wishno,0))))</f>
        <v/>
      </c>
      <c r="E114" s="80">
        <f>IF($A114="","",IF(INDEX(exp_year,MATCH(108,exp_wishno,0))="","",INDEX(exp_year,MATCH(108,exp_wishno,0))))</f>
        <v/>
      </c>
      <c r="F114" s="80">
        <f>IF($A114="","",IF(INDEX(exp_month,MATCH(108,exp_wishno,0))="","",INDEX(exp_month,MATCH(108,exp_wishno,0))))</f>
        <v/>
      </c>
      <c r="G114" s="81">
        <f>IF($A114="","",IF(INDEX(exp_plan,MATCH(108,exp_wishno,0))="","",INDEX(exp_plan,MATCH(108,exp_wishno,0))))</f>
        <v/>
      </c>
      <c r="H114" s="82">
        <f>IF($A114="","",IF(INDEX(exp_fact,MATCH(108,exp_wishno,0))="","",INDEX(exp_fact,MATCH(108,exp_wishno,0))))</f>
        <v/>
      </c>
      <c r="I114" s="41">
        <f>IF($A114="","",IF(INDEX(exp_status,MATCH(108,exp_wishno,0))="","",INDEX(exp_status,MATCH(108,exp_wishno,0))))</f>
        <v/>
      </c>
    </row>
    <row r="115">
      <c r="A115" s="80">
        <f>IF(ISNA(MATCH(109,exp_wishno,0)),"",109)</f>
        <v/>
      </c>
      <c r="B115" s="41">
        <f>IF($A115="","",IF(INDEX(exp_desc,MATCH(109,exp_wishno,0))="","",INDEX(exp_desc,MATCH(109,exp_wishno,0))))</f>
        <v/>
      </c>
      <c r="C115" s="41">
        <f>IF($A115="","",IF(INDEX(exp_cat,MATCH(109,exp_wishno,0))="","",INDEX(exp_cat,MATCH(109,exp_wishno,0))))</f>
        <v/>
      </c>
      <c r="D115" s="80">
        <f>IF($A115="","",IF(INDEX(exp_prio,MATCH(109,exp_wishno,0))="","",INDEX(exp_prio,MATCH(109,exp_wishno,0))))</f>
        <v/>
      </c>
      <c r="E115" s="80">
        <f>IF($A115="","",IF(INDEX(exp_year,MATCH(109,exp_wishno,0))="","",INDEX(exp_year,MATCH(109,exp_wishno,0))))</f>
        <v/>
      </c>
      <c r="F115" s="80">
        <f>IF($A115="","",IF(INDEX(exp_month,MATCH(109,exp_wishno,0))="","",INDEX(exp_month,MATCH(109,exp_wishno,0))))</f>
        <v/>
      </c>
      <c r="G115" s="81">
        <f>IF($A115="","",IF(INDEX(exp_plan,MATCH(109,exp_wishno,0))="","",INDEX(exp_plan,MATCH(109,exp_wishno,0))))</f>
        <v/>
      </c>
      <c r="H115" s="82">
        <f>IF($A115="","",IF(INDEX(exp_fact,MATCH(109,exp_wishno,0))="","",INDEX(exp_fact,MATCH(109,exp_wishno,0))))</f>
        <v/>
      </c>
      <c r="I115" s="41">
        <f>IF($A115="","",IF(INDEX(exp_status,MATCH(109,exp_wishno,0))="","",INDEX(exp_status,MATCH(109,exp_wishno,0))))</f>
        <v/>
      </c>
    </row>
    <row r="116">
      <c r="A116" s="80">
        <f>IF(ISNA(MATCH(110,exp_wishno,0)),"",110)</f>
        <v/>
      </c>
      <c r="B116" s="41">
        <f>IF($A116="","",IF(INDEX(exp_desc,MATCH(110,exp_wishno,0))="","",INDEX(exp_desc,MATCH(110,exp_wishno,0))))</f>
        <v/>
      </c>
      <c r="C116" s="41">
        <f>IF($A116="","",IF(INDEX(exp_cat,MATCH(110,exp_wishno,0))="","",INDEX(exp_cat,MATCH(110,exp_wishno,0))))</f>
        <v/>
      </c>
      <c r="D116" s="80">
        <f>IF($A116="","",IF(INDEX(exp_prio,MATCH(110,exp_wishno,0))="","",INDEX(exp_prio,MATCH(110,exp_wishno,0))))</f>
        <v/>
      </c>
      <c r="E116" s="80">
        <f>IF($A116="","",IF(INDEX(exp_year,MATCH(110,exp_wishno,0))="","",INDEX(exp_year,MATCH(110,exp_wishno,0))))</f>
        <v/>
      </c>
      <c r="F116" s="80">
        <f>IF($A116="","",IF(INDEX(exp_month,MATCH(110,exp_wishno,0))="","",INDEX(exp_month,MATCH(110,exp_wishno,0))))</f>
        <v/>
      </c>
      <c r="G116" s="81">
        <f>IF($A116="","",IF(INDEX(exp_plan,MATCH(110,exp_wishno,0))="","",INDEX(exp_plan,MATCH(110,exp_wishno,0))))</f>
        <v/>
      </c>
      <c r="H116" s="82">
        <f>IF($A116="","",IF(INDEX(exp_fact,MATCH(110,exp_wishno,0))="","",INDEX(exp_fact,MATCH(110,exp_wishno,0))))</f>
        <v/>
      </c>
      <c r="I116" s="41">
        <f>IF($A116="","",IF(INDEX(exp_status,MATCH(110,exp_wishno,0))="","",INDEX(exp_status,MATCH(110,exp_wishno,0))))</f>
        <v/>
      </c>
    </row>
    <row r="117">
      <c r="A117" s="80">
        <f>IF(ISNA(MATCH(111,exp_wishno,0)),"",111)</f>
        <v/>
      </c>
      <c r="B117" s="41">
        <f>IF($A117="","",IF(INDEX(exp_desc,MATCH(111,exp_wishno,0))="","",INDEX(exp_desc,MATCH(111,exp_wishno,0))))</f>
        <v/>
      </c>
      <c r="C117" s="41">
        <f>IF($A117="","",IF(INDEX(exp_cat,MATCH(111,exp_wishno,0))="","",INDEX(exp_cat,MATCH(111,exp_wishno,0))))</f>
        <v/>
      </c>
      <c r="D117" s="80">
        <f>IF($A117="","",IF(INDEX(exp_prio,MATCH(111,exp_wishno,0))="","",INDEX(exp_prio,MATCH(111,exp_wishno,0))))</f>
        <v/>
      </c>
      <c r="E117" s="80">
        <f>IF($A117="","",IF(INDEX(exp_year,MATCH(111,exp_wishno,0))="","",INDEX(exp_year,MATCH(111,exp_wishno,0))))</f>
        <v/>
      </c>
      <c r="F117" s="80">
        <f>IF($A117="","",IF(INDEX(exp_month,MATCH(111,exp_wishno,0))="","",INDEX(exp_month,MATCH(111,exp_wishno,0))))</f>
        <v/>
      </c>
      <c r="G117" s="81">
        <f>IF($A117="","",IF(INDEX(exp_plan,MATCH(111,exp_wishno,0))="","",INDEX(exp_plan,MATCH(111,exp_wishno,0))))</f>
        <v/>
      </c>
      <c r="H117" s="82">
        <f>IF($A117="","",IF(INDEX(exp_fact,MATCH(111,exp_wishno,0))="","",INDEX(exp_fact,MATCH(111,exp_wishno,0))))</f>
        <v/>
      </c>
      <c r="I117" s="41">
        <f>IF($A117="","",IF(INDEX(exp_status,MATCH(111,exp_wishno,0))="","",INDEX(exp_status,MATCH(111,exp_wishno,0))))</f>
        <v/>
      </c>
    </row>
    <row r="118">
      <c r="A118" s="80">
        <f>IF(ISNA(MATCH(112,exp_wishno,0)),"",112)</f>
        <v/>
      </c>
      <c r="B118" s="41">
        <f>IF($A118="","",IF(INDEX(exp_desc,MATCH(112,exp_wishno,0))="","",INDEX(exp_desc,MATCH(112,exp_wishno,0))))</f>
        <v/>
      </c>
      <c r="C118" s="41">
        <f>IF($A118="","",IF(INDEX(exp_cat,MATCH(112,exp_wishno,0))="","",INDEX(exp_cat,MATCH(112,exp_wishno,0))))</f>
        <v/>
      </c>
      <c r="D118" s="80">
        <f>IF($A118="","",IF(INDEX(exp_prio,MATCH(112,exp_wishno,0))="","",INDEX(exp_prio,MATCH(112,exp_wishno,0))))</f>
        <v/>
      </c>
      <c r="E118" s="80">
        <f>IF($A118="","",IF(INDEX(exp_year,MATCH(112,exp_wishno,0))="","",INDEX(exp_year,MATCH(112,exp_wishno,0))))</f>
        <v/>
      </c>
      <c r="F118" s="80">
        <f>IF($A118="","",IF(INDEX(exp_month,MATCH(112,exp_wishno,0))="","",INDEX(exp_month,MATCH(112,exp_wishno,0))))</f>
        <v/>
      </c>
      <c r="G118" s="81">
        <f>IF($A118="","",IF(INDEX(exp_plan,MATCH(112,exp_wishno,0))="","",INDEX(exp_plan,MATCH(112,exp_wishno,0))))</f>
        <v/>
      </c>
      <c r="H118" s="82">
        <f>IF($A118="","",IF(INDEX(exp_fact,MATCH(112,exp_wishno,0))="","",INDEX(exp_fact,MATCH(112,exp_wishno,0))))</f>
        <v/>
      </c>
      <c r="I118" s="41">
        <f>IF($A118="","",IF(INDEX(exp_status,MATCH(112,exp_wishno,0))="","",INDEX(exp_status,MATCH(112,exp_wishno,0))))</f>
        <v/>
      </c>
    </row>
    <row r="119">
      <c r="A119" s="80">
        <f>IF(ISNA(MATCH(113,exp_wishno,0)),"",113)</f>
        <v/>
      </c>
      <c r="B119" s="41">
        <f>IF($A119="","",IF(INDEX(exp_desc,MATCH(113,exp_wishno,0))="","",INDEX(exp_desc,MATCH(113,exp_wishno,0))))</f>
        <v/>
      </c>
      <c r="C119" s="41">
        <f>IF($A119="","",IF(INDEX(exp_cat,MATCH(113,exp_wishno,0))="","",INDEX(exp_cat,MATCH(113,exp_wishno,0))))</f>
        <v/>
      </c>
      <c r="D119" s="80">
        <f>IF($A119="","",IF(INDEX(exp_prio,MATCH(113,exp_wishno,0))="","",INDEX(exp_prio,MATCH(113,exp_wishno,0))))</f>
        <v/>
      </c>
      <c r="E119" s="80">
        <f>IF($A119="","",IF(INDEX(exp_year,MATCH(113,exp_wishno,0))="","",INDEX(exp_year,MATCH(113,exp_wishno,0))))</f>
        <v/>
      </c>
      <c r="F119" s="80">
        <f>IF($A119="","",IF(INDEX(exp_month,MATCH(113,exp_wishno,0))="","",INDEX(exp_month,MATCH(113,exp_wishno,0))))</f>
        <v/>
      </c>
      <c r="G119" s="81">
        <f>IF($A119="","",IF(INDEX(exp_plan,MATCH(113,exp_wishno,0))="","",INDEX(exp_plan,MATCH(113,exp_wishno,0))))</f>
        <v/>
      </c>
      <c r="H119" s="82">
        <f>IF($A119="","",IF(INDEX(exp_fact,MATCH(113,exp_wishno,0))="","",INDEX(exp_fact,MATCH(113,exp_wishno,0))))</f>
        <v/>
      </c>
      <c r="I119" s="41">
        <f>IF($A119="","",IF(INDEX(exp_status,MATCH(113,exp_wishno,0))="","",INDEX(exp_status,MATCH(113,exp_wishno,0))))</f>
        <v/>
      </c>
    </row>
    <row r="120">
      <c r="A120" s="80">
        <f>IF(ISNA(MATCH(114,exp_wishno,0)),"",114)</f>
        <v/>
      </c>
      <c r="B120" s="41">
        <f>IF($A120="","",IF(INDEX(exp_desc,MATCH(114,exp_wishno,0))="","",INDEX(exp_desc,MATCH(114,exp_wishno,0))))</f>
        <v/>
      </c>
      <c r="C120" s="41">
        <f>IF($A120="","",IF(INDEX(exp_cat,MATCH(114,exp_wishno,0))="","",INDEX(exp_cat,MATCH(114,exp_wishno,0))))</f>
        <v/>
      </c>
      <c r="D120" s="80">
        <f>IF($A120="","",IF(INDEX(exp_prio,MATCH(114,exp_wishno,0))="","",INDEX(exp_prio,MATCH(114,exp_wishno,0))))</f>
        <v/>
      </c>
      <c r="E120" s="80">
        <f>IF($A120="","",IF(INDEX(exp_year,MATCH(114,exp_wishno,0))="","",INDEX(exp_year,MATCH(114,exp_wishno,0))))</f>
        <v/>
      </c>
      <c r="F120" s="80">
        <f>IF($A120="","",IF(INDEX(exp_month,MATCH(114,exp_wishno,0))="","",INDEX(exp_month,MATCH(114,exp_wishno,0))))</f>
        <v/>
      </c>
      <c r="G120" s="81">
        <f>IF($A120="","",IF(INDEX(exp_plan,MATCH(114,exp_wishno,0))="","",INDEX(exp_plan,MATCH(114,exp_wishno,0))))</f>
        <v/>
      </c>
      <c r="H120" s="82">
        <f>IF($A120="","",IF(INDEX(exp_fact,MATCH(114,exp_wishno,0))="","",INDEX(exp_fact,MATCH(114,exp_wishno,0))))</f>
        <v/>
      </c>
      <c r="I120" s="41">
        <f>IF($A120="","",IF(INDEX(exp_status,MATCH(114,exp_wishno,0))="","",INDEX(exp_status,MATCH(114,exp_wishno,0))))</f>
        <v/>
      </c>
    </row>
    <row r="121">
      <c r="A121" s="80">
        <f>IF(ISNA(MATCH(115,exp_wishno,0)),"",115)</f>
        <v/>
      </c>
      <c r="B121" s="41">
        <f>IF($A121="","",IF(INDEX(exp_desc,MATCH(115,exp_wishno,0))="","",INDEX(exp_desc,MATCH(115,exp_wishno,0))))</f>
        <v/>
      </c>
      <c r="C121" s="41">
        <f>IF($A121="","",IF(INDEX(exp_cat,MATCH(115,exp_wishno,0))="","",INDEX(exp_cat,MATCH(115,exp_wishno,0))))</f>
        <v/>
      </c>
      <c r="D121" s="80">
        <f>IF($A121="","",IF(INDEX(exp_prio,MATCH(115,exp_wishno,0))="","",INDEX(exp_prio,MATCH(115,exp_wishno,0))))</f>
        <v/>
      </c>
      <c r="E121" s="80">
        <f>IF($A121="","",IF(INDEX(exp_year,MATCH(115,exp_wishno,0))="","",INDEX(exp_year,MATCH(115,exp_wishno,0))))</f>
        <v/>
      </c>
      <c r="F121" s="80">
        <f>IF($A121="","",IF(INDEX(exp_month,MATCH(115,exp_wishno,0))="","",INDEX(exp_month,MATCH(115,exp_wishno,0))))</f>
        <v/>
      </c>
      <c r="G121" s="81">
        <f>IF($A121="","",IF(INDEX(exp_plan,MATCH(115,exp_wishno,0))="","",INDEX(exp_plan,MATCH(115,exp_wishno,0))))</f>
        <v/>
      </c>
      <c r="H121" s="82">
        <f>IF($A121="","",IF(INDEX(exp_fact,MATCH(115,exp_wishno,0))="","",INDEX(exp_fact,MATCH(115,exp_wishno,0))))</f>
        <v/>
      </c>
      <c r="I121" s="41">
        <f>IF($A121="","",IF(INDEX(exp_status,MATCH(115,exp_wishno,0))="","",INDEX(exp_status,MATCH(115,exp_wishno,0))))</f>
        <v/>
      </c>
    </row>
    <row r="122">
      <c r="A122" s="80">
        <f>IF(ISNA(MATCH(116,exp_wishno,0)),"",116)</f>
        <v/>
      </c>
      <c r="B122" s="41">
        <f>IF($A122="","",IF(INDEX(exp_desc,MATCH(116,exp_wishno,0))="","",INDEX(exp_desc,MATCH(116,exp_wishno,0))))</f>
        <v/>
      </c>
      <c r="C122" s="41">
        <f>IF($A122="","",IF(INDEX(exp_cat,MATCH(116,exp_wishno,0))="","",INDEX(exp_cat,MATCH(116,exp_wishno,0))))</f>
        <v/>
      </c>
      <c r="D122" s="80">
        <f>IF($A122="","",IF(INDEX(exp_prio,MATCH(116,exp_wishno,0))="","",INDEX(exp_prio,MATCH(116,exp_wishno,0))))</f>
        <v/>
      </c>
      <c r="E122" s="80">
        <f>IF($A122="","",IF(INDEX(exp_year,MATCH(116,exp_wishno,0))="","",INDEX(exp_year,MATCH(116,exp_wishno,0))))</f>
        <v/>
      </c>
      <c r="F122" s="80">
        <f>IF($A122="","",IF(INDEX(exp_month,MATCH(116,exp_wishno,0))="","",INDEX(exp_month,MATCH(116,exp_wishno,0))))</f>
        <v/>
      </c>
      <c r="G122" s="81">
        <f>IF($A122="","",IF(INDEX(exp_plan,MATCH(116,exp_wishno,0))="","",INDEX(exp_plan,MATCH(116,exp_wishno,0))))</f>
        <v/>
      </c>
      <c r="H122" s="82">
        <f>IF($A122="","",IF(INDEX(exp_fact,MATCH(116,exp_wishno,0))="","",INDEX(exp_fact,MATCH(116,exp_wishno,0))))</f>
        <v/>
      </c>
      <c r="I122" s="41">
        <f>IF($A122="","",IF(INDEX(exp_status,MATCH(116,exp_wishno,0))="","",INDEX(exp_status,MATCH(116,exp_wishno,0))))</f>
        <v/>
      </c>
    </row>
    <row r="123">
      <c r="A123" s="80">
        <f>IF(ISNA(MATCH(117,exp_wishno,0)),"",117)</f>
        <v/>
      </c>
      <c r="B123" s="41">
        <f>IF($A123="","",IF(INDEX(exp_desc,MATCH(117,exp_wishno,0))="","",INDEX(exp_desc,MATCH(117,exp_wishno,0))))</f>
        <v/>
      </c>
      <c r="C123" s="41">
        <f>IF($A123="","",IF(INDEX(exp_cat,MATCH(117,exp_wishno,0))="","",INDEX(exp_cat,MATCH(117,exp_wishno,0))))</f>
        <v/>
      </c>
      <c r="D123" s="80">
        <f>IF($A123="","",IF(INDEX(exp_prio,MATCH(117,exp_wishno,0))="","",INDEX(exp_prio,MATCH(117,exp_wishno,0))))</f>
        <v/>
      </c>
      <c r="E123" s="80">
        <f>IF($A123="","",IF(INDEX(exp_year,MATCH(117,exp_wishno,0))="","",INDEX(exp_year,MATCH(117,exp_wishno,0))))</f>
        <v/>
      </c>
      <c r="F123" s="80">
        <f>IF($A123="","",IF(INDEX(exp_month,MATCH(117,exp_wishno,0))="","",INDEX(exp_month,MATCH(117,exp_wishno,0))))</f>
        <v/>
      </c>
      <c r="G123" s="81">
        <f>IF($A123="","",IF(INDEX(exp_plan,MATCH(117,exp_wishno,0))="","",INDEX(exp_plan,MATCH(117,exp_wishno,0))))</f>
        <v/>
      </c>
      <c r="H123" s="82">
        <f>IF($A123="","",IF(INDEX(exp_fact,MATCH(117,exp_wishno,0))="","",INDEX(exp_fact,MATCH(117,exp_wishno,0))))</f>
        <v/>
      </c>
      <c r="I123" s="41">
        <f>IF($A123="","",IF(INDEX(exp_status,MATCH(117,exp_wishno,0))="","",INDEX(exp_status,MATCH(117,exp_wishno,0))))</f>
        <v/>
      </c>
    </row>
    <row r="124">
      <c r="A124" s="80">
        <f>IF(ISNA(MATCH(118,exp_wishno,0)),"",118)</f>
        <v/>
      </c>
      <c r="B124" s="41">
        <f>IF($A124="","",IF(INDEX(exp_desc,MATCH(118,exp_wishno,0))="","",INDEX(exp_desc,MATCH(118,exp_wishno,0))))</f>
        <v/>
      </c>
      <c r="C124" s="41">
        <f>IF($A124="","",IF(INDEX(exp_cat,MATCH(118,exp_wishno,0))="","",INDEX(exp_cat,MATCH(118,exp_wishno,0))))</f>
        <v/>
      </c>
      <c r="D124" s="80">
        <f>IF($A124="","",IF(INDEX(exp_prio,MATCH(118,exp_wishno,0))="","",INDEX(exp_prio,MATCH(118,exp_wishno,0))))</f>
        <v/>
      </c>
      <c r="E124" s="80">
        <f>IF($A124="","",IF(INDEX(exp_year,MATCH(118,exp_wishno,0))="","",INDEX(exp_year,MATCH(118,exp_wishno,0))))</f>
        <v/>
      </c>
      <c r="F124" s="80">
        <f>IF($A124="","",IF(INDEX(exp_month,MATCH(118,exp_wishno,0))="","",INDEX(exp_month,MATCH(118,exp_wishno,0))))</f>
        <v/>
      </c>
      <c r="G124" s="81">
        <f>IF($A124="","",IF(INDEX(exp_plan,MATCH(118,exp_wishno,0))="","",INDEX(exp_plan,MATCH(118,exp_wishno,0))))</f>
        <v/>
      </c>
      <c r="H124" s="82">
        <f>IF($A124="","",IF(INDEX(exp_fact,MATCH(118,exp_wishno,0))="","",INDEX(exp_fact,MATCH(118,exp_wishno,0))))</f>
        <v/>
      </c>
      <c r="I124" s="41">
        <f>IF($A124="","",IF(INDEX(exp_status,MATCH(118,exp_wishno,0))="","",INDEX(exp_status,MATCH(118,exp_wishno,0))))</f>
        <v/>
      </c>
    </row>
    <row r="125">
      <c r="A125" s="80">
        <f>IF(ISNA(MATCH(119,exp_wishno,0)),"",119)</f>
        <v/>
      </c>
      <c r="B125" s="41">
        <f>IF($A125="","",IF(INDEX(exp_desc,MATCH(119,exp_wishno,0))="","",INDEX(exp_desc,MATCH(119,exp_wishno,0))))</f>
        <v/>
      </c>
      <c r="C125" s="41">
        <f>IF($A125="","",IF(INDEX(exp_cat,MATCH(119,exp_wishno,0))="","",INDEX(exp_cat,MATCH(119,exp_wishno,0))))</f>
        <v/>
      </c>
      <c r="D125" s="80">
        <f>IF($A125="","",IF(INDEX(exp_prio,MATCH(119,exp_wishno,0))="","",INDEX(exp_prio,MATCH(119,exp_wishno,0))))</f>
        <v/>
      </c>
      <c r="E125" s="80">
        <f>IF($A125="","",IF(INDEX(exp_year,MATCH(119,exp_wishno,0))="","",INDEX(exp_year,MATCH(119,exp_wishno,0))))</f>
        <v/>
      </c>
      <c r="F125" s="80">
        <f>IF($A125="","",IF(INDEX(exp_month,MATCH(119,exp_wishno,0))="","",INDEX(exp_month,MATCH(119,exp_wishno,0))))</f>
        <v/>
      </c>
      <c r="G125" s="81">
        <f>IF($A125="","",IF(INDEX(exp_plan,MATCH(119,exp_wishno,0))="","",INDEX(exp_plan,MATCH(119,exp_wishno,0))))</f>
        <v/>
      </c>
      <c r="H125" s="82">
        <f>IF($A125="","",IF(INDEX(exp_fact,MATCH(119,exp_wishno,0))="","",INDEX(exp_fact,MATCH(119,exp_wishno,0))))</f>
        <v/>
      </c>
      <c r="I125" s="41">
        <f>IF($A125="","",IF(INDEX(exp_status,MATCH(119,exp_wishno,0))="","",INDEX(exp_status,MATCH(119,exp_wishno,0))))</f>
        <v/>
      </c>
    </row>
    <row r="126">
      <c r="A126" s="80">
        <f>IF(ISNA(MATCH(120,exp_wishno,0)),"",120)</f>
        <v/>
      </c>
      <c r="B126" s="41">
        <f>IF($A126="","",IF(INDEX(exp_desc,MATCH(120,exp_wishno,0))="","",INDEX(exp_desc,MATCH(120,exp_wishno,0))))</f>
        <v/>
      </c>
      <c r="C126" s="41">
        <f>IF($A126="","",IF(INDEX(exp_cat,MATCH(120,exp_wishno,0))="","",INDEX(exp_cat,MATCH(120,exp_wishno,0))))</f>
        <v/>
      </c>
      <c r="D126" s="80">
        <f>IF($A126="","",IF(INDEX(exp_prio,MATCH(120,exp_wishno,0))="","",INDEX(exp_prio,MATCH(120,exp_wishno,0))))</f>
        <v/>
      </c>
      <c r="E126" s="80">
        <f>IF($A126="","",IF(INDEX(exp_year,MATCH(120,exp_wishno,0))="","",INDEX(exp_year,MATCH(120,exp_wishno,0))))</f>
        <v/>
      </c>
      <c r="F126" s="80">
        <f>IF($A126="","",IF(INDEX(exp_month,MATCH(120,exp_wishno,0))="","",INDEX(exp_month,MATCH(120,exp_wishno,0))))</f>
        <v/>
      </c>
      <c r="G126" s="81">
        <f>IF($A126="","",IF(INDEX(exp_plan,MATCH(120,exp_wishno,0))="","",INDEX(exp_plan,MATCH(120,exp_wishno,0))))</f>
        <v/>
      </c>
      <c r="H126" s="82">
        <f>IF($A126="","",IF(INDEX(exp_fact,MATCH(120,exp_wishno,0))="","",INDEX(exp_fact,MATCH(120,exp_wishno,0))))</f>
        <v/>
      </c>
      <c r="I126" s="41">
        <f>IF($A126="","",IF(INDEX(exp_status,MATCH(120,exp_wishno,0))="","",INDEX(exp_status,MATCH(120,exp_wishno,0))))</f>
        <v/>
      </c>
    </row>
    <row r="127">
      <c r="A127" s="80">
        <f>IF(ISNA(MATCH(121,exp_wishno,0)),"",121)</f>
        <v/>
      </c>
      <c r="B127" s="41">
        <f>IF($A127="","",IF(INDEX(exp_desc,MATCH(121,exp_wishno,0))="","",INDEX(exp_desc,MATCH(121,exp_wishno,0))))</f>
        <v/>
      </c>
      <c r="C127" s="41">
        <f>IF($A127="","",IF(INDEX(exp_cat,MATCH(121,exp_wishno,0))="","",INDEX(exp_cat,MATCH(121,exp_wishno,0))))</f>
        <v/>
      </c>
      <c r="D127" s="80">
        <f>IF($A127="","",IF(INDEX(exp_prio,MATCH(121,exp_wishno,0))="","",INDEX(exp_prio,MATCH(121,exp_wishno,0))))</f>
        <v/>
      </c>
      <c r="E127" s="80">
        <f>IF($A127="","",IF(INDEX(exp_year,MATCH(121,exp_wishno,0))="","",INDEX(exp_year,MATCH(121,exp_wishno,0))))</f>
        <v/>
      </c>
      <c r="F127" s="80">
        <f>IF($A127="","",IF(INDEX(exp_month,MATCH(121,exp_wishno,0))="","",INDEX(exp_month,MATCH(121,exp_wishno,0))))</f>
        <v/>
      </c>
      <c r="G127" s="81">
        <f>IF($A127="","",IF(INDEX(exp_plan,MATCH(121,exp_wishno,0))="","",INDEX(exp_plan,MATCH(121,exp_wishno,0))))</f>
        <v/>
      </c>
      <c r="H127" s="82">
        <f>IF($A127="","",IF(INDEX(exp_fact,MATCH(121,exp_wishno,0))="","",INDEX(exp_fact,MATCH(121,exp_wishno,0))))</f>
        <v/>
      </c>
      <c r="I127" s="41">
        <f>IF($A127="","",IF(INDEX(exp_status,MATCH(121,exp_wishno,0))="","",INDEX(exp_status,MATCH(121,exp_wishno,0))))</f>
        <v/>
      </c>
    </row>
    <row r="128">
      <c r="A128" s="80">
        <f>IF(ISNA(MATCH(122,exp_wishno,0)),"",122)</f>
        <v/>
      </c>
      <c r="B128" s="41">
        <f>IF($A128="","",IF(INDEX(exp_desc,MATCH(122,exp_wishno,0))="","",INDEX(exp_desc,MATCH(122,exp_wishno,0))))</f>
        <v/>
      </c>
      <c r="C128" s="41">
        <f>IF($A128="","",IF(INDEX(exp_cat,MATCH(122,exp_wishno,0))="","",INDEX(exp_cat,MATCH(122,exp_wishno,0))))</f>
        <v/>
      </c>
      <c r="D128" s="80">
        <f>IF($A128="","",IF(INDEX(exp_prio,MATCH(122,exp_wishno,0))="","",INDEX(exp_prio,MATCH(122,exp_wishno,0))))</f>
        <v/>
      </c>
      <c r="E128" s="80">
        <f>IF($A128="","",IF(INDEX(exp_year,MATCH(122,exp_wishno,0))="","",INDEX(exp_year,MATCH(122,exp_wishno,0))))</f>
        <v/>
      </c>
      <c r="F128" s="80">
        <f>IF($A128="","",IF(INDEX(exp_month,MATCH(122,exp_wishno,0))="","",INDEX(exp_month,MATCH(122,exp_wishno,0))))</f>
        <v/>
      </c>
      <c r="G128" s="81">
        <f>IF($A128="","",IF(INDEX(exp_plan,MATCH(122,exp_wishno,0))="","",INDEX(exp_plan,MATCH(122,exp_wishno,0))))</f>
        <v/>
      </c>
      <c r="H128" s="82">
        <f>IF($A128="","",IF(INDEX(exp_fact,MATCH(122,exp_wishno,0))="","",INDEX(exp_fact,MATCH(122,exp_wishno,0))))</f>
        <v/>
      </c>
      <c r="I128" s="41">
        <f>IF($A128="","",IF(INDEX(exp_status,MATCH(122,exp_wishno,0))="","",INDEX(exp_status,MATCH(122,exp_wishno,0))))</f>
        <v/>
      </c>
    </row>
    <row r="129">
      <c r="A129" s="80">
        <f>IF(ISNA(MATCH(123,exp_wishno,0)),"",123)</f>
        <v/>
      </c>
      <c r="B129" s="41">
        <f>IF($A129="","",IF(INDEX(exp_desc,MATCH(123,exp_wishno,0))="","",INDEX(exp_desc,MATCH(123,exp_wishno,0))))</f>
        <v/>
      </c>
      <c r="C129" s="41">
        <f>IF($A129="","",IF(INDEX(exp_cat,MATCH(123,exp_wishno,0))="","",INDEX(exp_cat,MATCH(123,exp_wishno,0))))</f>
        <v/>
      </c>
      <c r="D129" s="80">
        <f>IF($A129="","",IF(INDEX(exp_prio,MATCH(123,exp_wishno,0))="","",INDEX(exp_prio,MATCH(123,exp_wishno,0))))</f>
        <v/>
      </c>
      <c r="E129" s="80">
        <f>IF($A129="","",IF(INDEX(exp_year,MATCH(123,exp_wishno,0))="","",INDEX(exp_year,MATCH(123,exp_wishno,0))))</f>
        <v/>
      </c>
      <c r="F129" s="80">
        <f>IF($A129="","",IF(INDEX(exp_month,MATCH(123,exp_wishno,0))="","",INDEX(exp_month,MATCH(123,exp_wishno,0))))</f>
        <v/>
      </c>
      <c r="G129" s="81">
        <f>IF($A129="","",IF(INDEX(exp_plan,MATCH(123,exp_wishno,0))="","",INDEX(exp_plan,MATCH(123,exp_wishno,0))))</f>
        <v/>
      </c>
      <c r="H129" s="82">
        <f>IF($A129="","",IF(INDEX(exp_fact,MATCH(123,exp_wishno,0))="","",INDEX(exp_fact,MATCH(123,exp_wishno,0))))</f>
        <v/>
      </c>
      <c r="I129" s="41">
        <f>IF($A129="","",IF(INDEX(exp_status,MATCH(123,exp_wishno,0))="","",INDEX(exp_status,MATCH(123,exp_wishno,0))))</f>
        <v/>
      </c>
    </row>
    <row r="130">
      <c r="A130" s="80">
        <f>IF(ISNA(MATCH(124,exp_wishno,0)),"",124)</f>
        <v/>
      </c>
      <c r="B130" s="41">
        <f>IF($A130="","",IF(INDEX(exp_desc,MATCH(124,exp_wishno,0))="","",INDEX(exp_desc,MATCH(124,exp_wishno,0))))</f>
        <v/>
      </c>
      <c r="C130" s="41">
        <f>IF($A130="","",IF(INDEX(exp_cat,MATCH(124,exp_wishno,0))="","",INDEX(exp_cat,MATCH(124,exp_wishno,0))))</f>
        <v/>
      </c>
      <c r="D130" s="80">
        <f>IF($A130="","",IF(INDEX(exp_prio,MATCH(124,exp_wishno,0))="","",INDEX(exp_prio,MATCH(124,exp_wishno,0))))</f>
        <v/>
      </c>
      <c r="E130" s="80">
        <f>IF($A130="","",IF(INDEX(exp_year,MATCH(124,exp_wishno,0))="","",INDEX(exp_year,MATCH(124,exp_wishno,0))))</f>
        <v/>
      </c>
      <c r="F130" s="80">
        <f>IF($A130="","",IF(INDEX(exp_month,MATCH(124,exp_wishno,0))="","",INDEX(exp_month,MATCH(124,exp_wishno,0))))</f>
        <v/>
      </c>
      <c r="G130" s="81">
        <f>IF($A130="","",IF(INDEX(exp_plan,MATCH(124,exp_wishno,0))="","",INDEX(exp_plan,MATCH(124,exp_wishno,0))))</f>
        <v/>
      </c>
      <c r="H130" s="82">
        <f>IF($A130="","",IF(INDEX(exp_fact,MATCH(124,exp_wishno,0))="","",INDEX(exp_fact,MATCH(124,exp_wishno,0))))</f>
        <v/>
      </c>
      <c r="I130" s="41">
        <f>IF($A130="","",IF(INDEX(exp_status,MATCH(124,exp_wishno,0))="","",INDEX(exp_status,MATCH(124,exp_wishno,0))))</f>
        <v/>
      </c>
    </row>
    <row r="131">
      <c r="A131" s="80">
        <f>IF(ISNA(MATCH(125,exp_wishno,0)),"",125)</f>
        <v/>
      </c>
      <c r="B131" s="41">
        <f>IF($A131="","",IF(INDEX(exp_desc,MATCH(125,exp_wishno,0))="","",INDEX(exp_desc,MATCH(125,exp_wishno,0))))</f>
        <v/>
      </c>
      <c r="C131" s="41">
        <f>IF($A131="","",IF(INDEX(exp_cat,MATCH(125,exp_wishno,0))="","",INDEX(exp_cat,MATCH(125,exp_wishno,0))))</f>
        <v/>
      </c>
      <c r="D131" s="80">
        <f>IF($A131="","",IF(INDEX(exp_prio,MATCH(125,exp_wishno,0))="","",INDEX(exp_prio,MATCH(125,exp_wishno,0))))</f>
        <v/>
      </c>
      <c r="E131" s="80">
        <f>IF($A131="","",IF(INDEX(exp_year,MATCH(125,exp_wishno,0))="","",INDEX(exp_year,MATCH(125,exp_wishno,0))))</f>
        <v/>
      </c>
      <c r="F131" s="80">
        <f>IF($A131="","",IF(INDEX(exp_month,MATCH(125,exp_wishno,0))="","",INDEX(exp_month,MATCH(125,exp_wishno,0))))</f>
        <v/>
      </c>
      <c r="G131" s="81">
        <f>IF($A131="","",IF(INDEX(exp_plan,MATCH(125,exp_wishno,0))="","",INDEX(exp_plan,MATCH(125,exp_wishno,0))))</f>
        <v/>
      </c>
      <c r="H131" s="82">
        <f>IF($A131="","",IF(INDEX(exp_fact,MATCH(125,exp_wishno,0))="","",INDEX(exp_fact,MATCH(125,exp_wishno,0))))</f>
        <v/>
      </c>
      <c r="I131" s="41">
        <f>IF($A131="","",IF(INDEX(exp_status,MATCH(125,exp_wishno,0))="","",INDEX(exp_status,MATCH(125,exp_wishno,0))))</f>
        <v/>
      </c>
    </row>
    <row r="132">
      <c r="A132" s="80">
        <f>IF(ISNA(MATCH(126,exp_wishno,0)),"",126)</f>
        <v/>
      </c>
      <c r="B132" s="41">
        <f>IF($A132="","",IF(INDEX(exp_desc,MATCH(126,exp_wishno,0))="","",INDEX(exp_desc,MATCH(126,exp_wishno,0))))</f>
        <v/>
      </c>
      <c r="C132" s="41">
        <f>IF($A132="","",IF(INDEX(exp_cat,MATCH(126,exp_wishno,0))="","",INDEX(exp_cat,MATCH(126,exp_wishno,0))))</f>
        <v/>
      </c>
      <c r="D132" s="80">
        <f>IF($A132="","",IF(INDEX(exp_prio,MATCH(126,exp_wishno,0))="","",INDEX(exp_prio,MATCH(126,exp_wishno,0))))</f>
        <v/>
      </c>
      <c r="E132" s="80">
        <f>IF($A132="","",IF(INDEX(exp_year,MATCH(126,exp_wishno,0))="","",INDEX(exp_year,MATCH(126,exp_wishno,0))))</f>
        <v/>
      </c>
      <c r="F132" s="80">
        <f>IF($A132="","",IF(INDEX(exp_month,MATCH(126,exp_wishno,0))="","",INDEX(exp_month,MATCH(126,exp_wishno,0))))</f>
        <v/>
      </c>
      <c r="G132" s="81">
        <f>IF($A132="","",IF(INDEX(exp_plan,MATCH(126,exp_wishno,0))="","",INDEX(exp_plan,MATCH(126,exp_wishno,0))))</f>
        <v/>
      </c>
      <c r="H132" s="82">
        <f>IF($A132="","",IF(INDEX(exp_fact,MATCH(126,exp_wishno,0))="","",INDEX(exp_fact,MATCH(126,exp_wishno,0))))</f>
        <v/>
      </c>
      <c r="I132" s="41">
        <f>IF($A132="","",IF(INDEX(exp_status,MATCH(126,exp_wishno,0))="","",INDEX(exp_status,MATCH(126,exp_wishno,0))))</f>
        <v/>
      </c>
    </row>
    <row r="133">
      <c r="A133" s="80">
        <f>IF(ISNA(MATCH(127,exp_wishno,0)),"",127)</f>
        <v/>
      </c>
      <c r="B133" s="41">
        <f>IF($A133="","",IF(INDEX(exp_desc,MATCH(127,exp_wishno,0))="","",INDEX(exp_desc,MATCH(127,exp_wishno,0))))</f>
        <v/>
      </c>
      <c r="C133" s="41">
        <f>IF($A133="","",IF(INDEX(exp_cat,MATCH(127,exp_wishno,0))="","",INDEX(exp_cat,MATCH(127,exp_wishno,0))))</f>
        <v/>
      </c>
      <c r="D133" s="80">
        <f>IF($A133="","",IF(INDEX(exp_prio,MATCH(127,exp_wishno,0))="","",INDEX(exp_prio,MATCH(127,exp_wishno,0))))</f>
        <v/>
      </c>
      <c r="E133" s="80">
        <f>IF($A133="","",IF(INDEX(exp_year,MATCH(127,exp_wishno,0))="","",INDEX(exp_year,MATCH(127,exp_wishno,0))))</f>
        <v/>
      </c>
      <c r="F133" s="80">
        <f>IF($A133="","",IF(INDEX(exp_month,MATCH(127,exp_wishno,0))="","",INDEX(exp_month,MATCH(127,exp_wishno,0))))</f>
        <v/>
      </c>
      <c r="G133" s="81">
        <f>IF($A133="","",IF(INDEX(exp_plan,MATCH(127,exp_wishno,0))="","",INDEX(exp_plan,MATCH(127,exp_wishno,0))))</f>
        <v/>
      </c>
      <c r="H133" s="82">
        <f>IF($A133="","",IF(INDEX(exp_fact,MATCH(127,exp_wishno,0))="","",INDEX(exp_fact,MATCH(127,exp_wishno,0))))</f>
        <v/>
      </c>
      <c r="I133" s="41">
        <f>IF($A133="","",IF(INDEX(exp_status,MATCH(127,exp_wishno,0))="","",INDEX(exp_status,MATCH(127,exp_wishno,0))))</f>
        <v/>
      </c>
    </row>
    <row r="134">
      <c r="A134" s="80">
        <f>IF(ISNA(MATCH(128,exp_wishno,0)),"",128)</f>
        <v/>
      </c>
      <c r="B134" s="41">
        <f>IF($A134="","",IF(INDEX(exp_desc,MATCH(128,exp_wishno,0))="","",INDEX(exp_desc,MATCH(128,exp_wishno,0))))</f>
        <v/>
      </c>
      <c r="C134" s="41">
        <f>IF($A134="","",IF(INDEX(exp_cat,MATCH(128,exp_wishno,0))="","",INDEX(exp_cat,MATCH(128,exp_wishno,0))))</f>
        <v/>
      </c>
      <c r="D134" s="80">
        <f>IF($A134="","",IF(INDEX(exp_prio,MATCH(128,exp_wishno,0))="","",INDEX(exp_prio,MATCH(128,exp_wishno,0))))</f>
        <v/>
      </c>
      <c r="E134" s="80">
        <f>IF($A134="","",IF(INDEX(exp_year,MATCH(128,exp_wishno,0))="","",INDEX(exp_year,MATCH(128,exp_wishno,0))))</f>
        <v/>
      </c>
      <c r="F134" s="80">
        <f>IF($A134="","",IF(INDEX(exp_month,MATCH(128,exp_wishno,0))="","",INDEX(exp_month,MATCH(128,exp_wishno,0))))</f>
        <v/>
      </c>
      <c r="G134" s="81">
        <f>IF($A134="","",IF(INDEX(exp_plan,MATCH(128,exp_wishno,0))="","",INDEX(exp_plan,MATCH(128,exp_wishno,0))))</f>
        <v/>
      </c>
      <c r="H134" s="82">
        <f>IF($A134="","",IF(INDEX(exp_fact,MATCH(128,exp_wishno,0))="","",INDEX(exp_fact,MATCH(128,exp_wishno,0))))</f>
        <v/>
      </c>
      <c r="I134" s="41">
        <f>IF($A134="","",IF(INDEX(exp_status,MATCH(128,exp_wishno,0))="","",INDEX(exp_status,MATCH(128,exp_wishno,0))))</f>
        <v/>
      </c>
    </row>
    <row r="135">
      <c r="A135" s="80">
        <f>IF(ISNA(MATCH(129,exp_wishno,0)),"",129)</f>
        <v/>
      </c>
      <c r="B135" s="41">
        <f>IF($A135="","",IF(INDEX(exp_desc,MATCH(129,exp_wishno,0))="","",INDEX(exp_desc,MATCH(129,exp_wishno,0))))</f>
        <v/>
      </c>
      <c r="C135" s="41">
        <f>IF($A135="","",IF(INDEX(exp_cat,MATCH(129,exp_wishno,0))="","",INDEX(exp_cat,MATCH(129,exp_wishno,0))))</f>
        <v/>
      </c>
      <c r="D135" s="80">
        <f>IF($A135="","",IF(INDEX(exp_prio,MATCH(129,exp_wishno,0))="","",INDEX(exp_prio,MATCH(129,exp_wishno,0))))</f>
        <v/>
      </c>
      <c r="E135" s="80">
        <f>IF($A135="","",IF(INDEX(exp_year,MATCH(129,exp_wishno,0))="","",INDEX(exp_year,MATCH(129,exp_wishno,0))))</f>
        <v/>
      </c>
      <c r="F135" s="80">
        <f>IF($A135="","",IF(INDEX(exp_month,MATCH(129,exp_wishno,0))="","",INDEX(exp_month,MATCH(129,exp_wishno,0))))</f>
        <v/>
      </c>
      <c r="G135" s="81">
        <f>IF($A135="","",IF(INDEX(exp_plan,MATCH(129,exp_wishno,0))="","",INDEX(exp_plan,MATCH(129,exp_wishno,0))))</f>
        <v/>
      </c>
      <c r="H135" s="82">
        <f>IF($A135="","",IF(INDEX(exp_fact,MATCH(129,exp_wishno,0))="","",INDEX(exp_fact,MATCH(129,exp_wishno,0))))</f>
        <v/>
      </c>
      <c r="I135" s="41">
        <f>IF($A135="","",IF(INDEX(exp_status,MATCH(129,exp_wishno,0))="","",INDEX(exp_status,MATCH(129,exp_wishno,0))))</f>
        <v/>
      </c>
    </row>
    <row r="136">
      <c r="A136" s="80">
        <f>IF(ISNA(MATCH(130,exp_wishno,0)),"",130)</f>
        <v/>
      </c>
      <c r="B136" s="41">
        <f>IF($A136="","",IF(INDEX(exp_desc,MATCH(130,exp_wishno,0))="","",INDEX(exp_desc,MATCH(130,exp_wishno,0))))</f>
        <v/>
      </c>
      <c r="C136" s="41">
        <f>IF($A136="","",IF(INDEX(exp_cat,MATCH(130,exp_wishno,0))="","",INDEX(exp_cat,MATCH(130,exp_wishno,0))))</f>
        <v/>
      </c>
      <c r="D136" s="80">
        <f>IF($A136="","",IF(INDEX(exp_prio,MATCH(130,exp_wishno,0))="","",INDEX(exp_prio,MATCH(130,exp_wishno,0))))</f>
        <v/>
      </c>
      <c r="E136" s="80">
        <f>IF($A136="","",IF(INDEX(exp_year,MATCH(130,exp_wishno,0))="","",INDEX(exp_year,MATCH(130,exp_wishno,0))))</f>
        <v/>
      </c>
      <c r="F136" s="80">
        <f>IF($A136="","",IF(INDEX(exp_month,MATCH(130,exp_wishno,0))="","",INDEX(exp_month,MATCH(130,exp_wishno,0))))</f>
        <v/>
      </c>
      <c r="G136" s="81">
        <f>IF($A136="","",IF(INDEX(exp_plan,MATCH(130,exp_wishno,0))="","",INDEX(exp_plan,MATCH(130,exp_wishno,0))))</f>
        <v/>
      </c>
      <c r="H136" s="82">
        <f>IF($A136="","",IF(INDEX(exp_fact,MATCH(130,exp_wishno,0))="","",INDEX(exp_fact,MATCH(130,exp_wishno,0))))</f>
        <v/>
      </c>
      <c r="I136" s="41">
        <f>IF($A136="","",IF(INDEX(exp_status,MATCH(130,exp_wishno,0))="","",INDEX(exp_status,MATCH(130,exp_wishno,0))))</f>
        <v/>
      </c>
    </row>
    <row r="137">
      <c r="A137" s="80">
        <f>IF(ISNA(MATCH(131,exp_wishno,0)),"",131)</f>
        <v/>
      </c>
      <c r="B137" s="41">
        <f>IF($A137="","",IF(INDEX(exp_desc,MATCH(131,exp_wishno,0))="","",INDEX(exp_desc,MATCH(131,exp_wishno,0))))</f>
        <v/>
      </c>
      <c r="C137" s="41">
        <f>IF($A137="","",IF(INDEX(exp_cat,MATCH(131,exp_wishno,0))="","",INDEX(exp_cat,MATCH(131,exp_wishno,0))))</f>
        <v/>
      </c>
      <c r="D137" s="80">
        <f>IF($A137="","",IF(INDEX(exp_prio,MATCH(131,exp_wishno,0))="","",INDEX(exp_prio,MATCH(131,exp_wishno,0))))</f>
        <v/>
      </c>
      <c r="E137" s="80">
        <f>IF($A137="","",IF(INDEX(exp_year,MATCH(131,exp_wishno,0))="","",INDEX(exp_year,MATCH(131,exp_wishno,0))))</f>
        <v/>
      </c>
      <c r="F137" s="80">
        <f>IF($A137="","",IF(INDEX(exp_month,MATCH(131,exp_wishno,0))="","",INDEX(exp_month,MATCH(131,exp_wishno,0))))</f>
        <v/>
      </c>
      <c r="G137" s="81">
        <f>IF($A137="","",IF(INDEX(exp_plan,MATCH(131,exp_wishno,0))="","",INDEX(exp_plan,MATCH(131,exp_wishno,0))))</f>
        <v/>
      </c>
      <c r="H137" s="82">
        <f>IF($A137="","",IF(INDEX(exp_fact,MATCH(131,exp_wishno,0))="","",INDEX(exp_fact,MATCH(131,exp_wishno,0))))</f>
        <v/>
      </c>
      <c r="I137" s="41">
        <f>IF($A137="","",IF(INDEX(exp_status,MATCH(131,exp_wishno,0))="","",INDEX(exp_status,MATCH(131,exp_wishno,0))))</f>
        <v/>
      </c>
    </row>
    <row r="138">
      <c r="A138" s="80">
        <f>IF(ISNA(MATCH(132,exp_wishno,0)),"",132)</f>
        <v/>
      </c>
      <c r="B138" s="41">
        <f>IF($A138="","",IF(INDEX(exp_desc,MATCH(132,exp_wishno,0))="","",INDEX(exp_desc,MATCH(132,exp_wishno,0))))</f>
        <v/>
      </c>
      <c r="C138" s="41">
        <f>IF($A138="","",IF(INDEX(exp_cat,MATCH(132,exp_wishno,0))="","",INDEX(exp_cat,MATCH(132,exp_wishno,0))))</f>
        <v/>
      </c>
      <c r="D138" s="80">
        <f>IF($A138="","",IF(INDEX(exp_prio,MATCH(132,exp_wishno,0))="","",INDEX(exp_prio,MATCH(132,exp_wishno,0))))</f>
        <v/>
      </c>
      <c r="E138" s="80">
        <f>IF($A138="","",IF(INDEX(exp_year,MATCH(132,exp_wishno,0))="","",INDEX(exp_year,MATCH(132,exp_wishno,0))))</f>
        <v/>
      </c>
      <c r="F138" s="80">
        <f>IF($A138="","",IF(INDEX(exp_month,MATCH(132,exp_wishno,0))="","",INDEX(exp_month,MATCH(132,exp_wishno,0))))</f>
        <v/>
      </c>
      <c r="G138" s="81">
        <f>IF($A138="","",IF(INDEX(exp_plan,MATCH(132,exp_wishno,0))="","",INDEX(exp_plan,MATCH(132,exp_wishno,0))))</f>
        <v/>
      </c>
      <c r="H138" s="82">
        <f>IF($A138="","",IF(INDEX(exp_fact,MATCH(132,exp_wishno,0))="","",INDEX(exp_fact,MATCH(132,exp_wishno,0))))</f>
        <v/>
      </c>
      <c r="I138" s="41">
        <f>IF($A138="","",IF(INDEX(exp_status,MATCH(132,exp_wishno,0))="","",INDEX(exp_status,MATCH(132,exp_wishno,0))))</f>
        <v/>
      </c>
    </row>
    <row r="139">
      <c r="A139" s="80">
        <f>IF(ISNA(MATCH(133,exp_wishno,0)),"",133)</f>
        <v/>
      </c>
      <c r="B139" s="41">
        <f>IF($A139="","",IF(INDEX(exp_desc,MATCH(133,exp_wishno,0))="","",INDEX(exp_desc,MATCH(133,exp_wishno,0))))</f>
        <v/>
      </c>
      <c r="C139" s="41">
        <f>IF($A139="","",IF(INDEX(exp_cat,MATCH(133,exp_wishno,0))="","",INDEX(exp_cat,MATCH(133,exp_wishno,0))))</f>
        <v/>
      </c>
      <c r="D139" s="80">
        <f>IF($A139="","",IF(INDEX(exp_prio,MATCH(133,exp_wishno,0))="","",INDEX(exp_prio,MATCH(133,exp_wishno,0))))</f>
        <v/>
      </c>
      <c r="E139" s="80">
        <f>IF($A139="","",IF(INDEX(exp_year,MATCH(133,exp_wishno,0))="","",INDEX(exp_year,MATCH(133,exp_wishno,0))))</f>
        <v/>
      </c>
      <c r="F139" s="80">
        <f>IF($A139="","",IF(INDEX(exp_month,MATCH(133,exp_wishno,0))="","",INDEX(exp_month,MATCH(133,exp_wishno,0))))</f>
        <v/>
      </c>
      <c r="G139" s="81">
        <f>IF($A139="","",IF(INDEX(exp_plan,MATCH(133,exp_wishno,0))="","",INDEX(exp_plan,MATCH(133,exp_wishno,0))))</f>
        <v/>
      </c>
      <c r="H139" s="82">
        <f>IF($A139="","",IF(INDEX(exp_fact,MATCH(133,exp_wishno,0))="","",INDEX(exp_fact,MATCH(133,exp_wishno,0))))</f>
        <v/>
      </c>
      <c r="I139" s="41">
        <f>IF($A139="","",IF(INDEX(exp_status,MATCH(133,exp_wishno,0))="","",INDEX(exp_status,MATCH(133,exp_wishno,0))))</f>
        <v/>
      </c>
    </row>
    <row r="140">
      <c r="A140" s="80">
        <f>IF(ISNA(MATCH(134,exp_wishno,0)),"",134)</f>
        <v/>
      </c>
      <c r="B140" s="41">
        <f>IF($A140="","",IF(INDEX(exp_desc,MATCH(134,exp_wishno,0))="","",INDEX(exp_desc,MATCH(134,exp_wishno,0))))</f>
        <v/>
      </c>
      <c r="C140" s="41">
        <f>IF($A140="","",IF(INDEX(exp_cat,MATCH(134,exp_wishno,0))="","",INDEX(exp_cat,MATCH(134,exp_wishno,0))))</f>
        <v/>
      </c>
      <c r="D140" s="80">
        <f>IF($A140="","",IF(INDEX(exp_prio,MATCH(134,exp_wishno,0))="","",INDEX(exp_prio,MATCH(134,exp_wishno,0))))</f>
        <v/>
      </c>
      <c r="E140" s="80">
        <f>IF($A140="","",IF(INDEX(exp_year,MATCH(134,exp_wishno,0))="","",INDEX(exp_year,MATCH(134,exp_wishno,0))))</f>
        <v/>
      </c>
      <c r="F140" s="80">
        <f>IF($A140="","",IF(INDEX(exp_month,MATCH(134,exp_wishno,0))="","",INDEX(exp_month,MATCH(134,exp_wishno,0))))</f>
        <v/>
      </c>
      <c r="G140" s="81">
        <f>IF($A140="","",IF(INDEX(exp_plan,MATCH(134,exp_wishno,0))="","",INDEX(exp_plan,MATCH(134,exp_wishno,0))))</f>
        <v/>
      </c>
      <c r="H140" s="82">
        <f>IF($A140="","",IF(INDEX(exp_fact,MATCH(134,exp_wishno,0))="","",INDEX(exp_fact,MATCH(134,exp_wishno,0))))</f>
        <v/>
      </c>
      <c r="I140" s="41">
        <f>IF($A140="","",IF(INDEX(exp_status,MATCH(134,exp_wishno,0))="","",INDEX(exp_status,MATCH(134,exp_wishno,0))))</f>
        <v/>
      </c>
    </row>
    <row r="141">
      <c r="A141" s="80">
        <f>IF(ISNA(MATCH(135,exp_wishno,0)),"",135)</f>
        <v/>
      </c>
      <c r="B141" s="41">
        <f>IF($A141="","",IF(INDEX(exp_desc,MATCH(135,exp_wishno,0))="","",INDEX(exp_desc,MATCH(135,exp_wishno,0))))</f>
        <v/>
      </c>
      <c r="C141" s="41">
        <f>IF($A141="","",IF(INDEX(exp_cat,MATCH(135,exp_wishno,0))="","",INDEX(exp_cat,MATCH(135,exp_wishno,0))))</f>
        <v/>
      </c>
      <c r="D141" s="80">
        <f>IF($A141="","",IF(INDEX(exp_prio,MATCH(135,exp_wishno,0))="","",INDEX(exp_prio,MATCH(135,exp_wishno,0))))</f>
        <v/>
      </c>
      <c r="E141" s="80">
        <f>IF($A141="","",IF(INDEX(exp_year,MATCH(135,exp_wishno,0))="","",INDEX(exp_year,MATCH(135,exp_wishno,0))))</f>
        <v/>
      </c>
      <c r="F141" s="80">
        <f>IF($A141="","",IF(INDEX(exp_month,MATCH(135,exp_wishno,0))="","",INDEX(exp_month,MATCH(135,exp_wishno,0))))</f>
        <v/>
      </c>
      <c r="G141" s="81">
        <f>IF($A141="","",IF(INDEX(exp_plan,MATCH(135,exp_wishno,0))="","",INDEX(exp_plan,MATCH(135,exp_wishno,0))))</f>
        <v/>
      </c>
      <c r="H141" s="82">
        <f>IF($A141="","",IF(INDEX(exp_fact,MATCH(135,exp_wishno,0))="","",INDEX(exp_fact,MATCH(135,exp_wishno,0))))</f>
        <v/>
      </c>
      <c r="I141" s="41">
        <f>IF($A141="","",IF(INDEX(exp_status,MATCH(135,exp_wishno,0))="","",INDEX(exp_status,MATCH(135,exp_wishno,0))))</f>
        <v/>
      </c>
    </row>
    <row r="142">
      <c r="A142" s="80">
        <f>IF(ISNA(MATCH(136,exp_wishno,0)),"",136)</f>
        <v/>
      </c>
      <c r="B142" s="41">
        <f>IF($A142="","",IF(INDEX(exp_desc,MATCH(136,exp_wishno,0))="","",INDEX(exp_desc,MATCH(136,exp_wishno,0))))</f>
        <v/>
      </c>
      <c r="C142" s="41">
        <f>IF($A142="","",IF(INDEX(exp_cat,MATCH(136,exp_wishno,0))="","",INDEX(exp_cat,MATCH(136,exp_wishno,0))))</f>
        <v/>
      </c>
      <c r="D142" s="80">
        <f>IF($A142="","",IF(INDEX(exp_prio,MATCH(136,exp_wishno,0))="","",INDEX(exp_prio,MATCH(136,exp_wishno,0))))</f>
        <v/>
      </c>
      <c r="E142" s="80">
        <f>IF($A142="","",IF(INDEX(exp_year,MATCH(136,exp_wishno,0))="","",INDEX(exp_year,MATCH(136,exp_wishno,0))))</f>
        <v/>
      </c>
      <c r="F142" s="80">
        <f>IF($A142="","",IF(INDEX(exp_month,MATCH(136,exp_wishno,0))="","",INDEX(exp_month,MATCH(136,exp_wishno,0))))</f>
        <v/>
      </c>
      <c r="G142" s="81">
        <f>IF($A142="","",IF(INDEX(exp_plan,MATCH(136,exp_wishno,0))="","",INDEX(exp_plan,MATCH(136,exp_wishno,0))))</f>
        <v/>
      </c>
      <c r="H142" s="82">
        <f>IF($A142="","",IF(INDEX(exp_fact,MATCH(136,exp_wishno,0))="","",INDEX(exp_fact,MATCH(136,exp_wishno,0))))</f>
        <v/>
      </c>
      <c r="I142" s="41">
        <f>IF($A142="","",IF(INDEX(exp_status,MATCH(136,exp_wishno,0))="","",INDEX(exp_status,MATCH(136,exp_wishno,0))))</f>
        <v/>
      </c>
    </row>
    <row r="143">
      <c r="A143" s="80">
        <f>IF(ISNA(MATCH(137,exp_wishno,0)),"",137)</f>
        <v/>
      </c>
      <c r="B143" s="41">
        <f>IF($A143="","",IF(INDEX(exp_desc,MATCH(137,exp_wishno,0))="","",INDEX(exp_desc,MATCH(137,exp_wishno,0))))</f>
        <v/>
      </c>
      <c r="C143" s="41">
        <f>IF($A143="","",IF(INDEX(exp_cat,MATCH(137,exp_wishno,0))="","",INDEX(exp_cat,MATCH(137,exp_wishno,0))))</f>
        <v/>
      </c>
      <c r="D143" s="80">
        <f>IF($A143="","",IF(INDEX(exp_prio,MATCH(137,exp_wishno,0))="","",INDEX(exp_prio,MATCH(137,exp_wishno,0))))</f>
        <v/>
      </c>
      <c r="E143" s="80">
        <f>IF($A143="","",IF(INDEX(exp_year,MATCH(137,exp_wishno,0))="","",INDEX(exp_year,MATCH(137,exp_wishno,0))))</f>
        <v/>
      </c>
      <c r="F143" s="80">
        <f>IF($A143="","",IF(INDEX(exp_month,MATCH(137,exp_wishno,0))="","",INDEX(exp_month,MATCH(137,exp_wishno,0))))</f>
        <v/>
      </c>
      <c r="G143" s="81">
        <f>IF($A143="","",IF(INDEX(exp_plan,MATCH(137,exp_wishno,0))="","",INDEX(exp_plan,MATCH(137,exp_wishno,0))))</f>
        <v/>
      </c>
      <c r="H143" s="82">
        <f>IF($A143="","",IF(INDEX(exp_fact,MATCH(137,exp_wishno,0))="","",INDEX(exp_fact,MATCH(137,exp_wishno,0))))</f>
        <v/>
      </c>
      <c r="I143" s="41">
        <f>IF($A143="","",IF(INDEX(exp_status,MATCH(137,exp_wishno,0))="","",INDEX(exp_status,MATCH(137,exp_wishno,0))))</f>
        <v/>
      </c>
    </row>
    <row r="144">
      <c r="A144" s="80">
        <f>IF(ISNA(MATCH(138,exp_wishno,0)),"",138)</f>
        <v/>
      </c>
      <c r="B144" s="41">
        <f>IF($A144="","",IF(INDEX(exp_desc,MATCH(138,exp_wishno,0))="","",INDEX(exp_desc,MATCH(138,exp_wishno,0))))</f>
        <v/>
      </c>
      <c r="C144" s="41">
        <f>IF($A144="","",IF(INDEX(exp_cat,MATCH(138,exp_wishno,0))="","",INDEX(exp_cat,MATCH(138,exp_wishno,0))))</f>
        <v/>
      </c>
      <c r="D144" s="80">
        <f>IF($A144="","",IF(INDEX(exp_prio,MATCH(138,exp_wishno,0))="","",INDEX(exp_prio,MATCH(138,exp_wishno,0))))</f>
        <v/>
      </c>
      <c r="E144" s="80">
        <f>IF($A144="","",IF(INDEX(exp_year,MATCH(138,exp_wishno,0))="","",INDEX(exp_year,MATCH(138,exp_wishno,0))))</f>
        <v/>
      </c>
      <c r="F144" s="80">
        <f>IF($A144="","",IF(INDEX(exp_month,MATCH(138,exp_wishno,0))="","",INDEX(exp_month,MATCH(138,exp_wishno,0))))</f>
        <v/>
      </c>
      <c r="G144" s="81">
        <f>IF($A144="","",IF(INDEX(exp_plan,MATCH(138,exp_wishno,0))="","",INDEX(exp_plan,MATCH(138,exp_wishno,0))))</f>
        <v/>
      </c>
      <c r="H144" s="82">
        <f>IF($A144="","",IF(INDEX(exp_fact,MATCH(138,exp_wishno,0))="","",INDEX(exp_fact,MATCH(138,exp_wishno,0))))</f>
        <v/>
      </c>
      <c r="I144" s="41">
        <f>IF($A144="","",IF(INDEX(exp_status,MATCH(138,exp_wishno,0))="","",INDEX(exp_status,MATCH(138,exp_wishno,0))))</f>
        <v/>
      </c>
    </row>
    <row r="145">
      <c r="A145" s="80">
        <f>IF(ISNA(MATCH(139,exp_wishno,0)),"",139)</f>
        <v/>
      </c>
      <c r="B145" s="41">
        <f>IF($A145="","",IF(INDEX(exp_desc,MATCH(139,exp_wishno,0))="","",INDEX(exp_desc,MATCH(139,exp_wishno,0))))</f>
        <v/>
      </c>
      <c r="C145" s="41">
        <f>IF($A145="","",IF(INDEX(exp_cat,MATCH(139,exp_wishno,0))="","",INDEX(exp_cat,MATCH(139,exp_wishno,0))))</f>
        <v/>
      </c>
      <c r="D145" s="80">
        <f>IF($A145="","",IF(INDEX(exp_prio,MATCH(139,exp_wishno,0))="","",INDEX(exp_prio,MATCH(139,exp_wishno,0))))</f>
        <v/>
      </c>
      <c r="E145" s="80">
        <f>IF($A145="","",IF(INDEX(exp_year,MATCH(139,exp_wishno,0))="","",INDEX(exp_year,MATCH(139,exp_wishno,0))))</f>
        <v/>
      </c>
      <c r="F145" s="80">
        <f>IF($A145="","",IF(INDEX(exp_month,MATCH(139,exp_wishno,0))="","",INDEX(exp_month,MATCH(139,exp_wishno,0))))</f>
        <v/>
      </c>
      <c r="G145" s="81">
        <f>IF($A145="","",IF(INDEX(exp_plan,MATCH(139,exp_wishno,0))="","",INDEX(exp_plan,MATCH(139,exp_wishno,0))))</f>
        <v/>
      </c>
      <c r="H145" s="82">
        <f>IF($A145="","",IF(INDEX(exp_fact,MATCH(139,exp_wishno,0))="","",INDEX(exp_fact,MATCH(139,exp_wishno,0))))</f>
        <v/>
      </c>
      <c r="I145" s="41">
        <f>IF($A145="","",IF(INDEX(exp_status,MATCH(139,exp_wishno,0))="","",INDEX(exp_status,MATCH(139,exp_wishno,0))))</f>
        <v/>
      </c>
    </row>
    <row r="146">
      <c r="A146" s="80">
        <f>IF(ISNA(MATCH(140,exp_wishno,0)),"",140)</f>
        <v/>
      </c>
      <c r="B146" s="41">
        <f>IF($A146="","",IF(INDEX(exp_desc,MATCH(140,exp_wishno,0))="","",INDEX(exp_desc,MATCH(140,exp_wishno,0))))</f>
        <v/>
      </c>
      <c r="C146" s="41">
        <f>IF($A146="","",IF(INDEX(exp_cat,MATCH(140,exp_wishno,0))="","",INDEX(exp_cat,MATCH(140,exp_wishno,0))))</f>
        <v/>
      </c>
      <c r="D146" s="80">
        <f>IF($A146="","",IF(INDEX(exp_prio,MATCH(140,exp_wishno,0))="","",INDEX(exp_prio,MATCH(140,exp_wishno,0))))</f>
        <v/>
      </c>
      <c r="E146" s="80">
        <f>IF($A146="","",IF(INDEX(exp_year,MATCH(140,exp_wishno,0))="","",INDEX(exp_year,MATCH(140,exp_wishno,0))))</f>
        <v/>
      </c>
      <c r="F146" s="80">
        <f>IF($A146="","",IF(INDEX(exp_month,MATCH(140,exp_wishno,0))="","",INDEX(exp_month,MATCH(140,exp_wishno,0))))</f>
        <v/>
      </c>
      <c r="G146" s="81">
        <f>IF($A146="","",IF(INDEX(exp_plan,MATCH(140,exp_wishno,0))="","",INDEX(exp_plan,MATCH(140,exp_wishno,0))))</f>
        <v/>
      </c>
      <c r="H146" s="82">
        <f>IF($A146="","",IF(INDEX(exp_fact,MATCH(140,exp_wishno,0))="","",INDEX(exp_fact,MATCH(140,exp_wishno,0))))</f>
        <v/>
      </c>
      <c r="I146" s="41">
        <f>IF($A146="","",IF(INDEX(exp_status,MATCH(140,exp_wishno,0))="","",INDEX(exp_status,MATCH(140,exp_wishno,0))))</f>
        <v/>
      </c>
    </row>
    <row r="147">
      <c r="A147" s="80">
        <f>IF(ISNA(MATCH(141,exp_wishno,0)),"",141)</f>
        <v/>
      </c>
      <c r="B147" s="41">
        <f>IF($A147="","",IF(INDEX(exp_desc,MATCH(141,exp_wishno,0))="","",INDEX(exp_desc,MATCH(141,exp_wishno,0))))</f>
        <v/>
      </c>
      <c r="C147" s="41">
        <f>IF($A147="","",IF(INDEX(exp_cat,MATCH(141,exp_wishno,0))="","",INDEX(exp_cat,MATCH(141,exp_wishno,0))))</f>
        <v/>
      </c>
      <c r="D147" s="80">
        <f>IF($A147="","",IF(INDEX(exp_prio,MATCH(141,exp_wishno,0))="","",INDEX(exp_prio,MATCH(141,exp_wishno,0))))</f>
        <v/>
      </c>
      <c r="E147" s="80">
        <f>IF($A147="","",IF(INDEX(exp_year,MATCH(141,exp_wishno,0))="","",INDEX(exp_year,MATCH(141,exp_wishno,0))))</f>
        <v/>
      </c>
      <c r="F147" s="80">
        <f>IF($A147="","",IF(INDEX(exp_month,MATCH(141,exp_wishno,0))="","",INDEX(exp_month,MATCH(141,exp_wishno,0))))</f>
        <v/>
      </c>
      <c r="G147" s="81">
        <f>IF($A147="","",IF(INDEX(exp_plan,MATCH(141,exp_wishno,0))="","",INDEX(exp_plan,MATCH(141,exp_wishno,0))))</f>
        <v/>
      </c>
      <c r="H147" s="82">
        <f>IF($A147="","",IF(INDEX(exp_fact,MATCH(141,exp_wishno,0))="","",INDEX(exp_fact,MATCH(141,exp_wishno,0))))</f>
        <v/>
      </c>
      <c r="I147" s="41">
        <f>IF($A147="","",IF(INDEX(exp_status,MATCH(141,exp_wishno,0))="","",INDEX(exp_status,MATCH(141,exp_wishno,0))))</f>
        <v/>
      </c>
    </row>
    <row r="148">
      <c r="A148" s="80">
        <f>IF(ISNA(MATCH(142,exp_wishno,0)),"",142)</f>
        <v/>
      </c>
      <c r="B148" s="41">
        <f>IF($A148="","",IF(INDEX(exp_desc,MATCH(142,exp_wishno,0))="","",INDEX(exp_desc,MATCH(142,exp_wishno,0))))</f>
        <v/>
      </c>
      <c r="C148" s="41">
        <f>IF($A148="","",IF(INDEX(exp_cat,MATCH(142,exp_wishno,0))="","",INDEX(exp_cat,MATCH(142,exp_wishno,0))))</f>
        <v/>
      </c>
      <c r="D148" s="80">
        <f>IF($A148="","",IF(INDEX(exp_prio,MATCH(142,exp_wishno,0))="","",INDEX(exp_prio,MATCH(142,exp_wishno,0))))</f>
        <v/>
      </c>
      <c r="E148" s="80">
        <f>IF($A148="","",IF(INDEX(exp_year,MATCH(142,exp_wishno,0))="","",INDEX(exp_year,MATCH(142,exp_wishno,0))))</f>
        <v/>
      </c>
      <c r="F148" s="80">
        <f>IF($A148="","",IF(INDEX(exp_month,MATCH(142,exp_wishno,0))="","",INDEX(exp_month,MATCH(142,exp_wishno,0))))</f>
        <v/>
      </c>
      <c r="G148" s="81">
        <f>IF($A148="","",IF(INDEX(exp_plan,MATCH(142,exp_wishno,0))="","",INDEX(exp_plan,MATCH(142,exp_wishno,0))))</f>
        <v/>
      </c>
      <c r="H148" s="82">
        <f>IF($A148="","",IF(INDEX(exp_fact,MATCH(142,exp_wishno,0))="","",INDEX(exp_fact,MATCH(142,exp_wishno,0))))</f>
        <v/>
      </c>
      <c r="I148" s="41">
        <f>IF($A148="","",IF(INDEX(exp_status,MATCH(142,exp_wishno,0))="","",INDEX(exp_status,MATCH(142,exp_wishno,0))))</f>
        <v/>
      </c>
    </row>
    <row r="149">
      <c r="A149" s="80">
        <f>IF(ISNA(MATCH(143,exp_wishno,0)),"",143)</f>
        <v/>
      </c>
      <c r="B149" s="41">
        <f>IF($A149="","",IF(INDEX(exp_desc,MATCH(143,exp_wishno,0))="","",INDEX(exp_desc,MATCH(143,exp_wishno,0))))</f>
        <v/>
      </c>
      <c r="C149" s="41">
        <f>IF($A149="","",IF(INDEX(exp_cat,MATCH(143,exp_wishno,0))="","",INDEX(exp_cat,MATCH(143,exp_wishno,0))))</f>
        <v/>
      </c>
      <c r="D149" s="80">
        <f>IF($A149="","",IF(INDEX(exp_prio,MATCH(143,exp_wishno,0))="","",INDEX(exp_prio,MATCH(143,exp_wishno,0))))</f>
        <v/>
      </c>
      <c r="E149" s="80">
        <f>IF($A149="","",IF(INDEX(exp_year,MATCH(143,exp_wishno,0))="","",INDEX(exp_year,MATCH(143,exp_wishno,0))))</f>
        <v/>
      </c>
      <c r="F149" s="80">
        <f>IF($A149="","",IF(INDEX(exp_month,MATCH(143,exp_wishno,0))="","",INDEX(exp_month,MATCH(143,exp_wishno,0))))</f>
        <v/>
      </c>
      <c r="G149" s="81">
        <f>IF($A149="","",IF(INDEX(exp_plan,MATCH(143,exp_wishno,0))="","",INDEX(exp_plan,MATCH(143,exp_wishno,0))))</f>
        <v/>
      </c>
      <c r="H149" s="82">
        <f>IF($A149="","",IF(INDEX(exp_fact,MATCH(143,exp_wishno,0))="","",INDEX(exp_fact,MATCH(143,exp_wishno,0))))</f>
        <v/>
      </c>
      <c r="I149" s="41">
        <f>IF($A149="","",IF(INDEX(exp_status,MATCH(143,exp_wishno,0))="","",INDEX(exp_status,MATCH(143,exp_wishno,0))))</f>
        <v/>
      </c>
    </row>
    <row r="150">
      <c r="A150" s="80">
        <f>IF(ISNA(MATCH(144,exp_wishno,0)),"",144)</f>
        <v/>
      </c>
      <c r="B150" s="41">
        <f>IF($A150="","",IF(INDEX(exp_desc,MATCH(144,exp_wishno,0))="","",INDEX(exp_desc,MATCH(144,exp_wishno,0))))</f>
        <v/>
      </c>
      <c r="C150" s="41">
        <f>IF($A150="","",IF(INDEX(exp_cat,MATCH(144,exp_wishno,0))="","",INDEX(exp_cat,MATCH(144,exp_wishno,0))))</f>
        <v/>
      </c>
      <c r="D150" s="80">
        <f>IF($A150="","",IF(INDEX(exp_prio,MATCH(144,exp_wishno,0))="","",INDEX(exp_prio,MATCH(144,exp_wishno,0))))</f>
        <v/>
      </c>
      <c r="E150" s="80">
        <f>IF($A150="","",IF(INDEX(exp_year,MATCH(144,exp_wishno,0))="","",INDEX(exp_year,MATCH(144,exp_wishno,0))))</f>
        <v/>
      </c>
      <c r="F150" s="80">
        <f>IF($A150="","",IF(INDEX(exp_month,MATCH(144,exp_wishno,0))="","",INDEX(exp_month,MATCH(144,exp_wishno,0))))</f>
        <v/>
      </c>
      <c r="G150" s="81">
        <f>IF($A150="","",IF(INDEX(exp_plan,MATCH(144,exp_wishno,0))="","",INDEX(exp_plan,MATCH(144,exp_wishno,0))))</f>
        <v/>
      </c>
      <c r="H150" s="82">
        <f>IF($A150="","",IF(INDEX(exp_fact,MATCH(144,exp_wishno,0))="","",INDEX(exp_fact,MATCH(144,exp_wishno,0))))</f>
        <v/>
      </c>
      <c r="I150" s="41">
        <f>IF($A150="","",IF(INDEX(exp_status,MATCH(144,exp_wishno,0))="","",INDEX(exp_status,MATCH(144,exp_wishno,0))))</f>
        <v/>
      </c>
    </row>
    <row r="151">
      <c r="A151" s="80">
        <f>IF(ISNA(MATCH(145,exp_wishno,0)),"",145)</f>
        <v/>
      </c>
      <c r="B151" s="41">
        <f>IF($A151="","",IF(INDEX(exp_desc,MATCH(145,exp_wishno,0))="","",INDEX(exp_desc,MATCH(145,exp_wishno,0))))</f>
        <v/>
      </c>
      <c r="C151" s="41">
        <f>IF($A151="","",IF(INDEX(exp_cat,MATCH(145,exp_wishno,0))="","",INDEX(exp_cat,MATCH(145,exp_wishno,0))))</f>
        <v/>
      </c>
      <c r="D151" s="80">
        <f>IF($A151="","",IF(INDEX(exp_prio,MATCH(145,exp_wishno,0))="","",INDEX(exp_prio,MATCH(145,exp_wishno,0))))</f>
        <v/>
      </c>
      <c r="E151" s="80">
        <f>IF($A151="","",IF(INDEX(exp_year,MATCH(145,exp_wishno,0))="","",INDEX(exp_year,MATCH(145,exp_wishno,0))))</f>
        <v/>
      </c>
      <c r="F151" s="80">
        <f>IF($A151="","",IF(INDEX(exp_month,MATCH(145,exp_wishno,0))="","",INDEX(exp_month,MATCH(145,exp_wishno,0))))</f>
        <v/>
      </c>
      <c r="G151" s="81">
        <f>IF($A151="","",IF(INDEX(exp_plan,MATCH(145,exp_wishno,0))="","",INDEX(exp_plan,MATCH(145,exp_wishno,0))))</f>
        <v/>
      </c>
      <c r="H151" s="82">
        <f>IF($A151="","",IF(INDEX(exp_fact,MATCH(145,exp_wishno,0))="","",INDEX(exp_fact,MATCH(145,exp_wishno,0))))</f>
        <v/>
      </c>
      <c r="I151" s="41">
        <f>IF($A151="","",IF(INDEX(exp_status,MATCH(145,exp_wishno,0))="","",INDEX(exp_status,MATCH(145,exp_wishno,0))))</f>
        <v/>
      </c>
    </row>
    <row r="152">
      <c r="A152" s="80">
        <f>IF(ISNA(MATCH(146,exp_wishno,0)),"",146)</f>
        <v/>
      </c>
      <c r="B152" s="41">
        <f>IF($A152="","",IF(INDEX(exp_desc,MATCH(146,exp_wishno,0))="","",INDEX(exp_desc,MATCH(146,exp_wishno,0))))</f>
        <v/>
      </c>
      <c r="C152" s="41">
        <f>IF($A152="","",IF(INDEX(exp_cat,MATCH(146,exp_wishno,0))="","",INDEX(exp_cat,MATCH(146,exp_wishno,0))))</f>
        <v/>
      </c>
      <c r="D152" s="80">
        <f>IF($A152="","",IF(INDEX(exp_prio,MATCH(146,exp_wishno,0))="","",INDEX(exp_prio,MATCH(146,exp_wishno,0))))</f>
        <v/>
      </c>
      <c r="E152" s="80">
        <f>IF($A152="","",IF(INDEX(exp_year,MATCH(146,exp_wishno,0))="","",INDEX(exp_year,MATCH(146,exp_wishno,0))))</f>
        <v/>
      </c>
      <c r="F152" s="80">
        <f>IF($A152="","",IF(INDEX(exp_month,MATCH(146,exp_wishno,0))="","",INDEX(exp_month,MATCH(146,exp_wishno,0))))</f>
        <v/>
      </c>
      <c r="G152" s="81">
        <f>IF($A152="","",IF(INDEX(exp_plan,MATCH(146,exp_wishno,0))="","",INDEX(exp_plan,MATCH(146,exp_wishno,0))))</f>
        <v/>
      </c>
      <c r="H152" s="82">
        <f>IF($A152="","",IF(INDEX(exp_fact,MATCH(146,exp_wishno,0))="","",INDEX(exp_fact,MATCH(146,exp_wishno,0))))</f>
        <v/>
      </c>
      <c r="I152" s="41">
        <f>IF($A152="","",IF(INDEX(exp_status,MATCH(146,exp_wishno,0))="","",INDEX(exp_status,MATCH(146,exp_wishno,0))))</f>
        <v/>
      </c>
    </row>
    <row r="153">
      <c r="A153" s="80">
        <f>IF(ISNA(MATCH(147,exp_wishno,0)),"",147)</f>
        <v/>
      </c>
      <c r="B153" s="41">
        <f>IF($A153="","",IF(INDEX(exp_desc,MATCH(147,exp_wishno,0))="","",INDEX(exp_desc,MATCH(147,exp_wishno,0))))</f>
        <v/>
      </c>
      <c r="C153" s="41">
        <f>IF($A153="","",IF(INDEX(exp_cat,MATCH(147,exp_wishno,0))="","",INDEX(exp_cat,MATCH(147,exp_wishno,0))))</f>
        <v/>
      </c>
      <c r="D153" s="80">
        <f>IF($A153="","",IF(INDEX(exp_prio,MATCH(147,exp_wishno,0))="","",INDEX(exp_prio,MATCH(147,exp_wishno,0))))</f>
        <v/>
      </c>
      <c r="E153" s="80">
        <f>IF($A153="","",IF(INDEX(exp_year,MATCH(147,exp_wishno,0))="","",INDEX(exp_year,MATCH(147,exp_wishno,0))))</f>
        <v/>
      </c>
      <c r="F153" s="80">
        <f>IF($A153="","",IF(INDEX(exp_month,MATCH(147,exp_wishno,0))="","",INDEX(exp_month,MATCH(147,exp_wishno,0))))</f>
        <v/>
      </c>
      <c r="G153" s="81">
        <f>IF($A153="","",IF(INDEX(exp_plan,MATCH(147,exp_wishno,0))="","",INDEX(exp_plan,MATCH(147,exp_wishno,0))))</f>
        <v/>
      </c>
      <c r="H153" s="82">
        <f>IF($A153="","",IF(INDEX(exp_fact,MATCH(147,exp_wishno,0))="","",INDEX(exp_fact,MATCH(147,exp_wishno,0))))</f>
        <v/>
      </c>
      <c r="I153" s="41">
        <f>IF($A153="","",IF(INDEX(exp_status,MATCH(147,exp_wishno,0))="","",INDEX(exp_status,MATCH(147,exp_wishno,0))))</f>
        <v/>
      </c>
    </row>
    <row r="154">
      <c r="A154" s="80">
        <f>IF(ISNA(MATCH(148,exp_wishno,0)),"",148)</f>
        <v/>
      </c>
      <c r="B154" s="41">
        <f>IF($A154="","",IF(INDEX(exp_desc,MATCH(148,exp_wishno,0))="","",INDEX(exp_desc,MATCH(148,exp_wishno,0))))</f>
        <v/>
      </c>
      <c r="C154" s="41">
        <f>IF($A154="","",IF(INDEX(exp_cat,MATCH(148,exp_wishno,0))="","",INDEX(exp_cat,MATCH(148,exp_wishno,0))))</f>
        <v/>
      </c>
      <c r="D154" s="80">
        <f>IF($A154="","",IF(INDEX(exp_prio,MATCH(148,exp_wishno,0))="","",INDEX(exp_prio,MATCH(148,exp_wishno,0))))</f>
        <v/>
      </c>
      <c r="E154" s="80">
        <f>IF($A154="","",IF(INDEX(exp_year,MATCH(148,exp_wishno,0))="","",INDEX(exp_year,MATCH(148,exp_wishno,0))))</f>
        <v/>
      </c>
      <c r="F154" s="80">
        <f>IF($A154="","",IF(INDEX(exp_month,MATCH(148,exp_wishno,0))="","",INDEX(exp_month,MATCH(148,exp_wishno,0))))</f>
        <v/>
      </c>
      <c r="G154" s="81">
        <f>IF($A154="","",IF(INDEX(exp_plan,MATCH(148,exp_wishno,0))="","",INDEX(exp_plan,MATCH(148,exp_wishno,0))))</f>
        <v/>
      </c>
      <c r="H154" s="82">
        <f>IF($A154="","",IF(INDEX(exp_fact,MATCH(148,exp_wishno,0))="","",INDEX(exp_fact,MATCH(148,exp_wishno,0))))</f>
        <v/>
      </c>
      <c r="I154" s="41">
        <f>IF($A154="","",IF(INDEX(exp_status,MATCH(148,exp_wishno,0))="","",INDEX(exp_status,MATCH(148,exp_wishno,0))))</f>
        <v/>
      </c>
    </row>
    <row r="155">
      <c r="A155" s="80">
        <f>IF(ISNA(MATCH(149,exp_wishno,0)),"",149)</f>
        <v/>
      </c>
      <c r="B155" s="41">
        <f>IF($A155="","",IF(INDEX(exp_desc,MATCH(149,exp_wishno,0))="","",INDEX(exp_desc,MATCH(149,exp_wishno,0))))</f>
        <v/>
      </c>
      <c r="C155" s="41">
        <f>IF($A155="","",IF(INDEX(exp_cat,MATCH(149,exp_wishno,0))="","",INDEX(exp_cat,MATCH(149,exp_wishno,0))))</f>
        <v/>
      </c>
      <c r="D155" s="80">
        <f>IF($A155="","",IF(INDEX(exp_prio,MATCH(149,exp_wishno,0))="","",INDEX(exp_prio,MATCH(149,exp_wishno,0))))</f>
        <v/>
      </c>
      <c r="E155" s="80">
        <f>IF($A155="","",IF(INDEX(exp_year,MATCH(149,exp_wishno,0))="","",INDEX(exp_year,MATCH(149,exp_wishno,0))))</f>
        <v/>
      </c>
      <c r="F155" s="80">
        <f>IF($A155="","",IF(INDEX(exp_month,MATCH(149,exp_wishno,0))="","",INDEX(exp_month,MATCH(149,exp_wishno,0))))</f>
        <v/>
      </c>
      <c r="G155" s="81">
        <f>IF($A155="","",IF(INDEX(exp_plan,MATCH(149,exp_wishno,0))="","",INDEX(exp_plan,MATCH(149,exp_wishno,0))))</f>
        <v/>
      </c>
      <c r="H155" s="82">
        <f>IF($A155="","",IF(INDEX(exp_fact,MATCH(149,exp_wishno,0))="","",INDEX(exp_fact,MATCH(149,exp_wishno,0))))</f>
        <v/>
      </c>
      <c r="I155" s="41">
        <f>IF($A155="","",IF(INDEX(exp_status,MATCH(149,exp_wishno,0))="","",INDEX(exp_status,MATCH(149,exp_wishno,0))))</f>
        <v/>
      </c>
    </row>
    <row r="156">
      <c r="A156" s="80">
        <f>IF(ISNA(MATCH(150,exp_wishno,0)),"",150)</f>
        <v/>
      </c>
      <c r="B156" s="41">
        <f>IF($A156="","",IF(INDEX(exp_desc,MATCH(150,exp_wishno,0))="","",INDEX(exp_desc,MATCH(150,exp_wishno,0))))</f>
        <v/>
      </c>
      <c r="C156" s="41">
        <f>IF($A156="","",IF(INDEX(exp_cat,MATCH(150,exp_wishno,0))="","",INDEX(exp_cat,MATCH(150,exp_wishno,0))))</f>
        <v/>
      </c>
      <c r="D156" s="80">
        <f>IF($A156="","",IF(INDEX(exp_prio,MATCH(150,exp_wishno,0))="","",INDEX(exp_prio,MATCH(150,exp_wishno,0))))</f>
        <v/>
      </c>
      <c r="E156" s="80">
        <f>IF($A156="","",IF(INDEX(exp_year,MATCH(150,exp_wishno,0))="","",INDEX(exp_year,MATCH(150,exp_wishno,0))))</f>
        <v/>
      </c>
      <c r="F156" s="80">
        <f>IF($A156="","",IF(INDEX(exp_month,MATCH(150,exp_wishno,0))="","",INDEX(exp_month,MATCH(150,exp_wishno,0))))</f>
        <v/>
      </c>
      <c r="G156" s="81">
        <f>IF($A156="","",IF(INDEX(exp_plan,MATCH(150,exp_wishno,0))="","",INDEX(exp_plan,MATCH(150,exp_wishno,0))))</f>
        <v/>
      </c>
      <c r="H156" s="82">
        <f>IF($A156="","",IF(INDEX(exp_fact,MATCH(150,exp_wishno,0))="","",INDEX(exp_fact,MATCH(150,exp_wishno,0))))</f>
        <v/>
      </c>
      <c r="I156" s="41">
        <f>IF($A156="","",IF(INDEX(exp_status,MATCH(150,exp_wishno,0))="","",INDEX(exp_status,MATCH(150,exp_wishno,0))))</f>
        <v/>
      </c>
    </row>
    <row r="157">
      <c r="A157" s="80">
        <f>IF(ISNA(MATCH(151,exp_wishno,0)),"",151)</f>
        <v/>
      </c>
      <c r="B157" s="41">
        <f>IF($A157="","",IF(INDEX(exp_desc,MATCH(151,exp_wishno,0))="","",INDEX(exp_desc,MATCH(151,exp_wishno,0))))</f>
        <v/>
      </c>
      <c r="C157" s="41">
        <f>IF($A157="","",IF(INDEX(exp_cat,MATCH(151,exp_wishno,0))="","",INDEX(exp_cat,MATCH(151,exp_wishno,0))))</f>
        <v/>
      </c>
      <c r="D157" s="80">
        <f>IF($A157="","",IF(INDEX(exp_prio,MATCH(151,exp_wishno,0))="","",INDEX(exp_prio,MATCH(151,exp_wishno,0))))</f>
        <v/>
      </c>
      <c r="E157" s="80">
        <f>IF($A157="","",IF(INDEX(exp_year,MATCH(151,exp_wishno,0))="","",INDEX(exp_year,MATCH(151,exp_wishno,0))))</f>
        <v/>
      </c>
      <c r="F157" s="80">
        <f>IF($A157="","",IF(INDEX(exp_month,MATCH(151,exp_wishno,0))="","",INDEX(exp_month,MATCH(151,exp_wishno,0))))</f>
        <v/>
      </c>
      <c r="G157" s="81">
        <f>IF($A157="","",IF(INDEX(exp_plan,MATCH(151,exp_wishno,0))="","",INDEX(exp_plan,MATCH(151,exp_wishno,0))))</f>
        <v/>
      </c>
      <c r="H157" s="82">
        <f>IF($A157="","",IF(INDEX(exp_fact,MATCH(151,exp_wishno,0))="","",INDEX(exp_fact,MATCH(151,exp_wishno,0))))</f>
        <v/>
      </c>
      <c r="I157" s="41">
        <f>IF($A157="","",IF(INDEX(exp_status,MATCH(151,exp_wishno,0))="","",INDEX(exp_status,MATCH(151,exp_wishno,0))))</f>
        <v/>
      </c>
    </row>
    <row r="158">
      <c r="A158" s="80">
        <f>IF(ISNA(MATCH(152,exp_wishno,0)),"",152)</f>
        <v/>
      </c>
      <c r="B158" s="41">
        <f>IF($A158="","",IF(INDEX(exp_desc,MATCH(152,exp_wishno,0))="","",INDEX(exp_desc,MATCH(152,exp_wishno,0))))</f>
        <v/>
      </c>
      <c r="C158" s="41">
        <f>IF($A158="","",IF(INDEX(exp_cat,MATCH(152,exp_wishno,0))="","",INDEX(exp_cat,MATCH(152,exp_wishno,0))))</f>
        <v/>
      </c>
      <c r="D158" s="80">
        <f>IF($A158="","",IF(INDEX(exp_prio,MATCH(152,exp_wishno,0))="","",INDEX(exp_prio,MATCH(152,exp_wishno,0))))</f>
        <v/>
      </c>
      <c r="E158" s="80">
        <f>IF($A158="","",IF(INDEX(exp_year,MATCH(152,exp_wishno,0))="","",INDEX(exp_year,MATCH(152,exp_wishno,0))))</f>
        <v/>
      </c>
      <c r="F158" s="80">
        <f>IF($A158="","",IF(INDEX(exp_month,MATCH(152,exp_wishno,0))="","",INDEX(exp_month,MATCH(152,exp_wishno,0))))</f>
        <v/>
      </c>
      <c r="G158" s="81">
        <f>IF($A158="","",IF(INDEX(exp_plan,MATCH(152,exp_wishno,0))="","",INDEX(exp_plan,MATCH(152,exp_wishno,0))))</f>
        <v/>
      </c>
      <c r="H158" s="82">
        <f>IF($A158="","",IF(INDEX(exp_fact,MATCH(152,exp_wishno,0))="","",INDEX(exp_fact,MATCH(152,exp_wishno,0))))</f>
        <v/>
      </c>
      <c r="I158" s="41">
        <f>IF($A158="","",IF(INDEX(exp_status,MATCH(152,exp_wishno,0))="","",INDEX(exp_status,MATCH(152,exp_wishno,0))))</f>
        <v/>
      </c>
    </row>
    <row r="159">
      <c r="A159" s="80">
        <f>IF(ISNA(MATCH(153,exp_wishno,0)),"",153)</f>
        <v/>
      </c>
      <c r="B159" s="41">
        <f>IF($A159="","",IF(INDEX(exp_desc,MATCH(153,exp_wishno,0))="","",INDEX(exp_desc,MATCH(153,exp_wishno,0))))</f>
        <v/>
      </c>
      <c r="C159" s="41">
        <f>IF($A159="","",IF(INDEX(exp_cat,MATCH(153,exp_wishno,0))="","",INDEX(exp_cat,MATCH(153,exp_wishno,0))))</f>
        <v/>
      </c>
      <c r="D159" s="80">
        <f>IF($A159="","",IF(INDEX(exp_prio,MATCH(153,exp_wishno,0))="","",INDEX(exp_prio,MATCH(153,exp_wishno,0))))</f>
        <v/>
      </c>
      <c r="E159" s="80">
        <f>IF($A159="","",IF(INDEX(exp_year,MATCH(153,exp_wishno,0))="","",INDEX(exp_year,MATCH(153,exp_wishno,0))))</f>
        <v/>
      </c>
      <c r="F159" s="80">
        <f>IF($A159="","",IF(INDEX(exp_month,MATCH(153,exp_wishno,0))="","",INDEX(exp_month,MATCH(153,exp_wishno,0))))</f>
        <v/>
      </c>
      <c r="G159" s="81">
        <f>IF($A159="","",IF(INDEX(exp_plan,MATCH(153,exp_wishno,0))="","",INDEX(exp_plan,MATCH(153,exp_wishno,0))))</f>
        <v/>
      </c>
      <c r="H159" s="82">
        <f>IF($A159="","",IF(INDEX(exp_fact,MATCH(153,exp_wishno,0))="","",INDEX(exp_fact,MATCH(153,exp_wishno,0))))</f>
        <v/>
      </c>
      <c r="I159" s="41">
        <f>IF($A159="","",IF(INDEX(exp_status,MATCH(153,exp_wishno,0))="","",INDEX(exp_status,MATCH(153,exp_wishno,0))))</f>
        <v/>
      </c>
    </row>
    <row r="160">
      <c r="A160" s="80">
        <f>IF(ISNA(MATCH(154,exp_wishno,0)),"",154)</f>
        <v/>
      </c>
      <c r="B160" s="41">
        <f>IF($A160="","",IF(INDEX(exp_desc,MATCH(154,exp_wishno,0))="","",INDEX(exp_desc,MATCH(154,exp_wishno,0))))</f>
        <v/>
      </c>
      <c r="C160" s="41">
        <f>IF($A160="","",IF(INDEX(exp_cat,MATCH(154,exp_wishno,0))="","",INDEX(exp_cat,MATCH(154,exp_wishno,0))))</f>
        <v/>
      </c>
      <c r="D160" s="80">
        <f>IF($A160="","",IF(INDEX(exp_prio,MATCH(154,exp_wishno,0))="","",INDEX(exp_prio,MATCH(154,exp_wishno,0))))</f>
        <v/>
      </c>
      <c r="E160" s="80">
        <f>IF($A160="","",IF(INDEX(exp_year,MATCH(154,exp_wishno,0))="","",INDEX(exp_year,MATCH(154,exp_wishno,0))))</f>
        <v/>
      </c>
      <c r="F160" s="80">
        <f>IF($A160="","",IF(INDEX(exp_month,MATCH(154,exp_wishno,0))="","",INDEX(exp_month,MATCH(154,exp_wishno,0))))</f>
        <v/>
      </c>
      <c r="G160" s="81">
        <f>IF($A160="","",IF(INDEX(exp_plan,MATCH(154,exp_wishno,0))="","",INDEX(exp_plan,MATCH(154,exp_wishno,0))))</f>
        <v/>
      </c>
      <c r="H160" s="82">
        <f>IF($A160="","",IF(INDEX(exp_fact,MATCH(154,exp_wishno,0))="","",INDEX(exp_fact,MATCH(154,exp_wishno,0))))</f>
        <v/>
      </c>
      <c r="I160" s="41">
        <f>IF($A160="","",IF(INDEX(exp_status,MATCH(154,exp_wishno,0))="","",INDEX(exp_status,MATCH(154,exp_wishno,0))))</f>
        <v/>
      </c>
    </row>
    <row r="161">
      <c r="A161" s="80">
        <f>IF(ISNA(MATCH(155,exp_wishno,0)),"",155)</f>
        <v/>
      </c>
      <c r="B161" s="41">
        <f>IF($A161="","",IF(INDEX(exp_desc,MATCH(155,exp_wishno,0))="","",INDEX(exp_desc,MATCH(155,exp_wishno,0))))</f>
        <v/>
      </c>
      <c r="C161" s="41">
        <f>IF($A161="","",IF(INDEX(exp_cat,MATCH(155,exp_wishno,0))="","",INDEX(exp_cat,MATCH(155,exp_wishno,0))))</f>
        <v/>
      </c>
      <c r="D161" s="80">
        <f>IF($A161="","",IF(INDEX(exp_prio,MATCH(155,exp_wishno,0))="","",INDEX(exp_prio,MATCH(155,exp_wishno,0))))</f>
        <v/>
      </c>
      <c r="E161" s="80">
        <f>IF($A161="","",IF(INDEX(exp_year,MATCH(155,exp_wishno,0))="","",INDEX(exp_year,MATCH(155,exp_wishno,0))))</f>
        <v/>
      </c>
      <c r="F161" s="80">
        <f>IF($A161="","",IF(INDEX(exp_month,MATCH(155,exp_wishno,0))="","",INDEX(exp_month,MATCH(155,exp_wishno,0))))</f>
        <v/>
      </c>
      <c r="G161" s="81">
        <f>IF($A161="","",IF(INDEX(exp_plan,MATCH(155,exp_wishno,0))="","",INDEX(exp_plan,MATCH(155,exp_wishno,0))))</f>
        <v/>
      </c>
      <c r="H161" s="82">
        <f>IF($A161="","",IF(INDEX(exp_fact,MATCH(155,exp_wishno,0))="","",INDEX(exp_fact,MATCH(155,exp_wishno,0))))</f>
        <v/>
      </c>
      <c r="I161" s="41">
        <f>IF($A161="","",IF(INDEX(exp_status,MATCH(155,exp_wishno,0))="","",INDEX(exp_status,MATCH(155,exp_wishno,0))))</f>
        <v/>
      </c>
    </row>
    <row r="162">
      <c r="A162" s="80">
        <f>IF(ISNA(MATCH(156,exp_wishno,0)),"",156)</f>
        <v/>
      </c>
      <c r="B162" s="41">
        <f>IF($A162="","",IF(INDEX(exp_desc,MATCH(156,exp_wishno,0))="","",INDEX(exp_desc,MATCH(156,exp_wishno,0))))</f>
        <v/>
      </c>
      <c r="C162" s="41">
        <f>IF($A162="","",IF(INDEX(exp_cat,MATCH(156,exp_wishno,0))="","",INDEX(exp_cat,MATCH(156,exp_wishno,0))))</f>
        <v/>
      </c>
      <c r="D162" s="80">
        <f>IF($A162="","",IF(INDEX(exp_prio,MATCH(156,exp_wishno,0))="","",INDEX(exp_prio,MATCH(156,exp_wishno,0))))</f>
        <v/>
      </c>
      <c r="E162" s="80">
        <f>IF($A162="","",IF(INDEX(exp_year,MATCH(156,exp_wishno,0))="","",INDEX(exp_year,MATCH(156,exp_wishno,0))))</f>
        <v/>
      </c>
      <c r="F162" s="80">
        <f>IF($A162="","",IF(INDEX(exp_month,MATCH(156,exp_wishno,0))="","",INDEX(exp_month,MATCH(156,exp_wishno,0))))</f>
        <v/>
      </c>
      <c r="G162" s="81">
        <f>IF($A162="","",IF(INDEX(exp_plan,MATCH(156,exp_wishno,0))="","",INDEX(exp_plan,MATCH(156,exp_wishno,0))))</f>
        <v/>
      </c>
      <c r="H162" s="82">
        <f>IF($A162="","",IF(INDEX(exp_fact,MATCH(156,exp_wishno,0))="","",INDEX(exp_fact,MATCH(156,exp_wishno,0))))</f>
        <v/>
      </c>
      <c r="I162" s="41">
        <f>IF($A162="","",IF(INDEX(exp_status,MATCH(156,exp_wishno,0))="","",INDEX(exp_status,MATCH(156,exp_wishno,0))))</f>
        <v/>
      </c>
    </row>
    <row r="163">
      <c r="A163" s="80">
        <f>IF(ISNA(MATCH(157,exp_wishno,0)),"",157)</f>
        <v/>
      </c>
      <c r="B163" s="41">
        <f>IF($A163="","",IF(INDEX(exp_desc,MATCH(157,exp_wishno,0))="","",INDEX(exp_desc,MATCH(157,exp_wishno,0))))</f>
        <v/>
      </c>
      <c r="C163" s="41">
        <f>IF($A163="","",IF(INDEX(exp_cat,MATCH(157,exp_wishno,0))="","",INDEX(exp_cat,MATCH(157,exp_wishno,0))))</f>
        <v/>
      </c>
      <c r="D163" s="80">
        <f>IF($A163="","",IF(INDEX(exp_prio,MATCH(157,exp_wishno,0))="","",INDEX(exp_prio,MATCH(157,exp_wishno,0))))</f>
        <v/>
      </c>
      <c r="E163" s="80">
        <f>IF($A163="","",IF(INDEX(exp_year,MATCH(157,exp_wishno,0))="","",INDEX(exp_year,MATCH(157,exp_wishno,0))))</f>
        <v/>
      </c>
      <c r="F163" s="80">
        <f>IF($A163="","",IF(INDEX(exp_month,MATCH(157,exp_wishno,0))="","",INDEX(exp_month,MATCH(157,exp_wishno,0))))</f>
        <v/>
      </c>
      <c r="G163" s="81">
        <f>IF($A163="","",IF(INDEX(exp_plan,MATCH(157,exp_wishno,0))="","",INDEX(exp_plan,MATCH(157,exp_wishno,0))))</f>
        <v/>
      </c>
      <c r="H163" s="82">
        <f>IF($A163="","",IF(INDEX(exp_fact,MATCH(157,exp_wishno,0))="","",INDEX(exp_fact,MATCH(157,exp_wishno,0))))</f>
        <v/>
      </c>
      <c r="I163" s="41">
        <f>IF($A163="","",IF(INDEX(exp_status,MATCH(157,exp_wishno,0))="","",INDEX(exp_status,MATCH(157,exp_wishno,0))))</f>
        <v/>
      </c>
    </row>
    <row r="164">
      <c r="A164" s="80">
        <f>IF(ISNA(MATCH(158,exp_wishno,0)),"",158)</f>
        <v/>
      </c>
      <c r="B164" s="41">
        <f>IF($A164="","",IF(INDEX(exp_desc,MATCH(158,exp_wishno,0))="","",INDEX(exp_desc,MATCH(158,exp_wishno,0))))</f>
        <v/>
      </c>
      <c r="C164" s="41">
        <f>IF($A164="","",IF(INDEX(exp_cat,MATCH(158,exp_wishno,0))="","",INDEX(exp_cat,MATCH(158,exp_wishno,0))))</f>
        <v/>
      </c>
      <c r="D164" s="80">
        <f>IF($A164="","",IF(INDEX(exp_prio,MATCH(158,exp_wishno,0))="","",INDEX(exp_prio,MATCH(158,exp_wishno,0))))</f>
        <v/>
      </c>
      <c r="E164" s="80">
        <f>IF($A164="","",IF(INDEX(exp_year,MATCH(158,exp_wishno,0))="","",INDEX(exp_year,MATCH(158,exp_wishno,0))))</f>
        <v/>
      </c>
      <c r="F164" s="80">
        <f>IF($A164="","",IF(INDEX(exp_month,MATCH(158,exp_wishno,0))="","",INDEX(exp_month,MATCH(158,exp_wishno,0))))</f>
        <v/>
      </c>
      <c r="G164" s="81">
        <f>IF($A164="","",IF(INDEX(exp_plan,MATCH(158,exp_wishno,0))="","",INDEX(exp_plan,MATCH(158,exp_wishno,0))))</f>
        <v/>
      </c>
      <c r="H164" s="82">
        <f>IF($A164="","",IF(INDEX(exp_fact,MATCH(158,exp_wishno,0))="","",INDEX(exp_fact,MATCH(158,exp_wishno,0))))</f>
        <v/>
      </c>
      <c r="I164" s="41">
        <f>IF($A164="","",IF(INDEX(exp_status,MATCH(158,exp_wishno,0))="","",INDEX(exp_status,MATCH(158,exp_wishno,0))))</f>
        <v/>
      </c>
    </row>
    <row r="165">
      <c r="A165" s="80">
        <f>IF(ISNA(MATCH(159,exp_wishno,0)),"",159)</f>
        <v/>
      </c>
      <c r="B165" s="41">
        <f>IF($A165="","",IF(INDEX(exp_desc,MATCH(159,exp_wishno,0))="","",INDEX(exp_desc,MATCH(159,exp_wishno,0))))</f>
        <v/>
      </c>
      <c r="C165" s="41">
        <f>IF($A165="","",IF(INDEX(exp_cat,MATCH(159,exp_wishno,0))="","",INDEX(exp_cat,MATCH(159,exp_wishno,0))))</f>
        <v/>
      </c>
      <c r="D165" s="80">
        <f>IF($A165="","",IF(INDEX(exp_prio,MATCH(159,exp_wishno,0))="","",INDEX(exp_prio,MATCH(159,exp_wishno,0))))</f>
        <v/>
      </c>
      <c r="E165" s="80">
        <f>IF($A165="","",IF(INDEX(exp_year,MATCH(159,exp_wishno,0))="","",INDEX(exp_year,MATCH(159,exp_wishno,0))))</f>
        <v/>
      </c>
      <c r="F165" s="80">
        <f>IF($A165="","",IF(INDEX(exp_month,MATCH(159,exp_wishno,0))="","",INDEX(exp_month,MATCH(159,exp_wishno,0))))</f>
        <v/>
      </c>
      <c r="G165" s="81">
        <f>IF($A165="","",IF(INDEX(exp_plan,MATCH(159,exp_wishno,0))="","",INDEX(exp_plan,MATCH(159,exp_wishno,0))))</f>
        <v/>
      </c>
      <c r="H165" s="82">
        <f>IF($A165="","",IF(INDEX(exp_fact,MATCH(159,exp_wishno,0))="","",INDEX(exp_fact,MATCH(159,exp_wishno,0))))</f>
        <v/>
      </c>
      <c r="I165" s="41">
        <f>IF($A165="","",IF(INDEX(exp_status,MATCH(159,exp_wishno,0))="","",INDEX(exp_status,MATCH(159,exp_wishno,0))))</f>
        <v/>
      </c>
    </row>
    <row r="166">
      <c r="A166" s="80">
        <f>IF(ISNA(MATCH(160,exp_wishno,0)),"",160)</f>
        <v/>
      </c>
      <c r="B166" s="41">
        <f>IF($A166="","",IF(INDEX(exp_desc,MATCH(160,exp_wishno,0))="","",INDEX(exp_desc,MATCH(160,exp_wishno,0))))</f>
        <v/>
      </c>
      <c r="C166" s="41">
        <f>IF($A166="","",IF(INDEX(exp_cat,MATCH(160,exp_wishno,0))="","",INDEX(exp_cat,MATCH(160,exp_wishno,0))))</f>
        <v/>
      </c>
      <c r="D166" s="80">
        <f>IF($A166="","",IF(INDEX(exp_prio,MATCH(160,exp_wishno,0))="","",INDEX(exp_prio,MATCH(160,exp_wishno,0))))</f>
        <v/>
      </c>
      <c r="E166" s="80">
        <f>IF($A166="","",IF(INDEX(exp_year,MATCH(160,exp_wishno,0))="","",INDEX(exp_year,MATCH(160,exp_wishno,0))))</f>
        <v/>
      </c>
      <c r="F166" s="80">
        <f>IF($A166="","",IF(INDEX(exp_month,MATCH(160,exp_wishno,0))="","",INDEX(exp_month,MATCH(160,exp_wishno,0))))</f>
        <v/>
      </c>
      <c r="G166" s="81">
        <f>IF($A166="","",IF(INDEX(exp_plan,MATCH(160,exp_wishno,0))="","",INDEX(exp_plan,MATCH(160,exp_wishno,0))))</f>
        <v/>
      </c>
      <c r="H166" s="82">
        <f>IF($A166="","",IF(INDEX(exp_fact,MATCH(160,exp_wishno,0))="","",INDEX(exp_fact,MATCH(160,exp_wishno,0))))</f>
        <v/>
      </c>
      <c r="I166" s="41">
        <f>IF($A166="","",IF(INDEX(exp_status,MATCH(160,exp_wishno,0))="","",INDEX(exp_status,MATCH(160,exp_wishno,0))))</f>
        <v/>
      </c>
    </row>
    <row r="167">
      <c r="A167" s="80">
        <f>IF(ISNA(MATCH(161,exp_wishno,0)),"",161)</f>
        <v/>
      </c>
      <c r="B167" s="41">
        <f>IF($A167="","",IF(INDEX(exp_desc,MATCH(161,exp_wishno,0))="","",INDEX(exp_desc,MATCH(161,exp_wishno,0))))</f>
        <v/>
      </c>
      <c r="C167" s="41">
        <f>IF($A167="","",IF(INDEX(exp_cat,MATCH(161,exp_wishno,0))="","",INDEX(exp_cat,MATCH(161,exp_wishno,0))))</f>
        <v/>
      </c>
      <c r="D167" s="80">
        <f>IF($A167="","",IF(INDEX(exp_prio,MATCH(161,exp_wishno,0))="","",INDEX(exp_prio,MATCH(161,exp_wishno,0))))</f>
        <v/>
      </c>
      <c r="E167" s="80">
        <f>IF($A167="","",IF(INDEX(exp_year,MATCH(161,exp_wishno,0))="","",INDEX(exp_year,MATCH(161,exp_wishno,0))))</f>
        <v/>
      </c>
      <c r="F167" s="80">
        <f>IF($A167="","",IF(INDEX(exp_month,MATCH(161,exp_wishno,0))="","",INDEX(exp_month,MATCH(161,exp_wishno,0))))</f>
        <v/>
      </c>
      <c r="G167" s="81">
        <f>IF($A167="","",IF(INDEX(exp_plan,MATCH(161,exp_wishno,0))="","",INDEX(exp_plan,MATCH(161,exp_wishno,0))))</f>
        <v/>
      </c>
      <c r="H167" s="82">
        <f>IF($A167="","",IF(INDEX(exp_fact,MATCH(161,exp_wishno,0))="","",INDEX(exp_fact,MATCH(161,exp_wishno,0))))</f>
        <v/>
      </c>
      <c r="I167" s="41">
        <f>IF($A167="","",IF(INDEX(exp_status,MATCH(161,exp_wishno,0))="","",INDEX(exp_status,MATCH(161,exp_wishno,0))))</f>
        <v/>
      </c>
    </row>
    <row r="168">
      <c r="A168" s="80">
        <f>IF(ISNA(MATCH(162,exp_wishno,0)),"",162)</f>
        <v/>
      </c>
      <c r="B168" s="41">
        <f>IF($A168="","",IF(INDEX(exp_desc,MATCH(162,exp_wishno,0))="","",INDEX(exp_desc,MATCH(162,exp_wishno,0))))</f>
        <v/>
      </c>
      <c r="C168" s="41">
        <f>IF($A168="","",IF(INDEX(exp_cat,MATCH(162,exp_wishno,0))="","",INDEX(exp_cat,MATCH(162,exp_wishno,0))))</f>
        <v/>
      </c>
      <c r="D168" s="80">
        <f>IF($A168="","",IF(INDEX(exp_prio,MATCH(162,exp_wishno,0))="","",INDEX(exp_prio,MATCH(162,exp_wishno,0))))</f>
        <v/>
      </c>
      <c r="E168" s="80">
        <f>IF($A168="","",IF(INDEX(exp_year,MATCH(162,exp_wishno,0))="","",INDEX(exp_year,MATCH(162,exp_wishno,0))))</f>
        <v/>
      </c>
      <c r="F168" s="80">
        <f>IF($A168="","",IF(INDEX(exp_month,MATCH(162,exp_wishno,0))="","",INDEX(exp_month,MATCH(162,exp_wishno,0))))</f>
        <v/>
      </c>
      <c r="G168" s="81">
        <f>IF($A168="","",IF(INDEX(exp_plan,MATCH(162,exp_wishno,0))="","",INDEX(exp_plan,MATCH(162,exp_wishno,0))))</f>
        <v/>
      </c>
      <c r="H168" s="82">
        <f>IF($A168="","",IF(INDEX(exp_fact,MATCH(162,exp_wishno,0))="","",INDEX(exp_fact,MATCH(162,exp_wishno,0))))</f>
        <v/>
      </c>
      <c r="I168" s="41">
        <f>IF($A168="","",IF(INDEX(exp_status,MATCH(162,exp_wishno,0))="","",INDEX(exp_status,MATCH(162,exp_wishno,0))))</f>
        <v/>
      </c>
    </row>
    <row r="169">
      <c r="A169" s="80">
        <f>IF(ISNA(MATCH(163,exp_wishno,0)),"",163)</f>
        <v/>
      </c>
      <c r="B169" s="41">
        <f>IF($A169="","",IF(INDEX(exp_desc,MATCH(163,exp_wishno,0))="","",INDEX(exp_desc,MATCH(163,exp_wishno,0))))</f>
        <v/>
      </c>
      <c r="C169" s="41">
        <f>IF($A169="","",IF(INDEX(exp_cat,MATCH(163,exp_wishno,0))="","",INDEX(exp_cat,MATCH(163,exp_wishno,0))))</f>
        <v/>
      </c>
      <c r="D169" s="80">
        <f>IF($A169="","",IF(INDEX(exp_prio,MATCH(163,exp_wishno,0))="","",INDEX(exp_prio,MATCH(163,exp_wishno,0))))</f>
        <v/>
      </c>
      <c r="E169" s="80">
        <f>IF($A169="","",IF(INDEX(exp_year,MATCH(163,exp_wishno,0))="","",INDEX(exp_year,MATCH(163,exp_wishno,0))))</f>
        <v/>
      </c>
      <c r="F169" s="80">
        <f>IF($A169="","",IF(INDEX(exp_month,MATCH(163,exp_wishno,0))="","",INDEX(exp_month,MATCH(163,exp_wishno,0))))</f>
        <v/>
      </c>
      <c r="G169" s="81">
        <f>IF($A169="","",IF(INDEX(exp_plan,MATCH(163,exp_wishno,0))="","",INDEX(exp_plan,MATCH(163,exp_wishno,0))))</f>
        <v/>
      </c>
      <c r="H169" s="82">
        <f>IF($A169="","",IF(INDEX(exp_fact,MATCH(163,exp_wishno,0))="","",INDEX(exp_fact,MATCH(163,exp_wishno,0))))</f>
        <v/>
      </c>
      <c r="I169" s="41">
        <f>IF($A169="","",IF(INDEX(exp_status,MATCH(163,exp_wishno,0))="","",INDEX(exp_status,MATCH(163,exp_wishno,0))))</f>
        <v/>
      </c>
    </row>
    <row r="170">
      <c r="A170" s="80">
        <f>IF(ISNA(MATCH(164,exp_wishno,0)),"",164)</f>
        <v/>
      </c>
      <c r="B170" s="41">
        <f>IF($A170="","",IF(INDEX(exp_desc,MATCH(164,exp_wishno,0))="","",INDEX(exp_desc,MATCH(164,exp_wishno,0))))</f>
        <v/>
      </c>
      <c r="C170" s="41">
        <f>IF($A170="","",IF(INDEX(exp_cat,MATCH(164,exp_wishno,0))="","",INDEX(exp_cat,MATCH(164,exp_wishno,0))))</f>
        <v/>
      </c>
      <c r="D170" s="80">
        <f>IF($A170="","",IF(INDEX(exp_prio,MATCH(164,exp_wishno,0))="","",INDEX(exp_prio,MATCH(164,exp_wishno,0))))</f>
        <v/>
      </c>
      <c r="E170" s="80">
        <f>IF($A170="","",IF(INDEX(exp_year,MATCH(164,exp_wishno,0))="","",INDEX(exp_year,MATCH(164,exp_wishno,0))))</f>
        <v/>
      </c>
      <c r="F170" s="80">
        <f>IF($A170="","",IF(INDEX(exp_month,MATCH(164,exp_wishno,0))="","",INDEX(exp_month,MATCH(164,exp_wishno,0))))</f>
        <v/>
      </c>
      <c r="G170" s="81">
        <f>IF($A170="","",IF(INDEX(exp_plan,MATCH(164,exp_wishno,0))="","",INDEX(exp_plan,MATCH(164,exp_wishno,0))))</f>
        <v/>
      </c>
      <c r="H170" s="82">
        <f>IF($A170="","",IF(INDEX(exp_fact,MATCH(164,exp_wishno,0))="","",INDEX(exp_fact,MATCH(164,exp_wishno,0))))</f>
        <v/>
      </c>
      <c r="I170" s="41">
        <f>IF($A170="","",IF(INDEX(exp_status,MATCH(164,exp_wishno,0))="","",INDEX(exp_status,MATCH(164,exp_wishno,0))))</f>
        <v/>
      </c>
    </row>
    <row r="171">
      <c r="A171" s="80">
        <f>IF(ISNA(MATCH(165,exp_wishno,0)),"",165)</f>
        <v/>
      </c>
      <c r="B171" s="41">
        <f>IF($A171="","",IF(INDEX(exp_desc,MATCH(165,exp_wishno,0))="","",INDEX(exp_desc,MATCH(165,exp_wishno,0))))</f>
        <v/>
      </c>
      <c r="C171" s="41">
        <f>IF($A171="","",IF(INDEX(exp_cat,MATCH(165,exp_wishno,0))="","",INDEX(exp_cat,MATCH(165,exp_wishno,0))))</f>
        <v/>
      </c>
      <c r="D171" s="80">
        <f>IF($A171="","",IF(INDEX(exp_prio,MATCH(165,exp_wishno,0))="","",INDEX(exp_prio,MATCH(165,exp_wishno,0))))</f>
        <v/>
      </c>
      <c r="E171" s="80">
        <f>IF($A171="","",IF(INDEX(exp_year,MATCH(165,exp_wishno,0))="","",INDEX(exp_year,MATCH(165,exp_wishno,0))))</f>
        <v/>
      </c>
      <c r="F171" s="80">
        <f>IF($A171="","",IF(INDEX(exp_month,MATCH(165,exp_wishno,0))="","",INDEX(exp_month,MATCH(165,exp_wishno,0))))</f>
        <v/>
      </c>
      <c r="G171" s="81">
        <f>IF($A171="","",IF(INDEX(exp_plan,MATCH(165,exp_wishno,0))="","",INDEX(exp_plan,MATCH(165,exp_wishno,0))))</f>
        <v/>
      </c>
      <c r="H171" s="82">
        <f>IF($A171="","",IF(INDEX(exp_fact,MATCH(165,exp_wishno,0))="","",INDEX(exp_fact,MATCH(165,exp_wishno,0))))</f>
        <v/>
      </c>
      <c r="I171" s="41">
        <f>IF($A171="","",IF(INDEX(exp_status,MATCH(165,exp_wishno,0))="","",INDEX(exp_status,MATCH(165,exp_wishno,0))))</f>
        <v/>
      </c>
    </row>
    <row r="172">
      <c r="A172" s="80">
        <f>IF(ISNA(MATCH(166,exp_wishno,0)),"",166)</f>
        <v/>
      </c>
      <c r="B172" s="41">
        <f>IF($A172="","",IF(INDEX(exp_desc,MATCH(166,exp_wishno,0))="","",INDEX(exp_desc,MATCH(166,exp_wishno,0))))</f>
        <v/>
      </c>
      <c r="C172" s="41">
        <f>IF($A172="","",IF(INDEX(exp_cat,MATCH(166,exp_wishno,0))="","",INDEX(exp_cat,MATCH(166,exp_wishno,0))))</f>
        <v/>
      </c>
      <c r="D172" s="80">
        <f>IF($A172="","",IF(INDEX(exp_prio,MATCH(166,exp_wishno,0))="","",INDEX(exp_prio,MATCH(166,exp_wishno,0))))</f>
        <v/>
      </c>
      <c r="E172" s="80">
        <f>IF($A172="","",IF(INDEX(exp_year,MATCH(166,exp_wishno,0))="","",INDEX(exp_year,MATCH(166,exp_wishno,0))))</f>
        <v/>
      </c>
      <c r="F172" s="80">
        <f>IF($A172="","",IF(INDEX(exp_month,MATCH(166,exp_wishno,0))="","",INDEX(exp_month,MATCH(166,exp_wishno,0))))</f>
        <v/>
      </c>
      <c r="G172" s="81">
        <f>IF($A172="","",IF(INDEX(exp_plan,MATCH(166,exp_wishno,0))="","",INDEX(exp_plan,MATCH(166,exp_wishno,0))))</f>
        <v/>
      </c>
      <c r="H172" s="82">
        <f>IF($A172="","",IF(INDEX(exp_fact,MATCH(166,exp_wishno,0))="","",INDEX(exp_fact,MATCH(166,exp_wishno,0))))</f>
        <v/>
      </c>
      <c r="I172" s="41">
        <f>IF($A172="","",IF(INDEX(exp_status,MATCH(166,exp_wishno,0))="","",INDEX(exp_status,MATCH(166,exp_wishno,0))))</f>
        <v/>
      </c>
    </row>
    <row r="173">
      <c r="A173" s="80">
        <f>IF(ISNA(MATCH(167,exp_wishno,0)),"",167)</f>
        <v/>
      </c>
      <c r="B173" s="41">
        <f>IF($A173="","",IF(INDEX(exp_desc,MATCH(167,exp_wishno,0))="","",INDEX(exp_desc,MATCH(167,exp_wishno,0))))</f>
        <v/>
      </c>
      <c r="C173" s="41">
        <f>IF($A173="","",IF(INDEX(exp_cat,MATCH(167,exp_wishno,0))="","",INDEX(exp_cat,MATCH(167,exp_wishno,0))))</f>
        <v/>
      </c>
      <c r="D173" s="80">
        <f>IF($A173="","",IF(INDEX(exp_prio,MATCH(167,exp_wishno,0))="","",INDEX(exp_prio,MATCH(167,exp_wishno,0))))</f>
        <v/>
      </c>
      <c r="E173" s="80">
        <f>IF($A173="","",IF(INDEX(exp_year,MATCH(167,exp_wishno,0))="","",INDEX(exp_year,MATCH(167,exp_wishno,0))))</f>
        <v/>
      </c>
      <c r="F173" s="80">
        <f>IF($A173="","",IF(INDEX(exp_month,MATCH(167,exp_wishno,0))="","",INDEX(exp_month,MATCH(167,exp_wishno,0))))</f>
        <v/>
      </c>
      <c r="G173" s="81">
        <f>IF($A173="","",IF(INDEX(exp_plan,MATCH(167,exp_wishno,0))="","",INDEX(exp_plan,MATCH(167,exp_wishno,0))))</f>
        <v/>
      </c>
      <c r="H173" s="82">
        <f>IF($A173="","",IF(INDEX(exp_fact,MATCH(167,exp_wishno,0))="","",INDEX(exp_fact,MATCH(167,exp_wishno,0))))</f>
        <v/>
      </c>
      <c r="I173" s="41">
        <f>IF($A173="","",IF(INDEX(exp_status,MATCH(167,exp_wishno,0))="","",INDEX(exp_status,MATCH(167,exp_wishno,0))))</f>
        <v/>
      </c>
    </row>
    <row r="174">
      <c r="A174" s="80">
        <f>IF(ISNA(MATCH(168,exp_wishno,0)),"",168)</f>
        <v/>
      </c>
      <c r="B174" s="41">
        <f>IF($A174="","",IF(INDEX(exp_desc,MATCH(168,exp_wishno,0))="","",INDEX(exp_desc,MATCH(168,exp_wishno,0))))</f>
        <v/>
      </c>
      <c r="C174" s="41">
        <f>IF($A174="","",IF(INDEX(exp_cat,MATCH(168,exp_wishno,0))="","",INDEX(exp_cat,MATCH(168,exp_wishno,0))))</f>
        <v/>
      </c>
      <c r="D174" s="80">
        <f>IF($A174="","",IF(INDEX(exp_prio,MATCH(168,exp_wishno,0))="","",INDEX(exp_prio,MATCH(168,exp_wishno,0))))</f>
        <v/>
      </c>
      <c r="E174" s="80">
        <f>IF($A174="","",IF(INDEX(exp_year,MATCH(168,exp_wishno,0))="","",INDEX(exp_year,MATCH(168,exp_wishno,0))))</f>
        <v/>
      </c>
      <c r="F174" s="80">
        <f>IF($A174="","",IF(INDEX(exp_month,MATCH(168,exp_wishno,0))="","",INDEX(exp_month,MATCH(168,exp_wishno,0))))</f>
        <v/>
      </c>
      <c r="G174" s="81">
        <f>IF($A174="","",IF(INDEX(exp_plan,MATCH(168,exp_wishno,0))="","",INDEX(exp_plan,MATCH(168,exp_wishno,0))))</f>
        <v/>
      </c>
      <c r="H174" s="82">
        <f>IF($A174="","",IF(INDEX(exp_fact,MATCH(168,exp_wishno,0))="","",INDEX(exp_fact,MATCH(168,exp_wishno,0))))</f>
        <v/>
      </c>
      <c r="I174" s="41">
        <f>IF($A174="","",IF(INDEX(exp_status,MATCH(168,exp_wishno,0))="","",INDEX(exp_status,MATCH(168,exp_wishno,0))))</f>
        <v/>
      </c>
    </row>
    <row r="175">
      <c r="A175" s="80">
        <f>IF(ISNA(MATCH(169,exp_wishno,0)),"",169)</f>
        <v/>
      </c>
      <c r="B175" s="41">
        <f>IF($A175="","",IF(INDEX(exp_desc,MATCH(169,exp_wishno,0))="","",INDEX(exp_desc,MATCH(169,exp_wishno,0))))</f>
        <v/>
      </c>
      <c r="C175" s="41">
        <f>IF($A175="","",IF(INDEX(exp_cat,MATCH(169,exp_wishno,0))="","",INDEX(exp_cat,MATCH(169,exp_wishno,0))))</f>
        <v/>
      </c>
      <c r="D175" s="80">
        <f>IF($A175="","",IF(INDEX(exp_prio,MATCH(169,exp_wishno,0))="","",INDEX(exp_prio,MATCH(169,exp_wishno,0))))</f>
        <v/>
      </c>
      <c r="E175" s="80">
        <f>IF($A175="","",IF(INDEX(exp_year,MATCH(169,exp_wishno,0))="","",INDEX(exp_year,MATCH(169,exp_wishno,0))))</f>
        <v/>
      </c>
      <c r="F175" s="80">
        <f>IF($A175="","",IF(INDEX(exp_month,MATCH(169,exp_wishno,0))="","",INDEX(exp_month,MATCH(169,exp_wishno,0))))</f>
        <v/>
      </c>
      <c r="G175" s="81">
        <f>IF($A175="","",IF(INDEX(exp_plan,MATCH(169,exp_wishno,0))="","",INDEX(exp_plan,MATCH(169,exp_wishno,0))))</f>
        <v/>
      </c>
      <c r="H175" s="82">
        <f>IF($A175="","",IF(INDEX(exp_fact,MATCH(169,exp_wishno,0))="","",INDEX(exp_fact,MATCH(169,exp_wishno,0))))</f>
        <v/>
      </c>
      <c r="I175" s="41">
        <f>IF($A175="","",IF(INDEX(exp_status,MATCH(169,exp_wishno,0))="","",INDEX(exp_status,MATCH(169,exp_wishno,0))))</f>
        <v/>
      </c>
    </row>
    <row r="176">
      <c r="A176" s="80">
        <f>IF(ISNA(MATCH(170,exp_wishno,0)),"",170)</f>
        <v/>
      </c>
      <c r="B176" s="41">
        <f>IF($A176="","",IF(INDEX(exp_desc,MATCH(170,exp_wishno,0))="","",INDEX(exp_desc,MATCH(170,exp_wishno,0))))</f>
        <v/>
      </c>
      <c r="C176" s="41">
        <f>IF($A176="","",IF(INDEX(exp_cat,MATCH(170,exp_wishno,0))="","",INDEX(exp_cat,MATCH(170,exp_wishno,0))))</f>
        <v/>
      </c>
      <c r="D176" s="80">
        <f>IF($A176="","",IF(INDEX(exp_prio,MATCH(170,exp_wishno,0))="","",INDEX(exp_prio,MATCH(170,exp_wishno,0))))</f>
        <v/>
      </c>
      <c r="E176" s="80">
        <f>IF($A176="","",IF(INDEX(exp_year,MATCH(170,exp_wishno,0))="","",INDEX(exp_year,MATCH(170,exp_wishno,0))))</f>
        <v/>
      </c>
      <c r="F176" s="80">
        <f>IF($A176="","",IF(INDEX(exp_month,MATCH(170,exp_wishno,0))="","",INDEX(exp_month,MATCH(170,exp_wishno,0))))</f>
        <v/>
      </c>
      <c r="G176" s="81">
        <f>IF($A176="","",IF(INDEX(exp_plan,MATCH(170,exp_wishno,0))="","",INDEX(exp_plan,MATCH(170,exp_wishno,0))))</f>
        <v/>
      </c>
      <c r="H176" s="82">
        <f>IF($A176="","",IF(INDEX(exp_fact,MATCH(170,exp_wishno,0))="","",INDEX(exp_fact,MATCH(170,exp_wishno,0))))</f>
        <v/>
      </c>
      <c r="I176" s="41">
        <f>IF($A176="","",IF(INDEX(exp_status,MATCH(170,exp_wishno,0))="","",INDEX(exp_status,MATCH(170,exp_wishno,0))))</f>
        <v/>
      </c>
    </row>
    <row r="177">
      <c r="A177" s="80">
        <f>IF(ISNA(MATCH(171,exp_wishno,0)),"",171)</f>
        <v/>
      </c>
      <c r="B177" s="41">
        <f>IF($A177="","",IF(INDEX(exp_desc,MATCH(171,exp_wishno,0))="","",INDEX(exp_desc,MATCH(171,exp_wishno,0))))</f>
        <v/>
      </c>
      <c r="C177" s="41">
        <f>IF($A177="","",IF(INDEX(exp_cat,MATCH(171,exp_wishno,0))="","",INDEX(exp_cat,MATCH(171,exp_wishno,0))))</f>
        <v/>
      </c>
      <c r="D177" s="80">
        <f>IF($A177="","",IF(INDEX(exp_prio,MATCH(171,exp_wishno,0))="","",INDEX(exp_prio,MATCH(171,exp_wishno,0))))</f>
        <v/>
      </c>
      <c r="E177" s="80">
        <f>IF($A177="","",IF(INDEX(exp_year,MATCH(171,exp_wishno,0))="","",INDEX(exp_year,MATCH(171,exp_wishno,0))))</f>
        <v/>
      </c>
      <c r="F177" s="80">
        <f>IF($A177="","",IF(INDEX(exp_month,MATCH(171,exp_wishno,0))="","",INDEX(exp_month,MATCH(171,exp_wishno,0))))</f>
        <v/>
      </c>
      <c r="G177" s="81">
        <f>IF($A177="","",IF(INDEX(exp_plan,MATCH(171,exp_wishno,0))="","",INDEX(exp_plan,MATCH(171,exp_wishno,0))))</f>
        <v/>
      </c>
      <c r="H177" s="82">
        <f>IF($A177="","",IF(INDEX(exp_fact,MATCH(171,exp_wishno,0))="","",INDEX(exp_fact,MATCH(171,exp_wishno,0))))</f>
        <v/>
      </c>
      <c r="I177" s="41">
        <f>IF($A177="","",IF(INDEX(exp_status,MATCH(171,exp_wishno,0))="","",INDEX(exp_status,MATCH(171,exp_wishno,0))))</f>
        <v/>
      </c>
    </row>
    <row r="178">
      <c r="A178" s="80">
        <f>IF(ISNA(MATCH(172,exp_wishno,0)),"",172)</f>
        <v/>
      </c>
      <c r="B178" s="41">
        <f>IF($A178="","",IF(INDEX(exp_desc,MATCH(172,exp_wishno,0))="","",INDEX(exp_desc,MATCH(172,exp_wishno,0))))</f>
        <v/>
      </c>
      <c r="C178" s="41">
        <f>IF($A178="","",IF(INDEX(exp_cat,MATCH(172,exp_wishno,0))="","",INDEX(exp_cat,MATCH(172,exp_wishno,0))))</f>
        <v/>
      </c>
      <c r="D178" s="80">
        <f>IF($A178="","",IF(INDEX(exp_prio,MATCH(172,exp_wishno,0))="","",INDEX(exp_prio,MATCH(172,exp_wishno,0))))</f>
        <v/>
      </c>
      <c r="E178" s="80">
        <f>IF($A178="","",IF(INDEX(exp_year,MATCH(172,exp_wishno,0))="","",INDEX(exp_year,MATCH(172,exp_wishno,0))))</f>
        <v/>
      </c>
      <c r="F178" s="80">
        <f>IF($A178="","",IF(INDEX(exp_month,MATCH(172,exp_wishno,0))="","",INDEX(exp_month,MATCH(172,exp_wishno,0))))</f>
        <v/>
      </c>
      <c r="G178" s="81">
        <f>IF($A178="","",IF(INDEX(exp_plan,MATCH(172,exp_wishno,0))="","",INDEX(exp_plan,MATCH(172,exp_wishno,0))))</f>
        <v/>
      </c>
      <c r="H178" s="82">
        <f>IF($A178="","",IF(INDEX(exp_fact,MATCH(172,exp_wishno,0))="","",INDEX(exp_fact,MATCH(172,exp_wishno,0))))</f>
        <v/>
      </c>
      <c r="I178" s="41">
        <f>IF($A178="","",IF(INDEX(exp_status,MATCH(172,exp_wishno,0))="","",INDEX(exp_status,MATCH(172,exp_wishno,0))))</f>
        <v/>
      </c>
    </row>
    <row r="179">
      <c r="A179" s="80">
        <f>IF(ISNA(MATCH(173,exp_wishno,0)),"",173)</f>
        <v/>
      </c>
      <c r="B179" s="41">
        <f>IF($A179="","",IF(INDEX(exp_desc,MATCH(173,exp_wishno,0))="","",INDEX(exp_desc,MATCH(173,exp_wishno,0))))</f>
        <v/>
      </c>
      <c r="C179" s="41">
        <f>IF($A179="","",IF(INDEX(exp_cat,MATCH(173,exp_wishno,0))="","",INDEX(exp_cat,MATCH(173,exp_wishno,0))))</f>
        <v/>
      </c>
      <c r="D179" s="80">
        <f>IF($A179="","",IF(INDEX(exp_prio,MATCH(173,exp_wishno,0))="","",INDEX(exp_prio,MATCH(173,exp_wishno,0))))</f>
        <v/>
      </c>
      <c r="E179" s="80">
        <f>IF($A179="","",IF(INDEX(exp_year,MATCH(173,exp_wishno,0))="","",INDEX(exp_year,MATCH(173,exp_wishno,0))))</f>
        <v/>
      </c>
      <c r="F179" s="80">
        <f>IF($A179="","",IF(INDEX(exp_month,MATCH(173,exp_wishno,0))="","",INDEX(exp_month,MATCH(173,exp_wishno,0))))</f>
        <v/>
      </c>
      <c r="G179" s="81">
        <f>IF($A179="","",IF(INDEX(exp_plan,MATCH(173,exp_wishno,0))="","",INDEX(exp_plan,MATCH(173,exp_wishno,0))))</f>
        <v/>
      </c>
      <c r="H179" s="82">
        <f>IF($A179="","",IF(INDEX(exp_fact,MATCH(173,exp_wishno,0))="","",INDEX(exp_fact,MATCH(173,exp_wishno,0))))</f>
        <v/>
      </c>
      <c r="I179" s="41">
        <f>IF($A179="","",IF(INDEX(exp_status,MATCH(173,exp_wishno,0))="","",INDEX(exp_status,MATCH(173,exp_wishno,0))))</f>
        <v/>
      </c>
    </row>
    <row r="180">
      <c r="A180" s="80">
        <f>IF(ISNA(MATCH(174,exp_wishno,0)),"",174)</f>
        <v/>
      </c>
      <c r="B180" s="41">
        <f>IF($A180="","",IF(INDEX(exp_desc,MATCH(174,exp_wishno,0))="","",INDEX(exp_desc,MATCH(174,exp_wishno,0))))</f>
        <v/>
      </c>
      <c r="C180" s="41">
        <f>IF($A180="","",IF(INDEX(exp_cat,MATCH(174,exp_wishno,0))="","",INDEX(exp_cat,MATCH(174,exp_wishno,0))))</f>
        <v/>
      </c>
      <c r="D180" s="80">
        <f>IF($A180="","",IF(INDEX(exp_prio,MATCH(174,exp_wishno,0))="","",INDEX(exp_prio,MATCH(174,exp_wishno,0))))</f>
        <v/>
      </c>
      <c r="E180" s="80">
        <f>IF($A180="","",IF(INDEX(exp_year,MATCH(174,exp_wishno,0))="","",INDEX(exp_year,MATCH(174,exp_wishno,0))))</f>
        <v/>
      </c>
      <c r="F180" s="80">
        <f>IF($A180="","",IF(INDEX(exp_month,MATCH(174,exp_wishno,0))="","",INDEX(exp_month,MATCH(174,exp_wishno,0))))</f>
        <v/>
      </c>
      <c r="G180" s="81">
        <f>IF($A180="","",IF(INDEX(exp_plan,MATCH(174,exp_wishno,0))="","",INDEX(exp_plan,MATCH(174,exp_wishno,0))))</f>
        <v/>
      </c>
      <c r="H180" s="82">
        <f>IF($A180="","",IF(INDEX(exp_fact,MATCH(174,exp_wishno,0))="","",INDEX(exp_fact,MATCH(174,exp_wishno,0))))</f>
        <v/>
      </c>
      <c r="I180" s="41">
        <f>IF($A180="","",IF(INDEX(exp_status,MATCH(174,exp_wishno,0))="","",INDEX(exp_status,MATCH(174,exp_wishno,0))))</f>
        <v/>
      </c>
    </row>
    <row r="181">
      <c r="A181" s="80">
        <f>IF(ISNA(MATCH(175,exp_wishno,0)),"",175)</f>
        <v/>
      </c>
      <c r="B181" s="41">
        <f>IF($A181="","",IF(INDEX(exp_desc,MATCH(175,exp_wishno,0))="","",INDEX(exp_desc,MATCH(175,exp_wishno,0))))</f>
        <v/>
      </c>
      <c r="C181" s="41">
        <f>IF($A181="","",IF(INDEX(exp_cat,MATCH(175,exp_wishno,0))="","",INDEX(exp_cat,MATCH(175,exp_wishno,0))))</f>
        <v/>
      </c>
      <c r="D181" s="80">
        <f>IF($A181="","",IF(INDEX(exp_prio,MATCH(175,exp_wishno,0))="","",INDEX(exp_prio,MATCH(175,exp_wishno,0))))</f>
        <v/>
      </c>
      <c r="E181" s="80">
        <f>IF($A181="","",IF(INDEX(exp_year,MATCH(175,exp_wishno,0))="","",INDEX(exp_year,MATCH(175,exp_wishno,0))))</f>
        <v/>
      </c>
      <c r="F181" s="80">
        <f>IF($A181="","",IF(INDEX(exp_month,MATCH(175,exp_wishno,0))="","",INDEX(exp_month,MATCH(175,exp_wishno,0))))</f>
        <v/>
      </c>
      <c r="G181" s="81">
        <f>IF($A181="","",IF(INDEX(exp_plan,MATCH(175,exp_wishno,0))="","",INDEX(exp_plan,MATCH(175,exp_wishno,0))))</f>
        <v/>
      </c>
      <c r="H181" s="82">
        <f>IF($A181="","",IF(INDEX(exp_fact,MATCH(175,exp_wishno,0))="","",INDEX(exp_fact,MATCH(175,exp_wishno,0))))</f>
        <v/>
      </c>
      <c r="I181" s="41">
        <f>IF($A181="","",IF(INDEX(exp_status,MATCH(175,exp_wishno,0))="","",INDEX(exp_status,MATCH(175,exp_wishno,0))))</f>
        <v/>
      </c>
    </row>
    <row r="182">
      <c r="A182" s="80">
        <f>IF(ISNA(MATCH(176,exp_wishno,0)),"",176)</f>
        <v/>
      </c>
      <c r="B182" s="41">
        <f>IF($A182="","",IF(INDEX(exp_desc,MATCH(176,exp_wishno,0))="","",INDEX(exp_desc,MATCH(176,exp_wishno,0))))</f>
        <v/>
      </c>
      <c r="C182" s="41">
        <f>IF($A182="","",IF(INDEX(exp_cat,MATCH(176,exp_wishno,0))="","",INDEX(exp_cat,MATCH(176,exp_wishno,0))))</f>
        <v/>
      </c>
      <c r="D182" s="80">
        <f>IF($A182="","",IF(INDEX(exp_prio,MATCH(176,exp_wishno,0))="","",INDEX(exp_prio,MATCH(176,exp_wishno,0))))</f>
        <v/>
      </c>
      <c r="E182" s="80">
        <f>IF($A182="","",IF(INDEX(exp_year,MATCH(176,exp_wishno,0))="","",INDEX(exp_year,MATCH(176,exp_wishno,0))))</f>
        <v/>
      </c>
      <c r="F182" s="80">
        <f>IF($A182="","",IF(INDEX(exp_month,MATCH(176,exp_wishno,0))="","",INDEX(exp_month,MATCH(176,exp_wishno,0))))</f>
        <v/>
      </c>
      <c r="G182" s="81">
        <f>IF($A182="","",IF(INDEX(exp_plan,MATCH(176,exp_wishno,0))="","",INDEX(exp_plan,MATCH(176,exp_wishno,0))))</f>
        <v/>
      </c>
      <c r="H182" s="82">
        <f>IF($A182="","",IF(INDEX(exp_fact,MATCH(176,exp_wishno,0))="","",INDEX(exp_fact,MATCH(176,exp_wishno,0))))</f>
        <v/>
      </c>
      <c r="I182" s="41">
        <f>IF($A182="","",IF(INDEX(exp_status,MATCH(176,exp_wishno,0))="","",INDEX(exp_status,MATCH(176,exp_wishno,0))))</f>
        <v/>
      </c>
    </row>
    <row r="183">
      <c r="A183" s="80">
        <f>IF(ISNA(MATCH(177,exp_wishno,0)),"",177)</f>
        <v/>
      </c>
      <c r="B183" s="41">
        <f>IF($A183="","",IF(INDEX(exp_desc,MATCH(177,exp_wishno,0))="","",INDEX(exp_desc,MATCH(177,exp_wishno,0))))</f>
        <v/>
      </c>
      <c r="C183" s="41">
        <f>IF($A183="","",IF(INDEX(exp_cat,MATCH(177,exp_wishno,0))="","",INDEX(exp_cat,MATCH(177,exp_wishno,0))))</f>
        <v/>
      </c>
      <c r="D183" s="80">
        <f>IF($A183="","",IF(INDEX(exp_prio,MATCH(177,exp_wishno,0))="","",INDEX(exp_prio,MATCH(177,exp_wishno,0))))</f>
        <v/>
      </c>
      <c r="E183" s="80">
        <f>IF($A183="","",IF(INDEX(exp_year,MATCH(177,exp_wishno,0))="","",INDEX(exp_year,MATCH(177,exp_wishno,0))))</f>
        <v/>
      </c>
      <c r="F183" s="80">
        <f>IF($A183="","",IF(INDEX(exp_month,MATCH(177,exp_wishno,0))="","",INDEX(exp_month,MATCH(177,exp_wishno,0))))</f>
        <v/>
      </c>
      <c r="G183" s="81">
        <f>IF($A183="","",IF(INDEX(exp_plan,MATCH(177,exp_wishno,0))="","",INDEX(exp_plan,MATCH(177,exp_wishno,0))))</f>
        <v/>
      </c>
      <c r="H183" s="82">
        <f>IF($A183="","",IF(INDEX(exp_fact,MATCH(177,exp_wishno,0))="","",INDEX(exp_fact,MATCH(177,exp_wishno,0))))</f>
        <v/>
      </c>
      <c r="I183" s="41">
        <f>IF($A183="","",IF(INDEX(exp_status,MATCH(177,exp_wishno,0))="","",INDEX(exp_status,MATCH(177,exp_wishno,0))))</f>
        <v/>
      </c>
    </row>
    <row r="184">
      <c r="A184" s="80">
        <f>IF(ISNA(MATCH(178,exp_wishno,0)),"",178)</f>
        <v/>
      </c>
      <c r="B184" s="41">
        <f>IF($A184="","",IF(INDEX(exp_desc,MATCH(178,exp_wishno,0))="","",INDEX(exp_desc,MATCH(178,exp_wishno,0))))</f>
        <v/>
      </c>
      <c r="C184" s="41">
        <f>IF($A184="","",IF(INDEX(exp_cat,MATCH(178,exp_wishno,0))="","",INDEX(exp_cat,MATCH(178,exp_wishno,0))))</f>
        <v/>
      </c>
      <c r="D184" s="80">
        <f>IF($A184="","",IF(INDEX(exp_prio,MATCH(178,exp_wishno,0))="","",INDEX(exp_prio,MATCH(178,exp_wishno,0))))</f>
        <v/>
      </c>
      <c r="E184" s="80">
        <f>IF($A184="","",IF(INDEX(exp_year,MATCH(178,exp_wishno,0))="","",INDEX(exp_year,MATCH(178,exp_wishno,0))))</f>
        <v/>
      </c>
      <c r="F184" s="80">
        <f>IF($A184="","",IF(INDEX(exp_month,MATCH(178,exp_wishno,0))="","",INDEX(exp_month,MATCH(178,exp_wishno,0))))</f>
        <v/>
      </c>
      <c r="G184" s="81">
        <f>IF($A184="","",IF(INDEX(exp_plan,MATCH(178,exp_wishno,0))="","",INDEX(exp_plan,MATCH(178,exp_wishno,0))))</f>
        <v/>
      </c>
      <c r="H184" s="82">
        <f>IF($A184="","",IF(INDEX(exp_fact,MATCH(178,exp_wishno,0))="","",INDEX(exp_fact,MATCH(178,exp_wishno,0))))</f>
        <v/>
      </c>
      <c r="I184" s="41">
        <f>IF($A184="","",IF(INDEX(exp_status,MATCH(178,exp_wishno,0))="","",INDEX(exp_status,MATCH(178,exp_wishno,0))))</f>
        <v/>
      </c>
    </row>
    <row r="185">
      <c r="A185" s="80">
        <f>IF(ISNA(MATCH(179,exp_wishno,0)),"",179)</f>
        <v/>
      </c>
      <c r="B185" s="41">
        <f>IF($A185="","",IF(INDEX(exp_desc,MATCH(179,exp_wishno,0))="","",INDEX(exp_desc,MATCH(179,exp_wishno,0))))</f>
        <v/>
      </c>
      <c r="C185" s="41">
        <f>IF($A185="","",IF(INDEX(exp_cat,MATCH(179,exp_wishno,0))="","",INDEX(exp_cat,MATCH(179,exp_wishno,0))))</f>
        <v/>
      </c>
      <c r="D185" s="80">
        <f>IF($A185="","",IF(INDEX(exp_prio,MATCH(179,exp_wishno,0))="","",INDEX(exp_prio,MATCH(179,exp_wishno,0))))</f>
        <v/>
      </c>
      <c r="E185" s="80">
        <f>IF($A185="","",IF(INDEX(exp_year,MATCH(179,exp_wishno,0))="","",INDEX(exp_year,MATCH(179,exp_wishno,0))))</f>
        <v/>
      </c>
      <c r="F185" s="80">
        <f>IF($A185="","",IF(INDEX(exp_month,MATCH(179,exp_wishno,0))="","",INDEX(exp_month,MATCH(179,exp_wishno,0))))</f>
        <v/>
      </c>
      <c r="G185" s="81">
        <f>IF($A185="","",IF(INDEX(exp_plan,MATCH(179,exp_wishno,0))="","",INDEX(exp_plan,MATCH(179,exp_wishno,0))))</f>
        <v/>
      </c>
      <c r="H185" s="82">
        <f>IF($A185="","",IF(INDEX(exp_fact,MATCH(179,exp_wishno,0))="","",INDEX(exp_fact,MATCH(179,exp_wishno,0))))</f>
        <v/>
      </c>
      <c r="I185" s="41">
        <f>IF($A185="","",IF(INDEX(exp_status,MATCH(179,exp_wishno,0))="","",INDEX(exp_status,MATCH(179,exp_wishno,0))))</f>
        <v/>
      </c>
    </row>
    <row r="186">
      <c r="A186" s="80">
        <f>IF(ISNA(MATCH(180,exp_wishno,0)),"",180)</f>
        <v/>
      </c>
      <c r="B186" s="41">
        <f>IF($A186="","",IF(INDEX(exp_desc,MATCH(180,exp_wishno,0))="","",INDEX(exp_desc,MATCH(180,exp_wishno,0))))</f>
        <v/>
      </c>
      <c r="C186" s="41">
        <f>IF($A186="","",IF(INDEX(exp_cat,MATCH(180,exp_wishno,0))="","",INDEX(exp_cat,MATCH(180,exp_wishno,0))))</f>
        <v/>
      </c>
      <c r="D186" s="80">
        <f>IF($A186="","",IF(INDEX(exp_prio,MATCH(180,exp_wishno,0))="","",INDEX(exp_prio,MATCH(180,exp_wishno,0))))</f>
        <v/>
      </c>
      <c r="E186" s="80">
        <f>IF($A186="","",IF(INDEX(exp_year,MATCH(180,exp_wishno,0))="","",INDEX(exp_year,MATCH(180,exp_wishno,0))))</f>
        <v/>
      </c>
      <c r="F186" s="80">
        <f>IF($A186="","",IF(INDEX(exp_month,MATCH(180,exp_wishno,0))="","",INDEX(exp_month,MATCH(180,exp_wishno,0))))</f>
        <v/>
      </c>
      <c r="G186" s="81">
        <f>IF($A186="","",IF(INDEX(exp_plan,MATCH(180,exp_wishno,0))="","",INDEX(exp_plan,MATCH(180,exp_wishno,0))))</f>
        <v/>
      </c>
      <c r="H186" s="82">
        <f>IF($A186="","",IF(INDEX(exp_fact,MATCH(180,exp_wishno,0))="","",INDEX(exp_fact,MATCH(180,exp_wishno,0))))</f>
        <v/>
      </c>
      <c r="I186" s="41">
        <f>IF($A186="","",IF(INDEX(exp_status,MATCH(180,exp_wishno,0))="","",INDEX(exp_status,MATCH(180,exp_wishno,0))))</f>
        <v/>
      </c>
    </row>
    <row r="187">
      <c r="A187" s="80">
        <f>IF(ISNA(MATCH(181,exp_wishno,0)),"",181)</f>
        <v/>
      </c>
      <c r="B187" s="41">
        <f>IF($A187="","",IF(INDEX(exp_desc,MATCH(181,exp_wishno,0))="","",INDEX(exp_desc,MATCH(181,exp_wishno,0))))</f>
        <v/>
      </c>
      <c r="C187" s="41">
        <f>IF($A187="","",IF(INDEX(exp_cat,MATCH(181,exp_wishno,0))="","",INDEX(exp_cat,MATCH(181,exp_wishno,0))))</f>
        <v/>
      </c>
      <c r="D187" s="80">
        <f>IF($A187="","",IF(INDEX(exp_prio,MATCH(181,exp_wishno,0))="","",INDEX(exp_prio,MATCH(181,exp_wishno,0))))</f>
        <v/>
      </c>
      <c r="E187" s="80">
        <f>IF($A187="","",IF(INDEX(exp_year,MATCH(181,exp_wishno,0))="","",INDEX(exp_year,MATCH(181,exp_wishno,0))))</f>
        <v/>
      </c>
      <c r="F187" s="80">
        <f>IF($A187="","",IF(INDEX(exp_month,MATCH(181,exp_wishno,0))="","",INDEX(exp_month,MATCH(181,exp_wishno,0))))</f>
        <v/>
      </c>
      <c r="G187" s="81">
        <f>IF($A187="","",IF(INDEX(exp_plan,MATCH(181,exp_wishno,0))="","",INDEX(exp_plan,MATCH(181,exp_wishno,0))))</f>
        <v/>
      </c>
      <c r="H187" s="82">
        <f>IF($A187="","",IF(INDEX(exp_fact,MATCH(181,exp_wishno,0))="","",INDEX(exp_fact,MATCH(181,exp_wishno,0))))</f>
        <v/>
      </c>
      <c r="I187" s="41">
        <f>IF($A187="","",IF(INDEX(exp_status,MATCH(181,exp_wishno,0))="","",INDEX(exp_status,MATCH(181,exp_wishno,0))))</f>
        <v/>
      </c>
    </row>
    <row r="188">
      <c r="A188" s="80">
        <f>IF(ISNA(MATCH(182,exp_wishno,0)),"",182)</f>
        <v/>
      </c>
      <c r="B188" s="41">
        <f>IF($A188="","",IF(INDEX(exp_desc,MATCH(182,exp_wishno,0))="","",INDEX(exp_desc,MATCH(182,exp_wishno,0))))</f>
        <v/>
      </c>
      <c r="C188" s="41">
        <f>IF($A188="","",IF(INDEX(exp_cat,MATCH(182,exp_wishno,0))="","",INDEX(exp_cat,MATCH(182,exp_wishno,0))))</f>
        <v/>
      </c>
      <c r="D188" s="80">
        <f>IF($A188="","",IF(INDEX(exp_prio,MATCH(182,exp_wishno,0))="","",INDEX(exp_prio,MATCH(182,exp_wishno,0))))</f>
        <v/>
      </c>
      <c r="E188" s="80">
        <f>IF($A188="","",IF(INDEX(exp_year,MATCH(182,exp_wishno,0))="","",INDEX(exp_year,MATCH(182,exp_wishno,0))))</f>
        <v/>
      </c>
      <c r="F188" s="80">
        <f>IF($A188="","",IF(INDEX(exp_month,MATCH(182,exp_wishno,0))="","",INDEX(exp_month,MATCH(182,exp_wishno,0))))</f>
        <v/>
      </c>
      <c r="G188" s="81">
        <f>IF($A188="","",IF(INDEX(exp_plan,MATCH(182,exp_wishno,0))="","",INDEX(exp_plan,MATCH(182,exp_wishno,0))))</f>
        <v/>
      </c>
      <c r="H188" s="82">
        <f>IF($A188="","",IF(INDEX(exp_fact,MATCH(182,exp_wishno,0))="","",INDEX(exp_fact,MATCH(182,exp_wishno,0))))</f>
        <v/>
      </c>
      <c r="I188" s="41">
        <f>IF($A188="","",IF(INDEX(exp_status,MATCH(182,exp_wishno,0))="","",INDEX(exp_status,MATCH(182,exp_wishno,0))))</f>
        <v/>
      </c>
    </row>
    <row r="189">
      <c r="A189" s="80">
        <f>IF(ISNA(MATCH(183,exp_wishno,0)),"",183)</f>
        <v/>
      </c>
      <c r="B189" s="41">
        <f>IF($A189="","",IF(INDEX(exp_desc,MATCH(183,exp_wishno,0))="","",INDEX(exp_desc,MATCH(183,exp_wishno,0))))</f>
        <v/>
      </c>
      <c r="C189" s="41">
        <f>IF($A189="","",IF(INDEX(exp_cat,MATCH(183,exp_wishno,0))="","",INDEX(exp_cat,MATCH(183,exp_wishno,0))))</f>
        <v/>
      </c>
      <c r="D189" s="80">
        <f>IF($A189="","",IF(INDEX(exp_prio,MATCH(183,exp_wishno,0))="","",INDEX(exp_prio,MATCH(183,exp_wishno,0))))</f>
        <v/>
      </c>
      <c r="E189" s="80">
        <f>IF($A189="","",IF(INDEX(exp_year,MATCH(183,exp_wishno,0))="","",INDEX(exp_year,MATCH(183,exp_wishno,0))))</f>
        <v/>
      </c>
      <c r="F189" s="80">
        <f>IF($A189="","",IF(INDEX(exp_month,MATCH(183,exp_wishno,0))="","",INDEX(exp_month,MATCH(183,exp_wishno,0))))</f>
        <v/>
      </c>
      <c r="G189" s="81">
        <f>IF($A189="","",IF(INDEX(exp_plan,MATCH(183,exp_wishno,0))="","",INDEX(exp_plan,MATCH(183,exp_wishno,0))))</f>
        <v/>
      </c>
      <c r="H189" s="82">
        <f>IF($A189="","",IF(INDEX(exp_fact,MATCH(183,exp_wishno,0))="","",INDEX(exp_fact,MATCH(183,exp_wishno,0))))</f>
        <v/>
      </c>
      <c r="I189" s="41">
        <f>IF($A189="","",IF(INDEX(exp_status,MATCH(183,exp_wishno,0))="","",INDEX(exp_status,MATCH(183,exp_wishno,0))))</f>
        <v/>
      </c>
    </row>
    <row r="190">
      <c r="A190" s="80">
        <f>IF(ISNA(MATCH(184,exp_wishno,0)),"",184)</f>
        <v/>
      </c>
      <c r="B190" s="41">
        <f>IF($A190="","",IF(INDEX(exp_desc,MATCH(184,exp_wishno,0))="","",INDEX(exp_desc,MATCH(184,exp_wishno,0))))</f>
        <v/>
      </c>
      <c r="C190" s="41">
        <f>IF($A190="","",IF(INDEX(exp_cat,MATCH(184,exp_wishno,0))="","",INDEX(exp_cat,MATCH(184,exp_wishno,0))))</f>
        <v/>
      </c>
      <c r="D190" s="80">
        <f>IF($A190="","",IF(INDEX(exp_prio,MATCH(184,exp_wishno,0))="","",INDEX(exp_prio,MATCH(184,exp_wishno,0))))</f>
        <v/>
      </c>
      <c r="E190" s="80">
        <f>IF($A190="","",IF(INDEX(exp_year,MATCH(184,exp_wishno,0))="","",INDEX(exp_year,MATCH(184,exp_wishno,0))))</f>
        <v/>
      </c>
      <c r="F190" s="80">
        <f>IF($A190="","",IF(INDEX(exp_month,MATCH(184,exp_wishno,0))="","",INDEX(exp_month,MATCH(184,exp_wishno,0))))</f>
        <v/>
      </c>
      <c r="G190" s="81">
        <f>IF($A190="","",IF(INDEX(exp_plan,MATCH(184,exp_wishno,0))="","",INDEX(exp_plan,MATCH(184,exp_wishno,0))))</f>
        <v/>
      </c>
      <c r="H190" s="82">
        <f>IF($A190="","",IF(INDEX(exp_fact,MATCH(184,exp_wishno,0))="","",INDEX(exp_fact,MATCH(184,exp_wishno,0))))</f>
        <v/>
      </c>
      <c r="I190" s="41">
        <f>IF($A190="","",IF(INDEX(exp_status,MATCH(184,exp_wishno,0))="","",INDEX(exp_status,MATCH(184,exp_wishno,0))))</f>
        <v/>
      </c>
    </row>
    <row r="191">
      <c r="A191" s="80">
        <f>IF(ISNA(MATCH(185,exp_wishno,0)),"",185)</f>
        <v/>
      </c>
      <c r="B191" s="41">
        <f>IF($A191="","",IF(INDEX(exp_desc,MATCH(185,exp_wishno,0))="","",INDEX(exp_desc,MATCH(185,exp_wishno,0))))</f>
        <v/>
      </c>
      <c r="C191" s="41">
        <f>IF($A191="","",IF(INDEX(exp_cat,MATCH(185,exp_wishno,0))="","",INDEX(exp_cat,MATCH(185,exp_wishno,0))))</f>
        <v/>
      </c>
      <c r="D191" s="80">
        <f>IF($A191="","",IF(INDEX(exp_prio,MATCH(185,exp_wishno,0))="","",INDEX(exp_prio,MATCH(185,exp_wishno,0))))</f>
        <v/>
      </c>
      <c r="E191" s="80">
        <f>IF($A191="","",IF(INDEX(exp_year,MATCH(185,exp_wishno,0))="","",INDEX(exp_year,MATCH(185,exp_wishno,0))))</f>
        <v/>
      </c>
      <c r="F191" s="80">
        <f>IF($A191="","",IF(INDEX(exp_month,MATCH(185,exp_wishno,0))="","",INDEX(exp_month,MATCH(185,exp_wishno,0))))</f>
        <v/>
      </c>
      <c r="G191" s="81">
        <f>IF($A191="","",IF(INDEX(exp_plan,MATCH(185,exp_wishno,0))="","",INDEX(exp_plan,MATCH(185,exp_wishno,0))))</f>
        <v/>
      </c>
      <c r="H191" s="82">
        <f>IF($A191="","",IF(INDEX(exp_fact,MATCH(185,exp_wishno,0))="","",INDEX(exp_fact,MATCH(185,exp_wishno,0))))</f>
        <v/>
      </c>
      <c r="I191" s="41">
        <f>IF($A191="","",IF(INDEX(exp_status,MATCH(185,exp_wishno,0))="","",INDEX(exp_status,MATCH(185,exp_wishno,0))))</f>
        <v/>
      </c>
    </row>
    <row r="192">
      <c r="A192" s="80">
        <f>IF(ISNA(MATCH(186,exp_wishno,0)),"",186)</f>
        <v/>
      </c>
      <c r="B192" s="41">
        <f>IF($A192="","",IF(INDEX(exp_desc,MATCH(186,exp_wishno,0))="","",INDEX(exp_desc,MATCH(186,exp_wishno,0))))</f>
        <v/>
      </c>
      <c r="C192" s="41">
        <f>IF($A192="","",IF(INDEX(exp_cat,MATCH(186,exp_wishno,0))="","",INDEX(exp_cat,MATCH(186,exp_wishno,0))))</f>
        <v/>
      </c>
      <c r="D192" s="80">
        <f>IF($A192="","",IF(INDEX(exp_prio,MATCH(186,exp_wishno,0))="","",INDEX(exp_prio,MATCH(186,exp_wishno,0))))</f>
        <v/>
      </c>
      <c r="E192" s="80">
        <f>IF($A192="","",IF(INDEX(exp_year,MATCH(186,exp_wishno,0))="","",INDEX(exp_year,MATCH(186,exp_wishno,0))))</f>
        <v/>
      </c>
      <c r="F192" s="80">
        <f>IF($A192="","",IF(INDEX(exp_month,MATCH(186,exp_wishno,0))="","",INDEX(exp_month,MATCH(186,exp_wishno,0))))</f>
        <v/>
      </c>
      <c r="G192" s="81">
        <f>IF($A192="","",IF(INDEX(exp_plan,MATCH(186,exp_wishno,0))="","",INDEX(exp_plan,MATCH(186,exp_wishno,0))))</f>
        <v/>
      </c>
      <c r="H192" s="82">
        <f>IF($A192="","",IF(INDEX(exp_fact,MATCH(186,exp_wishno,0))="","",INDEX(exp_fact,MATCH(186,exp_wishno,0))))</f>
        <v/>
      </c>
      <c r="I192" s="41">
        <f>IF($A192="","",IF(INDEX(exp_status,MATCH(186,exp_wishno,0))="","",INDEX(exp_status,MATCH(186,exp_wishno,0))))</f>
        <v/>
      </c>
    </row>
    <row r="193">
      <c r="A193" s="80">
        <f>IF(ISNA(MATCH(187,exp_wishno,0)),"",187)</f>
        <v/>
      </c>
      <c r="B193" s="41">
        <f>IF($A193="","",IF(INDEX(exp_desc,MATCH(187,exp_wishno,0))="","",INDEX(exp_desc,MATCH(187,exp_wishno,0))))</f>
        <v/>
      </c>
      <c r="C193" s="41">
        <f>IF($A193="","",IF(INDEX(exp_cat,MATCH(187,exp_wishno,0))="","",INDEX(exp_cat,MATCH(187,exp_wishno,0))))</f>
        <v/>
      </c>
      <c r="D193" s="80">
        <f>IF($A193="","",IF(INDEX(exp_prio,MATCH(187,exp_wishno,0))="","",INDEX(exp_prio,MATCH(187,exp_wishno,0))))</f>
        <v/>
      </c>
      <c r="E193" s="80">
        <f>IF($A193="","",IF(INDEX(exp_year,MATCH(187,exp_wishno,0))="","",INDEX(exp_year,MATCH(187,exp_wishno,0))))</f>
        <v/>
      </c>
      <c r="F193" s="80">
        <f>IF($A193="","",IF(INDEX(exp_month,MATCH(187,exp_wishno,0))="","",INDEX(exp_month,MATCH(187,exp_wishno,0))))</f>
        <v/>
      </c>
      <c r="G193" s="81">
        <f>IF($A193="","",IF(INDEX(exp_plan,MATCH(187,exp_wishno,0))="","",INDEX(exp_plan,MATCH(187,exp_wishno,0))))</f>
        <v/>
      </c>
      <c r="H193" s="82">
        <f>IF($A193="","",IF(INDEX(exp_fact,MATCH(187,exp_wishno,0))="","",INDEX(exp_fact,MATCH(187,exp_wishno,0))))</f>
        <v/>
      </c>
      <c r="I193" s="41">
        <f>IF($A193="","",IF(INDEX(exp_status,MATCH(187,exp_wishno,0))="","",INDEX(exp_status,MATCH(187,exp_wishno,0))))</f>
        <v/>
      </c>
    </row>
    <row r="194">
      <c r="A194" s="80">
        <f>IF(ISNA(MATCH(188,exp_wishno,0)),"",188)</f>
        <v/>
      </c>
      <c r="B194" s="41">
        <f>IF($A194="","",IF(INDEX(exp_desc,MATCH(188,exp_wishno,0))="","",INDEX(exp_desc,MATCH(188,exp_wishno,0))))</f>
        <v/>
      </c>
      <c r="C194" s="41">
        <f>IF($A194="","",IF(INDEX(exp_cat,MATCH(188,exp_wishno,0))="","",INDEX(exp_cat,MATCH(188,exp_wishno,0))))</f>
        <v/>
      </c>
      <c r="D194" s="80">
        <f>IF($A194="","",IF(INDEX(exp_prio,MATCH(188,exp_wishno,0))="","",INDEX(exp_prio,MATCH(188,exp_wishno,0))))</f>
        <v/>
      </c>
      <c r="E194" s="80">
        <f>IF($A194="","",IF(INDEX(exp_year,MATCH(188,exp_wishno,0))="","",INDEX(exp_year,MATCH(188,exp_wishno,0))))</f>
        <v/>
      </c>
      <c r="F194" s="80">
        <f>IF($A194="","",IF(INDEX(exp_month,MATCH(188,exp_wishno,0))="","",INDEX(exp_month,MATCH(188,exp_wishno,0))))</f>
        <v/>
      </c>
      <c r="G194" s="81">
        <f>IF($A194="","",IF(INDEX(exp_plan,MATCH(188,exp_wishno,0))="","",INDEX(exp_plan,MATCH(188,exp_wishno,0))))</f>
        <v/>
      </c>
      <c r="H194" s="82">
        <f>IF($A194="","",IF(INDEX(exp_fact,MATCH(188,exp_wishno,0))="","",INDEX(exp_fact,MATCH(188,exp_wishno,0))))</f>
        <v/>
      </c>
      <c r="I194" s="41">
        <f>IF($A194="","",IF(INDEX(exp_status,MATCH(188,exp_wishno,0))="","",INDEX(exp_status,MATCH(188,exp_wishno,0))))</f>
        <v/>
      </c>
    </row>
    <row r="195">
      <c r="A195" s="80">
        <f>IF(ISNA(MATCH(189,exp_wishno,0)),"",189)</f>
        <v/>
      </c>
      <c r="B195" s="41">
        <f>IF($A195="","",IF(INDEX(exp_desc,MATCH(189,exp_wishno,0))="","",INDEX(exp_desc,MATCH(189,exp_wishno,0))))</f>
        <v/>
      </c>
      <c r="C195" s="41">
        <f>IF($A195="","",IF(INDEX(exp_cat,MATCH(189,exp_wishno,0))="","",INDEX(exp_cat,MATCH(189,exp_wishno,0))))</f>
        <v/>
      </c>
      <c r="D195" s="80">
        <f>IF($A195="","",IF(INDEX(exp_prio,MATCH(189,exp_wishno,0))="","",INDEX(exp_prio,MATCH(189,exp_wishno,0))))</f>
        <v/>
      </c>
      <c r="E195" s="80">
        <f>IF($A195="","",IF(INDEX(exp_year,MATCH(189,exp_wishno,0))="","",INDEX(exp_year,MATCH(189,exp_wishno,0))))</f>
        <v/>
      </c>
      <c r="F195" s="80">
        <f>IF($A195="","",IF(INDEX(exp_month,MATCH(189,exp_wishno,0))="","",INDEX(exp_month,MATCH(189,exp_wishno,0))))</f>
        <v/>
      </c>
      <c r="G195" s="81">
        <f>IF($A195="","",IF(INDEX(exp_plan,MATCH(189,exp_wishno,0))="","",INDEX(exp_plan,MATCH(189,exp_wishno,0))))</f>
        <v/>
      </c>
      <c r="H195" s="82">
        <f>IF($A195="","",IF(INDEX(exp_fact,MATCH(189,exp_wishno,0))="","",INDEX(exp_fact,MATCH(189,exp_wishno,0))))</f>
        <v/>
      </c>
      <c r="I195" s="41">
        <f>IF($A195="","",IF(INDEX(exp_status,MATCH(189,exp_wishno,0))="","",INDEX(exp_status,MATCH(189,exp_wishno,0))))</f>
        <v/>
      </c>
    </row>
    <row r="196">
      <c r="A196" s="80">
        <f>IF(ISNA(MATCH(190,exp_wishno,0)),"",190)</f>
        <v/>
      </c>
      <c r="B196" s="41">
        <f>IF($A196="","",IF(INDEX(exp_desc,MATCH(190,exp_wishno,0))="","",INDEX(exp_desc,MATCH(190,exp_wishno,0))))</f>
        <v/>
      </c>
      <c r="C196" s="41">
        <f>IF($A196="","",IF(INDEX(exp_cat,MATCH(190,exp_wishno,0))="","",INDEX(exp_cat,MATCH(190,exp_wishno,0))))</f>
        <v/>
      </c>
      <c r="D196" s="80">
        <f>IF($A196="","",IF(INDEX(exp_prio,MATCH(190,exp_wishno,0))="","",INDEX(exp_prio,MATCH(190,exp_wishno,0))))</f>
        <v/>
      </c>
      <c r="E196" s="80">
        <f>IF($A196="","",IF(INDEX(exp_year,MATCH(190,exp_wishno,0))="","",INDEX(exp_year,MATCH(190,exp_wishno,0))))</f>
        <v/>
      </c>
      <c r="F196" s="80">
        <f>IF($A196="","",IF(INDEX(exp_month,MATCH(190,exp_wishno,0))="","",INDEX(exp_month,MATCH(190,exp_wishno,0))))</f>
        <v/>
      </c>
      <c r="G196" s="81">
        <f>IF($A196="","",IF(INDEX(exp_plan,MATCH(190,exp_wishno,0))="","",INDEX(exp_plan,MATCH(190,exp_wishno,0))))</f>
        <v/>
      </c>
      <c r="H196" s="82">
        <f>IF($A196="","",IF(INDEX(exp_fact,MATCH(190,exp_wishno,0))="","",INDEX(exp_fact,MATCH(190,exp_wishno,0))))</f>
        <v/>
      </c>
      <c r="I196" s="41">
        <f>IF($A196="","",IF(INDEX(exp_status,MATCH(190,exp_wishno,0))="","",INDEX(exp_status,MATCH(190,exp_wishno,0))))</f>
        <v/>
      </c>
    </row>
    <row r="197">
      <c r="A197" s="80">
        <f>IF(ISNA(MATCH(191,exp_wishno,0)),"",191)</f>
        <v/>
      </c>
      <c r="B197" s="41">
        <f>IF($A197="","",IF(INDEX(exp_desc,MATCH(191,exp_wishno,0))="","",INDEX(exp_desc,MATCH(191,exp_wishno,0))))</f>
        <v/>
      </c>
      <c r="C197" s="41">
        <f>IF($A197="","",IF(INDEX(exp_cat,MATCH(191,exp_wishno,0))="","",INDEX(exp_cat,MATCH(191,exp_wishno,0))))</f>
        <v/>
      </c>
      <c r="D197" s="80">
        <f>IF($A197="","",IF(INDEX(exp_prio,MATCH(191,exp_wishno,0))="","",INDEX(exp_prio,MATCH(191,exp_wishno,0))))</f>
        <v/>
      </c>
      <c r="E197" s="80">
        <f>IF($A197="","",IF(INDEX(exp_year,MATCH(191,exp_wishno,0))="","",INDEX(exp_year,MATCH(191,exp_wishno,0))))</f>
        <v/>
      </c>
      <c r="F197" s="80">
        <f>IF($A197="","",IF(INDEX(exp_month,MATCH(191,exp_wishno,0))="","",INDEX(exp_month,MATCH(191,exp_wishno,0))))</f>
        <v/>
      </c>
      <c r="G197" s="81">
        <f>IF($A197="","",IF(INDEX(exp_plan,MATCH(191,exp_wishno,0))="","",INDEX(exp_plan,MATCH(191,exp_wishno,0))))</f>
        <v/>
      </c>
      <c r="H197" s="82">
        <f>IF($A197="","",IF(INDEX(exp_fact,MATCH(191,exp_wishno,0))="","",INDEX(exp_fact,MATCH(191,exp_wishno,0))))</f>
        <v/>
      </c>
      <c r="I197" s="41">
        <f>IF($A197="","",IF(INDEX(exp_status,MATCH(191,exp_wishno,0))="","",INDEX(exp_status,MATCH(191,exp_wishno,0))))</f>
        <v/>
      </c>
    </row>
    <row r="198">
      <c r="A198" s="80">
        <f>IF(ISNA(MATCH(192,exp_wishno,0)),"",192)</f>
        <v/>
      </c>
      <c r="B198" s="41">
        <f>IF($A198="","",IF(INDEX(exp_desc,MATCH(192,exp_wishno,0))="","",INDEX(exp_desc,MATCH(192,exp_wishno,0))))</f>
        <v/>
      </c>
      <c r="C198" s="41">
        <f>IF($A198="","",IF(INDEX(exp_cat,MATCH(192,exp_wishno,0))="","",INDEX(exp_cat,MATCH(192,exp_wishno,0))))</f>
        <v/>
      </c>
      <c r="D198" s="80">
        <f>IF($A198="","",IF(INDEX(exp_prio,MATCH(192,exp_wishno,0))="","",INDEX(exp_prio,MATCH(192,exp_wishno,0))))</f>
        <v/>
      </c>
      <c r="E198" s="80">
        <f>IF($A198="","",IF(INDEX(exp_year,MATCH(192,exp_wishno,0))="","",INDEX(exp_year,MATCH(192,exp_wishno,0))))</f>
        <v/>
      </c>
      <c r="F198" s="80">
        <f>IF($A198="","",IF(INDEX(exp_month,MATCH(192,exp_wishno,0))="","",INDEX(exp_month,MATCH(192,exp_wishno,0))))</f>
        <v/>
      </c>
      <c r="G198" s="81">
        <f>IF($A198="","",IF(INDEX(exp_plan,MATCH(192,exp_wishno,0))="","",INDEX(exp_plan,MATCH(192,exp_wishno,0))))</f>
        <v/>
      </c>
      <c r="H198" s="82">
        <f>IF($A198="","",IF(INDEX(exp_fact,MATCH(192,exp_wishno,0))="","",INDEX(exp_fact,MATCH(192,exp_wishno,0))))</f>
        <v/>
      </c>
      <c r="I198" s="41">
        <f>IF($A198="","",IF(INDEX(exp_status,MATCH(192,exp_wishno,0))="","",INDEX(exp_status,MATCH(192,exp_wishno,0))))</f>
        <v/>
      </c>
    </row>
    <row r="199">
      <c r="A199" s="80">
        <f>IF(ISNA(MATCH(193,exp_wishno,0)),"",193)</f>
        <v/>
      </c>
      <c r="B199" s="41">
        <f>IF($A199="","",IF(INDEX(exp_desc,MATCH(193,exp_wishno,0))="","",INDEX(exp_desc,MATCH(193,exp_wishno,0))))</f>
        <v/>
      </c>
      <c r="C199" s="41">
        <f>IF($A199="","",IF(INDEX(exp_cat,MATCH(193,exp_wishno,0))="","",INDEX(exp_cat,MATCH(193,exp_wishno,0))))</f>
        <v/>
      </c>
      <c r="D199" s="80">
        <f>IF($A199="","",IF(INDEX(exp_prio,MATCH(193,exp_wishno,0))="","",INDEX(exp_prio,MATCH(193,exp_wishno,0))))</f>
        <v/>
      </c>
      <c r="E199" s="80">
        <f>IF($A199="","",IF(INDEX(exp_year,MATCH(193,exp_wishno,0))="","",INDEX(exp_year,MATCH(193,exp_wishno,0))))</f>
        <v/>
      </c>
      <c r="F199" s="80">
        <f>IF($A199="","",IF(INDEX(exp_month,MATCH(193,exp_wishno,0))="","",INDEX(exp_month,MATCH(193,exp_wishno,0))))</f>
        <v/>
      </c>
      <c r="G199" s="81">
        <f>IF($A199="","",IF(INDEX(exp_plan,MATCH(193,exp_wishno,0))="","",INDEX(exp_plan,MATCH(193,exp_wishno,0))))</f>
        <v/>
      </c>
      <c r="H199" s="82">
        <f>IF($A199="","",IF(INDEX(exp_fact,MATCH(193,exp_wishno,0))="","",INDEX(exp_fact,MATCH(193,exp_wishno,0))))</f>
        <v/>
      </c>
      <c r="I199" s="41">
        <f>IF($A199="","",IF(INDEX(exp_status,MATCH(193,exp_wishno,0))="","",INDEX(exp_status,MATCH(193,exp_wishno,0))))</f>
        <v/>
      </c>
    </row>
    <row r="200">
      <c r="A200" s="80">
        <f>IF(ISNA(MATCH(194,exp_wishno,0)),"",194)</f>
        <v/>
      </c>
      <c r="B200" s="41">
        <f>IF($A200="","",IF(INDEX(exp_desc,MATCH(194,exp_wishno,0))="","",INDEX(exp_desc,MATCH(194,exp_wishno,0))))</f>
        <v/>
      </c>
      <c r="C200" s="41">
        <f>IF($A200="","",IF(INDEX(exp_cat,MATCH(194,exp_wishno,0))="","",INDEX(exp_cat,MATCH(194,exp_wishno,0))))</f>
        <v/>
      </c>
      <c r="D200" s="80">
        <f>IF($A200="","",IF(INDEX(exp_prio,MATCH(194,exp_wishno,0))="","",INDEX(exp_prio,MATCH(194,exp_wishno,0))))</f>
        <v/>
      </c>
      <c r="E200" s="80">
        <f>IF($A200="","",IF(INDEX(exp_year,MATCH(194,exp_wishno,0))="","",INDEX(exp_year,MATCH(194,exp_wishno,0))))</f>
        <v/>
      </c>
      <c r="F200" s="80">
        <f>IF($A200="","",IF(INDEX(exp_month,MATCH(194,exp_wishno,0))="","",INDEX(exp_month,MATCH(194,exp_wishno,0))))</f>
        <v/>
      </c>
      <c r="G200" s="81">
        <f>IF($A200="","",IF(INDEX(exp_plan,MATCH(194,exp_wishno,0))="","",INDEX(exp_plan,MATCH(194,exp_wishno,0))))</f>
        <v/>
      </c>
      <c r="H200" s="82">
        <f>IF($A200="","",IF(INDEX(exp_fact,MATCH(194,exp_wishno,0))="","",INDEX(exp_fact,MATCH(194,exp_wishno,0))))</f>
        <v/>
      </c>
      <c r="I200" s="41">
        <f>IF($A200="","",IF(INDEX(exp_status,MATCH(194,exp_wishno,0))="","",INDEX(exp_status,MATCH(194,exp_wishno,0))))</f>
        <v/>
      </c>
    </row>
    <row r="201">
      <c r="A201" s="80">
        <f>IF(ISNA(MATCH(195,exp_wishno,0)),"",195)</f>
        <v/>
      </c>
      <c r="B201" s="41">
        <f>IF($A201="","",IF(INDEX(exp_desc,MATCH(195,exp_wishno,0))="","",INDEX(exp_desc,MATCH(195,exp_wishno,0))))</f>
        <v/>
      </c>
      <c r="C201" s="41">
        <f>IF($A201="","",IF(INDEX(exp_cat,MATCH(195,exp_wishno,0))="","",INDEX(exp_cat,MATCH(195,exp_wishno,0))))</f>
        <v/>
      </c>
      <c r="D201" s="80">
        <f>IF($A201="","",IF(INDEX(exp_prio,MATCH(195,exp_wishno,0))="","",INDEX(exp_prio,MATCH(195,exp_wishno,0))))</f>
        <v/>
      </c>
      <c r="E201" s="80">
        <f>IF($A201="","",IF(INDEX(exp_year,MATCH(195,exp_wishno,0))="","",INDEX(exp_year,MATCH(195,exp_wishno,0))))</f>
        <v/>
      </c>
      <c r="F201" s="80">
        <f>IF($A201="","",IF(INDEX(exp_month,MATCH(195,exp_wishno,0))="","",INDEX(exp_month,MATCH(195,exp_wishno,0))))</f>
        <v/>
      </c>
      <c r="G201" s="81">
        <f>IF($A201="","",IF(INDEX(exp_plan,MATCH(195,exp_wishno,0))="","",INDEX(exp_plan,MATCH(195,exp_wishno,0))))</f>
        <v/>
      </c>
      <c r="H201" s="82">
        <f>IF($A201="","",IF(INDEX(exp_fact,MATCH(195,exp_wishno,0))="","",INDEX(exp_fact,MATCH(195,exp_wishno,0))))</f>
        <v/>
      </c>
      <c r="I201" s="41">
        <f>IF($A201="","",IF(INDEX(exp_status,MATCH(195,exp_wishno,0))="","",INDEX(exp_status,MATCH(195,exp_wishno,0))))</f>
        <v/>
      </c>
    </row>
    <row r="202">
      <c r="A202" s="80">
        <f>IF(ISNA(MATCH(196,exp_wishno,0)),"",196)</f>
        <v/>
      </c>
      <c r="B202" s="41">
        <f>IF($A202="","",IF(INDEX(exp_desc,MATCH(196,exp_wishno,0))="","",INDEX(exp_desc,MATCH(196,exp_wishno,0))))</f>
        <v/>
      </c>
      <c r="C202" s="41">
        <f>IF($A202="","",IF(INDEX(exp_cat,MATCH(196,exp_wishno,0))="","",INDEX(exp_cat,MATCH(196,exp_wishno,0))))</f>
        <v/>
      </c>
      <c r="D202" s="80">
        <f>IF($A202="","",IF(INDEX(exp_prio,MATCH(196,exp_wishno,0))="","",INDEX(exp_prio,MATCH(196,exp_wishno,0))))</f>
        <v/>
      </c>
      <c r="E202" s="80">
        <f>IF($A202="","",IF(INDEX(exp_year,MATCH(196,exp_wishno,0))="","",INDEX(exp_year,MATCH(196,exp_wishno,0))))</f>
        <v/>
      </c>
      <c r="F202" s="80">
        <f>IF($A202="","",IF(INDEX(exp_month,MATCH(196,exp_wishno,0))="","",INDEX(exp_month,MATCH(196,exp_wishno,0))))</f>
        <v/>
      </c>
      <c r="G202" s="81">
        <f>IF($A202="","",IF(INDEX(exp_plan,MATCH(196,exp_wishno,0))="","",INDEX(exp_plan,MATCH(196,exp_wishno,0))))</f>
        <v/>
      </c>
      <c r="H202" s="82">
        <f>IF($A202="","",IF(INDEX(exp_fact,MATCH(196,exp_wishno,0))="","",INDEX(exp_fact,MATCH(196,exp_wishno,0))))</f>
        <v/>
      </c>
      <c r="I202" s="41">
        <f>IF($A202="","",IF(INDEX(exp_status,MATCH(196,exp_wishno,0))="","",INDEX(exp_status,MATCH(196,exp_wishno,0))))</f>
        <v/>
      </c>
    </row>
    <row r="203">
      <c r="A203" s="80">
        <f>IF(ISNA(MATCH(197,exp_wishno,0)),"",197)</f>
        <v/>
      </c>
      <c r="B203" s="41">
        <f>IF($A203="","",IF(INDEX(exp_desc,MATCH(197,exp_wishno,0))="","",INDEX(exp_desc,MATCH(197,exp_wishno,0))))</f>
        <v/>
      </c>
      <c r="C203" s="41">
        <f>IF($A203="","",IF(INDEX(exp_cat,MATCH(197,exp_wishno,0))="","",INDEX(exp_cat,MATCH(197,exp_wishno,0))))</f>
        <v/>
      </c>
      <c r="D203" s="80">
        <f>IF($A203="","",IF(INDEX(exp_prio,MATCH(197,exp_wishno,0))="","",INDEX(exp_prio,MATCH(197,exp_wishno,0))))</f>
        <v/>
      </c>
      <c r="E203" s="80">
        <f>IF($A203="","",IF(INDEX(exp_year,MATCH(197,exp_wishno,0))="","",INDEX(exp_year,MATCH(197,exp_wishno,0))))</f>
        <v/>
      </c>
      <c r="F203" s="80">
        <f>IF($A203="","",IF(INDEX(exp_month,MATCH(197,exp_wishno,0))="","",INDEX(exp_month,MATCH(197,exp_wishno,0))))</f>
        <v/>
      </c>
      <c r="G203" s="81">
        <f>IF($A203="","",IF(INDEX(exp_plan,MATCH(197,exp_wishno,0))="","",INDEX(exp_plan,MATCH(197,exp_wishno,0))))</f>
        <v/>
      </c>
      <c r="H203" s="82">
        <f>IF($A203="","",IF(INDEX(exp_fact,MATCH(197,exp_wishno,0))="","",INDEX(exp_fact,MATCH(197,exp_wishno,0))))</f>
        <v/>
      </c>
      <c r="I203" s="41">
        <f>IF($A203="","",IF(INDEX(exp_status,MATCH(197,exp_wishno,0))="","",INDEX(exp_status,MATCH(197,exp_wishno,0))))</f>
        <v/>
      </c>
    </row>
    <row r="204">
      <c r="A204" s="80">
        <f>IF(ISNA(MATCH(198,exp_wishno,0)),"",198)</f>
        <v/>
      </c>
      <c r="B204" s="41">
        <f>IF($A204="","",IF(INDEX(exp_desc,MATCH(198,exp_wishno,0))="","",INDEX(exp_desc,MATCH(198,exp_wishno,0))))</f>
        <v/>
      </c>
      <c r="C204" s="41">
        <f>IF($A204="","",IF(INDEX(exp_cat,MATCH(198,exp_wishno,0))="","",INDEX(exp_cat,MATCH(198,exp_wishno,0))))</f>
        <v/>
      </c>
      <c r="D204" s="80">
        <f>IF($A204="","",IF(INDEX(exp_prio,MATCH(198,exp_wishno,0))="","",INDEX(exp_prio,MATCH(198,exp_wishno,0))))</f>
        <v/>
      </c>
      <c r="E204" s="80">
        <f>IF($A204="","",IF(INDEX(exp_year,MATCH(198,exp_wishno,0))="","",INDEX(exp_year,MATCH(198,exp_wishno,0))))</f>
        <v/>
      </c>
      <c r="F204" s="80">
        <f>IF($A204="","",IF(INDEX(exp_month,MATCH(198,exp_wishno,0))="","",INDEX(exp_month,MATCH(198,exp_wishno,0))))</f>
        <v/>
      </c>
      <c r="G204" s="81">
        <f>IF($A204="","",IF(INDEX(exp_plan,MATCH(198,exp_wishno,0))="","",INDEX(exp_plan,MATCH(198,exp_wishno,0))))</f>
        <v/>
      </c>
      <c r="H204" s="82">
        <f>IF($A204="","",IF(INDEX(exp_fact,MATCH(198,exp_wishno,0))="","",INDEX(exp_fact,MATCH(198,exp_wishno,0))))</f>
        <v/>
      </c>
      <c r="I204" s="41">
        <f>IF($A204="","",IF(INDEX(exp_status,MATCH(198,exp_wishno,0))="","",INDEX(exp_status,MATCH(198,exp_wishno,0))))</f>
        <v/>
      </c>
    </row>
    <row r="205">
      <c r="A205" s="80">
        <f>IF(ISNA(MATCH(199,exp_wishno,0)),"",199)</f>
        <v/>
      </c>
      <c r="B205" s="41">
        <f>IF($A205="","",IF(INDEX(exp_desc,MATCH(199,exp_wishno,0))="","",INDEX(exp_desc,MATCH(199,exp_wishno,0))))</f>
        <v/>
      </c>
      <c r="C205" s="41">
        <f>IF($A205="","",IF(INDEX(exp_cat,MATCH(199,exp_wishno,0))="","",INDEX(exp_cat,MATCH(199,exp_wishno,0))))</f>
        <v/>
      </c>
      <c r="D205" s="80">
        <f>IF($A205="","",IF(INDEX(exp_prio,MATCH(199,exp_wishno,0))="","",INDEX(exp_prio,MATCH(199,exp_wishno,0))))</f>
        <v/>
      </c>
      <c r="E205" s="80">
        <f>IF($A205="","",IF(INDEX(exp_year,MATCH(199,exp_wishno,0))="","",INDEX(exp_year,MATCH(199,exp_wishno,0))))</f>
        <v/>
      </c>
      <c r="F205" s="80">
        <f>IF($A205="","",IF(INDEX(exp_month,MATCH(199,exp_wishno,0))="","",INDEX(exp_month,MATCH(199,exp_wishno,0))))</f>
        <v/>
      </c>
      <c r="G205" s="81">
        <f>IF($A205="","",IF(INDEX(exp_plan,MATCH(199,exp_wishno,0))="","",INDEX(exp_plan,MATCH(199,exp_wishno,0))))</f>
        <v/>
      </c>
      <c r="H205" s="82">
        <f>IF($A205="","",IF(INDEX(exp_fact,MATCH(199,exp_wishno,0))="","",INDEX(exp_fact,MATCH(199,exp_wishno,0))))</f>
        <v/>
      </c>
      <c r="I205" s="41">
        <f>IF($A205="","",IF(INDEX(exp_status,MATCH(199,exp_wishno,0))="","",INDEX(exp_status,MATCH(199,exp_wishno,0))))</f>
        <v/>
      </c>
    </row>
    <row r="206">
      <c r="A206" s="80">
        <f>IF(ISNA(MATCH(200,exp_wishno,0)),"",200)</f>
        <v/>
      </c>
      <c r="B206" s="41">
        <f>IF($A206="","",IF(INDEX(exp_desc,MATCH(200,exp_wishno,0))="","",INDEX(exp_desc,MATCH(200,exp_wishno,0))))</f>
        <v/>
      </c>
      <c r="C206" s="41">
        <f>IF($A206="","",IF(INDEX(exp_cat,MATCH(200,exp_wishno,0))="","",INDEX(exp_cat,MATCH(200,exp_wishno,0))))</f>
        <v/>
      </c>
      <c r="D206" s="80">
        <f>IF($A206="","",IF(INDEX(exp_prio,MATCH(200,exp_wishno,0))="","",INDEX(exp_prio,MATCH(200,exp_wishno,0))))</f>
        <v/>
      </c>
      <c r="E206" s="80">
        <f>IF($A206="","",IF(INDEX(exp_year,MATCH(200,exp_wishno,0))="","",INDEX(exp_year,MATCH(200,exp_wishno,0))))</f>
        <v/>
      </c>
      <c r="F206" s="80">
        <f>IF($A206="","",IF(INDEX(exp_month,MATCH(200,exp_wishno,0))="","",INDEX(exp_month,MATCH(200,exp_wishno,0))))</f>
        <v/>
      </c>
      <c r="G206" s="81">
        <f>IF($A206="","",IF(INDEX(exp_plan,MATCH(200,exp_wishno,0))="","",INDEX(exp_plan,MATCH(200,exp_wishno,0))))</f>
        <v/>
      </c>
      <c r="H206" s="82">
        <f>IF($A206="","",IF(INDEX(exp_fact,MATCH(200,exp_wishno,0))="","",INDEX(exp_fact,MATCH(200,exp_wishno,0))))</f>
        <v/>
      </c>
      <c r="I206" s="41">
        <f>IF($A206="","",IF(INDEX(exp_status,MATCH(200,exp_wishno,0))="","",INDEX(exp_status,MATCH(200,exp_wishno,0))))</f>
        <v/>
      </c>
    </row>
  </sheetData>
  <mergeCells count="2">
    <mergeCell ref="A1:I1"/>
    <mergeCell ref="A2:I2"/>
  </mergeCells>
  <conditionalFormatting sqref="A7:I206">
    <cfRule type="expression" priority="1" dxfId="1" stopIfTrue="1">
      <formula>$I7="✅ Выполнено"</formula>
    </cfRule>
    <cfRule type="expression" priority="2" dxfId="2" stopIfTrue="1">
      <formula>$I7="❌ Отменено"</formula>
    </cfRule>
    <cfRule type="expression" priority="3" dxfId="10">
      <formula>$C7="🌟 Мечта"</formula>
    </cfRule>
    <cfRule type="expression" priority="4" dxfId="11">
      <formula>$C7="💫 Желание"</formula>
    </cfRule>
    <cfRule type="expression" priority="5" dxfId="12">
      <formula>$C7="🍭 Хотелка"</formula>
    </cfRule>
  </conditionalFormatting>
  <conditionalFormatting sqref="D4">
    <cfRule type="dataBar" priority="6">
      <dataBar>
        <cfvo type="num" val="0"/>
        <cfvo type="num" val="1"/>
        <color rgb="00FF5D8F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95057"/>
    <outlinePr summaryBelow="1" summaryRight="1"/>
    <pageSetUpPr/>
  </sheetPr>
  <dimension ref="A1:Q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" customWidth="1" min="3" max="3"/>
    <col width="24" customWidth="1" min="4" max="4"/>
    <col width="13" customWidth="1" min="5" max="5"/>
    <col width="34" customWidth="1" min="6" max="6"/>
    <col width="3" customWidth="1" min="7" max="7"/>
    <col width="30" customWidth="1" min="8" max="8"/>
    <col width="3" customWidth="1" min="9" max="9"/>
    <col width="22" customWidth="1" min="10" max="10"/>
    <col width="3" customWidth="1" min="11" max="11"/>
    <col width="30" customWidth="1" min="12" max="12"/>
    <col width="3" customWidth="1" min="13" max="13"/>
    <col width="18" customWidth="1" min="14" max="14"/>
    <col width="18" customWidth="1" min="15" max="15"/>
    <col width="3" customWidth="1" min="16" max="16"/>
    <col width="16" customWidth="1" min="17" max="17"/>
  </cols>
  <sheetData>
    <row r="1" ht="36" customHeight="1">
      <c r="A1" s="83" t="inlineStr">
        <is>
          <t>📚 Справочник</t>
        </is>
      </c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84" t="n"/>
      <c r="M1" s="84" t="n"/>
      <c r="N1" s="84" t="n"/>
      <c r="O1" s="84" t="n"/>
      <c r="P1" s="84" t="n"/>
      <c r="Q1" s="84" t="n"/>
    </row>
    <row r="2" ht="30" customHeight="1">
      <c r="A2" s="3" t="inlineStr">
        <is>
          <t>Здесь живут все выпадающие списки. Добавляйте свои статьи в пустые жёлтые строки — они сразу появятся в списках листов «Расходы» и «Доходы».</t>
        </is>
      </c>
    </row>
    <row r="3">
      <c r="D3" s="85" t="inlineStr">
        <is>
          <t>Категория с «Да» автоматически попадает в лист «✨ Хотелки»</t>
        </is>
      </c>
    </row>
    <row r="4" ht="34" customHeight="1">
      <c r="A4" s="86" t="inlineStr">
        <is>
          <t>📆 Год</t>
        </is>
      </c>
      <c r="B4" s="86" t="inlineStr">
        <is>
          <t>🗓 Месяц</t>
        </is>
      </c>
      <c r="D4" s="86" t="inlineStr">
        <is>
          <t>🏷 Категория расхода</t>
        </is>
      </c>
      <c r="E4" s="86" t="inlineStr">
        <is>
          <t>✨ В список хотелок?</t>
        </is>
      </c>
      <c r="F4" s="86" t="inlineStr">
        <is>
          <t>💬 Пояснение</t>
        </is>
      </c>
      <c r="H4" s="86" t="inlineStr">
        <is>
          <t>📝 Статьи расходов</t>
        </is>
      </c>
      <c r="J4" s="86" t="inlineStr">
        <is>
          <t>💼 Тип дохода</t>
        </is>
      </c>
      <c r="L4" s="86" t="inlineStr">
        <is>
          <t>💰 Источники дохода</t>
        </is>
      </c>
      <c r="N4" s="86" t="inlineStr">
        <is>
          <t>🚦 Статус расхода</t>
        </is>
      </c>
      <c r="O4" s="86" t="inlineStr">
        <is>
          <t>🚦 Статус дохода</t>
        </is>
      </c>
      <c r="Q4" s="86" t="inlineStr">
        <is>
          <t>🎯 Приоритет</t>
        </is>
      </c>
    </row>
    <row r="5">
      <c r="A5" s="49" t="n">
        <v>2026</v>
      </c>
      <c r="B5" s="49" t="inlineStr">
        <is>
          <t>Январь</t>
        </is>
      </c>
      <c r="D5" s="87" t="inlineStr">
        <is>
          <t>🛒 Нужда</t>
        </is>
      </c>
      <c r="E5" s="87" t="inlineStr">
        <is>
          <t>Нет</t>
        </is>
      </c>
      <c r="F5" s="88" t="inlineStr">
        <is>
          <t>Еда, жильё, транспорт — без этого никак</t>
        </is>
      </c>
      <c r="H5" s="87" t="inlineStr">
        <is>
          <t>Продукты</t>
        </is>
      </c>
      <c r="J5" s="87" t="inlineStr">
        <is>
          <t>💼 Зарплата</t>
        </is>
      </c>
      <c r="L5" s="87" t="inlineStr">
        <is>
          <t>Основная работа</t>
        </is>
      </c>
      <c r="N5" s="49" t="inlineStr">
        <is>
          <t>⏳ Запланировано</t>
        </is>
      </c>
      <c r="O5" s="49" t="inlineStr">
        <is>
          <t>⏳ Ожидается</t>
        </is>
      </c>
      <c r="Q5" s="49" t="inlineStr">
        <is>
          <t>🔥 Высокий</t>
        </is>
      </c>
    </row>
    <row r="6">
      <c r="A6" s="49" t="n">
        <v>2027</v>
      </c>
      <c r="B6" s="49" t="inlineStr">
        <is>
          <t>Февраль</t>
        </is>
      </c>
      <c r="D6" s="87" t="inlineStr">
        <is>
          <t>🧾 Обязательный платёж</t>
        </is>
      </c>
      <c r="E6" s="87" t="inlineStr">
        <is>
          <t>Нет</t>
        </is>
      </c>
      <c r="F6" s="88" t="inlineStr">
        <is>
          <t>Кредиты, налоги, страховки, подписки</t>
        </is>
      </c>
      <c r="H6" s="87" t="inlineStr">
        <is>
          <t>Аренда / ипотека</t>
        </is>
      </c>
      <c r="J6" s="87" t="inlineStr">
        <is>
          <t>🚀 Проект</t>
        </is>
      </c>
      <c r="L6" s="87" t="inlineStr">
        <is>
          <t>Фриланс-проект</t>
        </is>
      </c>
      <c r="N6" s="49" t="inlineStr">
        <is>
          <t>✅ Выполнено</t>
        </is>
      </c>
      <c r="O6" s="49" t="inlineStr">
        <is>
          <t>✅ Получено</t>
        </is>
      </c>
      <c r="Q6" s="49" t="inlineStr">
        <is>
          <t>⭐ Средний</t>
        </is>
      </c>
    </row>
    <row r="7">
      <c r="A7" s="49" t="n">
        <v>2028</v>
      </c>
      <c r="B7" s="49" t="inlineStr">
        <is>
          <t>Март</t>
        </is>
      </c>
      <c r="D7" s="87" t="inlineStr">
        <is>
          <t>🍭 Хотелка</t>
        </is>
      </c>
      <c r="E7" s="87" t="inlineStr">
        <is>
          <t>Да</t>
        </is>
      </c>
      <c r="F7" s="88" t="inlineStr">
        <is>
          <t>Маленькие радости «хочу прямо сейчас»</t>
        </is>
      </c>
      <c r="H7" s="87" t="inlineStr">
        <is>
          <t>Коммунальные услуги</t>
        </is>
      </c>
      <c r="J7" s="87" t="inlineStr">
        <is>
          <t>🛠 Разовая услуга</t>
        </is>
      </c>
      <c r="L7" s="87" t="inlineStr">
        <is>
          <t>Консультация</t>
        </is>
      </c>
      <c r="N7" s="49" t="inlineStr">
        <is>
          <t>⏸ Отложено</t>
        </is>
      </c>
      <c r="O7" s="49" t="inlineStr">
        <is>
          <t>❌ Не получено</t>
        </is>
      </c>
      <c r="Q7" s="49" t="inlineStr">
        <is>
          <t>💤 Низкий</t>
        </is>
      </c>
    </row>
    <row r="8">
      <c r="A8" s="49" t="n">
        <v>2029</v>
      </c>
      <c r="B8" s="49" t="inlineStr">
        <is>
          <t>Апрель</t>
        </is>
      </c>
      <c r="D8" s="87" t="inlineStr">
        <is>
          <t>💫 Желание</t>
        </is>
      </c>
      <c r="E8" s="87" t="inlineStr">
        <is>
          <t>Да</t>
        </is>
      </c>
      <c r="F8" s="88" t="inlineStr">
        <is>
          <t>Крупнее хотелки, стоит накопить</t>
        </is>
      </c>
      <c r="H8" s="87" t="inlineStr">
        <is>
          <t>Транспорт / такси</t>
        </is>
      </c>
      <c r="J8" s="87" t="inlineStr">
        <is>
          <t>📈 Инвестиции</t>
        </is>
      </c>
      <c r="L8" s="87" t="inlineStr">
        <is>
          <t>Дивиденды</t>
        </is>
      </c>
      <c r="N8" s="49" t="inlineStr">
        <is>
          <t>❌ Отменено</t>
        </is>
      </c>
    </row>
    <row r="9">
      <c r="A9" s="49" t="n">
        <v>2030</v>
      </c>
      <c r="B9" s="49" t="inlineStr">
        <is>
          <t>Май</t>
        </is>
      </c>
      <c r="D9" s="87" t="inlineStr">
        <is>
          <t>🌟 Мечта</t>
        </is>
      </c>
      <c r="E9" s="87" t="inlineStr">
        <is>
          <t>Да</t>
        </is>
      </c>
      <c r="F9" s="88" t="inlineStr">
        <is>
          <t>Большая цель: путешествие, машина, квартира</t>
        </is>
      </c>
      <c r="H9" s="87" t="inlineStr">
        <is>
          <t>Связь и интернет</t>
        </is>
      </c>
      <c r="J9" s="87" t="inlineStr">
        <is>
          <t>🏆 Премия / бонус</t>
        </is>
      </c>
      <c r="L9" s="87" t="inlineStr">
        <is>
          <t>Кэшбэк</t>
        </is>
      </c>
    </row>
    <row r="10">
      <c r="B10" s="49" t="inlineStr">
        <is>
          <t>Июнь</t>
        </is>
      </c>
      <c r="D10" s="87" t="inlineStr">
        <is>
          <t>🎁 Подарок</t>
        </is>
      </c>
      <c r="E10" s="87" t="inlineStr">
        <is>
          <t>Нет</t>
        </is>
      </c>
      <c r="F10" s="88" t="inlineStr">
        <is>
          <t>Подарки близким</t>
        </is>
      </c>
      <c r="H10" s="87" t="inlineStr">
        <is>
          <t>Одежда</t>
        </is>
      </c>
      <c r="J10" s="87" t="inlineStr">
        <is>
          <t>🏠 Аренда</t>
        </is>
      </c>
      <c r="L10" s="87" t="inlineStr">
        <is>
          <t>Подработка</t>
        </is>
      </c>
    </row>
    <row r="11">
      <c r="B11" s="49" t="inlineStr">
        <is>
          <t>Июль</t>
        </is>
      </c>
      <c r="D11" s="87" t="inlineStr">
        <is>
          <t>🏦 Накопление</t>
        </is>
      </c>
      <c r="E11" s="87" t="inlineStr">
        <is>
          <t>Нет</t>
        </is>
      </c>
      <c r="F11" s="88" t="inlineStr">
        <is>
          <t>Подушка безопасности, депозит</t>
        </is>
      </c>
      <c r="H11" s="87" t="inlineStr">
        <is>
          <t>Кафе и рестораны</t>
        </is>
      </c>
      <c r="J11" s="87" t="inlineStr">
        <is>
          <t>🎁 Подарок</t>
        </is>
      </c>
      <c r="L11" s="87" t="n"/>
    </row>
    <row r="12">
      <c r="B12" s="49" t="inlineStr">
        <is>
          <t>Август</t>
        </is>
      </c>
      <c r="D12" s="87" t="inlineStr">
        <is>
          <t>📈 Инвестиция</t>
        </is>
      </c>
      <c r="E12" s="87" t="inlineStr">
        <is>
          <t>Нет</t>
        </is>
      </c>
      <c r="F12" s="88" t="inlineStr">
        <is>
          <t>Акции, бизнес, активы</t>
        </is>
      </c>
      <c r="H12" s="87" t="inlineStr">
        <is>
          <t>Путешествия</t>
        </is>
      </c>
      <c r="J12" s="87" t="inlineStr">
        <is>
          <t>💡 Прочее</t>
        </is>
      </c>
      <c r="L12" s="87" t="n"/>
    </row>
    <row r="13">
      <c r="B13" s="49" t="inlineStr">
        <is>
          <t>Сентябрь</t>
        </is>
      </c>
      <c r="D13" s="87" t="inlineStr">
        <is>
          <t>❤️ Здоровье</t>
        </is>
      </c>
      <c r="E13" s="87" t="inlineStr">
        <is>
          <t>Нет</t>
        </is>
      </c>
      <c r="F13" s="88" t="inlineStr">
        <is>
          <t>Врачи, спорт, лекарства</t>
        </is>
      </c>
      <c r="H13" s="87" t="inlineStr">
        <is>
          <t>Техника</t>
        </is>
      </c>
      <c r="J13" s="87" t="n"/>
      <c r="L13" s="87" t="n"/>
    </row>
    <row r="14">
      <c r="B14" s="49" t="inlineStr">
        <is>
          <t>Октябрь</t>
        </is>
      </c>
      <c r="D14" s="87" t="inlineStr">
        <is>
          <t>🎓 Образование</t>
        </is>
      </c>
      <c r="E14" s="87" t="inlineStr">
        <is>
          <t>Нет</t>
        </is>
      </c>
      <c r="F14" s="88" t="inlineStr">
        <is>
          <t>Курсы, книги, обучение</t>
        </is>
      </c>
      <c r="H14" s="87" t="inlineStr">
        <is>
          <t>Подушка безопасности</t>
        </is>
      </c>
      <c r="J14" s="87" t="n"/>
      <c r="L14" s="87" t="n"/>
    </row>
    <row r="15">
      <c r="B15" s="49" t="inlineStr">
        <is>
          <t>Ноябрь</t>
        </is>
      </c>
      <c r="D15" s="87" t="inlineStr">
        <is>
          <t>🎉 Развлечения</t>
        </is>
      </c>
      <c r="E15" s="87" t="inlineStr">
        <is>
          <t>Нет</t>
        </is>
      </c>
      <c r="F15" s="88" t="inlineStr">
        <is>
          <t>Кафе, кино, отдых</t>
        </is>
      </c>
      <c r="H15" s="87" t="inlineStr">
        <is>
          <t>Подарки</t>
        </is>
      </c>
      <c r="J15" s="87" t="n"/>
      <c r="L15" s="87" t="n"/>
    </row>
    <row r="16">
      <c r="B16" s="49" t="inlineStr">
        <is>
          <t>Декабрь</t>
        </is>
      </c>
      <c r="D16" s="87" t="n"/>
      <c r="E16" s="87" t="n"/>
      <c r="F16" s="88" t="n"/>
      <c r="H16" s="87" t="inlineStr">
        <is>
          <t>Спорт</t>
        </is>
      </c>
      <c r="J16" s="87" t="n"/>
      <c r="L16" s="87" t="n"/>
    </row>
    <row r="17">
      <c r="D17" s="87" t="n"/>
      <c r="E17" s="87" t="n"/>
      <c r="F17" s="88" t="n"/>
      <c r="H17" s="87" t="inlineStr">
        <is>
          <t>Курсы</t>
        </is>
      </c>
      <c r="J17" s="87" t="n"/>
      <c r="L17" s="87" t="n"/>
    </row>
    <row r="18">
      <c r="D18" s="87" t="n"/>
      <c r="E18" s="87" t="n"/>
      <c r="F18" s="88" t="n"/>
      <c r="H18" s="87" t="n"/>
      <c r="J18" s="87" t="n"/>
      <c r="L18" s="87" t="n"/>
    </row>
    <row r="19">
      <c r="D19" s="87" t="n"/>
      <c r="E19" s="87" t="n"/>
      <c r="F19" s="88" t="n"/>
      <c r="H19" s="87" t="n"/>
      <c r="J19" s="87" t="n"/>
      <c r="L19" s="87" t="n"/>
    </row>
    <row r="20">
      <c r="D20" s="87" t="n"/>
      <c r="E20" s="87" t="n"/>
      <c r="F20" s="88" t="n"/>
      <c r="H20" s="87" t="n"/>
      <c r="J20" s="87" t="n"/>
      <c r="L20" s="87" t="n"/>
    </row>
    <row r="21">
      <c r="D21" s="87" t="n"/>
      <c r="E21" s="87" t="n"/>
      <c r="F21" s="88" t="n"/>
      <c r="H21" s="87" t="n"/>
      <c r="J21" s="87" t="n"/>
      <c r="L21" s="87" t="n"/>
    </row>
    <row r="22">
      <c r="D22" s="87" t="n"/>
      <c r="E22" s="87" t="n"/>
      <c r="F22" s="88" t="n"/>
      <c r="H22" s="87" t="n"/>
      <c r="J22" s="87" t="n"/>
      <c r="L22" s="87" t="n"/>
    </row>
    <row r="23">
      <c r="D23" s="87" t="n"/>
      <c r="E23" s="87" t="n"/>
      <c r="F23" s="88" t="n"/>
      <c r="H23" s="87" t="n"/>
      <c r="J23" s="87" t="n"/>
      <c r="L23" s="87" t="n"/>
    </row>
    <row r="24">
      <c r="D24" s="87" t="n"/>
      <c r="E24" s="87" t="n"/>
      <c r="F24" s="88" t="n"/>
      <c r="H24" s="87" t="n"/>
      <c r="J24" s="87" t="n"/>
      <c r="L24" s="87" t="n"/>
    </row>
    <row r="25">
      <c r="D25" s="87" t="n"/>
      <c r="E25" s="87" t="n"/>
      <c r="F25" s="88" t="n"/>
      <c r="H25" s="87" t="n"/>
      <c r="L25" s="87" t="n"/>
    </row>
    <row r="26">
      <c r="D26" s="87" t="n"/>
      <c r="E26" s="87" t="n"/>
      <c r="F26" s="88" t="n"/>
      <c r="H26" s="87" t="n"/>
      <c r="L26" s="87" t="n"/>
    </row>
    <row r="27">
      <c r="D27" s="87" t="n"/>
      <c r="E27" s="87" t="n"/>
      <c r="F27" s="88" t="n"/>
      <c r="H27" s="87" t="n"/>
      <c r="L27" s="87" t="n"/>
    </row>
    <row r="28">
      <c r="D28" s="87" t="n"/>
      <c r="E28" s="87" t="n"/>
      <c r="F28" s="88" t="n"/>
      <c r="H28" s="87" t="n"/>
      <c r="L28" s="87" t="n"/>
    </row>
    <row r="29">
      <c r="D29" s="87" t="n"/>
      <c r="E29" s="87" t="n"/>
      <c r="F29" s="88" t="n"/>
      <c r="H29" s="87" t="n"/>
      <c r="L29" s="87" t="n"/>
    </row>
    <row r="30">
      <c r="H30" s="87" t="n"/>
      <c r="L30" s="87" t="n"/>
    </row>
    <row r="31">
      <c r="H31" s="87" t="n"/>
      <c r="L31" s="87" t="n"/>
    </row>
    <row r="32">
      <c r="H32" s="87" t="n"/>
      <c r="L32" s="87" t="n"/>
    </row>
    <row r="33">
      <c r="H33" s="87" t="n"/>
      <c r="L33" s="87" t="n"/>
    </row>
    <row r="34">
      <c r="H34" s="87" t="n"/>
      <c r="L34" s="87" t="n"/>
    </row>
    <row r="35">
      <c r="H35" s="87" t="n"/>
      <c r="L35" s="87" t="n"/>
    </row>
    <row r="36">
      <c r="H36" s="87" t="n"/>
      <c r="L36" s="87" t="n"/>
    </row>
    <row r="37">
      <c r="H37" s="87" t="n"/>
      <c r="L37" s="87" t="n"/>
    </row>
    <row r="38">
      <c r="H38" s="87" t="n"/>
      <c r="L38" s="87" t="n"/>
    </row>
    <row r="39">
      <c r="H39" s="87" t="n"/>
      <c r="L39" s="87" t="n"/>
    </row>
    <row r="40">
      <c r="H40" s="87" t="n"/>
      <c r="L40" s="87" t="n"/>
    </row>
    <row r="41">
      <c r="H41" s="87" t="n"/>
      <c r="L41" s="87" t="n"/>
    </row>
    <row r="42">
      <c r="H42" s="87" t="n"/>
      <c r="L42" s="87" t="n"/>
    </row>
    <row r="43">
      <c r="H43" s="87" t="n"/>
      <c r="L43" s="87" t="n"/>
    </row>
    <row r="44">
      <c r="H44" s="87" t="n"/>
      <c r="L44" s="87" t="n"/>
    </row>
    <row r="45">
      <c r="H45" s="87" t="n"/>
      <c r="L45" s="87" t="n"/>
    </row>
    <row r="46">
      <c r="H46" s="87" t="n"/>
      <c r="L46" s="87" t="n"/>
    </row>
    <row r="47">
      <c r="H47" s="87" t="n"/>
      <c r="L47" s="87" t="n"/>
    </row>
    <row r="48">
      <c r="H48" s="87" t="n"/>
      <c r="L48" s="87" t="n"/>
    </row>
    <row r="49">
      <c r="H49" s="87" t="n"/>
      <c r="L49" s="87" t="n"/>
    </row>
    <row r="50">
      <c r="H50" s="87" t="n"/>
      <c r="L50" s="87" t="n"/>
    </row>
    <row r="51">
      <c r="H51" s="87" t="n"/>
      <c r="L51" s="87" t="n"/>
    </row>
    <row r="52">
      <c r="H52" s="87" t="n"/>
      <c r="L52" s="87" t="n"/>
    </row>
    <row r="53">
      <c r="H53" s="87" t="n"/>
      <c r="L53" s="87" t="n"/>
    </row>
    <row r="54">
      <c r="H54" s="87" t="n"/>
      <c r="L54" s="87" t="n"/>
    </row>
    <row r="55">
      <c r="H55" s="87" t="n"/>
      <c r="L55" s="87" t="n"/>
    </row>
    <row r="56">
      <c r="H56" s="87" t="n"/>
      <c r="L56" s="87" t="n"/>
    </row>
    <row r="57">
      <c r="H57" s="87" t="n"/>
      <c r="L57" s="87" t="n"/>
    </row>
    <row r="58">
      <c r="H58" s="87" t="n"/>
      <c r="L58" s="87" t="n"/>
    </row>
    <row r="59">
      <c r="H59" s="87" t="n"/>
      <c r="L59" s="87" t="n"/>
    </row>
    <row r="60">
      <c r="H60" s="87" t="n"/>
      <c r="L60" s="87" t="n"/>
    </row>
    <row r="61">
      <c r="H61" s="87" t="n"/>
      <c r="L61" s="87" t="n"/>
    </row>
    <row r="62">
      <c r="H62" s="87" t="n"/>
      <c r="L62" s="87" t="n"/>
    </row>
    <row r="63">
      <c r="H63" s="87" t="n"/>
      <c r="L63" s="87" t="n"/>
    </row>
    <row r="64">
      <c r="H64" s="87" t="n"/>
      <c r="L64" s="87" t="n"/>
    </row>
    <row r="65">
      <c r="H65" s="87" t="n"/>
      <c r="L65" s="87" t="n"/>
    </row>
    <row r="66">
      <c r="H66" s="87" t="n"/>
      <c r="L66" s="87" t="n"/>
    </row>
    <row r="67">
      <c r="H67" s="87" t="n"/>
      <c r="L67" s="87" t="n"/>
    </row>
    <row r="68">
      <c r="H68" s="87" t="n"/>
      <c r="L68" s="87" t="n"/>
    </row>
    <row r="69">
      <c r="H69" s="87" t="n"/>
      <c r="L69" s="87" t="n"/>
    </row>
    <row r="70">
      <c r="H70" s="87" t="n"/>
      <c r="L70" s="87" t="n"/>
    </row>
    <row r="71">
      <c r="H71" s="87" t="n"/>
      <c r="L71" s="87" t="n"/>
    </row>
    <row r="72">
      <c r="H72" s="87" t="n"/>
      <c r="L72" s="87" t="n"/>
    </row>
    <row r="73">
      <c r="H73" s="87" t="n"/>
      <c r="L73" s="87" t="n"/>
    </row>
    <row r="74">
      <c r="H74" s="87" t="n"/>
      <c r="L74" s="87" t="n"/>
    </row>
    <row r="75">
      <c r="H75" s="87" t="n"/>
      <c r="L75" s="87" t="n"/>
    </row>
    <row r="76">
      <c r="H76" s="87" t="n"/>
      <c r="L76" s="87" t="n"/>
    </row>
    <row r="77">
      <c r="H77" s="87" t="n"/>
      <c r="L77" s="87" t="n"/>
    </row>
    <row r="78">
      <c r="H78" s="87" t="n"/>
      <c r="L78" s="87" t="n"/>
    </row>
    <row r="79">
      <c r="H79" s="87" t="n"/>
      <c r="L79" s="87" t="n"/>
    </row>
    <row r="80">
      <c r="H80" s="87" t="n"/>
      <c r="L80" s="87" t="n"/>
    </row>
    <row r="81">
      <c r="H81" s="87" t="n"/>
      <c r="L81" s="87" t="n"/>
    </row>
    <row r="82">
      <c r="H82" s="87" t="n"/>
      <c r="L82" s="87" t="n"/>
    </row>
    <row r="83">
      <c r="H83" s="87" t="n"/>
      <c r="L83" s="87" t="n"/>
    </row>
    <row r="84">
      <c r="H84" s="87" t="n"/>
      <c r="L84" s="87" t="n"/>
    </row>
    <row r="85">
      <c r="H85" s="87" t="n"/>
      <c r="L85" s="87" t="n"/>
    </row>
    <row r="86">
      <c r="H86" s="87" t="n"/>
      <c r="L86" s="87" t="n"/>
    </row>
    <row r="87">
      <c r="H87" s="87" t="n"/>
      <c r="L87" s="87" t="n"/>
    </row>
    <row r="88">
      <c r="H88" s="87" t="n"/>
      <c r="L88" s="87" t="n"/>
    </row>
    <row r="89">
      <c r="H89" s="87" t="n"/>
      <c r="L89" s="87" t="n"/>
    </row>
    <row r="90">
      <c r="H90" s="87" t="n"/>
      <c r="L90" s="87" t="n"/>
    </row>
    <row r="91">
      <c r="H91" s="87" t="n"/>
      <c r="L91" s="87" t="n"/>
    </row>
    <row r="92">
      <c r="H92" s="87" t="n"/>
      <c r="L92" s="87" t="n"/>
    </row>
    <row r="93">
      <c r="H93" s="87" t="n"/>
      <c r="L93" s="87" t="n"/>
    </row>
    <row r="94">
      <c r="H94" s="87" t="n"/>
      <c r="L94" s="87" t="n"/>
    </row>
    <row r="95">
      <c r="H95" s="87" t="n"/>
      <c r="L95" s="87" t="n"/>
    </row>
    <row r="96">
      <c r="H96" s="87" t="n"/>
      <c r="L96" s="87" t="n"/>
    </row>
    <row r="97">
      <c r="H97" s="87" t="n"/>
      <c r="L97" s="87" t="n"/>
    </row>
    <row r="98">
      <c r="H98" s="87" t="n"/>
      <c r="L98" s="87" t="n"/>
    </row>
    <row r="99">
      <c r="H99" s="87" t="n"/>
      <c r="L99" s="87" t="n"/>
    </row>
    <row r="100">
      <c r="H100" s="87" t="n"/>
      <c r="L100" s="87" t="n"/>
    </row>
    <row r="101">
      <c r="H101" s="87" t="n"/>
      <c r="L101" s="87" t="n"/>
    </row>
    <row r="102">
      <c r="H102" s="87" t="n"/>
      <c r="L102" s="87" t="n"/>
    </row>
    <row r="103">
      <c r="H103" s="87" t="n"/>
      <c r="L103" s="87" t="n"/>
    </row>
    <row r="104">
      <c r="H104" s="87" t="n"/>
      <c r="L104" s="87" t="n"/>
    </row>
  </sheetData>
  <mergeCells count="2">
    <mergeCell ref="A2:Q2"/>
    <mergeCell ref="A1:Q1"/>
  </mergeCells>
  <dataValidations count="1">
    <dataValidation sqref="E5:E29" showDropDown="0" showInputMessage="0" showErrorMessage="1" allowBlank="1" errorTitle="Значение не из справочника" error="Выберите значение из списка (его можно дополнить в листе «📚 Справочник»)" type="list">
      <formula1>="Да,Нет"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2026-10-04T22:11:33Z</dcterms:created>
  <dcterms:modified xsi:type="dcterms:W3CDTF">2026-10-04T22:11:34Z</dcterms:modified>
</cp:coreProperties>
</file>