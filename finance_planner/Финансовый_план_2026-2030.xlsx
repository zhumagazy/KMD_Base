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🏠 Главная" sheetId="1" state="visible" r:id="rId1"/>
    <sheet name="💸 Расходы" sheetId="2" state="visible" r:id="rId2"/>
    <sheet name="🧾 Дневник трат" sheetId="3" state="visible" r:id="rId3"/>
    <sheet name="💰 Доходы" sheetId="4" state="visible" r:id="rId4"/>
    <sheet name="📅 По месяцам" sheetId="5" state="visible" r:id="rId5"/>
    <sheet name="📊 По годам" sheetId="6" state="visible" r:id="rId6"/>
    <sheet name="✨ Хотелки" sheetId="7" state="visible" r:id="rId7"/>
    <sheet name="📚 Справочник" sheetId="8" state="visible" r:id="rId8"/>
  </sheets>
  <definedNames>
    <definedName name="lst_years">'📚 Справочник'!$A$5:$A$9</definedName>
    <definedName name="lst_months">'📚 Справочник'!$B$5:$B$16</definedName>
    <definedName name="lst_cats">'📚 Справочник'!$D$5:$D$29</definedName>
    <definedName name="lst_cat_wish">'📚 Справочник'!$E$5:$E$29</definedName>
    <definedName name="lst_exp_items">'📚 Справочник'!$H$5:$H$104</definedName>
    <definedName name="lst_exp_item_cat">'📚 Справочник'!$I$5:$I$104</definedName>
    <definedName name="lst_inc_types">'📚 Справочник'!$K$5:$K$24</definedName>
    <definedName name="lst_inc_items">'📚 Справочник'!$M$5:$M$104</definedName>
    <definedName name="lst_exp_status">'📚 Справочник'!$O$5:$O$8</definedName>
    <definedName name="lst_inc_status">'📚 Справочник'!$P$5:$P$7</definedName>
    <definedName name="lst_priority">'📚 Справочник'!$R$5:$R$7</definedName>
    <definedName name="lst_pay">'📚 Справочник'!$T$5:$T$14</definedName>
    <definedName name="exp_year">'💸 Расходы'!$A$5:$A$504</definedName>
    <definedName name="exp_month">'💸 Расходы'!$B$5:$B$504</definedName>
    <definedName name="exp_item">'💸 Расходы'!$C$5:$C$504</definedName>
    <definedName name="exp_cat">'💸 Расходы'!$D$5:$D$504</definedName>
    <definedName name="exp_desc">'💸 Расходы'!$E$5:$E$504</definedName>
    <definedName name="exp_prio">'💸 Расходы'!$F$5:$F$504</definedName>
    <definedName name="exp_plan">'💸 Расходы'!$G$5:$G$504</definedName>
    <definedName name="exp_fact">'💸 Расходы'!$J$5:$J$504</definedName>
    <definedName name="exp_status">'💸 Расходы'!$L$5:$L$504</definedName>
    <definedName name="exp_wishno">'💸 Расходы'!$N$5:$N$504</definedName>
    <definedName name="day_date">'🧾 Дневник трат'!$A$5:$A$5004</definedName>
    <definedName name="day_year">'🧾 Дневник трат'!$C$5:$C$5004</definedName>
    <definedName name="day_month">'🧾 Дневник трат'!$D$5:$D$5004</definedName>
    <definedName name="day_item">'🧾 Дневник трат'!$E$5:$E$5004</definedName>
    <definedName name="day_cat">'🧾 Дневник трат'!$F$5:$F$5004</definedName>
    <definedName name="day_amt">'🧾 Дневник трат'!$H$5:$H$5004</definedName>
    <definedName name="day_inplan">'🧾 Дневник трат'!$J$5:$J$5004</definedName>
    <definedName name="inc_year">'💰 Доходы'!$A$5:$A$304</definedName>
    <definedName name="inc_month">'💰 Доходы'!$B$5:$B$304</definedName>
    <definedName name="inc_type">'💰 Доходы'!$D$5:$D$304</definedName>
    <definedName name="inc_plan">'💰 Доходы'!$F$5:$F$304</definedName>
    <definedName name="inc_fact">'💰 Доходы'!$G$5:$G$304</definedName>
    <definedName name="inc_status">'💰 Доходы'!$I$5:$I$304</definedName>
    <definedName name="_xlnm._FilterDatabase" localSheetId="1" hidden="1">'💸 Расходы'!$A$4:$M$504</definedName>
    <definedName name="_xlnm._FilterDatabase" localSheetId="2" hidden="1">'🧾 Дневник трат'!$A$4:$J$5004</definedName>
    <definedName name="_xlnm._FilterDatabase" localSheetId="3" hidden="1">'💰 Доходы'!$A$4:$J$304</definedName>
    <definedName name="_xlnm._FilterDatabase" localSheetId="4" hidden="1">'📅 По месяцам'!$A$4:$O$64</definedName>
    <definedName name="_xlnm._FilterDatabase" localSheetId="6" hidden="1">'✨ Хотелки'!$A$6:$I$206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 &quot;₸&quot;;[Red]-#,##0 &quot;₸&quot;;&quot;–&quot;"/>
    <numFmt numFmtId="165" formatCode="yyyy-mm-dd"/>
    <numFmt numFmtId="166" formatCode="DD.MM.YYYY"/>
    <numFmt numFmtId="167" formatCode="&quot;✅ в плане&quot;;;&quot;⚡ вне плана&quot;"/>
    <numFmt numFmtId="168" formatCode="0%;-0%;&quot;–&quot;"/>
  </numFmts>
  <fonts count="30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8D99AE"/>
      <sz val="9"/>
    </font>
    <font>
      <name val="Arial"/>
      <b val="1"/>
      <color rgb="00FFFFFF"/>
    </font>
    <font>
      <name val="Arial"/>
      <color rgb="002B2D42"/>
      <sz val="10"/>
    </font>
    <font>
      <name val="Arial"/>
      <color rgb="000000FF"/>
      <sz val="10"/>
    </font>
    <font>
      <name val="Arial"/>
      <i val="1"/>
      <color rgb="008D99AE"/>
      <sz val="10"/>
    </font>
    <font>
      <name val="Arial"/>
      <i val="1"/>
      <color rgb="008D99AE"/>
      <sz val="8"/>
    </font>
    <font>
      <name val="Arial"/>
      <b val="1"/>
      <color rgb="00FFFFFF"/>
      <sz val="10"/>
    </font>
    <font>
      <name val="Arial"/>
      <b val="1"/>
      <color rgb="002B2D42"/>
      <sz val="10"/>
    </font>
    <font>
      <name val="Arial"/>
      <b val="1"/>
      <color rgb="008D99AE"/>
      <sz val="9"/>
    </font>
    <font>
      <name val="Arial"/>
      <color rgb="008D99AE"/>
      <sz val="10"/>
    </font>
    <font>
      <name val="Arial"/>
      <b val="1"/>
      <color rgb="000000FF"/>
      <sz val="10"/>
    </font>
    <font>
      <name val="Arial"/>
      <b val="1"/>
      <color rgb="00FFFFFF"/>
      <sz val="12"/>
    </font>
    <font>
      <name val="Arial"/>
      <b val="1"/>
      <color rgb="00008000"/>
      <sz val="11"/>
    </font>
    <font>
      <name val="Arial"/>
      <b val="1"/>
      <color rgb="00FFFFFF"/>
      <sz val="11"/>
    </font>
    <font>
      <name val="Arial"/>
      <b val="1"/>
      <color rgb="002B2D42"/>
      <sz val="11"/>
    </font>
    <font>
      <name val="Arial"/>
      <b val="1"/>
      <color rgb="008338EC"/>
      <sz val="13"/>
    </font>
    <font>
      <name val="Arial"/>
      <b val="1"/>
      <color rgb="00FF5D8F"/>
      <sz val="14"/>
    </font>
    <font>
      <name val="Arial"/>
      <b val="1"/>
      <color rgb="004B3F9E"/>
      <sz val="12"/>
    </font>
    <font>
      <name val="Arial"/>
      <b val="1"/>
      <color rgb="003A86FF"/>
      <sz val="12"/>
    </font>
    <font>
      <name val="Arial"/>
      <b val="1"/>
      <color rgb="000000FF"/>
      <sz val="11"/>
    </font>
    <font>
      <name val="Arial"/>
      <b val="1"/>
      <color rgb="003A86FF"/>
      <sz val="9"/>
    </font>
    <font>
      <name val="Arial"/>
      <b val="1"/>
      <color rgb="00FF5D8F"/>
      <sz val="12"/>
    </font>
    <font>
      <name val="Arial"/>
      <b val="1"/>
      <color rgb="001155CC"/>
      <sz val="11"/>
      <u val="single"/>
    </font>
    <font>
      <name val="Arial"/>
      <b val="1"/>
      <color rgb="004A90E2"/>
      <sz val="9"/>
    </font>
    <font>
      <name val="Arial"/>
      <b val="1"/>
      <color rgb="002E9E5B"/>
      <sz val="9"/>
    </font>
    <font>
      <name val="Arial"/>
      <b val="1"/>
      <color rgb="000000FF"/>
      <sz val="9"/>
    </font>
    <font>
      <name val="Arial"/>
      <strike val="1"/>
      <color rgb="008D99AE"/>
      <sz val="9"/>
    </font>
    <font>
      <name val="Arial"/>
      <b val="1"/>
      <color rgb="002B2D42"/>
      <sz val="9"/>
    </font>
  </fonts>
  <fills count="23">
    <fill>
      <patternFill/>
    </fill>
    <fill>
      <patternFill patternType="gray125"/>
    </fill>
    <fill>
      <patternFill patternType="solid">
        <fgColor rgb="00495057"/>
        <bgColor rgb="00495057"/>
      </patternFill>
    </fill>
    <fill>
      <patternFill patternType="solid">
        <fgColor rgb="00FFFBEA"/>
        <bgColor rgb="00FFFBEA"/>
      </patternFill>
    </fill>
    <fill>
      <patternFill patternType="solid">
        <fgColor rgb="00E76F51"/>
        <bgColor rgb="00E76F51"/>
      </patternFill>
    </fill>
    <fill>
      <patternFill patternType="solid">
        <fgColor rgb="004A90E2"/>
        <bgColor rgb="004A90E2"/>
      </patternFill>
    </fill>
    <fill>
      <patternFill patternType="solid">
        <fgColor rgb="002E9E5B"/>
        <bgColor rgb="002E9E5B"/>
      </patternFill>
    </fill>
    <fill>
      <patternFill patternType="solid">
        <fgColor rgb="00EAF3FF"/>
        <bgColor rgb="00EAF3FF"/>
      </patternFill>
    </fill>
    <fill>
      <patternFill patternType="solid">
        <fgColor rgb="00E6F6EC"/>
        <bgColor rgb="00E6F6EC"/>
      </patternFill>
    </fill>
    <fill>
      <patternFill patternType="solid">
        <fgColor rgb="00F3FBF5"/>
        <bgColor rgb="00F3FBF5"/>
      </patternFill>
    </fill>
    <fill>
      <patternFill patternType="solid">
        <fgColor rgb="002A9D8F"/>
        <bgColor rgb="002A9D8F"/>
      </patternFill>
    </fill>
    <fill>
      <patternFill patternType="solid">
        <fgColor rgb="003A86FF"/>
        <bgColor rgb="003A86FF"/>
      </patternFill>
    </fill>
    <fill>
      <patternFill patternType="solid">
        <fgColor rgb="00E3ECFF"/>
        <bgColor rgb="00E3ECFF"/>
      </patternFill>
    </fill>
    <fill>
      <patternFill patternType="solid">
        <fgColor rgb="008338EC"/>
        <bgColor rgb="008338EC"/>
      </patternFill>
    </fill>
    <fill>
      <patternFill patternType="solid">
        <fgColor rgb="00EDE3FF"/>
        <bgColor rgb="00EDE3FF"/>
      </patternFill>
    </fill>
    <fill>
      <patternFill patternType="solid">
        <fgColor rgb="00FF5D8F"/>
        <bgColor rgb="00FF5D8F"/>
      </patternFill>
    </fill>
    <fill>
      <patternFill patternType="solid">
        <fgColor rgb="00FFF0F5"/>
        <bgColor rgb="00FFF0F5"/>
      </patternFill>
    </fill>
    <fill>
      <patternFill patternType="solid">
        <fgColor rgb="004B3F9E"/>
        <bgColor rgb="004B3F9E"/>
      </patternFill>
    </fill>
    <fill>
      <patternFill patternType="solid">
        <fgColor rgb="00EFEFEF"/>
        <bgColor rgb="00EFEFEF"/>
      </patternFill>
    </fill>
    <fill>
      <patternFill patternType="solid">
        <fgColor rgb="00FFF3BF"/>
        <bgColor rgb="00FFF3BF"/>
      </patternFill>
    </fill>
    <fill>
      <patternFill patternType="solid">
        <fgColor rgb="00FFFFFF"/>
        <bgColor rgb="00FFFFFF"/>
      </patternFill>
    </fill>
    <fill>
      <patternFill patternType="solid">
        <fgColor rgb="00D62839"/>
        <bgColor rgb="00D62839"/>
      </patternFill>
    </fill>
    <fill>
      <patternFill patternType="solid">
        <fgColor rgb="00FFF1EC"/>
        <bgColor rgb="00FFF1EC"/>
      </patternFill>
    </fill>
  </fills>
  <borders count="4">
    <border>
      <left/>
      <right/>
      <top/>
      <bottom/>
      <diagonal/>
    </border>
    <border>
      <left style="thin">
        <color rgb="00D9DCE3"/>
      </left>
      <right style="thin">
        <color rgb="00D9DCE3"/>
      </right>
      <top style="thin">
        <color rgb="00D9DCE3"/>
      </top>
      <bottom style="thin">
        <color rgb="00D9DCE3"/>
      </bottom>
    </border>
    <border>
      <left style="thin">
        <color rgb="00D9DCE3"/>
      </left>
      <right style="thin">
        <color rgb="00D9DCE3"/>
      </right>
      <top style="medium">
        <color rgb="003A86FF"/>
      </top>
      <bottom style="thin">
        <color rgb="00D9DCE3"/>
      </bottom>
    </border>
    <border>
      <left style="thin">
        <color rgb="00D9DCE3"/>
      </left>
      <right style="thin">
        <color rgb="00D9DCE3"/>
      </right>
      <top style="thin">
        <color rgb="00D9DCE3"/>
      </top>
      <bottom style="medium">
        <color rgb="003A86FF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17" borderId="0" applyAlignment="1" pivotButton="0" quotePrefix="0" xfId="0">
      <alignment vertical="center" indent="1"/>
    </xf>
    <xf numFmtId="0" fontId="0" fillId="17" borderId="0" pivotButton="0" quotePrefix="0" xfId="0"/>
    <xf numFmtId="0" fontId="2" fillId="0" borderId="0" applyAlignment="1" pivotButton="0" quotePrefix="0" xfId="0">
      <alignment vertical="center" wrapText="1" indent="1"/>
    </xf>
    <xf numFmtId="0" fontId="19" fillId="0" borderId="0" pivotButton="0" quotePrefix="0" xfId="0"/>
    <xf numFmtId="0" fontId="20" fillId="0" borderId="0" pivotButton="0" quotePrefix="0" xfId="0"/>
    <xf numFmtId="0" fontId="21" fillId="3" borderId="3" applyAlignment="1" pivotButton="0" quotePrefix="0" xfId="0">
      <alignment horizontal="center"/>
    </xf>
    <xf numFmtId="0" fontId="22" fillId="0" borderId="0" pivotButton="0" quotePrefix="0" xfId="0"/>
    <xf numFmtId="0" fontId="3" fillId="17" borderId="0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3" fillId="6" borderId="0" applyAlignment="1" pivotButton="0" quotePrefix="0" xfId="0">
      <alignment horizontal="center"/>
    </xf>
    <xf numFmtId="0" fontId="3" fillId="11" borderId="0" applyAlignment="1" pivotButton="0" quotePrefix="0" xfId="0">
      <alignment horizontal="center"/>
    </xf>
    <xf numFmtId="0" fontId="16" fillId="0" borderId="1" pivotButton="0" quotePrefix="0" xfId="0"/>
    <xf numFmtId="164" fontId="14" fillId="7" borderId="1" pivotButton="0" quotePrefix="0" xfId="0"/>
    <xf numFmtId="164" fontId="14" fillId="8" borderId="1" pivotButton="0" quotePrefix="0" xfId="0"/>
    <xf numFmtId="168" fontId="0" fillId="0" borderId="1" pivotButton="0" quotePrefix="0" xfId="0"/>
    <xf numFmtId="0" fontId="23" fillId="0" borderId="0" pivotButton="0" quotePrefix="0" xfId="0"/>
    <xf numFmtId="0" fontId="10" fillId="0" borderId="0" applyAlignment="1" pivotButton="0" quotePrefix="0" xfId="0">
      <alignment horizontal="center"/>
    </xf>
    <xf numFmtId="0" fontId="24" fillId="0" borderId="0" pivotButton="0" quotePrefix="0" xfId="0"/>
    <xf numFmtId="0" fontId="2" fillId="0" borderId="0" pivotButton="0" quotePrefix="0" xfId="0"/>
    <xf numFmtId="1" fontId="18" fillId="16" borderId="1" applyAlignment="1" pivotButton="0" quotePrefix="0" xfId="0">
      <alignment horizontal="center"/>
    </xf>
    <xf numFmtId="168" fontId="18" fillId="16" borderId="1" applyAlignment="1" pivotButton="0" quotePrefix="0" xfId="0">
      <alignment horizontal="center"/>
    </xf>
    <xf numFmtId="0" fontId="25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26" fillId="8" borderId="1" applyAlignment="1" pivotButton="0" quotePrefix="0" xfId="0">
      <alignment horizontal="center" vertical="center"/>
    </xf>
    <xf numFmtId="0" fontId="27" fillId="3" borderId="1" applyAlignment="1" pivotButton="0" quotePrefix="0" xfId="0">
      <alignment horizontal="center" vertical="center"/>
    </xf>
    <xf numFmtId="0" fontId="28" fillId="18" borderId="1" applyAlignment="1" pivotButton="0" quotePrefix="0" xfId="0">
      <alignment horizontal="center" vertical="center"/>
    </xf>
    <xf numFmtId="0" fontId="29" fillId="19" borderId="1" applyAlignment="1" pivotButton="0" quotePrefix="0" xfId="0">
      <alignment horizontal="center" vertical="center"/>
    </xf>
    <xf numFmtId="0" fontId="0" fillId="20" borderId="1" pivotButton="0" quotePrefix="0" xfId="0"/>
    <xf numFmtId="0" fontId="0" fillId="6" borderId="1" pivotButton="0" quotePrefix="0" xfId="0"/>
    <xf numFmtId="0" fontId="0" fillId="21" borderId="1" pivotButton="0" quotePrefix="0" xfId="0"/>
    <xf numFmtId="0" fontId="0" fillId="22" borderId="1" pivotButton="0" quotePrefix="0" xfId="0"/>
    <xf numFmtId="0" fontId="0" fillId="3" borderId="1" pivotButton="0" quotePrefix="0" xfId="0"/>
    <xf numFmtId="0" fontId="1" fillId="4" borderId="0" applyAlignment="1" pivotButton="0" quotePrefix="0" xfId="0">
      <alignment vertical="center" indent="1"/>
    </xf>
    <xf numFmtId="0" fontId="0" fillId="4" borderId="0" pivotButton="0" quotePrefix="0" xfId="0"/>
    <xf numFmtId="0" fontId="10" fillId="0" borderId="0" applyAlignment="1" pivotButton="0" quotePrefix="0" xfId="0">
      <alignment horizontal="right"/>
    </xf>
    <xf numFmtId="164" fontId="9" fillId="7" borderId="0" pivotButton="0" quotePrefix="0" xfId="0"/>
    <xf numFmtId="164" fontId="9" fillId="8" borderId="0" pivotButton="0" quotePrefix="0" xfId="0"/>
    <xf numFmtId="164" fontId="9" fillId="9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164" fontId="5" fillId="7" borderId="1" applyAlignment="1" pivotButton="0" quotePrefix="0" xfId="0">
      <alignment vertical="center"/>
    </xf>
    <xf numFmtId="164" fontId="5" fillId="8" borderId="1" applyAlignment="1" pivotButton="0" quotePrefix="0" xfId="0">
      <alignment vertical="center"/>
    </xf>
    <xf numFmtId="164" fontId="6" fillId="9" borderId="1" applyAlignment="1" pivotButton="0" quotePrefix="0" xfId="0">
      <alignment vertical="center"/>
    </xf>
    <xf numFmtId="164" fontId="9" fillId="8" borderId="1" applyAlignment="1" pivotButton="0" quotePrefix="0" xfId="0">
      <alignment vertical="center"/>
    </xf>
    <xf numFmtId="164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13" fillId="4" borderId="0" pivotButton="0" quotePrefix="0" xfId="0"/>
    <xf numFmtId="0" fontId="3" fillId="4" borderId="0" pivotButton="0" quotePrefix="0" xfId="0"/>
    <xf numFmtId="166" fontId="5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164" fontId="12" fillId="8" borderId="1" applyAlignment="1" pivotButton="0" quotePrefix="0" xfId="0">
      <alignment vertical="center"/>
    </xf>
    <xf numFmtId="167" fontId="11" fillId="0" borderId="1" applyAlignment="1" pivotButton="0" quotePrefix="0" xfId="0">
      <alignment horizontal="center" vertical="center"/>
    </xf>
    <xf numFmtId="0" fontId="9" fillId="0" borderId="1" pivotButton="0" quotePrefix="0" xfId="0"/>
    <xf numFmtId="0" fontId="7" fillId="0" borderId="0" pivotButton="0" quotePrefix="0" xfId="0"/>
    <xf numFmtId="0" fontId="15" fillId="4" borderId="0" pivotButton="0" quotePrefix="0" xfId="0"/>
    <xf numFmtId="0" fontId="4" fillId="0" borderId="1" pivotButton="0" quotePrefix="0" xfId="0"/>
    <xf numFmtId="164" fontId="9" fillId="0" borderId="1" pivotButton="0" quotePrefix="0" xfId="0"/>
    <xf numFmtId="0" fontId="1" fillId="10" borderId="0" applyAlignment="1" pivotButton="0" quotePrefix="0" xfId="0">
      <alignment vertical="center" indent="1"/>
    </xf>
    <xf numFmtId="0" fontId="0" fillId="10" borderId="0" pivotButton="0" quotePrefix="0" xfId="0"/>
    <xf numFmtId="0" fontId="8" fillId="10" borderId="1" applyAlignment="1" pivotButton="0" quotePrefix="0" xfId="0">
      <alignment horizontal="center" vertical="center" wrapText="1"/>
    </xf>
    <xf numFmtId="0" fontId="1" fillId="11" borderId="0" applyAlignment="1" pivotButton="0" quotePrefix="0" xfId="0">
      <alignment vertical="center" indent="1"/>
    </xf>
    <xf numFmtId="0" fontId="0" fillId="11" borderId="0" pivotButton="0" quotePrefix="0" xfId="0"/>
    <xf numFmtId="0" fontId="8" fillId="11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64" fontId="4" fillId="7" borderId="1" pivotButton="0" quotePrefix="0" xfId="0"/>
    <xf numFmtId="164" fontId="4" fillId="8" borderId="1" pivotButton="0" quotePrefix="0" xfId="0"/>
    <xf numFmtId="168" fontId="4" fillId="0" borderId="1" pivotButton="0" quotePrefix="0" xfId="0"/>
    <xf numFmtId="0" fontId="4" fillId="0" borderId="2" applyAlignment="1" pivotButton="0" quotePrefix="0" xfId="0">
      <alignment horizontal="center"/>
    </xf>
    <xf numFmtId="0" fontId="4" fillId="0" borderId="2" pivotButton="0" quotePrefix="0" xfId="0"/>
    <xf numFmtId="164" fontId="4" fillId="7" borderId="2" pivotButton="0" quotePrefix="0" xfId="0"/>
    <xf numFmtId="164" fontId="4" fillId="8" borderId="2" pivotButton="0" quotePrefix="0" xfId="0"/>
    <xf numFmtId="168" fontId="4" fillId="0" borderId="2" pivotButton="0" quotePrefix="0" xfId="0"/>
    <xf numFmtId="0" fontId="9" fillId="12" borderId="1" pivotButton="0" quotePrefix="0" xfId="0"/>
    <xf numFmtId="164" fontId="9" fillId="12" borderId="1" pivotButton="0" quotePrefix="0" xfId="0"/>
    <xf numFmtId="168" fontId="9" fillId="12" borderId="1" pivotButton="0" quotePrefix="0" xfId="0"/>
    <xf numFmtId="0" fontId="1" fillId="13" borderId="0" applyAlignment="1" pivotButton="0" quotePrefix="0" xfId="0">
      <alignment vertical="center" indent="1"/>
    </xf>
    <xf numFmtId="0" fontId="0" fillId="13" borderId="0" pivotButton="0" quotePrefix="0" xfId="0"/>
    <xf numFmtId="0" fontId="8" fillId="13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/>
    </xf>
    <xf numFmtId="168" fontId="4" fillId="7" borderId="1" pivotButton="0" quotePrefix="0" xfId="0"/>
    <xf numFmtId="168" fontId="4" fillId="8" borderId="1" pivotButton="0" quotePrefix="0" xfId="0"/>
    <xf numFmtId="0" fontId="9" fillId="14" borderId="1" applyAlignment="1" pivotButton="0" quotePrefix="0" xfId="0">
      <alignment horizontal="center"/>
    </xf>
    <xf numFmtId="164" fontId="9" fillId="14" borderId="1" pivotButton="0" quotePrefix="0" xfId="0"/>
    <xf numFmtId="168" fontId="9" fillId="14" borderId="1" pivotButton="0" quotePrefix="0" xfId="0"/>
    <xf numFmtId="0" fontId="17" fillId="0" borderId="0" pivotButton="0" quotePrefix="0" xfId="0"/>
    <xf numFmtId="0" fontId="3" fillId="1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164" fontId="9" fillId="7" borderId="1" pivotButton="0" quotePrefix="0" xfId="0"/>
    <xf numFmtId="164" fontId="9" fillId="8" borderId="1" pivotButton="0" quotePrefix="0" xfId="0"/>
    <xf numFmtId="0" fontId="1" fillId="15" borderId="0" applyAlignment="1" pivotButton="0" quotePrefix="0" xfId="0">
      <alignment vertical="center" indent="1"/>
    </xf>
    <xf numFmtId="0" fontId="0" fillId="15" borderId="0" pivotButton="0" quotePrefix="0" xfId="0"/>
    <xf numFmtId="164" fontId="18" fillId="16" borderId="1" applyAlignment="1" pivotButton="0" quotePrefix="0" xfId="0">
      <alignment horizontal="center"/>
    </xf>
    <xf numFmtId="0" fontId="8" fillId="1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7" borderId="1" applyAlignment="1" pivotButton="0" quotePrefix="0" xfId="0">
      <alignment vertical="center"/>
    </xf>
    <xf numFmtId="164" fontId="4" fillId="8" borderId="1" applyAlignment="1" pivotButton="0" quotePrefix="0" xfId="0">
      <alignment vertical="center"/>
    </xf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0" fontId="6" fillId="3" borderId="1" pivotButton="0" quotePrefix="0" xfId="0"/>
  </cellXfs>
  <cellStyles count="1">
    <cellStyle name="Normal" xfId="0" builtinId="0" hidden="0"/>
  </cellStyles>
  <dxfs count="17">
    <dxf>
      <font>
        <b val="1"/>
        <color rgb="00D62839"/>
      </font>
    </dxf>
    <dxf>
      <font>
        <strike val="1"/>
        <color rgb="008D99AE"/>
      </font>
      <fill>
        <patternFill patternType="solid">
          <fgColor rgb="00EFEFEF"/>
          <bgColor rgb="00EFEFEF"/>
        </patternFill>
      </fill>
    </dxf>
    <dxf>
      <font>
        <i val="1"/>
        <strike val="1"/>
        <color rgb="00C0C0C0"/>
      </font>
    </dxf>
    <dxf>
      <font>
        <strike val="1"/>
        <color rgb="00C0C0C0"/>
      </font>
    </dxf>
    <dxf>
      <font>
        <b val="1"/>
        <color rgb="001B9E5A"/>
      </font>
    </dxf>
    <dxf>
      <fill>
        <patternFill patternType="solid">
          <fgColor rgb="00FFE3E3"/>
          <bgColor rgb="00FFE3E3"/>
        </patternFill>
      </fill>
    </dxf>
    <dxf>
      <font>
        <b val="1"/>
      </font>
      <fill>
        <patternFill patternType="solid">
          <fgColor rgb="00FFF3BF"/>
          <bgColor rgb="00FFF3BF"/>
        </patternFill>
      </fill>
    </dxf>
    <dxf>
      <font>
        <b val="1"/>
        <color rgb="00E76F51"/>
      </font>
      <fill>
        <patternFill patternType="solid">
          <fgColor rgb="00FFF1EC"/>
          <bgColor rgb="00FFF1EC"/>
        </patternFill>
      </fill>
    </dxf>
    <dxf>
      <font>
        <color rgb="001B9E5A"/>
      </font>
    </dxf>
    <dxf>
      <font>
        <i val="1"/>
        <color rgb="00D62839"/>
      </font>
    </dxf>
    <dxf>
      <font>
        <b val="1"/>
        <color rgb="00D62839"/>
      </font>
      <fill>
        <patternFill patternType="solid">
          <fgColor rgb="00FFE3E3"/>
          <bgColor rgb="00FFE3E3"/>
        </patternFill>
      </fill>
    </dxf>
    <dxf>
      <font>
        <b val="1"/>
        <color rgb="00E76F51"/>
      </font>
    </dxf>
    <dxf>
      <font>
        <i val="1"/>
        <strike val="1"/>
        <color rgb="00D62839"/>
      </font>
    </dxf>
    <dxf>
      <font>
        <b val="1"/>
        <color rgb="008338EC"/>
      </font>
    </dxf>
    <dxf>
      <fill>
        <patternFill patternType="solid">
          <fgColor rgb="00FFF4D6"/>
          <bgColor rgb="00FFF4D6"/>
        </patternFill>
      </fill>
    </dxf>
    <dxf>
      <fill>
        <patternFill patternType="solid">
          <fgColor rgb="00F3E8FF"/>
          <bgColor rgb="00F3E8FF"/>
        </patternFill>
      </fill>
    </dxf>
    <dxf>
      <fill>
        <patternFill patternType="solid">
          <fgColor rgb="00FFEAF1"/>
          <bgColor rgb="00FFEA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💰 Доход по месяцам: план vs факт</a:t>
            </a:r>
          </a:p>
        </rich>
      </tx>
    </title>
    <plotArea>
      <lineChart>
        <grouping val="standard"/>
        <ser>
          <idx val="0"/>
          <order val="0"/>
          <tx>
            <strRef>
              <f>'📅 По месяцам'!D4</f>
            </strRef>
          </tx>
          <spPr>
            <a:ln w="28000">
              <a:solidFill>
                <a:srgbClr val="4A90E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'📅 По месяцам'!$C$5:$C$64</f>
            </numRef>
          </cat>
          <val>
            <numRef>
              <f>'📅 По месяцам'!$D$5:$D$64</f>
            </numRef>
          </val>
          <smooth val="0"/>
        </ser>
        <ser>
          <idx val="1"/>
          <order val="1"/>
          <tx>
            <strRef>
              <f>'📅 По месяцам'!E4</f>
            </strRef>
          </tx>
          <spPr>
            <a:ln w="28000">
              <a:solidFill>
                <a:srgbClr val="2E9E5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'📅 По месяцам'!$C$5:$C$64</f>
            </numRef>
          </cat>
          <val>
            <numRef>
              <f>'📅 По месяцам'!$E$5:$E$64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₸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📈 Доход и расход по годам (план/факт)</a:t>
            </a:r>
          </a:p>
        </rich>
      </tx>
    </title>
    <plotArea>
      <lineChart>
        <grouping val="standard"/>
        <ser>
          <idx val="0"/>
          <order val="0"/>
          <tx>
            <strRef>
              <f>'📊 По годам'!B4</f>
            </strRef>
          </tx>
          <spPr>
            <a:ln w="28000">
              <a:solidFill>
                <a:srgbClr val="4A90E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 По годам'!$A$5:$A$9</f>
            </numRef>
          </cat>
          <val>
            <numRef>
              <f>'📊 По годам'!$B$5:$B$9</f>
            </numRef>
          </val>
          <smooth val="0"/>
        </ser>
        <ser>
          <idx val="1"/>
          <order val="1"/>
          <tx>
            <strRef>
              <f>'📊 По годам'!C4</f>
            </strRef>
          </tx>
          <spPr>
            <a:ln w="28000">
              <a:solidFill>
                <a:srgbClr val="2E9E5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 По годам'!$A$5:$A$9</f>
            </numRef>
          </cat>
          <val>
            <numRef>
              <f>'📊 По годам'!$C$5:$C$9</f>
            </numRef>
          </val>
          <smooth val="0"/>
        </ser>
        <ser>
          <idx val="2"/>
          <order val="2"/>
          <tx>
            <strRef>
              <f>'📊 По годам'!E4</f>
            </strRef>
          </tx>
          <spPr>
            <a:ln w="28000">
              <a:solidFill>
                <a:srgbClr val="F4A261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 По годам'!$A$5:$A$9</f>
            </numRef>
          </cat>
          <val>
            <numRef>
              <f>'📊 По годам'!$E$5:$E$9</f>
            </numRef>
          </val>
          <smooth val="0"/>
        </ser>
        <ser>
          <idx val="3"/>
          <order val="3"/>
          <tx>
            <strRef>
              <f>'📊 По годам'!F4</f>
            </strRef>
          </tx>
          <spPr>
            <a:ln w="28000">
              <a:solidFill>
                <a:srgbClr val="D6283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 По годам'!$A$5:$A$9</f>
            </numRef>
          </cat>
          <val>
            <numRef>
              <f>'📊 По годам'!$F$5:$F$9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₸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💰 Доход по месяцам: план vs факт</a:t>
            </a:r>
          </a:p>
        </rich>
      </tx>
    </title>
    <plotArea>
      <lineChart>
        <grouping val="standard"/>
        <ser>
          <idx val="0"/>
          <order val="0"/>
          <tx>
            <strRef>
              <f>'📅 По месяцам'!D4</f>
            </strRef>
          </tx>
          <spPr>
            <a:ln w="28000">
              <a:solidFill>
                <a:srgbClr val="4A90E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'📅 По месяцам'!$C$5:$C$64</f>
            </numRef>
          </cat>
          <val>
            <numRef>
              <f>'📅 По месяцам'!$D$5:$D$64</f>
            </numRef>
          </val>
          <smooth val="0"/>
        </ser>
        <ser>
          <idx val="1"/>
          <order val="1"/>
          <tx>
            <strRef>
              <f>'📅 По месяцам'!E4</f>
            </strRef>
          </tx>
          <spPr>
            <a:ln w="28000">
              <a:solidFill>
                <a:srgbClr val="2E9E5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'📅 По месяцам'!$C$5:$C$64</f>
            </numRef>
          </cat>
          <val>
            <numRef>
              <f>'📅 По месяцам'!$E$5:$E$64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₸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💸 Расход по месяцам: план vs факт</a:t>
            </a:r>
          </a:p>
        </rich>
      </tx>
    </title>
    <plotArea>
      <lineChart>
        <grouping val="standard"/>
        <ser>
          <idx val="0"/>
          <order val="0"/>
          <tx>
            <strRef>
              <f>'📅 По месяцам'!G4</f>
            </strRef>
          </tx>
          <spPr>
            <a:ln w="28000">
              <a:solidFill>
                <a:srgbClr val="F4A261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'📅 По месяцам'!$C$5:$C$64</f>
            </numRef>
          </cat>
          <val>
            <numRef>
              <f>'📅 По месяцам'!$G$5:$G$64</f>
            </numRef>
          </val>
          <smooth val="0"/>
        </ser>
        <ser>
          <idx val="1"/>
          <order val="1"/>
          <tx>
            <strRef>
              <f>'📅 По месяцам'!H4</f>
            </strRef>
          </tx>
          <spPr>
            <a:ln w="28000">
              <a:solidFill>
                <a:srgbClr val="D6283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'📅 По месяцам'!$C$5:$C$64</f>
            </numRef>
          </cat>
          <val>
            <numRef>
              <f>'📅 По месяцам'!$H$5:$H$64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₸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🏦 Накопленный остаток: план vs факт</a:t>
            </a:r>
          </a:p>
        </rich>
      </tx>
    </title>
    <plotArea>
      <lineChart>
        <grouping val="standard"/>
        <ser>
          <idx val="0"/>
          <order val="0"/>
          <tx>
            <strRef>
              <f>'📅 По месяцам'!L4</f>
            </strRef>
          </tx>
          <spPr>
            <a:ln w="28000">
              <a:solidFill>
                <a:srgbClr val="8338EC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'📅 По месяцам'!$C$5:$C$64</f>
            </numRef>
          </cat>
          <val>
            <numRef>
              <f>'📅 По месяцам'!$L$5:$L$64</f>
            </numRef>
          </val>
          <smooth val="0"/>
        </ser>
        <ser>
          <idx val="1"/>
          <order val="1"/>
          <tx>
            <strRef>
              <f>'📅 По месяцам'!M4</f>
            </strRef>
          </tx>
          <spPr>
            <a:ln w="28000">
              <a:solidFill>
                <a:srgbClr val="2A9D8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'📅 По месяцам'!$C$5:$C$64</f>
            </numRef>
          </cat>
          <val>
            <numRef>
              <f>'📅 По месяцам'!$M$5:$M$64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₸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📈 Доход по годам: план vs факт</a:t>
            </a:r>
          </a:p>
        </rich>
      </tx>
    </title>
    <plotArea>
      <lineChart>
        <grouping val="standard"/>
        <ser>
          <idx val="0"/>
          <order val="0"/>
          <tx>
            <strRef>
              <f>'📊 По годам'!B4</f>
            </strRef>
          </tx>
          <spPr>
            <a:ln w="28000">
              <a:solidFill>
                <a:srgbClr val="4A90E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 По годам'!$A$5:$A$9</f>
            </numRef>
          </cat>
          <val>
            <numRef>
              <f>'📊 По годам'!$B$5:$B$9</f>
            </numRef>
          </val>
          <smooth val="0"/>
        </ser>
        <ser>
          <idx val="1"/>
          <order val="1"/>
          <tx>
            <strRef>
              <f>'📊 По годам'!C4</f>
            </strRef>
          </tx>
          <spPr>
            <a:ln w="28000">
              <a:solidFill>
                <a:srgbClr val="2E9E5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 По годам'!$A$5:$A$9</f>
            </numRef>
          </cat>
          <val>
            <numRef>
              <f>'📊 По годам'!$C$5:$C$9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₸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📉 Расход по годам: план vs факт</a:t>
            </a:r>
          </a:p>
        </rich>
      </tx>
    </title>
    <plotArea>
      <lineChart>
        <grouping val="standard"/>
        <ser>
          <idx val="0"/>
          <order val="0"/>
          <tx>
            <strRef>
              <f>'📊 По годам'!E4</f>
            </strRef>
          </tx>
          <spPr>
            <a:ln w="28000">
              <a:solidFill>
                <a:srgbClr val="F4A261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 По годам'!$A$5:$A$9</f>
            </numRef>
          </cat>
          <val>
            <numRef>
              <f>'📊 По годам'!$E$5:$E$9</f>
            </numRef>
          </val>
          <smooth val="0"/>
        </ser>
        <ser>
          <idx val="1"/>
          <order val="1"/>
          <tx>
            <strRef>
              <f>'📊 По годам'!F4</f>
            </strRef>
          </tx>
          <spPr>
            <a:ln w="28000">
              <a:solidFill>
                <a:srgbClr val="D6283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 По годам'!$A$5:$A$9</f>
            </numRef>
          </cat>
          <val>
            <numRef>
              <f>'📊 По годам'!$F$5:$F$9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₸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Планер</author>
  </authors>
  <commentList>
    <comment ref="G4" authorId="0" shapeId="0">
      <text>
        <t>Сумма, которую ПЛАНИРУЕТЕ потратить. Заполняется заранее.</t>
      </text>
    </comment>
    <comment ref="H4" authorId="0" shapeId="0">
      <text>
        <t>Необязательно. Если заполнить — заменяет сумму из дневника (удобно для разовых крупных покупок).</t>
      </text>
    </comment>
    <comment ref="I4" authorId="0" shapeId="0">
      <text>
        <t>Считается сам: сумма записей «🧾 Дневника трат» с той же статьёй, годом и месяцем.</t>
      </text>
    </comment>
    <comment ref="J4" authorId="0" shapeId="0">
      <text>
        <t>Итоговый факт = «вручную», а если пусто — «из дневника». Именно он идёт в сводки.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30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30</row>
      <rowOff>0</rowOff>
    </from>
    <ext cx="61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22</row>
      <rowOff>0</rowOff>
    </from>
    <ext cx="93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41</row>
      <rowOff>0</rowOff>
    </from>
    <ext cx="936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20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28184; &#1056;&#1072;&#1089;&#1093;&#1086;&#1076;&#1099;'!A1" TargetMode="External" Id="rId1" /><Relationship Type="http://schemas.openxmlformats.org/officeDocument/2006/relationships/hyperlink" Target="#'&#129534; &#1044;&#1085;&#1077;&#1074;&#1085;&#1080;&#1082; &#1090;&#1088;&#1072;&#1090;'!A1" TargetMode="External" Id="rId2" /><Relationship Type="http://schemas.openxmlformats.org/officeDocument/2006/relationships/hyperlink" Target="#'&#128176; &#1044;&#1086;&#1093;&#1086;&#1076;&#1099;'!A1" TargetMode="External" Id="rId3" /><Relationship Type="http://schemas.openxmlformats.org/officeDocument/2006/relationships/hyperlink" Target="#'&#128197; &#1055;&#1086; &#1084;&#1077;&#1089;&#1103;&#1094;&#1072;&#1084;'!A1" TargetMode="External" Id="rId4" /><Relationship Type="http://schemas.openxmlformats.org/officeDocument/2006/relationships/hyperlink" Target="#'&#128202; &#1055;&#1086; &#1075;&#1086;&#1076;&#1072;&#1084;'!A1" TargetMode="External" Id="rId5" /><Relationship Type="http://schemas.openxmlformats.org/officeDocument/2006/relationships/hyperlink" Target="#'&#10024; &#1061;&#1086;&#1090;&#1077;&#1083;&#1082;&#1080;'!A1" TargetMode="External" Id="rId6" /><Relationship Type="http://schemas.openxmlformats.org/officeDocument/2006/relationships/hyperlink" Target="#'&#128218; &#1057;&#1087;&#1088;&#1072;&#1074;&#1086;&#1095;&#1085;&#1080;&#1082;'!A1" TargetMode="External" Id="rId7" /><Relationship Type="http://schemas.openxmlformats.org/officeDocument/2006/relationships/drawing" Target="/xl/drawings/drawing1.xml" Id="rId8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2E9E5B"/>
    <outlinePr summaryBelow="1" summaryRight="1"/>
    <pageSetUpPr/>
  </sheetPr>
  <dimension ref="A1:L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8" customWidth="1" min="3" max="3"/>
    <col width="18" customWidth="1" min="4" max="4"/>
    <col width="18" customWidth="1" min="5" max="5"/>
    <col width="3" customWidth="1" min="6" max="6"/>
    <col width="26" customWidth="1" min="7" max="7"/>
    <col width="18" customWidth="1" min="8" max="8"/>
    <col width="18" customWidth="1" min="9" max="9"/>
    <col width="18" customWidth="1" min="10" max="10"/>
    <col width="3" customWidth="1" min="11" max="11"/>
    <col width="3" customWidth="1" min="12" max="12"/>
  </cols>
  <sheetData>
    <row r="1" ht="36" customHeight="1">
      <c r="A1" s="1" t="inlineStr">
        <is>
          <t>🏠 Финансовый план 2026 – 2030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30" customHeight="1">
      <c r="A2" s="3" t="inlineStr">
        <is>
          <t>Личный планер доходов и расходов: план vs факт по месяцам и годам, хотелки и мечты.</t>
        </is>
      </c>
    </row>
    <row r="4">
      <c r="B4" s="4" t="inlineStr">
        <is>
          <t>📌 Итого за 2026–2030</t>
        </is>
      </c>
      <c r="G4" s="5" t="inlineStr">
        <is>
          <t>🗓 Месяц ▸</t>
        </is>
      </c>
      <c r="H4" s="6" t="n"/>
      <c r="I4" s="6" t="n"/>
      <c r="J4" s="7">
        <f>IF(AND(H4="",I4=""),"⏱ текущий: ","")&amp;INDEX(lst_months,IF($I$4="",MONTH(TODAY()),MATCH($I$4,lst_months,0)))&amp;" "&amp;IF($H$4="",YEAR(TODAY()),$H$4)</f>
        <v/>
      </c>
    </row>
    <row r="5">
      <c r="B5" s="8" t="inlineStr"/>
      <c r="C5" s="9" t="inlineStr">
        <is>
          <t>📝 ПЛАН</t>
        </is>
      </c>
      <c r="D5" s="10" t="inlineStr">
        <is>
          <t>✅ ФАКТ</t>
        </is>
      </c>
      <c r="E5" s="8" t="inlineStr">
        <is>
          <t>% выполнения</t>
        </is>
      </c>
      <c r="G5" s="11" t="inlineStr"/>
      <c r="H5" s="9" t="inlineStr">
        <is>
          <t>📝 ПЛАН</t>
        </is>
      </c>
      <c r="I5" s="10" t="inlineStr">
        <is>
          <t>✅ ФАКТ</t>
        </is>
      </c>
      <c r="J5" s="11" t="inlineStr">
        <is>
          <t>% выполнения</t>
        </is>
      </c>
    </row>
    <row r="6" ht="22" customHeight="1">
      <c r="B6" s="12" t="inlineStr">
        <is>
          <t>💰 Доходы</t>
        </is>
      </c>
      <c r="C6" s="13">
        <f>'📊 По годам'!B10</f>
        <v/>
      </c>
      <c r="D6" s="14">
        <f>'📊 По годам'!C10</f>
        <v/>
      </c>
      <c r="E6" s="15">
        <f>IF(C6=0,"",D6/C6)</f>
        <v/>
      </c>
      <c r="G6" s="12" t="inlineStr">
        <is>
          <t>💰 Доходы</t>
        </is>
      </c>
      <c r="H6" s="13">
        <f>IFERROR(INDEX('📅 По месяцам'!$D$5:$D$64,((IF($H$4="",YEAR(TODAY()),$H$4)-2026)*12+IF($I$4="",MONTH(TODAY()),MATCH($I$4,lst_months,0)))),0)</f>
        <v/>
      </c>
      <c r="I6" s="14">
        <f>IFERROR(INDEX('📅 По месяцам'!$E$5:$E$64,((IF($H$4="",YEAR(TODAY()),$H$4)-2026)*12+IF($I$4="",MONTH(TODAY()),MATCH($I$4,lst_months,0)))),0)</f>
        <v/>
      </c>
      <c r="J6" s="15">
        <f>IF(H6=0,"",I6/H6)</f>
        <v/>
      </c>
    </row>
    <row r="7" ht="22" customHeight="1">
      <c r="B7" s="12" t="inlineStr">
        <is>
          <t>💸 Расходы</t>
        </is>
      </c>
      <c r="C7" s="13">
        <f>'📊 По годам'!E10</f>
        <v/>
      </c>
      <c r="D7" s="14">
        <f>'📊 По годам'!F10</f>
        <v/>
      </c>
      <c r="E7" s="15">
        <f>IF(C7=0,"",D7/C7)</f>
        <v/>
      </c>
      <c r="G7" s="12" t="inlineStr">
        <is>
          <t>💸 Расходы</t>
        </is>
      </c>
      <c r="H7" s="13">
        <f>IFERROR(INDEX('📅 По месяцам'!$G$5:$G$64,((IF($H$4="",YEAR(TODAY()),$H$4)-2026)*12+IF($I$4="",MONTH(TODAY()),MATCH($I$4,lst_months,0)))),0)</f>
        <v/>
      </c>
      <c r="I7" s="14">
        <f>IFERROR(INDEX('📅 По месяцам'!$H$5:$H$64,((IF($H$4="",YEAR(TODAY()),$H$4)-2026)*12+IF($I$4="",MONTH(TODAY()),MATCH($I$4,lst_months,0)))),0)</f>
        <v/>
      </c>
      <c r="J7" s="15">
        <f>IF(H7=0,"",I7/H7)</f>
        <v/>
      </c>
    </row>
    <row r="8" ht="22" customHeight="1">
      <c r="B8" s="12" t="inlineStr">
        <is>
          <t>⚖️ Остаток</t>
        </is>
      </c>
      <c r="C8" s="13">
        <f>'📊 По годам'!H10</f>
        <v/>
      </c>
      <c r="D8" s="14">
        <f>'📊 По годам'!I10</f>
        <v/>
      </c>
      <c r="E8" s="15">
        <f>IF(C8=0,"",D8/C8)</f>
        <v/>
      </c>
      <c r="G8" s="12" t="inlineStr">
        <is>
          <t>⚖️ Остаток</t>
        </is>
      </c>
      <c r="H8" s="13">
        <f>IFERROR(INDEX('📅 По месяцам'!$J$5:$J$64,((IF($H$4="",YEAR(TODAY()),$H$4)-2026)*12+IF($I$4="",MONTH(TODAY()),MATCH($I$4,lst_months,0)))),0)</f>
        <v/>
      </c>
      <c r="I8" s="14">
        <f>IFERROR(INDEX('📅 По месяцам'!$K$5:$K$64,((IF($H$4="",YEAR(TODAY()),$H$4)-2026)*12+IF($I$4="",MONTH(TODAY()),MATCH($I$4,lst_months,0)))),0)</f>
        <v/>
      </c>
      <c r="J8" s="15">
        <f>IF(H8=0,"",I8/H8)</f>
        <v/>
      </c>
    </row>
    <row r="10">
      <c r="B10" s="16" t="inlineStr">
        <is>
          <t>✨ Хотелки</t>
        </is>
      </c>
      <c r="G10" s="4" t="inlineStr">
        <is>
          <t>🧭 Навигация</t>
        </is>
      </c>
    </row>
    <row r="11">
      <c r="C11" s="17" t="inlineStr">
        <is>
          <t>Всего</t>
        </is>
      </c>
      <c r="D11" s="17" t="inlineStr">
        <is>
          <t>Исполнено</t>
        </is>
      </c>
      <c r="E11" s="17" t="inlineStr">
        <is>
          <t>Прогресс</t>
        </is>
      </c>
      <c r="G11" s="18" t="inlineStr">
        <is>
          <t>💸 Расходы</t>
        </is>
      </c>
      <c r="H11" s="19" t="inlineStr">
        <is>
          <t>планировать траты (план и факт)</t>
        </is>
      </c>
    </row>
    <row r="12">
      <c r="C12" s="20">
        <f>'✨ Хотелки'!B4</f>
        <v/>
      </c>
      <c r="D12" s="20">
        <f>'✨ Хотелки'!C4</f>
        <v/>
      </c>
      <c r="E12" s="21">
        <f>'✨ Хотелки'!D4</f>
        <v/>
      </c>
      <c r="G12" s="18" t="inlineStr">
        <is>
          <t>🧾 Дневник трат</t>
        </is>
      </c>
      <c r="H12" s="19" t="inlineStr">
        <is>
          <t>записывать каждую покупку</t>
        </is>
      </c>
    </row>
    <row r="13">
      <c r="G13" s="18" t="inlineStr">
        <is>
          <t>💰 Доходы</t>
        </is>
      </c>
      <c r="H13" s="19" t="inlineStr">
        <is>
          <t>вносить доходы (план и факт)</t>
        </is>
      </c>
    </row>
    <row r="14">
      <c r="G14" s="18" t="inlineStr">
        <is>
          <t>📅 По месяцам</t>
        </is>
      </c>
      <c r="H14" s="19" t="inlineStr">
        <is>
          <t>сводка по месяцам + графики</t>
        </is>
      </c>
    </row>
    <row r="15">
      <c r="G15" s="18" t="inlineStr">
        <is>
          <t>📊 По годам</t>
        </is>
      </c>
      <c r="H15" s="19" t="inlineStr">
        <is>
          <t>сводка по годам и категориям</t>
        </is>
      </c>
    </row>
    <row r="16">
      <c r="G16" s="18" t="inlineStr">
        <is>
          <t>✨ Хотелки</t>
        </is>
      </c>
      <c r="H16" s="19" t="inlineStr">
        <is>
          <t>список хотелок и мечт</t>
        </is>
      </c>
    </row>
    <row r="17">
      <c r="G17" s="18" t="inlineStr">
        <is>
          <t>📚 Справочник</t>
        </is>
      </c>
      <c r="H17" s="19" t="inlineStr">
        <is>
          <t>справочник для выпадающих списков</t>
        </is>
      </c>
    </row>
    <row r="18">
      <c r="B18" s="4" t="inlineStr">
        <is>
          <t>🎨 Как пользоваться</t>
        </is>
      </c>
    </row>
    <row r="19" ht="20" customHeight="1">
      <c r="B19" s="22" t="inlineStr">
        <is>
          <t>ПЛАН</t>
        </is>
      </c>
      <c r="C19" s="23" t="inlineStr">
        <is>
          <t>📝 ПЛАН — синие колонки. Заполняете заранее: сколько собираетесь потратить / потенциально заработать.</t>
        </is>
      </c>
    </row>
    <row r="20" ht="20" customHeight="1">
      <c r="B20" s="24" t="inlineStr">
        <is>
          <t>ФАКТ</t>
        </is>
      </c>
      <c r="C20" s="23" t="inlineStr">
        <is>
          <t>✅ ФАКТ — зелёные колонки. Заполняете по факту: сколько реально потратили / получили.</t>
        </is>
      </c>
    </row>
    <row r="21" ht="20" customHeight="1">
      <c r="B21" s="25" t="inlineStr">
        <is>
          <t>ввод</t>
        </is>
      </c>
      <c r="C21" s="23" t="inlineStr">
        <is>
          <t>Жёлтые ячейки в «Справочнике» — ваши статьи, категории и типы дохода. Синий шрифт = ввод вручную.</t>
        </is>
      </c>
    </row>
    <row r="22" ht="20" customHeight="1">
      <c r="B22" s="26" t="inlineStr">
        <is>
          <t>зачёркнуто</t>
        </is>
      </c>
      <c r="C22" s="23" t="inlineStr">
        <is>
          <t>Статус «✅ Выполнено» / «✅ Получено» автоматически зачёркивает строку (и хотелку в списке).</t>
        </is>
      </c>
    </row>
    <row r="23" ht="20" customHeight="1">
      <c r="B23" s="27" t="inlineStr">
        <is>
          <t>сейчас</t>
        </is>
      </c>
      <c r="C23" s="23" t="inlineStr">
        <is>
          <t>Жёлтая строка в «По месяцам» — текущий месяц. Красный шрифт — перерасход или минус.</t>
        </is>
      </c>
    </row>
    <row r="24" ht="20" customHeight="1">
      <c r="B24" s="28" t="n"/>
      <c r="C24" s="23" t="inlineStr">
        <is>
          <t>Листы «По месяцам», «По годам», «Хотелки» и «Главная» считаются сами — в них ничего вводить не нужно.</t>
        </is>
      </c>
    </row>
    <row r="25" ht="20" customHeight="1">
      <c r="B25" s="28" t="n"/>
      <c r="C25" s="23" t="inlineStr">
        <is>
          <t>В листах «Расходы» и «Доходы» есть строки-ПРИМЕРЫ — замените или удалите их.</t>
        </is>
      </c>
    </row>
    <row r="26" ht="20" customHeight="1">
      <c r="B26" s="29" t="n"/>
      <c r="C26" s="23" t="inlineStr">
        <is>
          <t>🟢 Зелёные вкладки — ВИТРИНЫ: Главная, По месяцам, По годам, Хотелки. Только смотреть.</t>
        </is>
      </c>
    </row>
    <row r="27" ht="20" customHeight="1">
      <c r="B27" s="30" t="n"/>
      <c r="C27" s="23" t="inlineStr">
        <is>
          <t>🔴 Красные вкладки — ТЕХНИЧЕСКИЕ: Расходы, Дневник трат, Доходы, Справочник. Здесь вводятся данные.</t>
        </is>
      </c>
    </row>
    <row r="28" ht="20" customHeight="1">
      <c r="B28" s="31" t="n"/>
      <c r="C28" s="23" t="inlineStr">
        <is>
          <t>🧾 Дневник трат: записывайте каждую покупку. По статье из плана → ФАКТ в «Расходах», иначе → «⚡ вне плана».</t>
        </is>
      </c>
    </row>
    <row r="29" ht="20" customHeight="1">
      <c r="B29" s="32" t="n"/>
      <c r="C29" s="23" t="inlineStr">
        <is>
          <t>🗓 На Главной выберите год и месяц в жёлтых ячейках H4:I4 — блок покажет этот месяц.</t>
        </is>
      </c>
    </row>
  </sheetData>
  <mergeCells count="13">
    <mergeCell ref="A2:L2"/>
    <mergeCell ref="C26:J26"/>
    <mergeCell ref="C29:J29"/>
    <mergeCell ref="C21:J21"/>
    <mergeCell ref="C20:J20"/>
    <mergeCell ref="C25:J25"/>
    <mergeCell ref="A1:L1"/>
    <mergeCell ref="C24:J24"/>
    <mergeCell ref="C28:J28"/>
    <mergeCell ref="C27:J27"/>
    <mergeCell ref="C19:J19"/>
    <mergeCell ref="C22:J22"/>
    <mergeCell ref="C23:J23"/>
  </mergeCells>
  <conditionalFormatting sqref="E6:E8">
    <cfRule type="dataBar" priority="1">
      <dataBar>
        <cfvo type="num" val="0"/>
        <cfvo type="num" val="1"/>
        <color rgb="004B3F9E"/>
      </dataBar>
    </cfRule>
  </conditionalFormatting>
  <conditionalFormatting sqref="J6:J8">
    <cfRule type="dataBar" priority="2">
      <dataBar>
        <cfvo type="num" val="0"/>
        <cfvo type="num" val="1"/>
        <color rgb="004B3F9E"/>
      </dataBar>
    </cfRule>
  </conditionalFormatting>
  <conditionalFormatting sqref="C8:D8">
    <cfRule type="cellIs" priority="3" operator="lessThan" dxfId="0">
      <formula>0</formula>
    </cfRule>
  </conditionalFormatting>
  <conditionalFormatting sqref="H8:I8">
    <cfRule type="cellIs" priority="4" operator="lessThan" dxfId="0">
      <formula>0</formula>
    </cfRule>
  </conditionalFormatting>
  <conditionalFormatting sqref="E12">
    <cfRule type="dataBar" priority="5">
      <dataBar>
        <cfvo type="num" val="0"/>
        <cfvo type="num" val="1"/>
        <color rgb="00FF5D8F"/>
      </dataBar>
    </cfRule>
  </conditionalFormatting>
  <dataValidations count="2">
    <dataValidation sqref="H4" showDropDown="0" showInputMessage="1" showErrorMessage="1" allowBlank="1" errorTitle="Значение не из справочника" error="Выберите значение из списка (его можно дополнить в листе «📚 Справочник»)" prompt="Год (пусто = текущий). Выберите из списка." type="list">
      <formula1>'📚 Справочник'!$A$5:$A$9</formula1>
    </dataValidation>
    <dataValidation sqref="I4" showDropDown="0" showInputMessage="1" showErrorMessage="1" allowBlank="1" errorTitle="Значение не из справочника" error="Выберите значение из списка (его можно дополнить в листе «📚 Справочник»)" prompt="Месяц (пусто = текущий). Выберите из списка." type="list">
      <formula1>'📚 Справочник'!$B$5:$B$16</formula1>
    </dataValidation>
  </dataValidation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</hyperlinks>
  <pageMargins left="0.75" right="0.75" top="1" bottom="1" header="0.5" footer="0.5"/>
  <drawing xmlns:r="http://schemas.openxmlformats.org/officeDocument/2006/relationships" r:id="rId8"/>
</worksheet>
</file>

<file path=xl/worksheets/sheet2.xml><?xml version="1.0" encoding="utf-8"?>
<worksheet xmlns="http://schemas.openxmlformats.org/spreadsheetml/2006/main">
  <sheetPr>
    <tabColor rgb="00D62839"/>
    <outlinePr summaryBelow="1" summaryRight="1"/>
    <pageSetUpPr/>
  </sheetPr>
  <dimension ref="A1:O5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22" customWidth="1" min="3" max="3"/>
    <col width="22" customWidth="1" min="4" max="4"/>
    <col width="30" customWidth="1" min="5" max="5"/>
    <col width="13" customWidth="1" min="6" max="6"/>
    <col width="14" customWidth="1" min="7" max="7"/>
    <col width="14" customWidth="1" min="8" max="8"/>
    <col width="15" customWidth="1" min="9" max="9"/>
    <col width="14" customWidth="1" min="10" max="10"/>
    <col width="14" customWidth="1" min="11" max="11"/>
    <col width="17" customWidth="1" min="12" max="12"/>
    <col width="24" customWidth="1" min="13" max="13"/>
    <col hidden="1" width="6" customWidth="1" min="14" max="14"/>
    <col hidden="1" width="6" customWidth="1" min="15" max="15"/>
  </cols>
  <sheetData>
    <row r="1" ht="36" customHeight="1">
      <c r="A1" s="33" t="inlineStr">
        <is>
          <t>💸 Расходы — план и факт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4" t="n"/>
      <c r="M1" s="34" t="n"/>
    </row>
    <row r="2" ht="30" customHeight="1">
      <c r="A2" s="3" t="inlineStr">
        <is>
          <t>Одна строка = одна запланированная трата. «ПЛАН» — сколько собираетесь потратить. ФАКТ считается сам из «🧾 Дневника трат» по той же статье и месяцу; если ввести «ФАКТ вручную» — он заменит сумму из дневника. Статус «✅ Выполнено» зачёркивает строку.</t>
        </is>
      </c>
    </row>
    <row r="3">
      <c r="F3" s="35" t="inlineStr">
        <is>
          <t>Σ видимых →</t>
        </is>
      </c>
      <c r="G3" s="36">
        <f>SUBTOTAL(9,G5:G504)</f>
        <v/>
      </c>
      <c r="H3" s="37">
        <f>SUBTOTAL(9,H5:H504)</f>
        <v/>
      </c>
      <c r="I3" s="38">
        <f>SUBTOTAL(9,I5:I504)</f>
        <v/>
      </c>
      <c r="J3" s="37">
        <f>SUBTOTAL(9,J5:J504)</f>
        <v/>
      </c>
    </row>
    <row r="4" ht="34" customHeight="1">
      <c r="A4" s="39" t="inlineStr">
        <is>
          <t>📆 Год</t>
        </is>
      </c>
      <c r="B4" s="39" t="inlineStr">
        <is>
          <t>🗓 Месяц</t>
        </is>
      </c>
      <c r="C4" s="39" t="inlineStr">
        <is>
          <t>📝 Статья</t>
        </is>
      </c>
      <c r="D4" s="39" t="inlineStr">
        <is>
          <t>🏷 Категория</t>
        </is>
      </c>
      <c r="E4" s="39" t="inlineStr">
        <is>
          <t>✏️ Описание</t>
        </is>
      </c>
      <c r="F4" s="39" t="inlineStr">
        <is>
          <t>🎯 Приоритет</t>
        </is>
      </c>
      <c r="G4" s="40" t="inlineStr">
        <is>
          <t>📝 ПЛАН, ₸</t>
        </is>
      </c>
      <c r="H4" s="41" t="inlineStr">
        <is>
          <t>✍️ ФАКТ
вручную, ₸</t>
        </is>
      </c>
      <c r="I4" s="41" t="inlineStr">
        <is>
          <t>🧾 Из дневника
(авто), ₸</t>
        </is>
      </c>
      <c r="J4" s="41" t="inlineStr">
        <is>
          <t>✅ ФАКТ
итог, ₸</t>
        </is>
      </c>
      <c r="K4" s="39" t="inlineStr">
        <is>
          <t>± Разница
(план − факт)</t>
        </is>
      </c>
      <c r="L4" s="39" t="inlineStr">
        <is>
          <t>🚦 Статус</t>
        </is>
      </c>
      <c r="M4" s="39" t="inlineStr">
        <is>
          <t>💬 Комментарий</t>
        </is>
      </c>
      <c r="N4" s="39" t="inlineStr">
        <is>
          <t>служ. №хотелки</t>
        </is>
      </c>
      <c r="O4" s="39" t="inlineStr">
        <is>
          <t>служ. первая</t>
        </is>
      </c>
    </row>
    <row r="5">
      <c r="A5" s="42" t="n">
        <v>2026</v>
      </c>
      <c r="B5" s="42" t="inlineStr">
        <is>
          <t>Октябрь</t>
        </is>
      </c>
      <c r="C5" s="43" t="inlineStr">
        <is>
          <t>Продукты</t>
        </is>
      </c>
      <c r="D5" s="43" t="inlineStr">
        <is>
          <t>🛒 Нужда</t>
        </is>
      </c>
      <c r="E5" s="43" t="inlineStr">
        <is>
          <t>Продукты на месяц (факт — из дневника)</t>
        </is>
      </c>
      <c r="F5" s="42" t="inlineStr">
        <is>
          <t>🔥 Высокий</t>
        </is>
      </c>
      <c r="G5" s="44" t="n">
        <v>120000</v>
      </c>
      <c r="H5" s="45" t="n"/>
      <c r="I5" s="46">
        <f>IF(O5=1,SUMIFS(day_amt,day_year,A5,day_month,B5,day_item,C5),"")</f>
        <v/>
      </c>
      <c r="J5" s="47">
        <f>IF(H5&lt;&gt;"",H5,IF(N(I5)=0,"",I5))</f>
        <v/>
      </c>
      <c r="K5" s="48">
        <f>IF(OR(G5="",J5=""),"",G5-J5)</f>
        <v/>
      </c>
      <c r="L5" s="43" t="inlineStr">
        <is>
          <t>⏳ Запланировано</t>
        </is>
      </c>
      <c r="M5" s="43" t="n"/>
      <c r="N5" s="49">
        <f>IF(IFERROR(INDEX(lst_cat_wish,MATCH(D5,lst_cats,0))="Да",FALSE),MAX($N$4:N4)+1,"")</f>
        <v/>
      </c>
      <c r="O5" s="49">
        <f>IF(OR(A5="",B5="",C5="",L5="❌ Отменено"),0,IF(COUNTIFS($A$4:A4,A5,$B$4:B4,B5,$C$4:C4,C5,$L$4:L4,"&lt;&gt;❌ Отменено")=0,1,0))</f>
        <v/>
      </c>
    </row>
    <row r="6">
      <c r="A6" s="42" t="n">
        <v>2026</v>
      </c>
      <c r="B6" s="42" t="inlineStr">
        <is>
          <t>Октябрь</t>
        </is>
      </c>
      <c r="C6" s="43" t="inlineStr">
        <is>
          <t>Аренда / ипотека</t>
        </is>
      </c>
      <c r="D6" s="43" t="inlineStr">
        <is>
          <t>🧾 Обязательный платёж</t>
        </is>
      </c>
      <c r="E6" s="43" t="inlineStr">
        <is>
          <t>Аренда квартиры</t>
        </is>
      </c>
      <c r="F6" s="42" t="inlineStr">
        <is>
          <t>🔥 Высокий</t>
        </is>
      </c>
      <c r="G6" s="44" t="n">
        <v>250000</v>
      </c>
      <c r="H6" s="45" t="n">
        <v>250000</v>
      </c>
      <c r="I6" s="46">
        <f>IF(O6=1,SUMIFS(day_amt,day_year,A6,day_month,B6,day_item,C6),"")</f>
        <v/>
      </c>
      <c r="J6" s="47">
        <f>IF(H6&lt;&gt;"",H6,IF(N(I6)=0,"",I6))</f>
        <v/>
      </c>
      <c r="K6" s="48">
        <f>IF(OR(G6="",J6=""),"",G6-J6)</f>
        <v/>
      </c>
      <c r="L6" s="43" t="inlineStr">
        <is>
          <t>✅ Выполнено</t>
        </is>
      </c>
      <c r="M6" s="43" t="n"/>
      <c r="N6" s="49">
        <f>IF(IFERROR(INDEX(lst_cat_wish,MATCH(D6,lst_cats,0))="Да",FALSE),MAX($N$4:N5)+1,"")</f>
        <v/>
      </c>
      <c r="O6" s="49">
        <f>IF(OR(A6="",B6="",C6="",L6="❌ Отменено"),0,IF(COUNTIFS($A$4:A5,A6,$B$4:B5,B6,$C$4:C5,C6,$L$4:L5,"&lt;&gt;❌ Отменено")=0,1,0))</f>
        <v/>
      </c>
    </row>
    <row r="7">
      <c r="A7" s="42" t="n">
        <v>2026</v>
      </c>
      <c r="B7" s="42" t="inlineStr">
        <is>
          <t>Октябрь</t>
        </is>
      </c>
      <c r="C7" s="43" t="inlineStr">
        <is>
          <t>Подушка безопасности</t>
        </is>
      </c>
      <c r="D7" s="43" t="inlineStr">
        <is>
          <t>🏦 Накопление</t>
        </is>
      </c>
      <c r="E7" s="43" t="inlineStr">
        <is>
          <t>10% от дохода</t>
        </is>
      </c>
      <c r="F7" s="42" t="inlineStr">
        <is>
          <t>⭐ Средний</t>
        </is>
      </c>
      <c r="G7" s="44" t="n">
        <v>60000</v>
      </c>
      <c r="H7" s="45" t="n">
        <v>60000</v>
      </c>
      <c r="I7" s="46">
        <f>IF(O7=1,SUMIFS(day_amt,day_year,A7,day_month,B7,day_item,C7),"")</f>
        <v/>
      </c>
      <c r="J7" s="47">
        <f>IF(H7&lt;&gt;"",H7,IF(N(I7)=0,"",I7))</f>
        <v/>
      </c>
      <c r="K7" s="48">
        <f>IF(OR(G7="",J7=""),"",G7-J7)</f>
        <v/>
      </c>
      <c r="L7" s="43" t="inlineStr">
        <is>
          <t>✅ Выполнено</t>
        </is>
      </c>
      <c r="M7" s="43" t="n"/>
      <c r="N7" s="49">
        <f>IF(IFERROR(INDEX(lst_cat_wish,MATCH(D7,lst_cats,0))="Да",FALSE),MAX($N$4:N6)+1,"")</f>
        <v/>
      </c>
      <c r="O7" s="49">
        <f>IF(OR(A7="",B7="",C7="",L7="❌ Отменено"),0,IF(COUNTIFS($A$4:A6,A7,$B$4:B6,B7,$C$4:C6,C7,$L$4:L6,"&lt;&gt;❌ Отменено")=0,1,0))</f>
        <v/>
      </c>
    </row>
    <row r="8">
      <c r="A8" s="42" t="n">
        <v>2026</v>
      </c>
      <c r="B8" s="42" t="inlineStr">
        <is>
          <t>Октябрь</t>
        </is>
      </c>
      <c r="C8" s="43" t="inlineStr">
        <is>
          <t>Техника</t>
        </is>
      </c>
      <c r="D8" s="43" t="inlineStr">
        <is>
          <t>🍭 Хотелка</t>
        </is>
      </c>
      <c r="E8" s="43" t="inlineStr">
        <is>
          <t>Беспроводные наушники</t>
        </is>
      </c>
      <c r="F8" s="42" t="inlineStr">
        <is>
          <t>⭐ Средний</t>
        </is>
      </c>
      <c r="G8" s="44" t="n">
        <v>45000</v>
      </c>
      <c r="H8" s="45" t="n">
        <v>42000</v>
      </c>
      <c r="I8" s="46">
        <f>IF(O8=1,SUMIFS(day_amt,day_year,A8,day_month,B8,day_item,C8),"")</f>
        <v/>
      </c>
      <c r="J8" s="47">
        <f>IF(H8&lt;&gt;"",H8,IF(N(I8)=0,"",I8))</f>
        <v/>
      </c>
      <c r="K8" s="48">
        <f>IF(OR(G8="",J8=""),"",G8-J8)</f>
        <v/>
      </c>
      <c r="L8" s="43" t="inlineStr">
        <is>
          <t>✅ Выполнено</t>
        </is>
      </c>
      <c r="M8" s="43" t="n"/>
      <c r="N8" s="49">
        <f>IF(IFERROR(INDEX(lst_cat_wish,MATCH(D8,lst_cats,0))="Да",FALSE),MAX($N$4:N7)+1,"")</f>
        <v/>
      </c>
      <c r="O8" s="49">
        <f>IF(OR(A8="",B8="",C8="",L8="❌ Отменено"),0,IF(COUNTIFS($A$4:A7,A8,$B$4:B7,B8,$C$4:C7,C8,$L$4:L7,"&lt;&gt;❌ Отменено")=0,1,0))</f>
        <v/>
      </c>
    </row>
    <row r="9">
      <c r="A9" s="42" t="n">
        <v>2026</v>
      </c>
      <c r="B9" s="42" t="inlineStr">
        <is>
          <t>Ноябрь</t>
        </is>
      </c>
      <c r="C9" s="43" t="inlineStr">
        <is>
          <t>Продукты</t>
        </is>
      </c>
      <c r="D9" s="43" t="inlineStr">
        <is>
          <t>🛒 Нужда</t>
        </is>
      </c>
      <c r="E9" s="43" t="inlineStr">
        <is>
          <t>Продукты на месяц</t>
        </is>
      </c>
      <c r="F9" s="42" t="inlineStr">
        <is>
          <t>🔥 Высокий</t>
        </is>
      </c>
      <c r="G9" s="44" t="n">
        <v>120000</v>
      </c>
      <c r="H9" s="45" t="n"/>
      <c r="I9" s="46">
        <f>IF(O9=1,SUMIFS(day_amt,day_year,A9,day_month,B9,day_item,C9),"")</f>
        <v/>
      </c>
      <c r="J9" s="47">
        <f>IF(H9&lt;&gt;"",H9,IF(N(I9)=0,"",I9))</f>
        <v/>
      </c>
      <c r="K9" s="48">
        <f>IF(OR(G9="",J9=""),"",G9-J9)</f>
        <v/>
      </c>
      <c r="L9" s="43" t="inlineStr">
        <is>
          <t>⏳ Запланировано</t>
        </is>
      </c>
      <c r="M9" s="43" t="n"/>
      <c r="N9" s="49">
        <f>IF(IFERROR(INDEX(lst_cat_wish,MATCH(D9,lst_cats,0))="Да",FALSE),MAX($N$4:N8)+1,"")</f>
        <v/>
      </c>
      <c r="O9" s="49">
        <f>IF(OR(A9="",B9="",C9="",L9="❌ Отменено"),0,IF(COUNTIFS($A$4:A8,A9,$B$4:B8,B9,$C$4:C8,C9,$L$4:L8,"&lt;&gt;❌ Отменено")=0,1,0))</f>
        <v/>
      </c>
    </row>
    <row r="10">
      <c r="A10" s="42" t="n">
        <v>2026</v>
      </c>
      <c r="B10" s="42" t="inlineStr">
        <is>
          <t>Ноябрь</t>
        </is>
      </c>
      <c r="C10" s="43" t="inlineStr">
        <is>
          <t>Аренда / ипотека</t>
        </is>
      </c>
      <c r="D10" s="43" t="inlineStr">
        <is>
          <t>🧾 Обязательный платёж</t>
        </is>
      </c>
      <c r="E10" s="43" t="inlineStr">
        <is>
          <t>Аренда квартиры</t>
        </is>
      </c>
      <c r="F10" s="42" t="inlineStr">
        <is>
          <t>🔥 Высокий</t>
        </is>
      </c>
      <c r="G10" s="44" t="n">
        <v>250000</v>
      </c>
      <c r="H10" s="45" t="n"/>
      <c r="I10" s="46">
        <f>IF(O10=1,SUMIFS(day_amt,day_year,A10,day_month,B10,day_item,C10),"")</f>
        <v/>
      </c>
      <c r="J10" s="47">
        <f>IF(H10&lt;&gt;"",H10,IF(N(I10)=0,"",I10))</f>
        <v/>
      </c>
      <c r="K10" s="48">
        <f>IF(OR(G10="",J10=""),"",G10-J10)</f>
        <v/>
      </c>
      <c r="L10" s="43" t="inlineStr">
        <is>
          <t>⏳ Запланировано</t>
        </is>
      </c>
      <c r="M10" s="43" t="n"/>
      <c r="N10" s="49">
        <f>IF(IFERROR(INDEX(lst_cat_wish,MATCH(D10,lst_cats,0))="Да",FALSE),MAX($N$4:N9)+1,"")</f>
        <v/>
      </c>
      <c r="O10" s="49">
        <f>IF(OR(A10="",B10="",C10="",L10="❌ Отменено"),0,IF(COUNTIFS($A$4:A9,A10,$B$4:B9,B10,$C$4:C9,C10,$L$4:L9,"&lt;&gt;❌ Отменено")=0,1,0))</f>
        <v/>
      </c>
    </row>
    <row r="11">
      <c r="A11" s="42" t="n">
        <v>2026</v>
      </c>
      <c r="B11" s="42" t="inlineStr">
        <is>
          <t>Декабрь</t>
        </is>
      </c>
      <c r="C11" s="43" t="inlineStr">
        <is>
          <t>Подарки</t>
        </is>
      </c>
      <c r="D11" s="43" t="inlineStr">
        <is>
          <t>🎁 Подарок</t>
        </is>
      </c>
      <c r="E11" s="43" t="inlineStr">
        <is>
          <t>Новогодние подарки семье</t>
        </is>
      </c>
      <c r="F11" s="42" t="inlineStr">
        <is>
          <t>⭐ Средний</t>
        </is>
      </c>
      <c r="G11" s="44" t="n">
        <v>80000</v>
      </c>
      <c r="H11" s="45" t="n"/>
      <c r="I11" s="46">
        <f>IF(O11=1,SUMIFS(day_amt,day_year,A11,day_month,B11,day_item,C11),"")</f>
        <v/>
      </c>
      <c r="J11" s="47">
        <f>IF(H11&lt;&gt;"",H11,IF(N(I11)=0,"",I11))</f>
        <v/>
      </c>
      <c r="K11" s="48">
        <f>IF(OR(G11="",J11=""),"",G11-J11)</f>
        <v/>
      </c>
      <c r="L11" s="43" t="inlineStr">
        <is>
          <t>⏳ Запланировано</t>
        </is>
      </c>
      <c r="M11" s="43" t="n"/>
      <c r="N11" s="49">
        <f>IF(IFERROR(INDEX(lst_cat_wish,MATCH(D11,lst_cats,0))="Да",FALSE),MAX($N$4:N10)+1,"")</f>
        <v/>
      </c>
      <c r="O11" s="49">
        <f>IF(OR(A11="",B11="",C11="",L11="❌ Отменено"),0,IF(COUNTIFS($A$4:A10,A11,$B$4:B10,B11,$C$4:C10,C11,$L$4:L10,"&lt;&gt;❌ Отменено")=0,1,0))</f>
        <v/>
      </c>
    </row>
    <row r="12">
      <c r="A12" s="42" t="n">
        <v>2027</v>
      </c>
      <c r="B12" s="42" t="inlineStr">
        <is>
          <t>Март</t>
        </is>
      </c>
      <c r="C12" s="43" t="inlineStr">
        <is>
          <t>Одежда</t>
        </is>
      </c>
      <c r="D12" s="43" t="inlineStr">
        <is>
          <t>💫 Желание</t>
        </is>
      </c>
      <c r="E12" s="43" t="inlineStr">
        <is>
          <t>Новое пальто</t>
        </is>
      </c>
      <c r="F12" s="42" t="inlineStr">
        <is>
          <t>💤 Низкий</t>
        </is>
      </c>
      <c r="G12" s="44" t="n">
        <v>90000</v>
      </c>
      <c r="H12" s="45" t="n"/>
      <c r="I12" s="46">
        <f>IF(O12=1,SUMIFS(day_amt,day_year,A12,day_month,B12,day_item,C12),"")</f>
        <v/>
      </c>
      <c r="J12" s="47">
        <f>IF(H12&lt;&gt;"",H12,IF(N(I12)=0,"",I12))</f>
        <v/>
      </c>
      <c r="K12" s="48">
        <f>IF(OR(G12="",J12=""),"",G12-J12)</f>
        <v/>
      </c>
      <c r="L12" s="43" t="inlineStr">
        <is>
          <t>⏳ Запланировано</t>
        </is>
      </c>
      <c r="M12" s="43" t="n"/>
      <c r="N12" s="49">
        <f>IF(IFERROR(INDEX(lst_cat_wish,MATCH(D12,lst_cats,0))="Да",FALSE),MAX($N$4:N11)+1,"")</f>
        <v/>
      </c>
      <c r="O12" s="49">
        <f>IF(OR(A12="",B12="",C12="",L12="❌ Отменено"),0,IF(COUNTIFS($A$4:A11,A12,$B$4:B11,B12,$C$4:C11,C12,$L$4:L11,"&lt;&gt;❌ Отменено")=0,1,0))</f>
        <v/>
      </c>
    </row>
    <row r="13">
      <c r="A13" s="42" t="n">
        <v>2027</v>
      </c>
      <c r="B13" s="42" t="inlineStr">
        <is>
          <t>Июль</t>
        </is>
      </c>
      <c r="C13" s="43" t="inlineStr">
        <is>
          <t>Путешествия</t>
        </is>
      </c>
      <c r="D13" s="43" t="inlineStr">
        <is>
          <t>🌟 Мечта</t>
        </is>
      </c>
      <c r="E13" s="43" t="inlineStr">
        <is>
          <t>Отпуск в Грузии</t>
        </is>
      </c>
      <c r="F13" s="42" t="inlineStr">
        <is>
          <t>🔥 Высокий</t>
        </is>
      </c>
      <c r="G13" s="44" t="n">
        <v>600000</v>
      </c>
      <c r="H13" s="45" t="n"/>
      <c r="I13" s="46">
        <f>IF(O13=1,SUMIFS(day_amt,day_year,A13,day_month,B13,day_item,C13),"")</f>
        <v/>
      </c>
      <c r="J13" s="47">
        <f>IF(H13&lt;&gt;"",H13,IF(N(I13)=0,"",I13))</f>
        <v/>
      </c>
      <c r="K13" s="48">
        <f>IF(OR(G13="",J13=""),"",G13-J13)</f>
        <v/>
      </c>
      <c r="L13" s="43" t="inlineStr">
        <is>
          <t>⏳ Запланировано</t>
        </is>
      </c>
      <c r="M13" s="43" t="n"/>
      <c r="N13" s="49">
        <f>IF(IFERROR(INDEX(lst_cat_wish,MATCH(D13,lst_cats,0))="Да",FALSE),MAX($N$4:N12)+1,"")</f>
        <v/>
      </c>
      <c r="O13" s="49">
        <f>IF(OR(A13="",B13="",C13="",L13="❌ Отменено"),0,IF(COUNTIFS($A$4:A12,A13,$B$4:B12,B13,$C$4:C12,C13,$L$4:L12,"&lt;&gt;❌ Отменено")=0,1,0))</f>
        <v/>
      </c>
    </row>
    <row r="14">
      <c r="A14" s="42" t="n">
        <v>2028</v>
      </c>
      <c r="B14" s="42" t="inlineStr">
        <is>
          <t>Май</t>
        </is>
      </c>
      <c r="C14" s="43" t="inlineStr">
        <is>
          <t>Курсы</t>
        </is>
      </c>
      <c r="D14" s="43" t="inlineStr">
        <is>
          <t>🎓 Образование</t>
        </is>
      </c>
      <c r="E14" s="43" t="inlineStr">
        <is>
          <t>Курс английского</t>
        </is>
      </c>
      <c r="F14" s="42" t="inlineStr">
        <is>
          <t>⭐ Средний</t>
        </is>
      </c>
      <c r="G14" s="44" t="n">
        <v>150000</v>
      </c>
      <c r="H14" s="45" t="n"/>
      <c r="I14" s="46">
        <f>IF(O14=1,SUMIFS(day_amt,day_year,A14,day_month,B14,day_item,C14),"")</f>
        <v/>
      </c>
      <c r="J14" s="47">
        <f>IF(H14&lt;&gt;"",H14,IF(N(I14)=0,"",I14))</f>
        <v/>
      </c>
      <c r="K14" s="48">
        <f>IF(OR(G14="",J14=""),"",G14-J14)</f>
        <v/>
      </c>
      <c r="L14" s="43" t="inlineStr">
        <is>
          <t>⏳ Запланировано</t>
        </is>
      </c>
      <c r="M14" s="43" t="n"/>
      <c r="N14" s="49">
        <f>IF(IFERROR(INDEX(lst_cat_wish,MATCH(D14,lst_cats,0))="Да",FALSE),MAX($N$4:N13)+1,"")</f>
        <v/>
      </c>
      <c r="O14" s="49">
        <f>IF(OR(A14="",B14="",C14="",L14="❌ Отменено"),0,IF(COUNTIFS($A$4:A13,A14,$B$4:B13,B14,$C$4:C13,C14,$L$4:L13,"&lt;&gt;❌ Отменено")=0,1,0))</f>
        <v/>
      </c>
    </row>
    <row r="15">
      <c r="A15" s="42" t="n"/>
      <c r="B15" s="42" t="n"/>
      <c r="C15" s="43" t="n"/>
      <c r="D15" s="43" t="n"/>
      <c r="E15" s="43" t="n"/>
      <c r="F15" s="42" t="n"/>
      <c r="G15" s="44" t="n"/>
      <c r="H15" s="45" t="n"/>
      <c r="I15" s="46">
        <f>IF(O15=1,SUMIFS(day_amt,day_year,A15,day_month,B15,day_item,C15),"")</f>
        <v/>
      </c>
      <c r="J15" s="47">
        <f>IF(H15&lt;&gt;"",H15,IF(N(I15)=0,"",I15))</f>
        <v/>
      </c>
      <c r="K15" s="48">
        <f>IF(OR(G15="",J15=""),"",G15-J15)</f>
        <v/>
      </c>
      <c r="L15" s="43" t="n"/>
      <c r="M15" s="43" t="n"/>
      <c r="N15" s="49">
        <f>IF(IFERROR(INDEX(lst_cat_wish,MATCH(D15,lst_cats,0))="Да",FALSE),MAX($N$4:N14)+1,"")</f>
        <v/>
      </c>
      <c r="O15" s="49">
        <f>IF(OR(A15="",B15="",C15="",L15="❌ Отменено"),0,IF(COUNTIFS($A$4:A14,A15,$B$4:B14,B15,$C$4:C14,C15,$L$4:L14,"&lt;&gt;❌ Отменено")=0,1,0))</f>
        <v/>
      </c>
    </row>
    <row r="16">
      <c r="A16" s="42" t="n"/>
      <c r="B16" s="42" t="n"/>
      <c r="C16" s="43" t="n"/>
      <c r="D16" s="43" t="n"/>
      <c r="E16" s="43" t="n"/>
      <c r="F16" s="42" t="n"/>
      <c r="G16" s="44" t="n"/>
      <c r="H16" s="45" t="n"/>
      <c r="I16" s="46">
        <f>IF(O16=1,SUMIFS(day_amt,day_year,A16,day_month,B16,day_item,C16),"")</f>
        <v/>
      </c>
      <c r="J16" s="47">
        <f>IF(H16&lt;&gt;"",H16,IF(N(I16)=0,"",I16))</f>
        <v/>
      </c>
      <c r="K16" s="48">
        <f>IF(OR(G16="",J16=""),"",G16-J16)</f>
        <v/>
      </c>
      <c r="L16" s="43" t="n"/>
      <c r="M16" s="43" t="n"/>
      <c r="N16" s="49">
        <f>IF(IFERROR(INDEX(lst_cat_wish,MATCH(D16,lst_cats,0))="Да",FALSE),MAX($N$4:N15)+1,"")</f>
        <v/>
      </c>
      <c r="O16" s="49">
        <f>IF(OR(A16="",B16="",C16="",L16="❌ Отменено"),0,IF(COUNTIFS($A$4:A15,A16,$B$4:B15,B16,$C$4:C15,C16,$L$4:L15,"&lt;&gt;❌ Отменено")=0,1,0))</f>
        <v/>
      </c>
    </row>
    <row r="17">
      <c r="A17" s="42" t="n"/>
      <c r="B17" s="42" t="n"/>
      <c r="C17" s="43" t="n"/>
      <c r="D17" s="43" t="n"/>
      <c r="E17" s="43" t="n"/>
      <c r="F17" s="42" t="n"/>
      <c r="G17" s="44" t="n"/>
      <c r="H17" s="45" t="n"/>
      <c r="I17" s="46">
        <f>IF(O17=1,SUMIFS(day_amt,day_year,A17,day_month,B17,day_item,C17),"")</f>
        <v/>
      </c>
      <c r="J17" s="47">
        <f>IF(H17&lt;&gt;"",H17,IF(N(I17)=0,"",I17))</f>
        <v/>
      </c>
      <c r="K17" s="48">
        <f>IF(OR(G17="",J17=""),"",G17-J17)</f>
        <v/>
      </c>
      <c r="L17" s="43" t="n"/>
      <c r="M17" s="43" t="n"/>
      <c r="N17" s="49">
        <f>IF(IFERROR(INDEX(lst_cat_wish,MATCH(D17,lst_cats,0))="Да",FALSE),MAX($N$4:N16)+1,"")</f>
        <v/>
      </c>
      <c r="O17" s="49">
        <f>IF(OR(A17="",B17="",C17="",L17="❌ Отменено"),0,IF(COUNTIFS($A$4:A16,A17,$B$4:B16,B17,$C$4:C16,C17,$L$4:L16,"&lt;&gt;❌ Отменено")=0,1,0))</f>
        <v/>
      </c>
    </row>
    <row r="18">
      <c r="A18" s="42" t="n"/>
      <c r="B18" s="42" t="n"/>
      <c r="C18" s="43" t="n"/>
      <c r="D18" s="43" t="n"/>
      <c r="E18" s="43" t="n"/>
      <c r="F18" s="42" t="n"/>
      <c r="G18" s="44" t="n"/>
      <c r="H18" s="45" t="n"/>
      <c r="I18" s="46">
        <f>IF(O18=1,SUMIFS(day_amt,day_year,A18,day_month,B18,day_item,C18),"")</f>
        <v/>
      </c>
      <c r="J18" s="47">
        <f>IF(H18&lt;&gt;"",H18,IF(N(I18)=0,"",I18))</f>
        <v/>
      </c>
      <c r="K18" s="48">
        <f>IF(OR(G18="",J18=""),"",G18-J18)</f>
        <v/>
      </c>
      <c r="L18" s="43" t="n"/>
      <c r="M18" s="43" t="n"/>
      <c r="N18" s="49">
        <f>IF(IFERROR(INDEX(lst_cat_wish,MATCH(D18,lst_cats,0))="Да",FALSE),MAX($N$4:N17)+1,"")</f>
        <v/>
      </c>
      <c r="O18" s="49">
        <f>IF(OR(A18="",B18="",C18="",L18="❌ Отменено"),0,IF(COUNTIFS($A$4:A17,A18,$B$4:B17,B18,$C$4:C17,C18,$L$4:L17,"&lt;&gt;❌ Отменено")=0,1,0))</f>
        <v/>
      </c>
    </row>
    <row r="19">
      <c r="A19" s="42" t="n"/>
      <c r="B19" s="42" t="n"/>
      <c r="C19" s="43" t="n"/>
      <c r="D19" s="43" t="n"/>
      <c r="E19" s="43" t="n"/>
      <c r="F19" s="42" t="n"/>
      <c r="G19" s="44" t="n"/>
      <c r="H19" s="45" t="n"/>
      <c r="I19" s="46">
        <f>IF(O19=1,SUMIFS(day_amt,day_year,A19,day_month,B19,day_item,C19),"")</f>
        <v/>
      </c>
      <c r="J19" s="47">
        <f>IF(H19&lt;&gt;"",H19,IF(N(I19)=0,"",I19))</f>
        <v/>
      </c>
      <c r="K19" s="48">
        <f>IF(OR(G19="",J19=""),"",G19-J19)</f>
        <v/>
      </c>
      <c r="L19" s="43" t="n"/>
      <c r="M19" s="43" t="n"/>
      <c r="N19" s="49">
        <f>IF(IFERROR(INDEX(lst_cat_wish,MATCH(D19,lst_cats,0))="Да",FALSE),MAX($N$4:N18)+1,"")</f>
        <v/>
      </c>
      <c r="O19" s="49">
        <f>IF(OR(A19="",B19="",C19="",L19="❌ Отменено"),0,IF(COUNTIFS($A$4:A18,A19,$B$4:B18,B19,$C$4:C18,C19,$L$4:L18,"&lt;&gt;❌ Отменено")=0,1,0))</f>
        <v/>
      </c>
    </row>
    <row r="20">
      <c r="A20" s="42" t="n"/>
      <c r="B20" s="42" t="n"/>
      <c r="C20" s="43" t="n"/>
      <c r="D20" s="43" t="n"/>
      <c r="E20" s="43" t="n"/>
      <c r="F20" s="42" t="n"/>
      <c r="G20" s="44" t="n"/>
      <c r="H20" s="45" t="n"/>
      <c r="I20" s="46">
        <f>IF(O20=1,SUMIFS(day_amt,day_year,A20,day_month,B20,day_item,C20),"")</f>
        <v/>
      </c>
      <c r="J20" s="47">
        <f>IF(H20&lt;&gt;"",H20,IF(N(I20)=0,"",I20))</f>
        <v/>
      </c>
      <c r="K20" s="48">
        <f>IF(OR(G20="",J20=""),"",G20-J20)</f>
        <v/>
      </c>
      <c r="L20" s="43" t="n"/>
      <c r="M20" s="43" t="n"/>
      <c r="N20" s="49">
        <f>IF(IFERROR(INDEX(lst_cat_wish,MATCH(D20,lst_cats,0))="Да",FALSE),MAX($N$4:N19)+1,"")</f>
        <v/>
      </c>
      <c r="O20" s="49">
        <f>IF(OR(A20="",B20="",C20="",L20="❌ Отменено"),0,IF(COUNTIFS($A$4:A19,A20,$B$4:B19,B20,$C$4:C19,C20,$L$4:L19,"&lt;&gt;❌ Отменено")=0,1,0))</f>
        <v/>
      </c>
    </row>
    <row r="21">
      <c r="A21" s="42" t="n"/>
      <c r="B21" s="42" t="n"/>
      <c r="C21" s="43" t="n"/>
      <c r="D21" s="43" t="n"/>
      <c r="E21" s="43" t="n"/>
      <c r="F21" s="42" t="n"/>
      <c r="G21" s="44" t="n"/>
      <c r="H21" s="45" t="n"/>
      <c r="I21" s="46">
        <f>IF(O21=1,SUMIFS(day_amt,day_year,A21,day_month,B21,day_item,C21),"")</f>
        <v/>
      </c>
      <c r="J21" s="47">
        <f>IF(H21&lt;&gt;"",H21,IF(N(I21)=0,"",I21))</f>
        <v/>
      </c>
      <c r="K21" s="48">
        <f>IF(OR(G21="",J21=""),"",G21-J21)</f>
        <v/>
      </c>
      <c r="L21" s="43" t="n"/>
      <c r="M21" s="43" t="n"/>
      <c r="N21" s="49">
        <f>IF(IFERROR(INDEX(lst_cat_wish,MATCH(D21,lst_cats,0))="Да",FALSE),MAX($N$4:N20)+1,"")</f>
        <v/>
      </c>
      <c r="O21" s="49">
        <f>IF(OR(A21="",B21="",C21="",L21="❌ Отменено"),0,IF(COUNTIFS($A$4:A20,A21,$B$4:B20,B21,$C$4:C20,C21,$L$4:L20,"&lt;&gt;❌ Отменено")=0,1,0))</f>
        <v/>
      </c>
    </row>
    <row r="22">
      <c r="A22" s="42" t="n"/>
      <c r="B22" s="42" t="n"/>
      <c r="C22" s="43" t="n"/>
      <c r="D22" s="43" t="n"/>
      <c r="E22" s="43" t="n"/>
      <c r="F22" s="42" t="n"/>
      <c r="G22" s="44" t="n"/>
      <c r="H22" s="45" t="n"/>
      <c r="I22" s="46">
        <f>IF(O22=1,SUMIFS(day_amt,day_year,A22,day_month,B22,day_item,C22),"")</f>
        <v/>
      </c>
      <c r="J22" s="47">
        <f>IF(H22&lt;&gt;"",H22,IF(N(I22)=0,"",I22))</f>
        <v/>
      </c>
      <c r="K22" s="48">
        <f>IF(OR(G22="",J22=""),"",G22-J22)</f>
        <v/>
      </c>
      <c r="L22" s="43" t="n"/>
      <c r="M22" s="43" t="n"/>
      <c r="N22" s="49">
        <f>IF(IFERROR(INDEX(lst_cat_wish,MATCH(D22,lst_cats,0))="Да",FALSE),MAX($N$4:N21)+1,"")</f>
        <v/>
      </c>
      <c r="O22" s="49">
        <f>IF(OR(A22="",B22="",C22="",L22="❌ Отменено"),0,IF(COUNTIFS($A$4:A21,A22,$B$4:B21,B22,$C$4:C21,C22,$L$4:L21,"&lt;&gt;❌ Отменено")=0,1,0))</f>
        <v/>
      </c>
    </row>
    <row r="23">
      <c r="A23" s="42" t="n"/>
      <c r="B23" s="42" t="n"/>
      <c r="C23" s="43" t="n"/>
      <c r="D23" s="43" t="n"/>
      <c r="E23" s="43" t="n"/>
      <c r="F23" s="42" t="n"/>
      <c r="G23" s="44" t="n"/>
      <c r="H23" s="45" t="n"/>
      <c r="I23" s="46">
        <f>IF(O23=1,SUMIFS(day_amt,day_year,A23,day_month,B23,day_item,C23),"")</f>
        <v/>
      </c>
      <c r="J23" s="47">
        <f>IF(H23&lt;&gt;"",H23,IF(N(I23)=0,"",I23))</f>
        <v/>
      </c>
      <c r="K23" s="48">
        <f>IF(OR(G23="",J23=""),"",G23-J23)</f>
        <v/>
      </c>
      <c r="L23" s="43" t="n"/>
      <c r="M23" s="43" t="n"/>
      <c r="N23" s="49">
        <f>IF(IFERROR(INDEX(lst_cat_wish,MATCH(D23,lst_cats,0))="Да",FALSE),MAX($N$4:N22)+1,"")</f>
        <v/>
      </c>
      <c r="O23" s="49">
        <f>IF(OR(A23="",B23="",C23="",L23="❌ Отменено"),0,IF(COUNTIFS($A$4:A22,A23,$B$4:B22,B23,$C$4:C22,C23,$L$4:L22,"&lt;&gt;❌ Отменено")=0,1,0))</f>
        <v/>
      </c>
    </row>
    <row r="24">
      <c r="A24" s="42" t="n"/>
      <c r="B24" s="42" t="n"/>
      <c r="C24" s="43" t="n"/>
      <c r="D24" s="43" t="n"/>
      <c r="E24" s="43" t="n"/>
      <c r="F24" s="42" t="n"/>
      <c r="G24" s="44" t="n"/>
      <c r="H24" s="45" t="n"/>
      <c r="I24" s="46">
        <f>IF(O24=1,SUMIFS(day_amt,day_year,A24,day_month,B24,day_item,C24),"")</f>
        <v/>
      </c>
      <c r="J24" s="47">
        <f>IF(H24&lt;&gt;"",H24,IF(N(I24)=0,"",I24))</f>
        <v/>
      </c>
      <c r="K24" s="48">
        <f>IF(OR(G24="",J24=""),"",G24-J24)</f>
        <v/>
      </c>
      <c r="L24" s="43" t="n"/>
      <c r="M24" s="43" t="n"/>
      <c r="N24" s="49">
        <f>IF(IFERROR(INDEX(lst_cat_wish,MATCH(D24,lst_cats,0))="Да",FALSE),MAX($N$4:N23)+1,"")</f>
        <v/>
      </c>
      <c r="O24" s="49">
        <f>IF(OR(A24="",B24="",C24="",L24="❌ Отменено"),0,IF(COUNTIFS($A$4:A23,A24,$B$4:B23,B24,$C$4:C23,C24,$L$4:L23,"&lt;&gt;❌ Отменено")=0,1,0))</f>
        <v/>
      </c>
    </row>
    <row r="25">
      <c r="A25" s="42" t="n"/>
      <c r="B25" s="42" t="n"/>
      <c r="C25" s="43" t="n"/>
      <c r="D25" s="43" t="n"/>
      <c r="E25" s="43" t="n"/>
      <c r="F25" s="42" t="n"/>
      <c r="G25" s="44" t="n"/>
      <c r="H25" s="45" t="n"/>
      <c r="I25" s="46">
        <f>IF(O25=1,SUMIFS(day_amt,day_year,A25,day_month,B25,day_item,C25),"")</f>
        <v/>
      </c>
      <c r="J25" s="47">
        <f>IF(H25&lt;&gt;"",H25,IF(N(I25)=0,"",I25))</f>
        <v/>
      </c>
      <c r="K25" s="48">
        <f>IF(OR(G25="",J25=""),"",G25-J25)</f>
        <v/>
      </c>
      <c r="L25" s="43" t="n"/>
      <c r="M25" s="43" t="n"/>
      <c r="N25" s="49">
        <f>IF(IFERROR(INDEX(lst_cat_wish,MATCH(D25,lst_cats,0))="Да",FALSE),MAX($N$4:N24)+1,"")</f>
        <v/>
      </c>
      <c r="O25" s="49">
        <f>IF(OR(A25="",B25="",C25="",L25="❌ Отменено"),0,IF(COUNTIFS($A$4:A24,A25,$B$4:B24,B25,$C$4:C24,C25,$L$4:L24,"&lt;&gt;❌ Отменено")=0,1,0))</f>
        <v/>
      </c>
    </row>
    <row r="26">
      <c r="A26" s="42" t="n"/>
      <c r="B26" s="42" t="n"/>
      <c r="C26" s="43" t="n"/>
      <c r="D26" s="43" t="n"/>
      <c r="E26" s="43" t="n"/>
      <c r="F26" s="42" t="n"/>
      <c r="G26" s="44" t="n"/>
      <c r="H26" s="45" t="n"/>
      <c r="I26" s="46">
        <f>IF(O26=1,SUMIFS(day_amt,day_year,A26,day_month,B26,day_item,C26),"")</f>
        <v/>
      </c>
      <c r="J26" s="47">
        <f>IF(H26&lt;&gt;"",H26,IF(N(I26)=0,"",I26))</f>
        <v/>
      </c>
      <c r="K26" s="48">
        <f>IF(OR(G26="",J26=""),"",G26-J26)</f>
        <v/>
      </c>
      <c r="L26" s="43" t="n"/>
      <c r="M26" s="43" t="n"/>
      <c r="N26" s="49">
        <f>IF(IFERROR(INDEX(lst_cat_wish,MATCH(D26,lst_cats,0))="Да",FALSE),MAX($N$4:N25)+1,"")</f>
        <v/>
      </c>
      <c r="O26" s="49">
        <f>IF(OR(A26="",B26="",C26="",L26="❌ Отменено"),0,IF(COUNTIFS($A$4:A25,A26,$B$4:B25,B26,$C$4:C25,C26,$L$4:L25,"&lt;&gt;❌ Отменено")=0,1,0))</f>
        <v/>
      </c>
    </row>
    <row r="27">
      <c r="A27" s="42" t="n"/>
      <c r="B27" s="42" t="n"/>
      <c r="C27" s="43" t="n"/>
      <c r="D27" s="43" t="n"/>
      <c r="E27" s="43" t="n"/>
      <c r="F27" s="42" t="n"/>
      <c r="G27" s="44" t="n"/>
      <c r="H27" s="45" t="n"/>
      <c r="I27" s="46">
        <f>IF(O27=1,SUMIFS(day_amt,day_year,A27,day_month,B27,day_item,C27),"")</f>
        <v/>
      </c>
      <c r="J27" s="47">
        <f>IF(H27&lt;&gt;"",H27,IF(N(I27)=0,"",I27))</f>
        <v/>
      </c>
      <c r="K27" s="48">
        <f>IF(OR(G27="",J27=""),"",G27-J27)</f>
        <v/>
      </c>
      <c r="L27" s="43" t="n"/>
      <c r="M27" s="43" t="n"/>
      <c r="N27" s="49">
        <f>IF(IFERROR(INDEX(lst_cat_wish,MATCH(D27,lst_cats,0))="Да",FALSE),MAX($N$4:N26)+1,"")</f>
        <v/>
      </c>
      <c r="O27" s="49">
        <f>IF(OR(A27="",B27="",C27="",L27="❌ Отменено"),0,IF(COUNTIFS($A$4:A26,A27,$B$4:B26,B27,$C$4:C26,C27,$L$4:L26,"&lt;&gt;❌ Отменено")=0,1,0))</f>
        <v/>
      </c>
    </row>
    <row r="28">
      <c r="A28" s="42" t="n"/>
      <c r="B28" s="42" t="n"/>
      <c r="C28" s="43" t="n"/>
      <c r="D28" s="43" t="n"/>
      <c r="E28" s="43" t="n"/>
      <c r="F28" s="42" t="n"/>
      <c r="G28" s="44" t="n"/>
      <c r="H28" s="45" t="n"/>
      <c r="I28" s="46">
        <f>IF(O28=1,SUMIFS(day_amt,day_year,A28,day_month,B28,day_item,C28),"")</f>
        <v/>
      </c>
      <c r="J28" s="47">
        <f>IF(H28&lt;&gt;"",H28,IF(N(I28)=0,"",I28))</f>
        <v/>
      </c>
      <c r="K28" s="48">
        <f>IF(OR(G28="",J28=""),"",G28-J28)</f>
        <v/>
      </c>
      <c r="L28" s="43" t="n"/>
      <c r="M28" s="43" t="n"/>
      <c r="N28" s="49">
        <f>IF(IFERROR(INDEX(lst_cat_wish,MATCH(D28,lst_cats,0))="Да",FALSE),MAX($N$4:N27)+1,"")</f>
        <v/>
      </c>
      <c r="O28" s="49">
        <f>IF(OR(A28="",B28="",C28="",L28="❌ Отменено"),0,IF(COUNTIFS($A$4:A27,A28,$B$4:B27,B28,$C$4:C27,C28,$L$4:L27,"&lt;&gt;❌ Отменено")=0,1,0))</f>
        <v/>
      </c>
    </row>
    <row r="29">
      <c r="A29" s="42" t="n"/>
      <c r="B29" s="42" t="n"/>
      <c r="C29" s="43" t="n"/>
      <c r="D29" s="43" t="n"/>
      <c r="E29" s="43" t="n"/>
      <c r="F29" s="42" t="n"/>
      <c r="G29" s="44" t="n"/>
      <c r="H29" s="45" t="n"/>
      <c r="I29" s="46">
        <f>IF(O29=1,SUMIFS(day_amt,day_year,A29,day_month,B29,day_item,C29),"")</f>
        <v/>
      </c>
      <c r="J29" s="47">
        <f>IF(H29&lt;&gt;"",H29,IF(N(I29)=0,"",I29))</f>
        <v/>
      </c>
      <c r="K29" s="48">
        <f>IF(OR(G29="",J29=""),"",G29-J29)</f>
        <v/>
      </c>
      <c r="L29" s="43" t="n"/>
      <c r="M29" s="43" t="n"/>
      <c r="N29" s="49">
        <f>IF(IFERROR(INDEX(lst_cat_wish,MATCH(D29,lst_cats,0))="Да",FALSE),MAX($N$4:N28)+1,"")</f>
        <v/>
      </c>
      <c r="O29" s="49">
        <f>IF(OR(A29="",B29="",C29="",L29="❌ Отменено"),0,IF(COUNTIFS($A$4:A28,A29,$B$4:B28,B29,$C$4:C28,C29,$L$4:L28,"&lt;&gt;❌ Отменено")=0,1,0))</f>
        <v/>
      </c>
    </row>
    <row r="30">
      <c r="A30" s="42" t="n"/>
      <c r="B30" s="42" t="n"/>
      <c r="C30" s="43" t="n"/>
      <c r="D30" s="43" t="n"/>
      <c r="E30" s="43" t="n"/>
      <c r="F30" s="42" t="n"/>
      <c r="G30" s="44" t="n"/>
      <c r="H30" s="45" t="n"/>
      <c r="I30" s="46">
        <f>IF(O30=1,SUMIFS(day_amt,day_year,A30,day_month,B30,day_item,C30),"")</f>
        <v/>
      </c>
      <c r="J30" s="47">
        <f>IF(H30&lt;&gt;"",H30,IF(N(I30)=0,"",I30))</f>
        <v/>
      </c>
      <c r="K30" s="48">
        <f>IF(OR(G30="",J30=""),"",G30-J30)</f>
        <v/>
      </c>
      <c r="L30" s="43" t="n"/>
      <c r="M30" s="43" t="n"/>
      <c r="N30" s="49">
        <f>IF(IFERROR(INDEX(lst_cat_wish,MATCH(D30,lst_cats,0))="Да",FALSE),MAX($N$4:N29)+1,"")</f>
        <v/>
      </c>
      <c r="O30" s="49">
        <f>IF(OR(A30="",B30="",C30="",L30="❌ Отменено"),0,IF(COUNTIFS($A$4:A29,A30,$B$4:B29,B30,$C$4:C29,C30,$L$4:L29,"&lt;&gt;❌ Отменено")=0,1,0))</f>
        <v/>
      </c>
    </row>
    <row r="31">
      <c r="A31" s="42" t="n"/>
      <c r="B31" s="42" t="n"/>
      <c r="C31" s="43" t="n"/>
      <c r="D31" s="43" t="n"/>
      <c r="E31" s="43" t="n"/>
      <c r="F31" s="42" t="n"/>
      <c r="G31" s="44" t="n"/>
      <c r="H31" s="45" t="n"/>
      <c r="I31" s="46">
        <f>IF(O31=1,SUMIFS(day_amt,day_year,A31,day_month,B31,day_item,C31),"")</f>
        <v/>
      </c>
      <c r="J31" s="47">
        <f>IF(H31&lt;&gt;"",H31,IF(N(I31)=0,"",I31))</f>
        <v/>
      </c>
      <c r="K31" s="48">
        <f>IF(OR(G31="",J31=""),"",G31-J31)</f>
        <v/>
      </c>
      <c r="L31" s="43" t="n"/>
      <c r="M31" s="43" t="n"/>
      <c r="N31" s="49">
        <f>IF(IFERROR(INDEX(lst_cat_wish,MATCH(D31,lst_cats,0))="Да",FALSE),MAX($N$4:N30)+1,"")</f>
        <v/>
      </c>
      <c r="O31" s="49">
        <f>IF(OR(A31="",B31="",C31="",L31="❌ Отменено"),0,IF(COUNTIFS($A$4:A30,A31,$B$4:B30,B31,$C$4:C30,C31,$L$4:L30,"&lt;&gt;❌ Отменено")=0,1,0))</f>
        <v/>
      </c>
    </row>
    <row r="32">
      <c r="A32" s="42" t="n"/>
      <c r="B32" s="42" t="n"/>
      <c r="C32" s="43" t="n"/>
      <c r="D32" s="43" t="n"/>
      <c r="E32" s="43" t="n"/>
      <c r="F32" s="42" t="n"/>
      <c r="G32" s="44" t="n"/>
      <c r="H32" s="45" t="n"/>
      <c r="I32" s="46">
        <f>IF(O32=1,SUMIFS(day_amt,day_year,A32,day_month,B32,day_item,C32),"")</f>
        <v/>
      </c>
      <c r="J32" s="47">
        <f>IF(H32&lt;&gt;"",H32,IF(N(I32)=0,"",I32))</f>
        <v/>
      </c>
      <c r="K32" s="48">
        <f>IF(OR(G32="",J32=""),"",G32-J32)</f>
        <v/>
      </c>
      <c r="L32" s="43" t="n"/>
      <c r="M32" s="43" t="n"/>
      <c r="N32" s="49">
        <f>IF(IFERROR(INDEX(lst_cat_wish,MATCH(D32,lst_cats,0))="Да",FALSE),MAX($N$4:N31)+1,"")</f>
        <v/>
      </c>
      <c r="O32" s="49">
        <f>IF(OR(A32="",B32="",C32="",L32="❌ Отменено"),0,IF(COUNTIFS($A$4:A31,A32,$B$4:B31,B32,$C$4:C31,C32,$L$4:L31,"&lt;&gt;❌ Отменено")=0,1,0))</f>
        <v/>
      </c>
    </row>
    <row r="33">
      <c r="A33" s="42" t="n"/>
      <c r="B33" s="42" t="n"/>
      <c r="C33" s="43" t="n"/>
      <c r="D33" s="43" t="n"/>
      <c r="E33" s="43" t="n"/>
      <c r="F33" s="42" t="n"/>
      <c r="G33" s="44" t="n"/>
      <c r="H33" s="45" t="n"/>
      <c r="I33" s="46">
        <f>IF(O33=1,SUMIFS(day_amt,day_year,A33,day_month,B33,day_item,C33),"")</f>
        <v/>
      </c>
      <c r="J33" s="47">
        <f>IF(H33&lt;&gt;"",H33,IF(N(I33)=0,"",I33))</f>
        <v/>
      </c>
      <c r="K33" s="48">
        <f>IF(OR(G33="",J33=""),"",G33-J33)</f>
        <v/>
      </c>
      <c r="L33" s="43" t="n"/>
      <c r="M33" s="43" t="n"/>
      <c r="N33" s="49">
        <f>IF(IFERROR(INDEX(lst_cat_wish,MATCH(D33,lst_cats,0))="Да",FALSE),MAX($N$4:N32)+1,"")</f>
        <v/>
      </c>
      <c r="O33" s="49">
        <f>IF(OR(A33="",B33="",C33="",L33="❌ Отменено"),0,IF(COUNTIFS($A$4:A32,A33,$B$4:B32,B33,$C$4:C32,C33,$L$4:L32,"&lt;&gt;❌ Отменено")=0,1,0))</f>
        <v/>
      </c>
    </row>
    <row r="34">
      <c r="A34" s="42" t="n"/>
      <c r="B34" s="42" t="n"/>
      <c r="C34" s="43" t="n"/>
      <c r="D34" s="43" t="n"/>
      <c r="E34" s="43" t="n"/>
      <c r="F34" s="42" t="n"/>
      <c r="G34" s="44" t="n"/>
      <c r="H34" s="45" t="n"/>
      <c r="I34" s="46">
        <f>IF(O34=1,SUMIFS(day_amt,day_year,A34,day_month,B34,day_item,C34),"")</f>
        <v/>
      </c>
      <c r="J34" s="47">
        <f>IF(H34&lt;&gt;"",H34,IF(N(I34)=0,"",I34))</f>
        <v/>
      </c>
      <c r="K34" s="48">
        <f>IF(OR(G34="",J34=""),"",G34-J34)</f>
        <v/>
      </c>
      <c r="L34" s="43" t="n"/>
      <c r="M34" s="43" t="n"/>
      <c r="N34" s="49">
        <f>IF(IFERROR(INDEX(lst_cat_wish,MATCH(D34,lst_cats,0))="Да",FALSE),MAX($N$4:N33)+1,"")</f>
        <v/>
      </c>
      <c r="O34" s="49">
        <f>IF(OR(A34="",B34="",C34="",L34="❌ Отменено"),0,IF(COUNTIFS($A$4:A33,A34,$B$4:B33,B34,$C$4:C33,C34,$L$4:L33,"&lt;&gt;❌ Отменено")=0,1,0))</f>
        <v/>
      </c>
    </row>
    <row r="35">
      <c r="A35" s="42" t="n"/>
      <c r="B35" s="42" t="n"/>
      <c r="C35" s="43" t="n"/>
      <c r="D35" s="43" t="n"/>
      <c r="E35" s="43" t="n"/>
      <c r="F35" s="42" t="n"/>
      <c r="G35" s="44" t="n"/>
      <c r="H35" s="45" t="n"/>
      <c r="I35" s="46">
        <f>IF(O35=1,SUMIFS(day_amt,day_year,A35,day_month,B35,day_item,C35),"")</f>
        <v/>
      </c>
      <c r="J35" s="47">
        <f>IF(H35&lt;&gt;"",H35,IF(N(I35)=0,"",I35))</f>
        <v/>
      </c>
      <c r="K35" s="48">
        <f>IF(OR(G35="",J35=""),"",G35-J35)</f>
        <v/>
      </c>
      <c r="L35" s="43" t="n"/>
      <c r="M35" s="43" t="n"/>
      <c r="N35" s="49">
        <f>IF(IFERROR(INDEX(lst_cat_wish,MATCH(D35,lst_cats,0))="Да",FALSE),MAX($N$4:N34)+1,"")</f>
        <v/>
      </c>
      <c r="O35" s="49">
        <f>IF(OR(A35="",B35="",C35="",L35="❌ Отменено"),0,IF(COUNTIFS($A$4:A34,A35,$B$4:B34,B35,$C$4:C34,C35,$L$4:L34,"&lt;&gt;❌ Отменено")=0,1,0))</f>
        <v/>
      </c>
    </row>
    <row r="36">
      <c r="A36" s="42" t="n"/>
      <c r="B36" s="42" t="n"/>
      <c r="C36" s="43" t="n"/>
      <c r="D36" s="43" t="n"/>
      <c r="E36" s="43" t="n"/>
      <c r="F36" s="42" t="n"/>
      <c r="G36" s="44" t="n"/>
      <c r="H36" s="45" t="n"/>
      <c r="I36" s="46">
        <f>IF(O36=1,SUMIFS(day_amt,day_year,A36,day_month,B36,day_item,C36),"")</f>
        <v/>
      </c>
      <c r="J36" s="47">
        <f>IF(H36&lt;&gt;"",H36,IF(N(I36)=0,"",I36))</f>
        <v/>
      </c>
      <c r="K36" s="48">
        <f>IF(OR(G36="",J36=""),"",G36-J36)</f>
        <v/>
      </c>
      <c r="L36" s="43" t="n"/>
      <c r="M36" s="43" t="n"/>
      <c r="N36" s="49">
        <f>IF(IFERROR(INDEX(lst_cat_wish,MATCH(D36,lst_cats,0))="Да",FALSE),MAX($N$4:N35)+1,"")</f>
        <v/>
      </c>
      <c r="O36" s="49">
        <f>IF(OR(A36="",B36="",C36="",L36="❌ Отменено"),0,IF(COUNTIFS($A$4:A35,A36,$B$4:B35,B36,$C$4:C35,C36,$L$4:L35,"&lt;&gt;❌ Отменено")=0,1,0))</f>
        <v/>
      </c>
    </row>
    <row r="37">
      <c r="A37" s="42" t="n"/>
      <c r="B37" s="42" t="n"/>
      <c r="C37" s="43" t="n"/>
      <c r="D37" s="43" t="n"/>
      <c r="E37" s="43" t="n"/>
      <c r="F37" s="42" t="n"/>
      <c r="G37" s="44" t="n"/>
      <c r="H37" s="45" t="n"/>
      <c r="I37" s="46">
        <f>IF(O37=1,SUMIFS(day_amt,day_year,A37,day_month,B37,day_item,C37),"")</f>
        <v/>
      </c>
      <c r="J37" s="47">
        <f>IF(H37&lt;&gt;"",H37,IF(N(I37)=0,"",I37))</f>
        <v/>
      </c>
      <c r="K37" s="48">
        <f>IF(OR(G37="",J37=""),"",G37-J37)</f>
        <v/>
      </c>
      <c r="L37" s="43" t="n"/>
      <c r="M37" s="43" t="n"/>
      <c r="N37" s="49">
        <f>IF(IFERROR(INDEX(lst_cat_wish,MATCH(D37,lst_cats,0))="Да",FALSE),MAX($N$4:N36)+1,"")</f>
        <v/>
      </c>
      <c r="O37" s="49">
        <f>IF(OR(A37="",B37="",C37="",L37="❌ Отменено"),0,IF(COUNTIFS($A$4:A36,A37,$B$4:B36,B37,$C$4:C36,C37,$L$4:L36,"&lt;&gt;❌ Отменено")=0,1,0))</f>
        <v/>
      </c>
    </row>
    <row r="38">
      <c r="A38" s="42" t="n"/>
      <c r="B38" s="42" t="n"/>
      <c r="C38" s="43" t="n"/>
      <c r="D38" s="43" t="n"/>
      <c r="E38" s="43" t="n"/>
      <c r="F38" s="42" t="n"/>
      <c r="G38" s="44" t="n"/>
      <c r="H38" s="45" t="n"/>
      <c r="I38" s="46">
        <f>IF(O38=1,SUMIFS(day_amt,day_year,A38,day_month,B38,day_item,C38),"")</f>
        <v/>
      </c>
      <c r="J38" s="47">
        <f>IF(H38&lt;&gt;"",H38,IF(N(I38)=0,"",I38))</f>
        <v/>
      </c>
      <c r="K38" s="48">
        <f>IF(OR(G38="",J38=""),"",G38-J38)</f>
        <v/>
      </c>
      <c r="L38" s="43" t="n"/>
      <c r="M38" s="43" t="n"/>
      <c r="N38" s="49">
        <f>IF(IFERROR(INDEX(lst_cat_wish,MATCH(D38,lst_cats,0))="Да",FALSE),MAX($N$4:N37)+1,"")</f>
        <v/>
      </c>
      <c r="O38" s="49">
        <f>IF(OR(A38="",B38="",C38="",L38="❌ Отменено"),0,IF(COUNTIFS($A$4:A37,A38,$B$4:B37,B38,$C$4:C37,C38,$L$4:L37,"&lt;&gt;❌ Отменено")=0,1,0))</f>
        <v/>
      </c>
    </row>
    <row r="39">
      <c r="A39" s="42" t="n"/>
      <c r="B39" s="42" t="n"/>
      <c r="C39" s="43" t="n"/>
      <c r="D39" s="43" t="n"/>
      <c r="E39" s="43" t="n"/>
      <c r="F39" s="42" t="n"/>
      <c r="G39" s="44" t="n"/>
      <c r="H39" s="45" t="n"/>
      <c r="I39" s="46">
        <f>IF(O39=1,SUMIFS(day_amt,day_year,A39,day_month,B39,day_item,C39),"")</f>
        <v/>
      </c>
      <c r="J39" s="47">
        <f>IF(H39&lt;&gt;"",H39,IF(N(I39)=0,"",I39))</f>
        <v/>
      </c>
      <c r="K39" s="48">
        <f>IF(OR(G39="",J39=""),"",G39-J39)</f>
        <v/>
      </c>
      <c r="L39" s="43" t="n"/>
      <c r="M39" s="43" t="n"/>
      <c r="N39" s="49">
        <f>IF(IFERROR(INDEX(lst_cat_wish,MATCH(D39,lst_cats,0))="Да",FALSE),MAX($N$4:N38)+1,"")</f>
        <v/>
      </c>
      <c r="O39" s="49">
        <f>IF(OR(A39="",B39="",C39="",L39="❌ Отменено"),0,IF(COUNTIFS($A$4:A38,A39,$B$4:B38,B39,$C$4:C38,C39,$L$4:L38,"&lt;&gt;❌ Отменено")=0,1,0))</f>
        <v/>
      </c>
    </row>
    <row r="40">
      <c r="A40" s="42" t="n"/>
      <c r="B40" s="42" t="n"/>
      <c r="C40" s="43" t="n"/>
      <c r="D40" s="43" t="n"/>
      <c r="E40" s="43" t="n"/>
      <c r="F40" s="42" t="n"/>
      <c r="G40" s="44" t="n"/>
      <c r="H40" s="45" t="n"/>
      <c r="I40" s="46">
        <f>IF(O40=1,SUMIFS(day_amt,day_year,A40,day_month,B40,day_item,C40),"")</f>
        <v/>
      </c>
      <c r="J40" s="47">
        <f>IF(H40&lt;&gt;"",H40,IF(N(I40)=0,"",I40))</f>
        <v/>
      </c>
      <c r="K40" s="48">
        <f>IF(OR(G40="",J40=""),"",G40-J40)</f>
        <v/>
      </c>
      <c r="L40" s="43" t="n"/>
      <c r="M40" s="43" t="n"/>
      <c r="N40" s="49">
        <f>IF(IFERROR(INDEX(lst_cat_wish,MATCH(D40,lst_cats,0))="Да",FALSE),MAX($N$4:N39)+1,"")</f>
        <v/>
      </c>
      <c r="O40" s="49">
        <f>IF(OR(A40="",B40="",C40="",L40="❌ Отменено"),0,IF(COUNTIFS($A$4:A39,A40,$B$4:B39,B40,$C$4:C39,C40,$L$4:L39,"&lt;&gt;❌ Отменено")=0,1,0))</f>
        <v/>
      </c>
    </row>
    <row r="41">
      <c r="A41" s="42" t="n"/>
      <c r="B41" s="42" t="n"/>
      <c r="C41" s="43" t="n"/>
      <c r="D41" s="43" t="n"/>
      <c r="E41" s="43" t="n"/>
      <c r="F41" s="42" t="n"/>
      <c r="G41" s="44" t="n"/>
      <c r="H41" s="45" t="n"/>
      <c r="I41" s="46">
        <f>IF(O41=1,SUMIFS(day_amt,day_year,A41,day_month,B41,day_item,C41),"")</f>
        <v/>
      </c>
      <c r="J41" s="47">
        <f>IF(H41&lt;&gt;"",H41,IF(N(I41)=0,"",I41))</f>
        <v/>
      </c>
      <c r="K41" s="48">
        <f>IF(OR(G41="",J41=""),"",G41-J41)</f>
        <v/>
      </c>
      <c r="L41" s="43" t="n"/>
      <c r="M41" s="43" t="n"/>
      <c r="N41" s="49">
        <f>IF(IFERROR(INDEX(lst_cat_wish,MATCH(D41,lst_cats,0))="Да",FALSE),MAX($N$4:N40)+1,"")</f>
        <v/>
      </c>
      <c r="O41" s="49">
        <f>IF(OR(A41="",B41="",C41="",L41="❌ Отменено"),0,IF(COUNTIFS($A$4:A40,A41,$B$4:B40,B41,$C$4:C40,C41,$L$4:L40,"&lt;&gt;❌ Отменено")=0,1,0))</f>
        <v/>
      </c>
    </row>
    <row r="42">
      <c r="A42" s="42" t="n"/>
      <c r="B42" s="42" t="n"/>
      <c r="C42" s="43" t="n"/>
      <c r="D42" s="43" t="n"/>
      <c r="E42" s="43" t="n"/>
      <c r="F42" s="42" t="n"/>
      <c r="G42" s="44" t="n"/>
      <c r="H42" s="45" t="n"/>
      <c r="I42" s="46">
        <f>IF(O42=1,SUMIFS(day_amt,day_year,A42,day_month,B42,day_item,C42),"")</f>
        <v/>
      </c>
      <c r="J42" s="47">
        <f>IF(H42&lt;&gt;"",H42,IF(N(I42)=0,"",I42))</f>
        <v/>
      </c>
      <c r="K42" s="48">
        <f>IF(OR(G42="",J42=""),"",G42-J42)</f>
        <v/>
      </c>
      <c r="L42" s="43" t="n"/>
      <c r="M42" s="43" t="n"/>
      <c r="N42" s="49">
        <f>IF(IFERROR(INDEX(lst_cat_wish,MATCH(D42,lst_cats,0))="Да",FALSE),MAX($N$4:N41)+1,"")</f>
        <v/>
      </c>
      <c r="O42" s="49">
        <f>IF(OR(A42="",B42="",C42="",L42="❌ Отменено"),0,IF(COUNTIFS($A$4:A41,A42,$B$4:B41,B42,$C$4:C41,C42,$L$4:L41,"&lt;&gt;❌ Отменено")=0,1,0))</f>
        <v/>
      </c>
    </row>
    <row r="43">
      <c r="A43" s="42" t="n"/>
      <c r="B43" s="42" t="n"/>
      <c r="C43" s="43" t="n"/>
      <c r="D43" s="43" t="n"/>
      <c r="E43" s="43" t="n"/>
      <c r="F43" s="42" t="n"/>
      <c r="G43" s="44" t="n"/>
      <c r="H43" s="45" t="n"/>
      <c r="I43" s="46">
        <f>IF(O43=1,SUMIFS(day_amt,day_year,A43,day_month,B43,day_item,C43),"")</f>
        <v/>
      </c>
      <c r="J43" s="47">
        <f>IF(H43&lt;&gt;"",H43,IF(N(I43)=0,"",I43))</f>
        <v/>
      </c>
      <c r="K43" s="48">
        <f>IF(OR(G43="",J43=""),"",G43-J43)</f>
        <v/>
      </c>
      <c r="L43" s="43" t="n"/>
      <c r="M43" s="43" t="n"/>
      <c r="N43" s="49">
        <f>IF(IFERROR(INDEX(lst_cat_wish,MATCH(D43,lst_cats,0))="Да",FALSE),MAX($N$4:N42)+1,"")</f>
        <v/>
      </c>
      <c r="O43" s="49">
        <f>IF(OR(A43="",B43="",C43="",L43="❌ Отменено"),0,IF(COUNTIFS($A$4:A42,A43,$B$4:B42,B43,$C$4:C42,C43,$L$4:L42,"&lt;&gt;❌ Отменено")=0,1,0))</f>
        <v/>
      </c>
    </row>
    <row r="44">
      <c r="A44" s="42" t="n"/>
      <c r="B44" s="42" t="n"/>
      <c r="C44" s="43" t="n"/>
      <c r="D44" s="43" t="n"/>
      <c r="E44" s="43" t="n"/>
      <c r="F44" s="42" t="n"/>
      <c r="G44" s="44" t="n"/>
      <c r="H44" s="45" t="n"/>
      <c r="I44" s="46">
        <f>IF(O44=1,SUMIFS(day_amt,day_year,A44,day_month,B44,day_item,C44),"")</f>
        <v/>
      </c>
      <c r="J44" s="47">
        <f>IF(H44&lt;&gt;"",H44,IF(N(I44)=0,"",I44))</f>
        <v/>
      </c>
      <c r="K44" s="48">
        <f>IF(OR(G44="",J44=""),"",G44-J44)</f>
        <v/>
      </c>
      <c r="L44" s="43" t="n"/>
      <c r="M44" s="43" t="n"/>
      <c r="N44" s="49">
        <f>IF(IFERROR(INDEX(lst_cat_wish,MATCH(D44,lst_cats,0))="Да",FALSE),MAX($N$4:N43)+1,"")</f>
        <v/>
      </c>
      <c r="O44" s="49">
        <f>IF(OR(A44="",B44="",C44="",L44="❌ Отменено"),0,IF(COUNTIFS($A$4:A43,A44,$B$4:B43,B44,$C$4:C43,C44,$L$4:L43,"&lt;&gt;❌ Отменено")=0,1,0))</f>
        <v/>
      </c>
    </row>
    <row r="45">
      <c r="A45" s="42" t="n"/>
      <c r="B45" s="42" t="n"/>
      <c r="C45" s="43" t="n"/>
      <c r="D45" s="43" t="n"/>
      <c r="E45" s="43" t="n"/>
      <c r="F45" s="42" t="n"/>
      <c r="G45" s="44" t="n"/>
      <c r="H45" s="45" t="n"/>
      <c r="I45" s="46">
        <f>IF(O45=1,SUMIFS(day_amt,day_year,A45,day_month,B45,day_item,C45),"")</f>
        <v/>
      </c>
      <c r="J45" s="47">
        <f>IF(H45&lt;&gt;"",H45,IF(N(I45)=0,"",I45))</f>
        <v/>
      </c>
      <c r="K45" s="48">
        <f>IF(OR(G45="",J45=""),"",G45-J45)</f>
        <v/>
      </c>
      <c r="L45" s="43" t="n"/>
      <c r="M45" s="43" t="n"/>
      <c r="N45" s="49">
        <f>IF(IFERROR(INDEX(lst_cat_wish,MATCH(D45,lst_cats,0))="Да",FALSE),MAX($N$4:N44)+1,"")</f>
        <v/>
      </c>
      <c r="O45" s="49">
        <f>IF(OR(A45="",B45="",C45="",L45="❌ Отменено"),0,IF(COUNTIFS($A$4:A44,A45,$B$4:B44,B45,$C$4:C44,C45,$L$4:L44,"&lt;&gt;❌ Отменено")=0,1,0))</f>
        <v/>
      </c>
    </row>
    <row r="46">
      <c r="A46" s="42" t="n"/>
      <c r="B46" s="42" t="n"/>
      <c r="C46" s="43" t="n"/>
      <c r="D46" s="43" t="n"/>
      <c r="E46" s="43" t="n"/>
      <c r="F46" s="42" t="n"/>
      <c r="G46" s="44" t="n"/>
      <c r="H46" s="45" t="n"/>
      <c r="I46" s="46">
        <f>IF(O46=1,SUMIFS(day_amt,day_year,A46,day_month,B46,day_item,C46),"")</f>
        <v/>
      </c>
      <c r="J46" s="47">
        <f>IF(H46&lt;&gt;"",H46,IF(N(I46)=0,"",I46))</f>
        <v/>
      </c>
      <c r="K46" s="48">
        <f>IF(OR(G46="",J46=""),"",G46-J46)</f>
        <v/>
      </c>
      <c r="L46" s="43" t="n"/>
      <c r="M46" s="43" t="n"/>
      <c r="N46" s="49">
        <f>IF(IFERROR(INDEX(lst_cat_wish,MATCH(D46,lst_cats,0))="Да",FALSE),MAX($N$4:N45)+1,"")</f>
        <v/>
      </c>
      <c r="O46" s="49">
        <f>IF(OR(A46="",B46="",C46="",L46="❌ Отменено"),0,IF(COUNTIFS($A$4:A45,A46,$B$4:B45,B46,$C$4:C45,C46,$L$4:L45,"&lt;&gt;❌ Отменено")=0,1,0))</f>
        <v/>
      </c>
    </row>
    <row r="47">
      <c r="A47" s="42" t="n"/>
      <c r="B47" s="42" t="n"/>
      <c r="C47" s="43" t="n"/>
      <c r="D47" s="43" t="n"/>
      <c r="E47" s="43" t="n"/>
      <c r="F47" s="42" t="n"/>
      <c r="G47" s="44" t="n"/>
      <c r="H47" s="45" t="n"/>
      <c r="I47" s="46">
        <f>IF(O47=1,SUMIFS(day_amt,day_year,A47,day_month,B47,day_item,C47),"")</f>
        <v/>
      </c>
      <c r="J47" s="47">
        <f>IF(H47&lt;&gt;"",H47,IF(N(I47)=0,"",I47))</f>
        <v/>
      </c>
      <c r="K47" s="48">
        <f>IF(OR(G47="",J47=""),"",G47-J47)</f>
        <v/>
      </c>
      <c r="L47" s="43" t="n"/>
      <c r="M47" s="43" t="n"/>
      <c r="N47" s="49">
        <f>IF(IFERROR(INDEX(lst_cat_wish,MATCH(D47,lst_cats,0))="Да",FALSE),MAX($N$4:N46)+1,"")</f>
        <v/>
      </c>
      <c r="O47" s="49">
        <f>IF(OR(A47="",B47="",C47="",L47="❌ Отменено"),0,IF(COUNTIFS($A$4:A46,A47,$B$4:B46,B47,$C$4:C46,C47,$L$4:L46,"&lt;&gt;❌ Отменено")=0,1,0))</f>
        <v/>
      </c>
    </row>
    <row r="48">
      <c r="A48" s="42" t="n"/>
      <c r="B48" s="42" t="n"/>
      <c r="C48" s="43" t="n"/>
      <c r="D48" s="43" t="n"/>
      <c r="E48" s="43" t="n"/>
      <c r="F48" s="42" t="n"/>
      <c r="G48" s="44" t="n"/>
      <c r="H48" s="45" t="n"/>
      <c r="I48" s="46">
        <f>IF(O48=1,SUMIFS(day_amt,day_year,A48,day_month,B48,day_item,C48),"")</f>
        <v/>
      </c>
      <c r="J48" s="47">
        <f>IF(H48&lt;&gt;"",H48,IF(N(I48)=0,"",I48))</f>
        <v/>
      </c>
      <c r="K48" s="48">
        <f>IF(OR(G48="",J48=""),"",G48-J48)</f>
        <v/>
      </c>
      <c r="L48" s="43" t="n"/>
      <c r="M48" s="43" t="n"/>
      <c r="N48" s="49">
        <f>IF(IFERROR(INDEX(lst_cat_wish,MATCH(D48,lst_cats,0))="Да",FALSE),MAX($N$4:N47)+1,"")</f>
        <v/>
      </c>
      <c r="O48" s="49">
        <f>IF(OR(A48="",B48="",C48="",L48="❌ Отменено"),0,IF(COUNTIFS($A$4:A47,A48,$B$4:B47,B48,$C$4:C47,C48,$L$4:L47,"&lt;&gt;❌ Отменено")=0,1,0))</f>
        <v/>
      </c>
    </row>
    <row r="49">
      <c r="A49" s="42" t="n"/>
      <c r="B49" s="42" t="n"/>
      <c r="C49" s="43" t="n"/>
      <c r="D49" s="43" t="n"/>
      <c r="E49" s="43" t="n"/>
      <c r="F49" s="42" t="n"/>
      <c r="G49" s="44" t="n"/>
      <c r="H49" s="45" t="n"/>
      <c r="I49" s="46">
        <f>IF(O49=1,SUMIFS(day_amt,day_year,A49,day_month,B49,day_item,C49),"")</f>
        <v/>
      </c>
      <c r="J49" s="47">
        <f>IF(H49&lt;&gt;"",H49,IF(N(I49)=0,"",I49))</f>
        <v/>
      </c>
      <c r="K49" s="48">
        <f>IF(OR(G49="",J49=""),"",G49-J49)</f>
        <v/>
      </c>
      <c r="L49" s="43" t="n"/>
      <c r="M49" s="43" t="n"/>
      <c r="N49" s="49">
        <f>IF(IFERROR(INDEX(lst_cat_wish,MATCH(D49,lst_cats,0))="Да",FALSE),MAX($N$4:N48)+1,"")</f>
        <v/>
      </c>
      <c r="O49" s="49">
        <f>IF(OR(A49="",B49="",C49="",L49="❌ Отменено"),0,IF(COUNTIFS($A$4:A48,A49,$B$4:B48,B49,$C$4:C48,C49,$L$4:L48,"&lt;&gt;❌ Отменено")=0,1,0))</f>
        <v/>
      </c>
    </row>
    <row r="50">
      <c r="A50" s="42" t="n"/>
      <c r="B50" s="42" t="n"/>
      <c r="C50" s="43" t="n"/>
      <c r="D50" s="43" t="n"/>
      <c r="E50" s="43" t="n"/>
      <c r="F50" s="42" t="n"/>
      <c r="G50" s="44" t="n"/>
      <c r="H50" s="45" t="n"/>
      <c r="I50" s="46">
        <f>IF(O50=1,SUMIFS(day_amt,day_year,A50,day_month,B50,day_item,C50),"")</f>
        <v/>
      </c>
      <c r="J50" s="47">
        <f>IF(H50&lt;&gt;"",H50,IF(N(I50)=0,"",I50))</f>
        <v/>
      </c>
      <c r="K50" s="48">
        <f>IF(OR(G50="",J50=""),"",G50-J50)</f>
        <v/>
      </c>
      <c r="L50" s="43" t="n"/>
      <c r="M50" s="43" t="n"/>
      <c r="N50" s="49">
        <f>IF(IFERROR(INDEX(lst_cat_wish,MATCH(D50,lst_cats,0))="Да",FALSE),MAX($N$4:N49)+1,"")</f>
        <v/>
      </c>
      <c r="O50" s="49">
        <f>IF(OR(A50="",B50="",C50="",L50="❌ Отменено"),0,IF(COUNTIFS($A$4:A49,A50,$B$4:B49,B50,$C$4:C49,C50,$L$4:L49,"&lt;&gt;❌ Отменено")=0,1,0))</f>
        <v/>
      </c>
    </row>
    <row r="51">
      <c r="A51" s="42" t="n"/>
      <c r="B51" s="42" t="n"/>
      <c r="C51" s="43" t="n"/>
      <c r="D51" s="43" t="n"/>
      <c r="E51" s="43" t="n"/>
      <c r="F51" s="42" t="n"/>
      <c r="G51" s="44" t="n"/>
      <c r="H51" s="45" t="n"/>
      <c r="I51" s="46">
        <f>IF(O51=1,SUMIFS(day_amt,day_year,A51,day_month,B51,day_item,C51),"")</f>
        <v/>
      </c>
      <c r="J51" s="47">
        <f>IF(H51&lt;&gt;"",H51,IF(N(I51)=0,"",I51))</f>
        <v/>
      </c>
      <c r="K51" s="48">
        <f>IF(OR(G51="",J51=""),"",G51-J51)</f>
        <v/>
      </c>
      <c r="L51" s="43" t="n"/>
      <c r="M51" s="43" t="n"/>
      <c r="N51" s="49">
        <f>IF(IFERROR(INDEX(lst_cat_wish,MATCH(D51,lst_cats,0))="Да",FALSE),MAX($N$4:N50)+1,"")</f>
        <v/>
      </c>
      <c r="O51" s="49">
        <f>IF(OR(A51="",B51="",C51="",L51="❌ Отменено"),0,IF(COUNTIFS($A$4:A50,A51,$B$4:B50,B51,$C$4:C50,C51,$L$4:L50,"&lt;&gt;❌ Отменено")=0,1,0))</f>
        <v/>
      </c>
    </row>
    <row r="52">
      <c r="A52" s="42" t="n"/>
      <c r="B52" s="42" t="n"/>
      <c r="C52" s="43" t="n"/>
      <c r="D52" s="43" t="n"/>
      <c r="E52" s="43" t="n"/>
      <c r="F52" s="42" t="n"/>
      <c r="G52" s="44" t="n"/>
      <c r="H52" s="45" t="n"/>
      <c r="I52" s="46">
        <f>IF(O52=1,SUMIFS(day_amt,day_year,A52,day_month,B52,day_item,C52),"")</f>
        <v/>
      </c>
      <c r="J52" s="47">
        <f>IF(H52&lt;&gt;"",H52,IF(N(I52)=0,"",I52))</f>
        <v/>
      </c>
      <c r="K52" s="48">
        <f>IF(OR(G52="",J52=""),"",G52-J52)</f>
        <v/>
      </c>
      <c r="L52" s="43" t="n"/>
      <c r="M52" s="43" t="n"/>
      <c r="N52" s="49">
        <f>IF(IFERROR(INDEX(lst_cat_wish,MATCH(D52,lst_cats,0))="Да",FALSE),MAX($N$4:N51)+1,"")</f>
        <v/>
      </c>
      <c r="O52" s="49">
        <f>IF(OR(A52="",B52="",C52="",L52="❌ Отменено"),0,IF(COUNTIFS($A$4:A51,A52,$B$4:B51,B52,$C$4:C51,C52,$L$4:L51,"&lt;&gt;❌ Отменено")=0,1,0))</f>
        <v/>
      </c>
    </row>
    <row r="53">
      <c r="A53" s="42" t="n"/>
      <c r="B53" s="42" t="n"/>
      <c r="C53" s="43" t="n"/>
      <c r="D53" s="43" t="n"/>
      <c r="E53" s="43" t="n"/>
      <c r="F53" s="42" t="n"/>
      <c r="G53" s="44" t="n"/>
      <c r="H53" s="45" t="n"/>
      <c r="I53" s="46">
        <f>IF(O53=1,SUMIFS(day_amt,day_year,A53,day_month,B53,day_item,C53),"")</f>
        <v/>
      </c>
      <c r="J53" s="47">
        <f>IF(H53&lt;&gt;"",H53,IF(N(I53)=0,"",I53))</f>
        <v/>
      </c>
      <c r="K53" s="48">
        <f>IF(OR(G53="",J53=""),"",G53-J53)</f>
        <v/>
      </c>
      <c r="L53" s="43" t="n"/>
      <c r="M53" s="43" t="n"/>
      <c r="N53" s="49">
        <f>IF(IFERROR(INDEX(lst_cat_wish,MATCH(D53,lst_cats,0))="Да",FALSE),MAX($N$4:N52)+1,"")</f>
        <v/>
      </c>
      <c r="O53" s="49">
        <f>IF(OR(A53="",B53="",C53="",L53="❌ Отменено"),0,IF(COUNTIFS($A$4:A52,A53,$B$4:B52,B53,$C$4:C52,C53,$L$4:L52,"&lt;&gt;❌ Отменено")=0,1,0))</f>
        <v/>
      </c>
    </row>
    <row r="54">
      <c r="A54" s="42" t="n"/>
      <c r="B54" s="42" t="n"/>
      <c r="C54" s="43" t="n"/>
      <c r="D54" s="43" t="n"/>
      <c r="E54" s="43" t="n"/>
      <c r="F54" s="42" t="n"/>
      <c r="G54" s="44" t="n"/>
      <c r="H54" s="45" t="n"/>
      <c r="I54" s="46">
        <f>IF(O54=1,SUMIFS(day_amt,day_year,A54,day_month,B54,day_item,C54),"")</f>
        <v/>
      </c>
      <c r="J54" s="47">
        <f>IF(H54&lt;&gt;"",H54,IF(N(I54)=0,"",I54))</f>
        <v/>
      </c>
      <c r="K54" s="48">
        <f>IF(OR(G54="",J54=""),"",G54-J54)</f>
        <v/>
      </c>
      <c r="L54" s="43" t="n"/>
      <c r="M54" s="43" t="n"/>
      <c r="N54" s="49">
        <f>IF(IFERROR(INDEX(lst_cat_wish,MATCH(D54,lst_cats,0))="Да",FALSE),MAX($N$4:N53)+1,"")</f>
        <v/>
      </c>
      <c r="O54" s="49">
        <f>IF(OR(A54="",B54="",C54="",L54="❌ Отменено"),0,IF(COUNTIFS($A$4:A53,A54,$B$4:B53,B54,$C$4:C53,C54,$L$4:L53,"&lt;&gt;❌ Отменено")=0,1,0))</f>
        <v/>
      </c>
    </row>
    <row r="55">
      <c r="A55" s="42" t="n"/>
      <c r="B55" s="42" t="n"/>
      <c r="C55" s="43" t="n"/>
      <c r="D55" s="43" t="n"/>
      <c r="E55" s="43" t="n"/>
      <c r="F55" s="42" t="n"/>
      <c r="G55" s="44" t="n"/>
      <c r="H55" s="45" t="n"/>
      <c r="I55" s="46">
        <f>IF(O55=1,SUMIFS(day_amt,day_year,A55,day_month,B55,day_item,C55),"")</f>
        <v/>
      </c>
      <c r="J55" s="47">
        <f>IF(H55&lt;&gt;"",H55,IF(N(I55)=0,"",I55))</f>
        <v/>
      </c>
      <c r="K55" s="48">
        <f>IF(OR(G55="",J55=""),"",G55-J55)</f>
        <v/>
      </c>
      <c r="L55" s="43" t="n"/>
      <c r="M55" s="43" t="n"/>
      <c r="N55" s="49">
        <f>IF(IFERROR(INDEX(lst_cat_wish,MATCH(D55,lst_cats,0))="Да",FALSE),MAX($N$4:N54)+1,"")</f>
        <v/>
      </c>
      <c r="O55" s="49">
        <f>IF(OR(A55="",B55="",C55="",L55="❌ Отменено"),0,IF(COUNTIFS($A$4:A54,A55,$B$4:B54,B55,$C$4:C54,C55,$L$4:L54,"&lt;&gt;❌ Отменено")=0,1,0))</f>
        <v/>
      </c>
    </row>
    <row r="56">
      <c r="A56" s="42" t="n"/>
      <c r="B56" s="42" t="n"/>
      <c r="C56" s="43" t="n"/>
      <c r="D56" s="43" t="n"/>
      <c r="E56" s="43" t="n"/>
      <c r="F56" s="42" t="n"/>
      <c r="G56" s="44" t="n"/>
      <c r="H56" s="45" t="n"/>
      <c r="I56" s="46">
        <f>IF(O56=1,SUMIFS(day_amt,day_year,A56,day_month,B56,day_item,C56),"")</f>
        <v/>
      </c>
      <c r="J56" s="47">
        <f>IF(H56&lt;&gt;"",H56,IF(N(I56)=0,"",I56))</f>
        <v/>
      </c>
      <c r="K56" s="48">
        <f>IF(OR(G56="",J56=""),"",G56-J56)</f>
        <v/>
      </c>
      <c r="L56" s="43" t="n"/>
      <c r="M56" s="43" t="n"/>
      <c r="N56" s="49">
        <f>IF(IFERROR(INDEX(lst_cat_wish,MATCH(D56,lst_cats,0))="Да",FALSE),MAX($N$4:N55)+1,"")</f>
        <v/>
      </c>
      <c r="O56" s="49">
        <f>IF(OR(A56="",B56="",C56="",L56="❌ Отменено"),0,IF(COUNTIFS($A$4:A55,A56,$B$4:B55,B56,$C$4:C55,C56,$L$4:L55,"&lt;&gt;❌ Отменено")=0,1,0))</f>
        <v/>
      </c>
    </row>
    <row r="57">
      <c r="A57" s="42" t="n"/>
      <c r="B57" s="42" t="n"/>
      <c r="C57" s="43" t="n"/>
      <c r="D57" s="43" t="n"/>
      <c r="E57" s="43" t="n"/>
      <c r="F57" s="42" t="n"/>
      <c r="G57" s="44" t="n"/>
      <c r="H57" s="45" t="n"/>
      <c r="I57" s="46">
        <f>IF(O57=1,SUMIFS(day_amt,day_year,A57,day_month,B57,day_item,C57),"")</f>
        <v/>
      </c>
      <c r="J57" s="47">
        <f>IF(H57&lt;&gt;"",H57,IF(N(I57)=0,"",I57))</f>
        <v/>
      </c>
      <c r="K57" s="48">
        <f>IF(OR(G57="",J57=""),"",G57-J57)</f>
        <v/>
      </c>
      <c r="L57" s="43" t="n"/>
      <c r="M57" s="43" t="n"/>
      <c r="N57" s="49">
        <f>IF(IFERROR(INDEX(lst_cat_wish,MATCH(D57,lst_cats,0))="Да",FALSE),MAX($N$4:N56)+1,"")</f>
        <v/>
      </c>
      <c r="O57" s="49">
        <f>IF(OR(A57="",B57="",C57="",L57="❌ Отменено"),0,IF(COUNTIFS($A$4:A56,A57,$B$4:B56,B57,$C$4:C56,C57,$L$4:L56,"&lt;&gt;❌ Отменено")=0,1,0))</f>
        <v/>
      </c>
    </row>
    <row r="58">
      <c r="A58" s="42" t="n"/>
      <c r="B58" s="42" t="n"/>
      <c r="C58" s="43" t="n"/>
      <c r="D58" s="43" t="n"/>
      <c r="E58" s="43" t="n"/>
      <c r="F58" s="42" t="n"/>
      <c r="G58" s="44" t="n"/>
      <c r="H58" s="45" t="n"/>
      <c r="I58" s="46">
        <f>IF(O58=1,SUMIFS(day_amt,day_year,A58,day_month,B58,day_item,C58),"")</f>
        <v/>
      </c>
      <c r="J58" s="47">
        <f>IF(H58&lt;&gt;"",H58,IF(N(I58)=0,"",I58))</f>
        <v/>
      </c>
      <c r="K58" s="48">
        <f>IF(OR(G58="",J58=""),"",G58-J58)</f>
        <v/>
      </c>
      <c r="L58" s="43" t="n"/>
      <c r="M58" s="43" t="n"/>
      <c r="N58" s="49">
        <f>IF(IFERROR(INDEX(lst_cat_wish,MATCH(D58,lst_cats,0))="Да",FALSE),MAX($N$4:N57)+1,"")</f>
        <v/>
      </c>
      <c r="O58" s="49">
        <f>IF(OR(A58="",B58="",C58="",L58="❌ Отменено"),0,IF(COUNTIFS($A$4:A57,A58,$B$4:B57,B58,$C$4:C57,C58,$L$4:L57,"&lt;&gt;❌ Отменено")=0,1,0))</f>
        <v/>
      </c>
    </row>
    <row r="59">
      <c r="A59" s="42" t="n"/>
      <c r="B59" s="42" t="n"/>
      <c r="C59" s="43" t="n"/>
      <c r="D59" s="43" t="n"/>
      <c r="E59" s="43" t="n"/>
      <c r="F59" s="42" t="n"/>
      <c r="G59" s="44" t="n"/>
      <c r="H59" s="45" t="n"/>
      <c r="I59" s="46">
        <f>IF(O59=1,SUMIFS(day_amt,day_year,A59,day_month,B59,day_item,C59),"")</f>
        <v/>
      </c>
      <c r="J59" s="47">
        <f>IF(H59&lt;&gt;"",H59,IF(N(I59)=0,"",I59))</f>
        <v/>
      </c>
      <c r="K59" s="48">
        <f>IF(OR(G59="",J59=""),"",G59-J59)</f>
        <v/>
      </c>
      <c r="L59" s="43" t="n"/>
      <c r="M59" s="43" t="n"/>
      <c r="N59" s="49">
        <f>IF(IFERROR(INDEX(lst_cat_wish,MATCH(D59,lst_cats,0))="Да",FALSE),MAX($N$4:N58)+1,"")</f>
        <v/>
      </c>
      <c r="O59" s="49">
        <f>IF(OR(A59="",B59="",C59="",L59="❌ Отменено"),0,IF(COUNTIFS($A$4:A58,A59,$B$4:B58,B59,$C$4:C58,C59,$L$4:L58,"&lt;&gt;❌ Отменено")=0,1,0))</f>
        <v/>
      </c>
    </row>
    <row r="60">
      <c r="A60" s="42" t="n"/>
      <c r="B60" s="42" t="n"/>
      <c r="C60" s="43" t="n"/>
      <c r="D60" s="43" t="n"/>
      <c r="E60" s="43" t="n"/>
      <c r="F60" s="42" t="n"/>
      <c r="G60" s="44" t="n"/>
      <c r="H60" s="45" t="n"/>
      <c r="I60" s="46">
        <f>IF(O60=1,SUMIFS(day_amt,day_year,A60,day_month,B60,day_item,C60),"")</f>
        <v/>
      </c>
      <c r="J60" s="47">
        <f>IF(H60&lt;&gt;"",H60,IF(N(I60)=0,"",I60))</f>
        <v/>
      </c>
      <c r="K60" s="48">
        <f>IF(OR(G60="",J60=""),"",G60-J60)</f>
        <v/>
      </c>
      <c r="L60" s="43" t="n"/>
      <c r="M60" s="43" t="n"/>
      <c r="N60" s="49">
        <f>IF(IFERROR(INDEX(lst_cat_wish,MATCH(D60,lst_cats,0))="Да",FALSE),MAX($N$4:N59)+1,"")</f>
        <v/>
      </c>
      <c r="O60" s="49">
        <f>IF(OR(A60="",B60="",C60="",L60="❌ Отменено"),0,IF(COUNTIFS($A$4:A59,A60,$B$4:B59,B60,$C$4:C59,C60,$L$4:L59,"&lt;&gt;❌ Отменено")=0,1,0))</f>
        <v/>
      </c>
    </row>
    <row r="61">
      <c r="A61" s="42" t="n"/>
      <c r="B61" s="42" t="n"/>
      <c r="C61" s="43" t="n"/>
      <c r="D61" s="43" t="n"/>
      <c r="E61" s="43" t="n"/>
      <c r="F61" s="42" t="n"/>
      <c r="G61" s="44" t="n"/>
      <c r="H61" s="45" t="n"/>
      <c r="I61" s="46">
        <f>IF(O61=1,SUMIFS(day_amt,day_year,A61,day_month,B61,day_item,C61),"")</f>
        <v/>
      </c>
      <c r="J61" s="47">
        <f>IF(H61&lt;&gt;"",H61,IF(N(I61)=0,"",I61))</f>
        <v/>
      </c>
      <c r="K61" s="48">
        <f>IF(OR(G61="",J61=""),"",G61-J61)</f>
        <v/>
      </c>
      <c r="L61" s="43" t="n"/>
      <c r="M61" s="43" t="n"/>
      <c r="N61" s="49">
        <f>IF(IFERROR(INDEX(lst_cat_wish,MATCH(D61,lst_cats,0))="Да",FALSE),MAX($N$4:N60)+1,"")</f>
        <v/>
      </c>
      <c r="O61" s="49">
        <f>IF(OR(A61="",B61="",C61="",L61="❌ Отменено"),0,IF(COUNTIFS($A$4:A60,A61,$B$4:B60,B61,$C$4:C60,C61,$L$4:L60,"&lt;&gt;❌ Отменено")=0,1,0))</f>
        <v/>
      </c>
    </row>
    <row r="62">
      <c r="A62" s="42" t="n"/>
      <c r="B62" s="42" t="n"/>
      <c r="C62" s="43" t="n"/>
      <c r="D62" s="43" t="n"/>
      <c r="E62" s="43" t="n"/>
      <c r="F62" s="42" t="n"/>
      <c r="G62" s="44" t="n"/>
      <c r="H62" s="45" t="n"/>
      <c r="I62" s="46">
        <f>IF(O62=1,SUMIFS(day_amt,day_year,A62,day_month,B62,day_item,C62),"")</f>
        <v/>
      </c>
      <c r="J62" s="47">
        <f>IF(H62&lt;&gt;"",H62,IF(N(I62)=0,"",I62))</f>
        <v/>
      </c>
      <c r="K62" s="48">
        <f>IF(OR(G62="",J62=""),"",G62-J62)</f>
        <v/>
      </c>
      <c r="L62" s="43" t="n"/>
      <c r="M62" s="43" t="n"/>
      <c r="N62" s="49">
        <f>IF(IFERROR(INDEX(lst_cat_wish,MATCH(D62,lst_cats,0))="Да",FALSE),MAX($N$4:N61)+1,"")</f>
        <v/>
      </c>
      <c r="O62" s="49">
        <f>IF(OR(A62="",B62="",C62="",L62="❌ Отменено"),0,IF(COUNTIFS($A$4:A61,A62,$B$4:B61,B62,$C$4:C61,C62,$L$4:L61,"&lt;&gt;❌ Отменено")=0,1,0))</f>
        <v/>
      </c>
    </row>
    <row r="63">
      <c r="A63" s="42" t="n"/>
      <c r="B63" s="42" t="n"/>
      <c r="C63" s="43" t="n"/>
      <c r="D63" s="43" t="n"/>
      <c r="E63" s="43" t="n"/>
      <c r="F63" s="42" t="n"/>
      <c r="G63" s="44" t="n"/>
      <c r="H63" s="45" t="n"/>
      <c r="I63" s="46">
        <f>IF(O63=1,SUMIFS(day_amt,day_year,A63,day_month,B63,day_item,C63),"")</f>
        <v/>
      </c>
      <c r="J63" s="47">
        <f>IF(H63&lt;&gt;"",H63,IF(N(I63)=0,"",I63))</f>
        <v/>
      </c>
      <c r="K63" s="48">
        <f>IF(OR(G63="",J63=""),"",G63-J63)</f>
        <v/>
      </c>
      <c r="L63" s="43" t="n"/>
      <c r="M63" s="43" t="n"/>
      <c r="N63" s="49">
        <f>IF(IFERROR(INDEX(lst_cat_wish,MATCH(D63,lst_cats,0))="Да",FALSE),MAX($N$4:N62)+1,"")</f>
        <v/>
      </c>
      <c r="O63" s="49">
        <f>IF(OR(A63="",B63="",C63="",L63="❌ Отменено"),0,IF(COUNTIFS($A$4:A62,A63,$B$4:B62,B63,$C$4:C62,C63,$L$4:L62,"&lt;&gt;❌ Отменено")=0,1,0))</f>
        <v/>
      </c>
    </row>
    <row r="64">
      <c r="A64" s="42" t="n"/>
      <c r="B64" s="42" t="n"/>
      <c r="C64" s="43" t="n"/>
      <c r="D64" s="43" t="n"/>
      <c r="E64" s="43" t="n"/>
      <c r="F64" s="42" t="n"/>
      <c r="G64" s="44" t="n"/>
      <c r="H64" s="45" t="n"/>
      <c r="I64" s="46">
        <f>IF(O64=1,SUMIFS(day_amt,day_year,A64,day_month,B64,day_item,C64),"")</f>
        <v/>
      </c>
      <c r="J64" s="47">
        <f>IF(H64&lt;&gt;"",H64,IF(N(I64)=0,"",I64))</f>
        <v/>
      </c>
      <c r="K64" s="48">
        <f>IF(OR(G64="",J64=""),"",G64-J64)</f>
        <v/>
      </c>
      <c r="L64" s="43" t="n"/>
      <c r="M64" s="43" t="n"/>
      <c r="N64" s="49">
        <f>IF(IFERROR(INDEX(lst_cat_wish,MATCH(D64,lst_cats,0))="Да",FALSE),MAX($N$4:N63)+1,"")</f>
        <v/>
      </c>
      <c r="O64" s="49">
        <f>IF(OR(A64="",B64="",C64="",L64="❌ Отменено"),0,IF(COUNTIFS($A$4:A63,A64,$B$4:B63,B64,$C$4:C63,C64,$L$4:L63,"&lt;&gt;❌ Отменено")=0,1,0))</f>
        <v/>
      </c>
    </row>
    <row r="65">
      <c r="A65" s="42" t="n"/>
      <c r="B65" s="42" t="n"/>
      <c r="C65" s="43" t="n"/>
      <c r="D65" s="43" t="n"/>
      <c r="E65" s="43" t="n"/>
      <c r="F65" s="42" t="n"/>
      <c r="G65" s="44" t="n"/>
      <c r="H65" s="45" t="n"/>
      <c r="I65" s="46">
        <f>IF(O65=1,SUMIFS(day_amt,day_year,A65,day_month,B65,day_item,C65),"")</f>
        <v/>
      </c>
      <c r="J65" s="47">
        <f>IF(H65&lt;&gt;"",H65,IF(N(I65)=0,"",I65))</f>
        <v/>
      </c>
      <c r="K65" s="48">
        <f>IF(OR(G65="",J65=""),"",G65-J65)</f>
        <v/>
      </c>
      <c r="L65" s="43" t="n"/>
      <c r="M65" s="43" t="n"/>
      <c r="N65" s="49">
        <f>IF(IFERROR(INDEX(lst_cat_wish,MATCH(D65,lst_cats,0))="Да",FALSE),MAX($N$4:N64)+1,"")</f>
        <v/>
      </c>
      <c r="O65" s="49">
        <f>IF(OR(A65="",B65="",C65="",L65="❌ Отменено"),0,IF(COUNTIFS($A$4:A64,A65,$B$4:B64,B65,$C$4:C64,C65,$L$4:L64,"&lt;&gt;❌ Отменено")=0,1,0))</f>
        <v/>
      </c>
    </row>
    <row r="66">
      <c r="A66" s="42" t="n"/>
      <c r="B66" s="42" t="n"/>
      <c r="C66" s="43" t="n"/>
      <c r="D66" s="43" t="n"/>
      <c r="E66" s="43" t="n"/>
      <c r="F66" s="42" t="n"/>
      <c r="G66" s="44" t="n"/>
      <c r="H66" s="45" t="n"/>
      <c r="I66" s="46">
        <f>IF(O66=1,SUMIFS(day_amt,day_year,A66,day_month,B66,day_item,C66),"")</f>
        <v/>
      </c>
      <c r="J66" s="47">
        <f>IF(H66&lt;&gt;"",H66,IF(N(I66)=0,"",I66))</f>
        <v/>
      </c>
      <c r="K66" s="48">
        <f>IF(OR(G66="",J66=""),"",G66-J66)</f>
        <v/>
      </c>
      <c r="L66" s="43" t="n"/>
      <c r="M66" s="43" t="n"/>
      <c r="N66" s="49">
        <f>IF(IFERROR(INDEX(lst_cat_wish,MATCH(D66,lst_cats,0))="Да",FALSE),MAX($N$4:N65)+1,"")</f>
        <v/>
      </c>
      <c r="O66" s="49">
        <f>IF(OR(A66="",B66="",C66="",L66="❌ Отменено"),0,IF(COUNTIFS($A$4:A65,A66,$B$4:B65,B66,$C$4:C65,C66,$L$4:L65,"&lt;&gt;❌ Отменено")=0,1,0))</f>
        <v/>
      </c>
    </row>
    <row r="67">
      <c r="A67" s="42" t="n"/>
      <c r="B67" s="42" t="n"/>
      <c r="C67" s="43" t="n"/>
      <c r="D67" s="43" t="n"/>
      <c r="E67" s="43" t="n"/>
      <c r="F67" s="42" t="n"/>
      <c r="G67" s="44" t="n"/>
      <c r="H67" s="45" t="n"/>
      <c r="I67" s="46">
        <f>IF(O67=1,SUMIFS(day_amt,day_year,A67,day_month,B67,day_item,C67),"")</f>
        <v/>
      </c>
      <c r="J67" s="47">
        <f>IF(H67&lt;&gt;"",H67,IF(N(I67)=0,"",I67))</f>
        <v/>
      </c>
      <c r="K67" s="48">
        <f>IF(OR(G67="",J67=""),"",G67-J67)</f>
        <v/>
      </c>
      <c r="L67" s="43" t="n"/>
      <c r="M67" s="43" t="n"/>
      <c r="N67" s="49">
        <f>IF(IFERROR(INDEX(lst_cat_wish,MATCH(D67,lst_cats,0))="Да",FALSE),MAX($N$4:N66)+1,"")</f>
        <v/>
      </c>
      <c r="O67" s="49">
        <f>IF(OR(A67="",B67="",C67="",L67="❌ Отменено"),0,IF(COUNTIFS($A$4:A66,A67,$B$4:B66,B67,$C$4:C66,C67,$L$4:L66,"&lt;&gt;❌ Отменено")=0,1,0))</f>
        <v/>
      </c>
    </row>
    <row r="68">
      <c r="A68" s="42" t="n"/>
      <c r="B68" s="42" t="n"/>
      <c r="C68" s="43" t="n"/>
      <c r="D68" s="43" t="n"/>
      <c r="E68" s="43" t="n"/>
      <c r="F68" s="42" t="n"/>
      <c r="G68" s="44" t="n"/>
      <c r="H68" s="45" t="n"/>
      <c r="I68" s="46">
        <f>IF(O68=1,SUMIFS(day_amt,day_year,A68,day_month,B68,day_item,C68),"")</f>
        <v/>
      </c>
      <c r="J68" s="47">
        <f>IF(H68&lt;&gt;"",H68,IF(N(I68)=0,"",I68))</f>
        <v/>
      </c>
      <c r="K68" s="48">
        <f>IF(OR(G68="",J68=""),"",G68-J68)</f>
        <v/>
      </c>
      <c r="L68" s="43" t="n"/>
      <c r="M68" s="43" t="n"/>
      <c r="N68" s="49">
        <f>IF(IFERROR(INDEX(lst_cat_wish,MATCH(D68,lst_cats,0))="Да",FALSE),MAX($N$4:N67)+1,"")</f>
        <v/>
      </c>
      <c r="O68" s="49">
        <f>IF(OR(A68="",B68="",C68="",L68="❌ Отменено"),0,IF(COUNTIFS($A$4:A67,A68,$B$4:B67,B68,$C$4:C67,C68,$L$4:L67,"&lt;&gt;❌ Отменено")=0,1,0))</f>
        <v/>
      </c>
    </row>
    <row r="69">
      <c r="A69" s="42" t="n"/>
      <c r="B69" s="42" t="n"/>
      <c r="C69" s="43" t="n"/>
      <c r="D69" s="43" t="n"/>
      <c r="E69" s="43" t="n"/>
      <c r="F69" s="42" t="n"/>
      <c r="G69" s="44" t="n"/>
      <c r="H69" s="45" t="n"/>
      <c r="I69" s="46">
        <f>IF(O69=1,SUMIFS(day_amt,day_year,A69,day_month,B69,day_item,C69),"")</f>
        <v/>
      </c>
      <c r="J69" s="47">
        <f>IF(H69&lt;&gt;"",H69,IF(N(I69)=0,"",I69))</f>
        <v/>
      </c>
      <c r="K69" s="48">
        <f>IF(OR(G69="",J69=""),"",G69-J69)</f>
        <v/>
      </c>
      <c r="L69" s="43" t="n"/>
      <c r="M69" s="43" t="n"/>
      <c r="N69" s="49">
        <f>IF(IFERROR(INDEX(lst_cat_wish,MATCH(D69,lst_cats,0))="Да",FALSE),MAX($N$4:N68)+1,"")</f>
        <v/>
      </c>
      <c r="O69" s="49">
        <f>IF(OR(A69="",B69="",C69="",L69="❌ Отменено"),0,IF(COUNTIFS($A$4:A68,A69,$B$4:B68,B69,$C$4:C68,C69,$L$4:L68,"&lt;&gt;❌ Отменено")=0,1,0))</f>
        <v/>
      </c>
    </row>
    <row r="70">
      <c r="A70" s="42" t="n"/>
      <c r="B70" s="42" t="n"/>
      <c r="C70" s="43" t="n"/>
      <c r="D70" s="43" t="n"/>
      <c r="E70" s="43" t="n"/>
      <c r="F70" s="42" t="n"/>
      <c r="G70" s="44" t="n"/>
      <c r="H70" s="45" t="n"/>
      <c r="I70" s="46">
        <f>IF(O70=1,SUMIFS(day_amt,day_year,A70,day_month,B70,day_item,C70),"")</f>
        <v/>
      </c>
      <c r="J70" s="47">
        <f>IF(H70&lt;&gt;"",H70,IF(N(I70)=0,"",I70))</f>
        <v/>
      </c>
      <c r="K70" s="48">
        <f>IF(OR(G70="",J70=""),"",G70-J70)</f>
        <v/>
      </c>
      <c r="L70" s="43" t="n"/>
      <c r="M70" s="43" t="n"/>
      <c r="N70" s="49">
        <f>IF(IFERROR(INDEX(lst_cat_wish,MATCH(D70,lst_cats,0))="Да",FALSE),MAX($N$4:N69)+1,"")</f>
        <v/>
      </c>
      <c r="O70" s="49">
        <f>IF(OR(A70="",B70="",C70="",L70="❌ Отменено"),0,IF(COUNTIFS($A$4:A69,A70,$B$4:B69,B70,$C$4:C69,C70,$L$4:L69,"&lt;&gt;❌ Отменено")=0,1,0))</f>
        <v/>
      </c>
    </row>
    <row r="71">
      <c r="A71" s="42" t="n"/>
      <c r="B71" s="42" t="n"/>
      <c r="C71" s="43" t="n"/>
      <c r="D71" s="43" t="n"/>
      <c r="E71" s="43" t="n"/>
      <c r="F71" s="42" t="n"/>
      <c r="G71" s="44" t="n"/>
      <c r="H71" s="45" t="n"/>
      <c r="I71" s="46">
        <f>IF(O71=1,SUMIFS(day_amt,day_year,A71,day_month,B71,day_item,C71),"")</f>
        <v/>
      </c>
      <c r="J71" s="47">
        <f>IF(H71&lt;&gt;"",H71,IF(N(I71)=0,"",I71))</f>
        <v/>
      </c>
      <c r="K71" s="48">
        <f>IF(OR(G71="",J71=""),"",G71-J71)</f>
        <v/>
      </c>
      <c r="L71" s="43" t="n"/>
      <c r="M71" s="43" t="n"/>
      <c r="N71" s="49">
        <f>IF(IFERROR(INDEX(lst_cat_wish,MATCH(D71,lst_cats,0))="Да",FALSE),MAX($N$4:N70)+1,"")</f>
        <v/>
      </c>
      <c r="O71" s="49">
        <f>IF(OR(A71="",B71="",C71="",L71="❌ Отменено"),0,IF(COUNTIFS($A$4:A70,A71,$B$4:B70,B71,$C$4:C70,C71,$L$4:L70,"&lt;&gt;❌ Отменено")=0,1,0))</f>
        <v/>
      </c>
    </row>
    <row r="72">
      <c r="A72" s="42" t="n"/>
      <c r="B72" s="42" t="n"/>
      <c r="C72" s="43" t="n"/>
      <c r="D72" s="43" t="n"/>
      <c r="E72" s="43" t="n"/>
      <c r="F72" s="42" t="n"/>
      <c r="G72" s="44" t="n"/>
      <c r="H72" s="45" t="n"/>
      <c r="I72" s="46">
        <f>IF(O72=1,SUMIFS(day_amt,day_year,A72,day_month,B72,day_item,C72),"")</f>
        <v/>
      </c>
      <c r="J72" s="47">
        <f>IF(H72&lt;&gt;"",H72,IF(N(I72)=0,"",I72))</f>
        <v/>
      </c>
      <c r="K72" s="48">
        <f>IF(OR(G72="",J72=""),"",G72-J72)</f>
        <v/>
      </c>
      <c r="L72" s="43" t="n"/>
      <c r="M72" s="43" t="n"/>
      <c r="N72" s="49">
        <f>IF(IFERROR(INDEX(lst_cat_wish,MATCH(D72,lst_cats,0))="Да",FALSE),MAX($N$4:N71)+1,"")</f>
        <v/>
      </c>
      <c r="O72" s="49">
        <f>IF(OR(A72="",B72="",C72="",L72="❌ Отменено"),0,IF(COUNTIFS($A$4:A71,A72,$B$4:B71,B72,$C$4:C71,C72,$L$4:L71,"&lt;&gt;❌ Отменено")=0,1,0))</f>
        <v/>
      </c>
    </row>
    <row r="73">
      <c r="A73" s="42" t="n"/>
      <c r="B73" s="42" t="n"/>
      <c r="C73" s="43" t="n"/>
      <c r="D73" s="43" t="n"/>
      <c r="E73" s="43" t="n"/>
      <c r="F73" s="42" t="n"/>
      <c r="G73" s="44" t="n"/>
      <c r="H73" s="45" t="n"/>
      <c r="I73" s="46">
        <f>IF(O73=1,SUMIFS(day_amt,day_year,A73,day_month,B73,day_item,C73),"")</f>
        <v/>
      </c>
      <c r="J73" s="47">
        <f>IF(H73&lt;&gt;"",H73,IF(N(I73)=0,"",I73))</f>
        <v/>
      </c>
      <c r="K73" s="48">
        <f>IF(OR(G73="",J73=""),"",G73-J73)</f>
        <v/>
      </c>
      <c r="L73" s="43" t="n"/>
      <c r="M73" s="43" t="n"/>
      <c r="N73" s="49">
        <f>IF(IFERROR(INDEX(lst_cat_wish,MATCH(D73,lst_cats,0))="Да",FALSE),MAX($N$4:N72)+1,"")</f>
        <v/>
      </c>
      <c r="O73" s="49">
        <f>IF(OR(A73="",B73="",C73="",L73="❌ Отменено"),0,IF(COUNTIFS($A$4:A72,A73,$B$4:B72,B73,$C$4:C72,C73,$L$4:L72,"&lt;&gt;❌ Отменено")=0,1,0))</f>
        <v/>
      </c>
    </row>
    <row r="74">
      <c r="A74" s="42" t="n"/>
      <c r="B74" s="42" t="n"/>
      <c r="C74" s="43" t="n"/>
      <c r="D74" s="43" t="n"/>
      <c r="E74" s="43" t="n"/>
      <c r="F74" s="42" t="n"/>
      <c r="G74" s="44" t="n"/>
      <c r="H74" s="45" t="n"/>
      <c r="I74" s="46">
        <f>IF(O74=1,SUMIFS(day_amt,day_year,A74,day_month,B74,day_item,C74),"")</f>
        <v/>
      </c>
      <c r="J74" s="47">
        <f>IF(H74&lt;&gt;"",H74,IF(N(I74)=0,"",I74))</f>
        <v/>
      </c>
      <c r="K74" s="48">
        <f>IF(OR(G74="",J74=""),"",G74-J74)</f>
        <v/>
      </c>
      <c r="L74" s="43" t="n"/>
      <c r="M74" s="43" t="n"/>
      <c r="N74" s="49">
        <f>IF(IFERROR(INDEX(lst_cat_wish,MATCH(D74,lst_cats,0))="Да",FALSE),MAX($N$4:N73)+1,"")</f>
        <v/>
      </c>
      <c r="O74" s="49">
        <f>IF(OR(A74="",B74="",C74="",L74="❌ Отменено"),0,IF(COUNTIFS($A$4:A73,A74,$B$4:B73,B74,$C$4:C73,C74,$L$4:L73,"&lt;&gt;❌ Отменено")=0,1,0))</f>
        <v/>
      </c>
    </row>
    <row r="75">
      <c r="A75" s="42" t="n"/>
      <c r="B75" s="42" t="n"/>
      <c r="C75" s="43" t="n"/>
      <c r="D75" s="43" t="n"/>
      <c r="E75" s="43" t="n"/>
      <c r="F75" s="42" t="n"/>
      <c r="G75" s="44" t="n"/>
      <c r="H75" s="45" t="n"/>
      <c r="I75" s="46">
        <f>IF(O75=1,SUMIFS(day_amt,day_year,A75,day_month,B75,day_item,C75),"")</f>
        <v/>
      </c>
      <c r="J75" s="47">
        <f>IF(H75&lt;&gt;"",H75,IF(N(I75)=0,"",I75))</f>
        <v/>
      </c>
      <c r="K75" s="48">
        <f>IF(OR(G75="",J75=""),"",G75-J75)</f>
        <v/>
      </c>
      <c r="L75" s="43" t="n"/>
      <c r="M75" s="43" t="n"/>
      <c r="N75" s="49">
        <f>IF(IFERROR(INDEX(lst_cat_wish,MATCH(D75,lst_cats,0))="Да",FALSE),MAX($N$4:N74)+1,"")</f>
        <v/>
      </c>
      <c r="O75" s="49">
        <f>IF(OR(A75="",B75="",C75="",L75="❌ Отменено"),0,IF(COUNTIFS($A$4:A74,A75,$B$4:B74,B75,$C$4:C74,C75,$L$4:L74,"&lt;&gt;❌ Отменено")=0,1,0))</f>
        <v/>
      </c>
    </row>
    <row r="76">
      <c r="A76" s="42" t="n"/>
      <c r="B76" s="42" t="n"/>
      <c r="C76" s="43" t="n"/>
      <c r="D76" s="43" t="n"/>
      <c r="E76" s="43" t="n"/>
      <c r="F76" s="42" t="n"/>
      <c r="G76" s="44" t="n"/>
      <c r="H76" s="45" t="n"/>
      <c r="I76" s="46">
        <f>IF(O76=1,SUMIFS(day_amt,day_year,A76,day_month,B76,day_item,C76),"")</f>
        <v/>
      </c>
      <c r="J76" s="47">
        <f>IF(H76&lt;&gt;"",H76,IF(N(I76)=0,"",I76))</f>
        <v/>
      </c>
      <c r="K76" s="48">
        <f>IF(OR(G76="",J76=""),"",G76-J76)</f>
        <v/>
      </c>
      <c r="L76" s="43" t="n"/>
      <c r="M76" s="43" t="n"/>
      <c r="N76" s="49">
        <f>IF(IFERROR(INDEX(lst_cat_wish,MATCH(D76,lst_cats,0))="Да",FALSE),MAX($N$4:N75)+1,"")</f>
        <v/>
      </c>
      <c r="O76" s="49">
        <f>IF(OR(A76="",B76="",C76="",L76="❌ Отменено"),0,IF(COUNTIFS($A$4:A75,A76,$B$4:B75,B76,$C$4:C75,C76,$L$4:L75,"&lt;&gt;❌ Отменено")=0,1,0))</f>
        <v/>
      </c>
    </row>
    <row r="77">
      <c r="A77" s="42" t="n"/>
      <c r="B77" s="42" t="n"/>
      <c r="C77" s="43" t="n"/>
      <c r="D77" s="43" t="n"/>
      <c r="E77" s="43" t="n"/>
      <c r="F77" s="42" t="n"/>
      <c r="G77" s="44" t="n"/>
      <c r="H77" s="45" t="n"/>
      <c r="I77" s="46">
        <f>IF(O77=1,SUMIFS(day_amt,day_year,A77,day_month,B77,day_item,C77),"")</f>
        <v/>
      </c>
      <c r="J77" s="47">
        <f>IF(H77&lt;&gt;"",H77,IF(N(I77)=0,"",I77))</f>
        <v/>
      </c>
      <c r="K77" s="48">
        <f>IF(OR(G77="",J77=""),"",G77-J77)</f>
        <v/>
      </c>
      <c r="L77" s="43" t="n"/>
      <c r="M77" s="43" t="n"/>
      <c r="N77" s="49">
        <f>IF(IFERROR(INDEX(lst_cat_wish,MATCH(D77,lst_cats,0))="Да",FALSE),MAX($N$4:N76)+1,"")</f>
        <v/>
      </c>
      <c r="O77" s="49">
        <f>IF(OR(A77="",B77="",C77="",L77="❌ Отменено"),0,IF(COUNTIFS($A$4:A76,A77,$B$4:B76,B77,$C$4:C76,C77,$L$4:L76,"&lt;&gt;❌ Отменено")=0,1,0))</f>
        <v/>
      </c>
    </row>
    <row r="78">
      <c r="A78" s="42" t="n"/>
      <c r="B78" s="42" t="n"/>
      <c r="C78" s="43" t="n"/>
      <c r="D78" s="43" t="n"/>
      <c r="E78" s="43" t="n"/>
      <c r="F78" s="42" t="n"/>
      <c r="G78" s="44" t="n"/>
      <c r="H78" s="45" t="n"/>
      <c r="I78" s="46">
        <f>IF(O78=1,SUMIFS(day_amt,day_year,A78,day_month,B78,day_item,C78),"")</f>
        <v/>
      </c>
      <c r="J78" s="47">
        <f>IF(H78&lt;&gt;"",H78,IF(N(I78)=0,"",I78))</f>
        <v/>
      </c>
      <c r="K78" s="48">
        <f>IF(OR(G78="",J78=""),"",G78-J78)</f>
        <v/>
      </c>
      <c r="L78" s="43" t="n"/>
      <c r="M78" s="43" t="n"/>
      <c r="N78" s="49">
        <f>IF(IFERROR(INDEX(lst_cat_wish,MATCH(D78,lst_cats,0))="Да",FALSE),MAX($N$4:N77)+1,"")</f>
        <v/>
      </c>
      <c r="O78" s="49">
        <f>IF(OR(A78="",B78="",C78="",L78="❌ Отменено"),0,IF(COUNTIFS($A$4:A77,A78,$B$4:B77,B78,$C$4:C77,C78,$L$4:L77,"&lt;&gt;❌ Отменено")=0,1,0))</f>
        <v/>
      </c>
    </row>
    <row r="79">
      <c r="A79" s="42" t="n"/>
      <c r="B79" s="42" t="n"/>
      <c r="C79" s="43" t="n"/>
      <c r="D79" s="43" t="n"/>
      <c r="E79" s="43" t="n"/>
      <c r="F79" s="42" t="n"/>
      <c r="G79" s="44" t="n"/>
      <c r="H79" s="45" t="n"/>
      <c r="I79" s="46">
        <f>IF(O79=1,SUMIFS(day_amt,day_year,A79,day_month,B79,day_item,C79),"")</f>
        <v/>
      </c>
      <c r="J79" s="47">
        <f>IF(H79&lt;&gt;"",H79,IF(N(I79)=0,"",I79))</f>
        <v/>
      </c>
      <c r="K79" s="48">
        <f>IF(OR(G79="",J79=""),"",G79-J79)</f>
        <v/>
      </c>
      <c r="L79" s="43" t="n"/>
      <c r="M79" s="43" t="n"/>
      <c r="N79" s="49">
        <f>IF(IFERROR(INDEX(lst_cat_wish,MATCH(D79,lst_cats,0))="Да",FALSE),MAX($N$4:N78)+1,"")</f>
        <v/>
      </c>
      <c r="O79" s="49">
        <f>IF(OR(A79="",B79="",C79="",L79="❌ Отменено"),0,IF(COUNTIFS($A$4:A78,A79,$B$4:B78,B79,$C$4:C78,C79,$L$4:L78,"&lt;&gt;❌ Отменено")=0,1,0))</f>
        <v/>
      </c>
    </row>
    <row r="80">
      <c r="A80" s="42" t="n"/>
      <c r="B80" s="42" t="n"/>
      <c r="C80" s="43" t="n"/>
      <c r="D80" s="43" t="n"/>
      <c r="E80" s="43" t="n"/>
      <c r="F80" s="42" t="n"/>
      <c r="G80" s="44" t="n"/>
      <c r="H80" s="45" t="n"/>
      <c r="I80" s="46">
        <f>IF(O80=1,SUMIFS(day_amt,day_year,A80,day_month,B80,day_item,C80),"")</f>
        <v/>
      </c>
      <c r="J80" s="47">
        <f>IF(H80&lt;&gt;"",H80,IF(N(I80)=0,"",I80))</f>
        <v/>
      </c>
      <c r="K80" s="48">
        <f>IF(OR(G80="",J80=""),"",G80-J80)</f>
        <v/>
      </c>
      <c r="L80" s="43" t="n"/>
      <c r="M80" s="43" t="n"/>
      <c r="N80" s="49">
        <f>IF(IFERROR(INDEX(lst_cat_wish,MATCH(D80,lst_cats,0))="Да",FALSE),MAX($N$4:N79)+1,"")</f>
        <v/>
      </c>
      <c r="O80" s="49">
        <f>IF(OR(A80="",B80="",C80="",L80="❌ Отменено"),0,IF(COUNTIFS($A$4:A79,A80,$B$4:B79,B80,$C$4:C79,C80,$L$4:L79,"&lt;&gt;❌ Отменено")=0,1,0))</f>
        <v/>
      </c>
    </row>
    <row r="81">
      <c r="A81" s="42" t="n"/>
      <c r="B81" s="42" t="n"/>
      <c r="C81" s="43" t="n"/>
      <c r="D81" s="43" t="n"/>
      <c r="E81" s="43" t="n"/>
      <c r="F81" s="42" t="n"/>
      <c r="G81" s="44" t="n"/>
      <c r="H81" s="45" t="n"/>
      <c r="I81" s="46">
        <f>IF(O81=1,SUMIFS(day_amt,day_year,A81,day_month,B81,day_item,C81),"")</f>
        <v/>
      </c>
      <c r="J81" s="47">
        <f>IF(H81&lt;&gt;"",H81,IF(N(I81)=0,"",I81))</f>
        <v/>
      </c>
      <c r="K81" s="48">
        <f>IF(OR(G81="",J81=""),"",G81-J81)</f>
        <v/>
      </c>
      <c r="L81" s="43" t="n"/>
      <c r="M81" s="43" t="n"/>
      <c r="N81" s="49">
        <f>IF(IFERROR(INDEX(lst_cat_wish,MATCH(D81,lst_cats,0))="Да",FALSE),MAX($N$4:N80)+1,"")</f>
        <v/>
      </c>
      <c r="O81" s="49">
        <f>IF(OR(A81="",B81="",C81="",L81="❌ Отменено"),0,IF(COUNTIFS($A$4:A80,A81,$B$4:B80,B81,$C$4:C80,C81,$L$4:L80,"&lt;&gt;❌ Отменено")=0,1,0))</f>
        <v/>
      </c>
    </row>
    <row r="82">
      <c r="A82" s="42" t="n"/>
      <c r="B82" s="42" t="n"/>
      <c r="C82" s="43" t="n"/>
      <c r="D82" s="43" t="n"/>
      <c r="E82" s="43" t="n"/>
      <c r="F82" s="42" t="n"/>
      <c r="G82" s="44" t="n"/>
      <c r="H82" s="45" t="n"/>
      <c r="I82" s="46">
        <f>IF(O82=1,SUMIFS(day_amt,day_year,A82,day_month,B82,day_item,C82),"")</f>
        <v/>
      </c>
      <c r="J82" s="47">
        <f>IF(H82&lt;&gt;"",H82,IF(N(I82)=0,"",I82))</f>
        <v/>
      </c>
      <c r="K82" s="48">
        <f>IF(OR(G82="",J82=""),"",G82-J82)</f>
        <v/>
      </c>
      <c r="L82" s="43" t="n"/>
      <c r="M82" s="43" t="n"/>
      <c r="N82" s="49">
        <f>IF(IFERROR(INDEX(lst_cat_wish,MATCH(D82,lst_cats,0))="Да",FALSE),MAX($N$4:N81)+1,"")</f>
        <v/>
      </c>
      <c r="O82" s="49">
        <f>IF(OR(A82="",B82="",C82="",L82="❌ Отменено"),0,IF(COUNTIFS($A$4:A81,A82,$B$4:B81,B82,$C$4:C81,C82,$L$4:L81,"&lt;&gt;❌ Отменено")=0,1,0))</f>
        <v/>
      </c>
    </row>
    <row r="83">
      <c r="A83" s="42" t="n"/>
      <c r="B83" s="42" t="n"/>
      <c r="C83" s="43" t="n"/>
      <c r="D83" s="43" t="n"/>
      <c r="E83" s="43" t="n"/>
      <c r="F83" s="42" t="n"/>
      <c r="G83" s="44" t="n"/>
      <c r="H83" s="45" t="n"/>
      <c r="I83" s="46">
        <f>IF(O83=1,SUMIFS(day_amt,day_year,A83,day_month,B83,day_item,C83),"")</f>
        <v/>
      </c>
      <c r="J83" s="47">
        <f>IF(H83&lt;&gt;"",H83,IF(N(I83)=0,"",I83))</f>
        <v/>
      </c>
      <c r="K83" s="48">
        <f>IF(OR(G83="",J83=""),"",G83-J83)</f>
        <v/>
      </c>
      <c r="L83" s="43" t="n"/>
      <c r="M83" s="43" t="n"/>
      <c r="N83" s="49">
        <f>IF(IFERROR(INDEX(lst_cat_wish,MATCH(D83,lst_cats,0))="Да",FALSE),MAX($N$4:N82)+1,"")</f>
        <v/>
      </c>
      <c r="O83" s="49">
        <f>IF(OR(A83="",B83="",C83="",L83="❌ Отменено"),0,IF(COUNTIFS($A$4:A82,A83,$B$4:B82,B83,$C$4:C82,C83,$L$4:L82,"&lt;&gt;❌ Отменено")=0,1,0))</f>
        <v/>
      </c>
    </row>
    <row r="84">
      <c r="A84" s="42" t="n"/>
      <c r="B84" s="42" t="n"/>
      <c r="C84" s="43" t="n"/>
      <c r="D84" s="43" t="n"/>
      <c r="E84" s="43" t="n"/>
      <c r="F84" s="42" t="n"/>
      <c r="G84" s="44" t="n"/>
      <c r="H84" s="45" t="n"/>
      <c r="I84" s="46">
        <f>IF(O84=1,SUMIFS(day_amt,day_year,A84,day_month,B84,day_item,C84),"")</f>
        <v/>
      </c>
      <c r="J84" s="47">
        <f>IF(H84&lt;&gt;"",H84,IF(N(I84)=0,"",I84))</f>
        <v/>
      </c>
      <c r="K84" s="48">
        <f>IF(OR(G84="",J84=""),"",G84-J84)</f>
        <v/>
      </c>
      <c r="L84" s="43" t="n"/>
      <c r="M84" s="43" t="n"/>
      <c r="N84" s="49">
        <f>IF(IFERROR(INDEX(lst_cat_wish,MATCH(D84,lst_cats,0))="Да",FALSE),MAX($N$4:N83)+1,"")</f>
        <v/>
      </c>
      <c r="O84" s="49">
        <f>IF(OR(A84="",B84="",C84="",L84="❌ Отменено"),0,IF(COUNTIFS($A$4:A83,A84,$B$4:B83,B84,$C$4:C83,C84,$L$4:L83,"&lt;&gt;❌ Отменено")=0,1,0))</f>
        <v/>
      </c>
    </row>
    <row r="85">
      <c r="A85" s="42" t="n"/>
      <c r="B85" s="42" t="n"/>
      <c r="C85" s="43" t="n"/>
      <c r="D85" s="43" t="n"/>
      <c r="E85" s="43" t="n"/>
      <c r="F85" s="42" t="n"/>
      <c r="G85" s="44" t="n"/>
      <c r="H85" s="45" t="n"/>
      <c r="I85" s="46">
        <f>IF(O85=1,SUMIFS(day_amt,day_year,A85,day_month,B85,day_item,C85),"")</f>
        <v/>
      </c>
      <c r="J85" s="47">
        <f>IF(H85&lt;&gt;"",H85,IF(N(I85)=0,"",I85))</f>
        <v/>
      </c>
      <c r="K85" s="48">
        <f>IF(OR(G85="",J85=""),"",G85-J85)</f>
        <v/>
      </c>
      <c r="L85" s="43" t="n"/>
      <c r="M85" s="43" t="n"/>
      <c r="N85" s="49">
        <f>IF(IFERROR(INDEX(lst_cat_wish,MATCH(D85,lst_cats,0))="Да",FALSE),MAX($N$4:N84)+1,"")</f>
        <v/>
      </c>
      <c r="O85" s="49">
        <f>IF(OR(A85="",B85="",C85="",L85="❌ Отменено"),0,IF(COUNTIFS($A$4:A84,A85,$B$4:B84,B85,$C$4:C84,C85,$L$4:L84,"&lt;&gt;❌ Отменено")=0,1,0))</f>
        <v/>
      </c>
    </row>
    <row r="86">
      <c r="A86" s="42" t="n"/>
      <c r="B86" s="42" t="n"/>
      <c r="C86" s="43" t="n"/>
      <c r="D86" s="43" t="n"/>
      <c r="E86" s="43" t="n"/>
      <c r="F86" s="42" t="n"/>
      <c r="G86" s="44" t="n"/>
      <c r="H86" s="45" t="n"/>
      <c r="I86" s="46">
        <f>IF(O86=1,SUMIFS(day_amt,day_year,A86,day_month,B86,day_item,C86),"")</f>
        <v/>
      </c>
      <c r="J86" s="47">
        <f>IF(H86&lt;&gt;"",H86,IF(N(I86)=0,"",I86))</f>
        <v/>
      </c>
      <c r="K86" s="48">
        <f>IF(OR(G86="",J86=""),"",G86-J86)</f>
        <v/>
      </c>
      <c r="L86" s="43" t="n"/>
      <c r="M86" s="43" t="n"/>
      <c r="N86" s="49">
        <f>IF(IFERROR(INDEX(lst_cat_wish,MATCH(D86,lst_cats,0))="Да",FALSE),MAX($N$4:N85)+1,"")</f>
        <v/>
      </c>
      <c r="O86" s="49">
        <f>IF(OR(A86="",B86="",C86="",L86="❌ Отменено"),0,IF(COUNTIFS($A$4:A85,A86,$B$4:B85,B86,$C$4:C85,C86,$L$4:L85,"&lt;&gt;❌ Отменено")=0,1,0))</f>
        <v/>
      </c>
    </row>
    <row r="87">
      <c r="A87" s="42" t="n"/>
      <c r="B87" s="42" t="n"/>
      <c r="C87" s="43" t="n"/>
      <c r="D87" s="43" t="n"/>
      <c r="E87" s="43" t="n"/>
      <c r="F87" s="42" t="n"/>
      <c r="G87" s="44" t="n"/>
      <c r="H87" s="45" t="n"/>
      <c r="I87" s="46">
        <f>IF(O87=1,SUMIFS(day_amt,day_year,A87,day_month,B87,day_item,C87),"")</f>
        <v/>
      </c>
      <c r="J87" s="47">
        <f>IF(H87&lt;&gt;"",H87,IF(N(I87)=0,"",I87))</f>
        <v/>
      </c>
      <c r="K87" s="48">
        <f>IF(OR(G87="",J87=""),"",G87-J87)</f>
        <v/>
      </c>
      <c r="L87" s="43" t="n"/>
      <c r="M87" s="43" t="n"/>
      <c r="N87" s="49">
        <f>IF(IFERROR(INDEX(lst_cat_wish,MATCH(D87,lst_cats,0))="Да",FALSE),MAX($N$4:N86)+1,"")</f>
        <v/>
      </c>
      <c r="O87" s="49">
        <f>IF(OR(A87="",B87="",C87="",L87="❌ Отменено"),0,IF(COUNTIFS($A$4:A86,A87,$B$4:B86,B87,$C$4:C86,C87,$L$4:L86,"&lt;&gt;❌ Отменено")=0,1,0))</f>
        <v/>
      </c>
    </row>
    <row r="88">
      <c r="A88" s="42" t="n"/>
      <c r="B88" s="42" t="n"/>
      <c r="C88" s="43" t="n"/>
      <c r="D88" s="43" t="n"/>
      <c r="E88" s="43" t="n"/>
      <c r="F88" s="42" t="n"/>
      <c r="G88" s="44" t="n"/>
      <c r="H88" s="45" t="n"/>
      <c r="I88" s="46">
        <f>IF(O88=1,SUMIFS(day_amt,day_year,A88,day_month,B88,day_item,C88),"")</f>
        <v/>
      </c>
      <c r="J88" s="47">
        <f>IF(H88&lt;&gt;"",H88,IF(N(I88)=0,"",I88))</f>
        <v/>
      </c>
      <c r="K88" s="48">
        <f>IF(OR(G88="",J88=""),"",G88-J88)</f>
        <v/>
      </c>
      <c r="L88" s="43" t="n"/>
      <c r="M88" s="43" t="n"/>
      <c r="N88" s="49">
        <f>IF(IFERROR(INDEX(lst_cat_wish,MATCH(D88,lst_cats,0))="Да",FALSE),MAX($N$4:N87)+1,"")</f>
        <v/>
      </c>
      <c r="O88" s="49">
        <f>IF(OR(A88="",B88="",C88="",L88="❌ Отменено"),0,IF(COUNTIFS($A$4:A87,A88,$B$4:B87,B88,$C$4:C87,C88,$L$4:L87,"&lt;&gt;❌ Отменено")=0,1,0))</f>
        <v/>
      </c>
    </row>
    <row r="89">
      <c r="A89" s="42" t="n"/>
      <c r="B89" s="42" t="n"/>
      <c r="C89" s="43" t="n"/>
      <c r="D89" s="43" t="n"/>
      <c r="E89" s="43" t="n"/>
      <c r="F89" s="42" t="n"/>
      <c r="G89" s="44" t="n"/>
      <c r="H89" s="45" t="n"/>
      <c r="I89" s="46">
        <f>IF(O89=1,SUMIFS(day_amt,day_year,A89,day_month,B89,day_item,C89),"")</f>
        <v/>
      </c>
      <c r="J89" s="47">
        <f>IF(H89&lt;&gt;"",H89,IF(N(I89)=0,"",I89))</f>
        <v/>
      </c>
      <c r="K89" s="48">
        <f>IF(OR(G89="",J89=""),"",G89-J89)</f>
        <v/>
      </c>
      <c r="L89" s="43" t="n"/>
      <c r="M89" s="43" t="n"/>
      <c r="N89" s="49">
        <f>IF(IFERROR(INDEX(lst_cat_wish,MATCH(D89,lst_cats,0))="Да",FALSE),MAX($N$4:N88)+1,"")</f>
        <v/>
      </c>
      <c r="O89" s="49">
        <f>IF(OR(A89="",B89="",C89="",L89="❌ Отменено"),0,IF(COUNTIFS($A$4:A88,A89,$B$4:B88,B89,$C$4:C88,C89,$L$4:L88,"&lt;&gt;❌ Отменено")=0,1,0))</f>
        <v/>
      </c>
    </row>
    <row r="90">
      <c r="A90" s="42" t="n"/>
      <c r="B90" s="42" t="n"/>
      <c r="C90" s="43" t="n"/>
      <c r="D90" s="43" t="n"/>
      <c r="E90" s="43" t="n"/>
      <c r="F90" s="42" t="n"/>
      <c r="G90" s="44" t="n"/>
      <c r="H90" s="45" t="n"/>
      <c r="I90" s="46">
        <f>IF(O90=1,SUMIFS(day_amt,day_year,A90,day_month,B90,day_item,C90),"")</f>
        <v/>
      </c>
      <c r="J90" s="47">
        <f>IF(H90&lt;&gt;"",H90,IF(N(I90)=0,"",I90))</f>
        <v/>
      </c>
      <c r="K90" s="48">
        <f>IF(OR(G90="",J90=""),"",G90-J90)</f>
        <v/>
      </c>
      <c r="L90" s="43" t="n"/>
      <c r="M90" s="43" t="n"/>
      <c r="N90" s="49">
        <f>IF(IFERROR(INDEX(lst_cat_wish,MATCH(D90,lst_cats,0))="Да",FALSE),MAX($N$4:N89)+1,"")</f>
        <v/>
      </c>
      <c r="O90" s="49">
        <f>IF(OR(A90="",B90="",C90="",L90="❌ Отменено"),0,IF(COUNTIFS($A$4:A89,A90,$B$4:B89,B90,$C$4:C89,C90,$L$4:L89,"&lt;&gt;❌ Отменено")=0,1,0))</f>
        <v/>
      </c>
    </row>
    <row r="91">
      <c r="A91" s="42" t="n"/>
      <c r="B91" s="42" t="n"/>
      <c r="C91" s="43" t="n"/>
      <c r="D91" s="43" t="n"/>
      <c r="E91" s="43" t="n"/>
      <c r="F91" s="42" t="n"/>
      <c r="G91" s="44" t="n"/>
      <c r="H91" s="45" t="n"/>
      <c r="I91" s="46">
        <f>IF(O91=1,SUMIFS(day_amt,day_year,A91,day_month,B91,day_item,C91),"")</f>
        <v/>
      </c>
      <c r="J91" s="47">
        <f>IF(H91&lt;&gt;"",H91,IF(N(I91)=0,"",I91))</f>
        <v/>
      </c>
      <c r="K91" s="48">
        <f>IF(OR(G91="",J91=""),"",G91-J91)</f>
        <v/>
      </c>
      <c r="L91" s="43" t="n"/>
      <c r="M91" s="43" t="n"/>
      <c r="N91" s="49">
        <f>IF(IFERROR(INDEX(lst_cat_wish,MATCH(D91,lst_cats,0))="Да",FALSE),MAX($N$4:N90)+1,"")</f>
        <v/>
      </c>
      <c r="O91" s="49">
        <f>IF(OR(A91="",B91="",C91="",L91="❌ Отменено"),0,IF(COUNTIFS($A$4:A90,A91,$B$4:B90,B91,$C$4:C90,C91,$L$4:L90,"&lt;&gt;❌ Отменено")=0,1,0))</f>
        <v/>
      </c>
    </row>
    <row r="92">
      <c r="A92" s="42" t="n"/>
      <c r="B92" s="42" t="n"/>
      <c r="C92" s="43" t="n"/>
      <c r="D92" s="43" t="n"/>
      <c r="E92" s="43" t="n"/>
      <c r="F92" s="42" t="n"/>
      <c r="G92" s="44" t="n"/>
      <c r="H92" s="45" t="n"/>
      <c r="I92" s="46">
        <f>IF(O92=1,SUMIFS(day_amt,day_year,A92,day_month,B92,day_item,C92),"")</f>
        <v/>
      </c>
      <c r="J92" s="47">
        <f>IF(H92&lt;&gt;"",H92,IF(N(I92)=0,"",I92))</f>
        <v/>
      </c>
      <c r="K92" s="48">
        <f>IF(OR(G92="",J92=""),"",G92-J92)</f>
        <v/>
      </c>
      <c r="L92" s="43" t="n"/>
      <c r="M92" s="43" t="n"/>
      <c r="N92" s="49">
        <f>IF(IFERROR(INDEX(lst_cat_wish,MATCH(D92,lst_cats,0))="Да",FALSE),MAX($N$4:N91)+1,"")</f>
        <v/>
      </c>
      <c r="O92" s="49">
        <f>IF(OR(A92="",B92="",C92="",L92="❌ Отменено"),0,IF(COUNTIFS($A$4:A91,A92,$B$4:B91,B92,$C$4:C91,C92,$L$4:L91,"&lt;&gt;❌ Отменено")=0,1,0))</f>
        <v/>
      </c>
    </row>
    <row r="93">
      <c r="A93" s="42" t="n"/>
      <c r="B93" s="42" t="n"/>
      <c r="C93" s="43" t="n"/>
      <c r="D93" s="43" t="n"/>
      <c r="E93" s="43" t="n"/>
      <c r="F93" s="42" t="n"/>
      <c r="G93" s="44" t="n"/>
      <c r="H93" s="45" t="n"/>
      <c r="I93" s="46">
        <f>IF(O93=1,SUMIFS(day_amt,day_year,A93,day_month,B93,day_item,C93),"")</f>
        <v/>
      </c>
      <c r="J93" s="47">
        <f>IF(H93&lt;&gt;"",H93,IF(N(I93)=0,"",I93))</f>
        <v/>
      </c>
      <c r="K93" s="48">
        <f>IF(OR(G93="",J93=""),"",G93-J93)</f>
        <v/>
      </c>
      <c r="L93" s="43" t="n"/>
      <c r="M93" s="43" t="n"/>
      <c r="N93" s="49">
        <f>IF(IFERROR(INDEX(lst_cat_wish,MATCH(D93,lst_cats,0))="Да",FALSE),MAX($N$4:N92)+1,"")</f>
        <v/>
      </c>
      <c r="O93" s="49">
        <f>IF(OR(A93="",B93="",C93="",L93="❌ Отменено"),0,IF(COUNTIFS($A$4:A92,A93,$B$4:B92,B93,$C$4:C92,C93,$L$4:L92,"&lt;&gt;❌ Отменено")=0,1,0))</f>
        <v/>
      </c>
    </row>
    <row r="94">
      <c r="A94" s="42" t="n"/>
      <c r="B94" s="42" t="n"/>
      <c r="C94" s="43" t="n"/>
      <c r="D94" s="43" t="n"/>
      <c r="E94" s="43" t="n"/>
      <c r="F94" s="42" t="n"/>
      <c r="G94" s="44" t="n"/>
      <c r="H94" s="45" t="n"/>
      <c r="I94" s="46">
        <f>IF(O94=1,SUMIFS(day_amt,day_year,A94,day_month,B94,day_item,C94),"")</f>
        <v/>
      </c>
      <c r="J94" s="47">
        <f>IF(H94&lt;&gt;"",H94,IF(N(I94)=0,"",I94))</f>
        <v/>
      </c>
      <c r="K94" s="48">
        <f>IF(OR(G94="",J94=""),"",G94-J94)</f>
        <v/>
      </c>
      <c r="L94" s="43" t="n"/>
      <c r="M94" s="43" t="n"/>
      <c r="N94" s="49">
        <f>IF(IFERROR(INDEX(lst_cat_wish,MATCH(D94,lst_cats,0))="Да",FALSE),MAX($N$4:N93)+1,"")</f>
        <v/>
      </c>
      <c r="O94" s="49">
        <f>IF(OR(A94="",B94="",C94="",L94="❌ Отменено"),0,IF(COUNTIFS($A$4:A93,A94,$B$4:B93,B94,$C$4:C93,C94,$L$4:L93,"&lt;&gt;❌ Отменено")=0,1,0))</f>
        <v/>
      </c>
    </row>
    <row r="95">
      <c r="A95" s="42" t="n"/>
      <c r="B95" s="42" t="n"/>
      <c r="C95" s="43" t="n"/>
      <c r="D95" s="43" t="n"/>
      <c r="E95" s="43" t="n"/>
      <c r="F95" s="42" t="n"/>
      <c r="G95" s="44" t="n"/>
      <c r="H95" s="45" t="n"/>
      <c r="I95" s="46">
        <f>IF(O95=1,SUMIFS(day_amt,day_year,A95,day_month,B95,day_item,C95),"")</f>
        <v/>
      </c>
      <c r="J95" s="47">
        <f>IF(H95&lt;&gt;"",H95,IF(N(I95)=0,"",I95))</f>
        <v/>
      </c>
      <c r="K95" s="48">
        <f>IF(OR(G95="",J95=""),"",G95-J95)</f>
        <v/>
      </c>
      <c r="L95" s="43" t="n"/>
      <c r="M95" s="43" t="n"/>
      <c r="N95" s="49">
        <f>IF(IFERROR(INDEX(lst_cat_wish,MATCH(D95,lst_cats,0))="Да",FALSE),MAX($N$4:N94)+1,"")</f>
        <v/>
      </c>
      <c r="O95" s="49">
        <f>IF(OR(A95="",B95="",C95="",L95="❌ Отменено"),0,IF(COUNTIFS($A$4:A94,A95,$B$4:B94,B95,$C$4:C94,C95,$L$4:L94,"&lt;&gt;❌ Отменено")=0,1,0))</f>
        <v/>
      </c>
    </row>
    <row r="96">
      <c r="A96" s="42" t="n"/>
      <c r="B96" s="42" t="n"/>
      <c r="C96" s="43" t="n"/>
      <c r="D96" s="43" t="n"/>
      <c r="E96" s="43" t="n"/>
      <c r="F96" s="42" t="n"/>
      <c r="G96" s="44" t="n"/>
      <c r="H96" s="45" t="n"/>
      <c r="I96" s="46">
        <f>IF(O96=1,SUMIFS(day_amt,day_year,A96,day_month,B96,day_item,C96),"")</f>
        <v/>
      </c>
      <c r="J96" s="47">
        <f>IF(H96&lt;&gt;"",H96,IF(N(I96)=0,"",I96))</f>
        <v/>
      </c>
      <c r="K96" s="48">
        <f>IF(OR(G96="",J96=""),"",G96-J96)</f>
        <v/>
      </c>
      <c r="L96" s="43" t="n"/>
      <c r="M96" s="43" t="n"/>
      <c r="N96" s="49">
        <f>IF(IFERROR(INDEX(lst_cat_wish,MATCH(D96,lst_cats,0))="Да",FALSE),MAX($N$4:N95)+1,"")</f>
        <v/>
      </c>
      <c r="O96" s="49">
        <f>IF(OR(A96="",B96="",C96="",L96="❌ Отменено"),0,IF(COUNTIFS($A$4:A95,A96,$B$4:B95,B96,$C$4:C95,C96,$L$4:L95,"&lt;&gt;❌ Отменено")=0,1,0))</f>
        <v/>
      </c>
    </row>
    <row r="97">
      <c r="A97" s="42" t="n"/>
      <c r="B97" s="42" t="n"/>
      <c r="C97" s="43" t="n"/>
      <c r="D97" s="43" t="n"/>
      <c r="E97" s="43" t="n"/>
      <c r="F97" s="42" t="n"/>
      <c r="G97" s="44" t="n"/>
      <c r="H97" s="45" t="n"/>
      <c r="I97" s="46">
        <f>IF(O97=1,SUMIFS(day_amt,day_year,A97,day_month,B97,day_item,C97),"")</f>
        <v/>
      </c>
      <c r="J97" s="47">
        <f>IF(H97&lt;&gt;"",H97,IF(N(I97)=0,"",I97))</f>
        <v/>
      </c>
      <c r="K97" s="48">
        <f>IF(OR(G97="",J97=""),"",G97-J97)</f>
        <v/>
      </c>
      <c r="L97" s="43" t="n"/>
      <c r="M97" s="43" t="n"/>
      <c r="N97" s="49">
        <f>IF(IFERROR(INDEX(lst_cat_wish,MATCH(D97,lst_cats,0))="Да",FALSE),MAX($N$4:N96)+1,"")</f>
        <v/>
      </c>
      <c r="O97" s="49">
        <f>IF(OR(A97="",B97="",C97="",L97="❌ Отменено"),0,IF(COUNTIFS($A$4:A96,A97,$B$4:B96,B97,$C$4:C96,C97,$L$4:L96,"&lt;&gt;❌ Отменено")=0,1,0))</f>
        <v/>
      </c>
    </row>
    <row r="98">
      <c r="A98" s="42" t="n"/>
      <c r="B98" s="42" t="n"/>
      <c r="C98" s="43" t="n"/>
      <c r="D98" s="43" t="n"/>
      <c r="E98" s="43" t="n"/>
      <c r="F98" s="42" t="n"/>
      <c r="G98" s="44" t="n"/>
      <c r="H98" s="45" t="n"/>
      <c r="I98" s="46">
        <f>IF(O98=1,SUMIFS(day_amt,day_year,A98,day_month,B98,day_item,C98),"")</f>
        <v/>
      </c>
      <c r="J98" s="47">
        <f>IF(H98&lt;&gt;"",H98,IF(N(I98)=0,"",I98))</f>
        <v/>
      </c>
      <c r="K98" s="48">
        <f>IF(OR(G98="",J98=""),"",G98-J98)</f>
        <v/>
      </c>
      <c r="L98" s="43" t="n"/>
      <c r="M98" s="43" t="n"/>
      <c r="N98" s="49">
        <f>IF(IFERROR(INDEX(lst_cat_wish,MATCH(D98,lst_cats,0))="Да",FALSE),MAX($N$4:N97)+1,"")</f>
        <v/>
      </c>
      <c r="O98" s="49">
        <f>IF(OR(A98="",B98="",C98="",L98="❌ Отменено"),0,IF(COUNTIFS($A$4:A97,A98,$B$4:B97,B98,$C$4:C97,C98,$L$4:L97,"&lt;&gt;❌ Отменено")=0,1,0))</f>
        <v/>
      </c>
    </row>
    <row r="99">
      <c r="A99" s="42" t="n"/>
      <c r="B99" s="42" t="n"/>
      <c r="C99" s="43" t="n"/>
      <c r="D99" s="43" t="n"/>
      <c r="E99" s="43" t="n"/>
      <c r="F99" s="42" t="n"/>
      <c r="G99" s="44" t="n"/>
      <c r="H99" s="45" t="n"/>
      <c r="I99" s="46">
        <f>IF(O99=1,SUMIFS(day_amt,day_year,A99,day_month,B99,day_item,C99),"")</f>
        <v/>
      </c>
      <c r="J99" s="47">
        <f>IF(H99&lt;&gt;"",H99,IF(N(I99)=0,"",I99))</f>
        <v/>
      </c>
      <c r="K99" s="48">
        <f>IF(OR(G99="",J99=""),"",G99-J99)</f>
        <v/>
      </c>
      <c r="L99" s="43" t="n"/>
      <c r="M99" s="43" t="n"/>
      <c r="N99" s="49">
        <f>IF(IFERROR(INDEX(lst_cat_wish,MATCH(D99,lst_cats,0))="Да",FALSE),MAX($N$4:N98)+1,"")</f>
        <v/>
      </c>
      <c r="O99" s="49">
        <f>IF(OR(A99="",B99="",C99="",L99="❌ Отменено"),0,IF(COUNTIFS($A$4:A98,A99,$B$4:B98,B99,$C$4:C98,C99,$L$4:L98,"&lt;&gt;❌ Отменено")=0,1,0))</f>
        <v/>
      </c>
    </row>
    <row r="100">
      <c r="A100" s="42" t="n"/>
      <c r="B100" s="42" t="n"/>
      <c r="C100" s="43" t="n"/>
      <c r="D100" s="43" t="n"/>
      <c r="E100" s="43" t="n"/>
      <c r="F100" s="42" t="n"/>
      <c r="G100" s="44" t="n"/>
      <c r="H100" s="45" t="n"/>
      <c r="I100" s="46">
        <f>IF(O100=1,SUMIFS(day_amt,day_year,A100,day_month,B100,day_item,C100),"")</f>
        <v/>
      </c>
      <c r="J100" s="47">
        <f>IF(H100&lt;&gt;"",H100,IF(N(I100)=0,"",I100))</f>
        <v/>
      </c>
      <c r="K100" s="48">
        <f>IF(OR(G100="",J100=""),"",G100-J100)</f>
        <v/>
      </c>
      <c r="L100" s="43" t="n"/>
      <c r="M100" s="43" t="n"/>
      <c r="N100" s="49">
        <f>IF(IFERROR(INDEX(lst_cat_wish,MATCH(D100,lst_cats,0))="Да",FALSE),MAX($N$4:N99)+1,"")</f>
        <v/>
      </c>
      <c r="O100" s="49">
        <f>IF(OR(A100="",B100="",C100="",L100="❌ Отменено"),0,IF(COUNTIFS($A$4:A99,A100,$B$4:B99,B100,$C$4:C99,C100,$L$4:L99,"&lt;&gt;❌ Отменено")=0,1,0))</f>
        <v/>
      </c>
    </row>
    <row r="101">
      <c r="A101" s="42" t="n"/>
      <c r="B101" s="42" t="n"/>
      <c r="C101" s="43" t="n"/>
      <c r="D101" s="43" t="n"/>
      <c r="E101" s="43" t="n"/>
      <c r="F101" s="42" t="n"/>
      <c r="G101" s="44" t="n"/>
      <c r="H101" s="45" t="n"/>
      <c r="I101" s="46">
        <f>IF(O101=1,SUMIFS(day_amt,day_year,A101,day_month,B101,day_item,C101),"")</f>
        <v/>
      </c>
      <c r="J101" s="47">
        <f>IF(H101&lt;&gt;"",H101,IF(N(I101)=0,"",I101))</f>
        <v/>
      </c>
      <c r="K101" s="48">
        <f>IF(OR(G101="",J101=""),"",G101-J101)</f>
        <v/>
      </c>
      <c r="L101" s="43" t="n"/>
      <c r="M101" s="43" t="n"/>
      <c r="N101" s="49">
        <f>IF(IFERROR(INDEX(lst_cat_wish,MATCH(D101,lst_cats,0))="Да",FALSE),MAX($N$4:N100)+1,"")</f>
        <v/>
      </c>
      <c r="O101" s="49">
        <f>IF(OR(A101="",B101="",C101="",L101="❌ Отменено"),0,IF(COUNTIFS($A$4:A100,A101,$B$4:B100,B101,$C$4:C100,C101,$L$4:L100,"&lt;&gt;❌ Отменено")=0,1,0))</f>
        <v/>
      </c>
    </row>
    <row r="102">
      <c r="A102" s="42" t="n"/>
      <c r="B102" s="42" t="n"/>
      <c r="C102" s="43" t="n"/>
      <c r="D102" s="43" t="n"/>
      <c r="E102" s="43" t="n"/>
      <c r="F102" s="42" t="n"/>
      <c r="G102" s="44" t="n"/>
      <c r="H102" s="45" t="n"/>
      <c r="I102" s="46">
        <f>IF(O102=1,SUMIFS(day_amt,day_year,A102,day_month,B102,day_item,C102),"")</f>
        <v/>
      </c>
      <c r="J102" s="47">
        <f>IF(H102&lt;&gt;"",H102,IF(N(I102)=0,"",I102))</f>
        <v/>
      </c>
      <c r="K102" s="48">
        <f>IF(OR(G102="",J102=""),"",G102-J102)</f>
        <v/>
      </c>
      <c r="L102" s="43" t="n"/>
      <c r="M102" s="43" t="n"/>
      <c r="N102" s="49">
        <f>IF(IFERROR(INDEX(lst_cat_wish,MATCH(D102,lst_cats,0))="Да",FALSE),MAX($N$4:N101)+1,"")</f>
        <v/>
      </c>
      <c r="O102" s="49">
        <f>IF(OR(A102="",B102="",C102="",L102="❌ Отменено"),0,IF(COUNTIFS($A$4:A101,A102,$B$4:B101,B102,$C$4:C101,C102,$L$4:L101,"&lt;&gt;❌ Отменено")=0,1,0))</f>
        <v/>
      </c>
    </row>
    <row r="103">
      <c r="A103" s="42" t="n"/>
      <c r="B103" s="42" t="n"/>
      <c r="C103" s="43" t="n"/>
      <c r="D103" s="43" t="n"/>
      <c r="E103" s="43" t="n"/>
      <c r="F103" s="42" t="n"/>
      <c r="G103" s="44" t="n"/>
      <c r="H103" s="45" t="n"/>
      <c r="I103" s="46">
        <f>IF(O103=1,SUMIFS(day_amt,day_year,A103,day_month,B103,day_item,C103),"")</f>
        <v/>
      </c>
      <c r="J103" s="47">
        <f>IF(H103&lt;&gt;"",H103,IF(N(I103)=0,"",I103))</f>
        <v/>
      </c>
      <c r="K103" s="48">
        <f>IF(OR(G103="",J103=""),"",G103-J103)</f>
        <v/>
      </c>
      <c r="L103" s="43" t="n"/>
      <c r="M103" s="43" t="n"/>
      <c r="N103" s="49">
        <f>IF(IFERROR(INDEX(lst_cat_wish,MATCH(D103,lst_cats,0))="Да",FALSE),MAX($N$4:N102)+1,"")</f>
        <v/>
      </c>
      <c r="O103" s="49">
        <f>IF(OR(A103="",B103="",C103="",L103="❌ Отменено"),0,IF(COUNTIFS($A$4:A102,A103,$B$4:B102,B103,$C$4:C102,C103,$L$4:L102,"&lt;&gt;❌ Отменено")=0,1,0))</f>
        <v/>
      </c>
    </row>
    <row r="104">
      <c r="A104" s="42" t="n"/>
      <c r="B104" s="42" t="n"/>
      <c r="C104" s="43" t="n"/>
      <c r="D104" s="43" t="n"/>
      <c r="E104" s="43" t="n"/>
      <c r="F104" s="42" t="n"/>
      <c r="G104" s="44" t="n"/>
      <c r="H104" s="45" t="n"/>
      <c r="I104" s="46">
        <f>IF(O104=1,SUMIFS(day_amt,day_year,A104,day_month,B104,day_item,C104),"")</f>
        <v/>
      </c>
      <c r="J104" s="47">
        <f>IF(H104&lt;&gt;"",H104,IF(N(I104)=0,"",I104))</f>
        <v/>
      </c>
      <c r="K104" s="48">
        <f>IF(OR(G104="",J104=""),"",G104-J104)</f>
        <v/>
      </c>
      <c r="L104" s="43" t="n"/>
      <c r="M104" s="43" t="n"/>
      <c r="N104" s="49">
        <f>IF(IFERROR(INDEX(lst_cat_wish,MATCH(D104,lst_cats,0))="Да",FALSE),MAX($N$4:N103)+1,"")</f>
        <v/>
      </c>
      <c r="O104" s="49">
        <f>IF(OR(A104="",B104="",C104="",L104="❌ Отменено"),0,IF(COUNTIFS($A$4:A103,A104,$B$4:B103,B104,$C$4:C103,C104,$L$4:L103,"&lt;&gt;❌ Отменено")=0,1,0))</f>
        <v/>
      </c>
    </row>
    <row r="105">
      <c r="A105" s="42" t="n"/>
      <c r="B105" s="42" t="n"/>
      <c r="C105" s="43" t="n"/>
      <c r="D105" s="43" t="n"/>
      <c r="E105" s="43" t="n"/>
      <c r="F105" s="42" t="n"/>
      <c r="G105" s="44" t="n"/>
      <c r="H105" s="45" t="n"/>
      <c r="I105" s="46">
        <f>IF(O105=1,SUMIFS(day_amt,day_year,A105,day_month,B105,day_item,C105),"")</f>
        <v/>
      </c>
      <c r="J105" s="47">
        <f>IF(H105&lt;&gt;"",H105,IF(N(I105)=0,"",I105))</f>
        <v/>
      </c>
      <c r="K105" s="48">
        <f>IF(OR(G105="",J105=""),"",G105-J105)</f>
        <v/>
      </c>
      <c r="L105" s="43" t="n"/>
      <c r="M105" s="43" t="n"/>
      <c r="N105" s="49">
        <f>IF(IFERROR(INDEX(lst_cat_wish,MATCH(D105,lst_cats,0))="Да",FALSE),MAX($N$4:N104)+1,"")</f>
        <v/>
      </c>
      <c r="O105" s="49">
        <f>IF(OR(A105="",B105="",C105="",L105="❌ Отменено"),0,IF(COUNTIFS($A$4:A104,A105,$B$4:B104,B105,$C$4:C104,C105,$L$4:L104,"&lt;&gt;❌ Отменено")=0,1,0))</f>
        <v/>
      </c>
    </row>
    <row r="106">
      <c r="A106" s="42" t="n"/>
      <c r="B106" s="42" t="n"/>
      <c r="C106" s="43" t="n"/>
      <c r="D106" s="43" t="n"/>
      <c r="E106" s="43" t="n"/>
      <c r="F106" s="42" t="n"/>
      <c r="G106" s="44" t="n"/>
      <c r="H106" s="45" t="n"/>
      <c r="I106" s="46">
        <f>IF(O106=1,SUMIFS(day_amt,day_year,A106,day_month,B106,day_item,C106),"")</f>
        <v/>
      </c>
      <c r="J106" s="47">
        <f>IF(H106&lt;&gt;"",H106,IF(N(I106)=0,"",I106))</f>
        <v/>
      </c>
      <c r="K106" s="48">
        <f>IF(OR(G106="",J106=""),"",G106-J106)</f>
        <v/>
      </c>
      <c r="L106" s="43" t="n"/>
      <c r="M106" s="43" t="n"/>
      <c r="N106" s="49">
        <f>IF(IFERROR(INDEX(lst_cat_wish,MATCH(D106,lst_cats,0))="Да",FALSE),MAX($N$4:N105)+1,"")</f>
        <v/>
      </c>
      <c r="O106" s="49">
        <f>IF(OR(A106="",B106="",C106="",L106="❌ Отменено"),0,IF(COUNTIFS($A$4:A105,A106,$B$4:B105,B106,$C$4:C105,C106,$L$4:L105,"&lt;&gt;❌ Отменено")=0,1,0))</f>
        <v/>
      </c>
    </row>
    <row r="107">
      <c r="A107" s="42" t="n"/>
      <c r="B107" s="42" t="n"/>
      <c r="C107" s="43" t="n"/>
      <c r="D107" s="43" t="n"/>
      <c r="E107" s="43" t="n"/>
      <c r="F107" s="42" t="n"/>
      <c r="G107" s="44" t="n"/>
      <c r="H107" s="45" t="n"/>
      <c r="I107" s="46">
        <f>IF(O107=1,SUMIFS(day_amt,day_year,A107,day_month,B107,day_item,C107),"")</f>
        <v/>
      </c>
      <c r="J107" s="47">
        <f>IF(H107&lt;&gt;"",H107,IF(N(I107)=0,"",I107))</f>
        <v/>
      </c>
      <c r="K107" s="48">
        <f>IF(OR(G107="",J107=""),"",G107-J107)</f>
        <v/>
      </c>
      <c r="L107" s="43" t="n"/>
      <c r="M107" s="43" t="n"/>
      <c r="N107" s="49">
        <f>IF(IFERROR(INDEX(lst_cat_wish,MATCH(D107,lst_cats,0))="Да",FALSE),MAX($N$4:N106)+1,"")</f>
        <v/>
      </c>
      <c r="O107" s="49">
        <f>IF(OR(A107="",B107="",C107="",L107="❌ Отменено"),0,IF(COUNTIFS($A$4:A106,A107,$B$4:B106,B107,$C$4:C106,C107,$L$4:L106,"&lt;&gt;❌ Отменено")=0,1,0))</f>
        <v/>
      </c>
    </row>
    <row r="108">
      <c r="A108" s="42" t="n"/>
      <c r="B108" s="42" t="n"/>
      <c r="C108" s="43" t="n"/>
      <c r="D108" s="43" t="n"/>
      <c r="E108" s="43" t="n"/>
      <c r="F108" s="42" t="n"/>
      <c r="G108" s="44" t="n"/>
      <c r="H108" s="45" t="n"/>
      <c r="I108" s="46">
        <f>IF(O108=1,SUMIFS(day_amt,day_year,A108,day_month,B108,day_item,C108),"")</f>
        <v/>
      </c>
      <c r="J108" s="47">
        <f>IF(H108&lt;&gt;"",H108,IF(N(I108)=0,"",I108))</f>
        <v/>
      </c>
      <c r="K108" s="48">
        <f>IF(OR(G108="",J108=""),"",G108-J108)</f>
        <v/>
      </c>
      <c r="L108" s="43" t="n"/>
      <c r="M108" s="43" t="n"/>
      <c r="N108" s="49">
        <f>IF(IFERROR(INDEX(lst_cat_wish,MATCH(D108,lst_cats,0))="Да",FALSE),MAX($N$4:N107)+1,"")</f>
        <v/>
      </c>
      <c r="O108" s="49">
        <f>IF(OR(A108="",B108="",C108="",L108="❌ Отменено"),0,IF(COUNTIFS($A$4:A107,A108,$B$4:B107,B108,$C$4:C107,C108,$L$4:L107,"&lt;&gt;❌ Отменено")=0,1,0))</f>
        <v/>
      </c>
    </row>
    <row r="109">
      <c r="A109" s="42" t="n"/>
      <c r="B109" s="42" t="n"/>
      <c r="C109" s="43" t="n"/>
      <c r="D109" s="43" t="n"/>
      <c r="E109" s="43" t="n"/>
      <c r="F109" s="42" t="n"/>
      <c r="G109" s="44" t="n"/>
      <c r="H109" s="45" t="n"/>
      <c r="I109" s="46">
        <f>IF(O109=1,SUMIFS(day_amt,day_year,A109,day_month,B109,day_item,C109),"")</f>
        <v/>
      </c>
      <c r="J109" s="47">
        <f>IF(H109&lt;&gt;"",H109,IF(N(I109)=0,"",I109))</f>
        <v/>
      </c>
      <c r="K109" s="48">
        <f>IF(OR(G109="",J109=""),"",G109-J109)</f>
        <v/>
      </c>
      <c r="L109" s="43" t="n"/>
      <c r="M109" s="43" t="n"/>
      <c r="N109" s="49">
        <f>IF(IFERROR(INDEX(lst_cat_wish,MATCH(D109,lst_cats,0))="Да",FALSE),MAX($N$4:N108)+1,"")</f>
        <v/>
      </c>
      <c r="O109" s="49">
        <f>IF(OR(A109="",B109="",C109="",L109="❌ Отменено"),0,IF(COUNTIFS($A$4:A108,A109,$B$4:B108,B109,$C$4:C108,C109,$L$4:L108,"&lt;&gt;❌ Отменено")=0,1,0))</f>
        <v/>
      </c>
    </row>
    <row r="110">
      <c r="A110" s="42" t="n"/>
      <c r="B110" s="42" t="n"/>
      <c r="C110" s="43" t="n"/>
      <c r="D110" s="43" t="n"/>
      <c r="E110" s="43" t="n"/>
      <c r="F110" s="42" t="n"/>
      <c r="G110" s="44" t="n"/>
      <c r="H110" s="45" t="n"/>
      <c r="I110" s="46">
        <f>IF(O110=1,SUMIFS(day_amt,day_year,A110,day_month,B110,day_item,C110),"")</f>
        <v/>
      </c>
      <c r="J110" s="47">
        <f>IF(H110&lt;&gt;"",H110,IF(N(I110)=0,"",I110))</f>
        <v/>
      </c>
      <c r="K110" s="48">
        <f>IF(OR(G110="",J110=""),"",G110-J110)</f>
        <v/>
      </c>
      <c r="L110" s="43" t="n"/>
      <c r="M110" s="43" t="n"/>
      <c r="N110" s="49">
        <f>IF(IFERROR(INDEX(lst_cat_wish,MATCH(D110,lst_cats,0))="Да",FALSE),MAX($N$4:N109)+1,"")</f>
        <v/>
      </c>
      <c r="O110" s="49">
        <f>IF(OR(A110="",B110="",C110="",L110="❌ Отменено"),0,IF(COUNTIFS($A$4:A109,A110,$B$4:B109,B110,$C$4:C109,C110,$L$4:L109,"&lt;&gt;❌ Отменено")=0,1,0))</f>
        <v/>
      </c>
    </row>
    <row r="111">
      <c r="A111" s="42" t="n"/>
      <c r="B111" s="42" t="n"/>
      <c r="C111" s="43" t="n"/>
      <c r="D111" s="43" t="n"/>
      <c r="E111" s="43" t="n"/>
      <c r="F111" s="42" t="n"/>
      <c r="G111" s="44" t="n"/>
      <c r="H111" s="45" t="n"/>
      <c r="I111" s="46">
        <f>IF(O111=1,SUMIFS(day_amt,day_year,A111,day_month,B111,day_item,C111),"")</f>
        <v/>
      </c>
      <c r="J111" s="47">
        <f>IF(H111&lt;&gt;"",H111,IF(N(I111)=0,"",I111))</f>
        <v/>
      </c>
      <c r="K111" s="48">
        <f>IF(OR(G111="",J111=""),"",G111-J111)</f>
        <v/>
      </c>
      <c r="L111" s="43" t="n"/>
      <c r="M111" s="43" t="n"/>
      <c r="N111" s="49">
        <f>IF(IFERROR(INDEX(lst_cat_wish,MATCH(D111,lst_cats,0))="Да",FALSE),MAX($N$4:N110)+1,"")</f>
        <v/>
      </c>
      <c r="O111" s="49">
        <f>IF(OR(A111="",B111="",C111="",L111="❌ Отменено"),0,IF(COUNTIFS($A$4:A110,A111,$B$4:B110,B111,$C$4:C110,C111,$L$4:L110,"&lt;&gt;❌ Отменено")=0,1,0))</f>
        <v/>
      </c>
    </row>
    <row r="112">
      <c r="A112" s="42" t="n"/>
      <c r="B112" s="42" t="n"/>
      <c r="C112" s="43" t="n"/>
      <c r="D112" s="43" t="n"/>
      <c r="E112" s="43" t="n"/>
      <c r="F112" s="42" t="n"/>
      <c r="G112" s="44" t="n"/>
      <c r="H112" s="45" t="n"/>
      <c r="I112" s="46">
        <f>IF(O112=1,SUMIFS(day_amt,day_year,A112,day_month,B112,day_item,C112),"")</f>
        <v/>
      </c>
      <c r="J112" s="47">
        <f>IF(H112&lt;&gt;"",H112,IF(N(I112)=0,"",I112))</f>
        <v/>
      </c>
      <c r="K112" s="48">
        <f>IF(OR(G112="",J112=""),"",G112-J112)</f>
        <v/>
      </c>
      <c r="L112" s="43" t="n"/>
      <c r="M112" s="43" t="n"/>
      <c r="N112" s="49">
        <f>IF(IFERROR(INDEX(lst_cat_wish,MATCH(D112,lst_cats,0))="Да",FALSE),MAX($N$4:N111)+1,"")</f>
        <v/>
      </c>
      <c r="O112" s="49">
        <f>IF(OR(A112="",B112="",C112="",L112="❌ Отменено"),0,IF(COUNTIFS($A$4:A111,A112,$B$4:B111,B112,$C$4:C111,C112,$L$4:L111,"&lt;&gt;❌ Отменено")=0,1,0))</f>
        <v/>
      </c>
    </row>
    <row r="113">
      <c r="A113" s="42" t="n"/>
      <c r="B113" s="42" t="n"/>
      <c r="C113" s="43" t="n"/>
      <c r="D113" s="43" t="n"/>
      <c r="E113" s="43" t="n"/>
      <c r="F113" s="42" t="n"/>
      <c r="G113" s="44" t="n"/>
      <c r="H113" s="45" t="n"/>
      <c r="I113" s="46">
        <f>IF(O113=1,SUMIFS(day_amt,day_year,A113,day_month,B113,day_item,C113),"")</f>
        <v/>
      </c>
      <c r="J113" s="47">
        <f>IF(H113&lt;&gt;"",H113,IF(N(I113)=0,"",I113))</f>
        <v/>
      </c>
      <c r="K113" s="48">
        <f>IF(OR(G113="",J113=""),"",G113-J113)</f>
        <v/>
      </c>
      <c r="L113" s="43" t="n"/>
      <c r="M113" s="43" t="n"/>
      <c r="N113" s="49">
        <f>IF(IFERROR(INDEX(lst_cat_wish,MATCH(D113,lst_cats,0))="Да",FALSE),MAX($N$4:N112)+1,"")</f>
        <v/>
      </c>
      <c r="O113" s="49">
        <f>IF(OR(A113="",B113="",C113="",L113="❌ Отменено"),0,IF(COUNTIFS($A$4:A112,A113,$B$4:B112,B113,$C$4:C112,C113,$L$4:L112,"&lt;&gt;❌ Отменено")=0,1,0))</f>
        <v/>
      </c>
    </row>
    <row r="114">
      <c r="A114" s="42" t="n"/>
      <c r="B114" s="42" t="n"/>
      <c r="C114" s="43" t="n"/>
      <c r="D114" s="43" t="n"/>
      <c r="E114" s="43" t="n"/>
      <c r="F114" s="42" t="n"/>
      <c r="G114" s="44" t="n"/>
      <c r="H114" s="45" t="n"/>
      <c r="I114" s="46">
        <f>IF(O114=1,SUMIFS(day_amt,day_year,A114,day_month,B114,day_item,C114),"")</f>
        <v/>
      </c>
      <c r="J114" s="47">
        <f>IF(H114&lt;&gt;"",H114,IF(N(I114)=0,"",I114))</f>
        <v/>
      </c>
      <c r="K114" s="48">
        <f>IF(OR(G114="",J114=""),"",G114-J114)</f>
        <v/>
      </c>
      <c r="L114" s="43" t="n"/>
      <c r="M114" s="43" t="n"/>
      <c r="N114" s="49">
        <f>IF(IFERROR(INDEX(lst_cat_wish,MATCH(D114,lst_cats,0))="Да",FALSE),MAX($N$4:N113)+1,"")</f>
        <v/>
      </c>
      <c r="O114" s="49">
        <f>IF(OR(A114="",B114="",C114="",L114="❌ Отменено"),0,IF(COUNTIFS($A$4:A113,A114,$B$4:B113,B114,$C$4:C113,C114,$L$4:L113,"&lt;&gt;❌ Отменено")=0,1,0))</f>
        <v/>
      </c>
    </row>
    <row r="115">
      <c r="A115" s="42" t="n"/>
      <c r="B115" s="42" t="n"/>
      <c r="C115" s="43" t="n"/>
      <c r="D115" s="43" t="n"/>
      <c r="E115" s="43" t="n"/>
      <c r="F115" s="42" t="n"/>
      <c r="G115" s="44" t="n"/>
      <c r="H115" s="45" t="n"/>
      <c r="I115" s="46">
        <f>IF(O115=1,SUMIFS(day_amt,day_year,A115,day_month,B115,day_item,C115),"")</f>
        <v/>
      </c>
      <c r="J115" s="47">
        <f>IF(H115&lt;&gt;"",H115,IF(N(I115)=0,"",I115))</f>
        <v/>
      </c>
      <c r="K115" s="48">
        <f>IF(OR(G115="",J115=""),"",G115-J115)</f>
        <v/>
      </c>
      <c r="L115" s="43" t="n"/>
      <c r="M115" s="43" t="n"/>
      <c r="N115" s="49">
        <f>IF(IFERROR(INDEX(lst_cat_wish,MATCH(D115,lst_cats,0))="Да",FALSE),MAX($N$4:N114)+1,"")</f>
        <v/>
      </c>
      <c r="O115" s="49">
        <f>IF(OR(A115="",B115="",C115="",L115="❌ Отменено"),0,IF(COUNTIFS($A$4:A114,A115,$B$4:B114,B115,$C$4:C114,C115,$L$4:L114,"&lt;&gt;❌ Отменено")=0,1,0))</f>
        <v/>
      </c>
    </row>
    <row r="116">
      <c r="A116" s="42" t="n"/>
      <c r="B116" s="42" t="n"/>
      <c r="C116" s="43" t="n"/>
      <c r="D116" s="43" t="n"/>
      <c r="E116" s="43" t="n"/>
      <c r="F116" s="42" t="n"/>
      <c r="G116" s="44" t="n"/>
      <c r="H116" s="45" t="n"/>
      <c r="I116" s="46">
        <f>IF(O116=1,SUMIFS(day_amt,day_year,A116,day_month,B116,day_item,C116),"")</f>
        <v/>
      </c>
      <c r="J116" s="47">
        <f>IF(H116&lt;&gt;"",H116,IF(N(I116)=0,"",I116))</f>
        <v/>
      </c>
      <c r="K116" s="48">
        <f>IF(OR(G116="",J116=""),"",G116-J116)</f>
        <v/>
      </c>
      <c r="L116" s="43" t="n"/>
      <c r="M116" s="43" t="n"/>
      <c r="N116" s="49">
        <f>IF(IFERROR(INDEX(lst_cat_wish,MATCH(D116,lst_cats,0))="Да",FALSE),MAX($N$4:N115)+1,"")</f>
        <v/>
      </c>
      <c r="O116" s="49">
        <f>IF(OR(A116="",B116="",C116="",L116="❌ Отменено"),0,IF(COUNTIFS($A$4:A115,A116,$B$4:B115,B116,$C$4:C115,C116,$L$4:L115,"&lt;&gt;❌ Отменено")=0,1,0))</f>
        <v/>
      </c>
    </row>
    <row r="117">
      <c r="A117" s="42" t="n"/>
      <c r="B117" s="42" t="n"/>
      <c r="C117" s="43" t="n"/>
      <c r="D117" s="43" t="n"/>
      <c r="E117" s="43" t="n"/>
      <c r="F117" s="42" t="n"/>
      <c r="G117" s="44" t="n"/>
      <c r="H117" s="45" t="n"/>
      <c r="I117" s="46">
        <f>IF(O117=1,SUMIFS(day_amt,day_year,A117,day_month,B117,day_item,C117),"")</f>
        <v/>
      </c>
      <c r="J117" s="47">
        <f>IF(H117&lt;&gt;"",H117,IF(N(I117)=0,"",I117))</f>
        <v/>
      </c>
      <c r="K117" s="48">
        <f>IF(OR(G117="",J117=""),"",G117-J117)</f>
        <v/>
      </c>
      <c r="L117" s="43" t="n"/>
      <c r="M117" s="43" t="n"/>
      <c r="N117" s="49">
        <f>IF(IFERROR(INDEX(lst_cat_wish,MATCH(D117,lst_cats,0))="Да",FALSE),MAX($N$4:N116)+1,"")</f>
        <v/>
      </c>
      <c r="O117" s="49">
        <f>IF(OR(A117="",B117="",C117="",L117="❌ Отменено"),0,IF(COUNTIFS($A$4:A116,A117,$B$4:B116,B117,$C$4:C116,C117,$L$4:L116,"&lt;&gt;❌ Отменено")=0,1,0))</f>
        <v/>
      </c>
    </row>
    <row r="118">
      <c r="A118" s="42" t="n"/>
      <c r="B118" s="42" t="n"/>
      <c r="C118" s="43" t="n"/>
      <c r="D118" s="43" t="n"/>
      <c r="E118" s="43" t="n"/>
      <c r="F118" s="42" t="n"/>
      <c r="G118" s="44" t="n"/>
      <c r="H118" s="45" t="n"/>
      <c r="I118" s="46">
        <f>IF(O118=1,SUMIFS(day_amt,day_year,A118,day_month,B118,day_item,C118),"")</f>
        <v/>
      </c>
      <c r="J118" s="47">
        <f>IF(H118&lt;&gt;"",H118,IF(N(I118)=0,"",I118))</f>
        <v/>
      </c>
      <c r="K118" s="48">
        <f>IF(OR(G118="",J118=""),"",G118-J118)</f>
        <v/>
      </c>
      <c r="L118" s="43" t="n"/>
      <c r="M118" s="43" t="n"/>
      <c r="N118" s="49">
        <f>IF(IFERROR(INDEX(lst_cat_wish,MATCH(D118,lst_cats,0))="Да",FALSE),MAX($N$4:N117)+1,"")</f>
        <v/>
      </c>
      <c r="O118" s="49">
        <f>IF(OR(A118="",B118="",C118="",L118="❌ Отменено"),0,IF(COUNTIFS($A$4:A117,A118,$B$4:B117,B118,$C$4:C117,C118,$L$4:L117,"&lt;&gt;❌ Отменено")=0,1,0))</f>
        <v/>
      </c>
    </row>
    <row r="119">
      <c r="A119" s="42" t="n"/>
      <c r="B119" s="42" t="n"/>
      <c r="C119" s="43" t="n"/>
      <c r="D119" s="43" t="n"/>
      <c r="E119" s="43" t="n"/>
      <c r="F119" s="42" t="n"/>
      <c r="G119" s="44" t="n"/>
      <c r="H119" s="45" t="n"/>
      <c r="I119" s="46">
        <f>IF(O119=1,SUMIFS(day_amt,day_year,A119,day_month,B119,day_item,C119),"")</f>
        <v/>
      </c>
      <c r="J119" s="47">
        <f>IF(H119&lt;&gt;"",H119,IF(N(I119)=0,"",I119))</f>
        <v/>
      </c>
      <c r="K119" s="48">
        <f>IF(OR(G119="",J119=""),"",G119-J119)</f>
        <v/>
      </c>
      <c r="L119" s="43" t="n"/>
      <c r="M119" s="43" t="n"/>
      <c r="N119" s="49">
        <f>IF(IFERROR(INDEX(lst_cat_wish,MATCH(D119,lst_cats,0))="Да",FALSE),MAX($N$4:N118)+1,"")</f>
        <v/>
      </c>
      <c r="O119" s="49">
        <f>IF(OR(A119="",B119="",C119="",L119="❌ Отменено"),0,IF(COUNTIFS($A$4:A118,A119,$B$4:B118,B119,$C$4:C118,C119,$L$4:L118,"&lt;&gt;❌ Отменено")=0,1,0))</f>
        <v/>
      </c>
    </row>
    <row r="120">
      <c r="A120" s="42" t="n"/>
      <c r="B120" s="42" t="n"/>
      <c r="C120" s="43" t="n"/>
      <c r="D120" s="43" t="n"/>
      <c r="E120" s="43" t="n"/>
      <c r="F120" s="42" t="n"/>
      <c r="G120" s="44" t="n"/>
      <c r="H120" s="45" t="n"/>
      <c r="I120" s="46">
        <f>IF(O120=1,SUMIFS(day_amt,day_year,A120,day_month,B120,day_item,C120),"")</f>
        <v/>
      </c>
      <c r="J120" s="47">
        <f>IF(H120&lt;&gt;"",H120,IF(N(I120)=0,"",I120))</f>
        <v/>
      </c>
      <c r="K120" s="48">
        <f>IF(OR(G120="",J120=""),"",G120-J120)</f>
        <v/>
      </c>
      <c r="L120" s="43" t="n"/>
      <c r="M120" s="43" t="n"/>
      <c r="N120" s="49">
        <f>IF(IFERROR(INDEX(lst_cat_wish,MATCH(D120,lst_cats,0))="Да",FALSE),MAX($N$4:N119)+1,"")</f>
        <v/>
      </c>
      <c r="O120" s="49">
        <f>IF(OR(A120="",B120="",C120="",L120="❌ Отменено"),0,IF(COUNTIFS($A$4:A119,A120,$B$4:B119,B120,$C$4:C119,C120,$L$4:L119,"&lt;&gt;❌ Отменено")=0,1,0))</f>
        <v/>
      </c>
    </row>
    <row r="121">
      <c r="A121" s="42" t="n"/>
      <c r="B121" s="42" t="n"/>
      <c r="C121" s="43" t="n"/>
      <c r="D121" s="43" t="n"/>
      <c r="E121" s="43" t="n"/>
      <c r="F121" s="42" t="n"/>
      <c r="G121" s="44" t="n"/>
      <c r="H121" s="45" t="n"/>
      <c r="I121" s="46">
        <f>IF(O121=1,SUMIFS(day_amt,day_year,A121,day_month,B121,day_item,C121),"")</f>
        <v/>
      </c>
      <c r="J121" s="47">
        <f>IF(H121&lt;&gt;"",H121,IF(N(I121)=0,"",I121))</f>
        <v/>
      </c>
      <c r="K121" s="48">
        <f>IF(OR(G121="",J121=""),"",G121-J121)</f>
        <v/>
      </c>
      <c r="L121" s="43" t="n"/>
      <c r="M121" s="43" t="n"/>
      <c r="N121" s="49">
        <f>IF(IFERROR(INDEX(lst_cat_wish,MATCH(D121,lst_cats,0))="Да",FALSE),MAX($N$4:N120)+1,"")</f>
        <v/>
      </c>
      <c r="O121" s="49">
        <f>IF(OR(A121="",B121="",C121="",L121="❌ Отменено"),0,IF(COUNTIFS($A$4:A120,A121,$B$4:B120,B121,$C$4:C120,C121,$L$4:L120,"&lt;&gt;❌ Отменено")=0,1,0))</f>
        <v/>
      </c>
    </row>
    <row r="122">
      <c r="A122" s="42" t="n"/>
      <c r="B122" s="42" t="n"/>
      <c r="C122" s="43" t="n"/>
      <c r="D122" s="43" t="n"/>
      <c r="E122" s="43" t="n"/>
      <c r="F122" s="42" t="n"/>
      <c r="G122" s="44" t="n"/>
      <c r="H122" s="45" t="n"/>
      <c r="I122" s="46">
        <f>IF(O122=1,SUMIFS(day_amt,day_year,A122,day_month,B122,day_item,C122),"")</f>
        <v/>
      </c>
      <c r="J122" s="47">
        <f>IF(H122&lt;&gt;"",H122,IF(N(I122)=0,"",I122))</f>
        <v/>
      </c>
      <c r="K122" s="48">
        <f>IF(OR(G122="",J122=""),"",G122-J122)</f>
        <v/>
      </c>
      <c r="L122" s="43" t="n"/>
      <c r="M122" s="43" t="n"/>
      <c r="N122" s="49">
        <f>IF(IFERROR(INDEX(lst_cat_wish,MATCH(D122,lst_cats,0))="Да",FALSE),MAX($N$4:N121)+1,"")</f>
        <v/>
      </c>
      <c r="O122" s="49">
        <f>IF(OR(A122="",B122="",C122="",L122="❌ Отменено"),0,IF(COUNTIFS($A$4:A121,A122,$B$4:B121,B122,$C$4:C121,C122,$L$4:L121,"&lt;&gt;❌ Отменено")=0,1,0))</f>
        <v/>
      </c>
    </row>
    <row r="123">
      <c r="A123" s="42" t="n"/>
      <c r="B123" s="42" t="n"/>
      <c r="C123" s="43" t="n"/>
      <c r="D123" s="43" t="n"/>
      <c r="E123" s="43" t="n"/>
      <c r="F123" s="42" t="n"/>
      <c r="G123" s="44" t="n"/>
      <c r="H123" s="45" t="n"/>
      <c r="I123" s="46">
        <f>IF(O123=1,SUMIFS(day_amt,day_year,A123,day_month,B123,day_item,C123),"")</f>
        <v/>
      </c>
      <c r="J123" s="47">
        <f>IF(H123&lt;&gt;"",H123,IF(N(I123)=0,"",I123))</f>
        <v/>
      </c>
      <c r="K123" s="48">
        <f>IF(OR(G123="",J123=""),"",G123-J123)</f>
        <v/>
      </c>
      <c r="L123" s="43" t="n"/>
      <c r="M123" s="43" t="n"/>
      <c r="N123" s="49">
        <f>IF(IFERROR(INDEX(lst_cat_wish,MATCH(D123,lst_cats,0))="Да",FALSE),MAX($N$4:N122)+1,"")</f>
        <v/>
      </c>
      <c r="O123" s="49">
        <f>IF(OR(A123="",B123="",C123="",L123="❌ Отменено"),0,IF(COUNTIFS($A$4:A122,A123,$B$4:B122,B123,$C$4:C122,C123,$L$4:L122,"&lt;&gt;❌ Отменено")=0,1,0))</f>
        <v/>
      </c>
    </row>
    <row r="124">
      <c r="A124" s="42" t="n"/>
      <c r="B124" s="42" t="n"/>
      <c r="C124" s="43" t="n"/>
      <c r="D124" s="43" t="n"/>
      <c r="E124" s="43" t="n"/>
      <c r="F124" s="42" t="n"/>
      <c r="G124" s="44" t="n"/>
      <c r="H124" s="45" t="n"/>
      <c r="I124" s="46">
        <f>IF(O124=1,SUMIFS(day_amt,day_year,A124,day_month,B124,day_item,C124),"")</f>
        <v/>
      </c>
      <c r="J124" s="47">
        <f>IF(H124&lt;&gt;"",H124,IF(N(I124)=0,"",I124))</f>
        <v/>
      </c>
      <c r="K124" s="48">
        <f>IF(OR(G124="",J124=""),"",G124-J124)</f>
        <v/>
      </c>
      <c r="L124" s="43" t="n"/>
      <c r="M124" s="43" t="n"/>
      <c r="N124" s="49">
        <f>IF(IFERROR(INDEX(lst_cat_wish,MATCH(D124,lst_cats,0))="Да",FALSE),MAX($N$4:N123)+1,"")</f>
        <v/>
      </c>
      <c r="O124" s="49">
        <f>IF(OR(A124="",B124="",C124="",L124="❌ Отменено"),0,IF(COUNTIFS($A$4:A123,A124,$B$4:B123,B124,$C$4:C123,C124,$L$4:L123,"&lt;&gt;❌ Отменено")=0,1,0))</f>
        <v/>
      </c>
    </row>
    <row r="125">
      <c r="A125" s="42" t="n"/>
      <c r="B125" s="42" t="n"/>
      <c r="C125" s="43" t="n"/>
      <c r="D125" s="43" t="n"/>
      <c r="E125" s="43" t="n"/>
      <c r="F125" s="42" t="n"/>
      <c r="G125" s="44" t="n"/>
      <c r="H125" s="45" t="n"/>
      <c r="I125" s="46">
        <f>IF(O125=1,SUMIFS(day_amt,day_year,A125,day_month,B125,day_item,C125),"")</f>
        <v/>
      </c>
      <c r="J125" s="47">
        <f>IF(H125&lt;&gt;"",H125,IF(N(I125)=0,"",I125))</f>
        <v/>
      </c>
      <c r="K125" s="48">
        <f>IF(OR(G125="",J125=""),"",G125-J125)</f>
        <v/>
      </c>
      <c r="L125" s="43" t="n"/>
      <c r="M125" s="43" t="n"/>
      <c r="N125" s="49">
        <f>IF(IFERROR(INDEX(lst_cat_wish,MATCH(D125,lst_cats,0))="Да",FALSE),MAX($N$4:N124)+1,"")</f>
        <v/>
      </c>
      <c r="O125" s="49">
        <f>IF(OR(A125="",B125="",C125="",L125="❌ Отменено"),0,IF(COUNTIFS($A$4:A124,A125,$B$4:B124,B125,$C$4:C124,C125,$L$4:L124,"&lt;&gt;❌ Отменено")=0,1,0))</f>
        <v/>
      </c>
    </row>
    <row r="126">
      <c r="A126" s="42" t="n"/>
      <c r="B126" s="42" t="n"/>
      <c r="C126" s="43" t="n"/>
      <c r="D126" s="43" t="n"/>
      <c r="E126" s="43" t="n"/>
      <c r="F126" s="42" t="n"/>
      <c r="G126" s="44" t="n"/>
      <c r="H126" s="45" t="n"/>
      <c r="I126" s="46">
        <f>IF(O126=1,SUMIFS(day_amt,day_year,A126,day_month,B126,day_item,C126),"")</f>
        <v/>
      </c>
      <c r="J126" s="47">
        <f>IF(H126&lt;&gt;"",H126,IF(N(I126)=0,"",I126))</f>
        <v/>
      </c>
      <c r="K126" s="48">
        <f>IF(OR(G126="",J126=""),"",G126-J126)</f>
        <v/>
      </c>
      <c r="L126" s="43" t="n"/>
      <c r="M126" s="43" t="n"/>
      <c r="N126" s="49">
        <f>IF(IFERROR(INDEX(lst_cat_wish,MATCH(D126,lst_cats,0))="Да",FALSE),MAX($N$4:N125)+1,"")</f>
        <v/>
      </c>
      <c r="O126" s="49">
        <f>IF(OR(A126="",B126="",C126="",L126="❌ Отменено"),0,IF(COUNTIFS($A$4:A125,A126,$B$4:B125,B126,$C$4:C125,C126,$L$4:L125,"&lt;&gt;❌ Отменено")=0,1,0))</f>
        <v/>
      </c>
    </row>
    <row r="127">
      <c r="A127" s="42" t="n"/>
      <c r="B127" s="42" t="n"/>
      <c r="C127" s="43" t="n"/>
      <c r="D127" s="43" t="n"/>
      <c r="E127" s="43" t="n"/>
      <c r="F127" s="42" t="n"/>
      <c r="G127" s="44" t="n"/>
      <c r="H127" s="45" t="n"/>
      <c r="I127" s="46">
        <f>IF(O127=1,SUMIFS(day_amt,day_year,A127,day_month,B127,day_item,C127),"")</f>
        <v/>
      </c>
      <c r="J127" s="47">
        <f>IF(H127&lt;&gt;"",H127,IF(N(I127)=0,"",I127))</f>
        <v/>
      </c>
      <c r="K127" s="48">
        <f>IF(OR(G127="",J127=""),"",G127-J127)</f>
        <v/>
      </c>
      <c r="L127" s="43" t="n"/>
      <c r="M127" s="43" t="n"/>
      <c r="N127" s="49">
        <f>IF(IFERROR(INDEX(lst_cat_wish,MATCH(D127,lst_cats,0))="Да",FALSE),MAX($N$4:N126)+1,"")</f>
        <v/>
      </c>
      <c r="O127" s="49">
        <f>IF(OR(A127="",B127="",C127="",L127="❌ Отменено"),0,IF(COUNTIFS($A$4:A126,A127,$B$4:B126,B127,$C$4:C126,C127,$L$4:L126,"&lt;&gt;❌ Отменено")=0,1,0))</f>
        <v/>
      </c>
    </row>
    <row r="128">
      <c r="A128" s="42" t="n"/>
      <c r="B128" s="42" t="n"/>
      <c r="C128" s="43" t="n"/>
      <c r="D128" s="43" t="n"/>
      <c r="E128" s="43" t="n"/>
      <c r="F128" s="42" t="n"/>
      <c r="G128" s="44" t="n"/>
      <c r="H128" s="45" t="n"/>
      <c r="I128" s="46">
        <f>IF(O128=1,SUMIFS(day_amt,day_year,A128,day_month,B128,day_item,C128),"")</f>
        <v/>
      </c>
      <c r="J128" s="47">
        <f>IF(H128&lt;&gt;"",H128,IF(N(I128)=0,"",I128))</f>
        <v/>
      </c>
      <c r="K128" s="48">
        <f>IF(OR(G128="",J128=""),"",G128-J128)</f>
        <v/>
      </c>
      <c r="L128" s="43" t="n"/>
      <c r="M128" s="43" t="n"/>
      <c r="N128" s="49">
        <f>IF(IFERROR(INDEX(lst_cat_wish,MATCH(D128,lst_cats,0))="Да",FALSE),MAX($N$4:N127)+1,"")</f>
        <v/>
      </c>
      <c r="O128" s="49">
        <f>IF(OR(A128="",B128="",C128="",L128="❌ Отменено"),0,IF(COUNTIFS($A$4:A127,A128,$B$4:B127,B128,$C$4:C127,C128,$L$4:L127,"&lt;&gt;❌ Отменено")=0,1,0))</f>
        <v/>
      </c>
    </row>
    <row r="129">
      <c r="A129" s="42" t="n"/>
      <c r="B129" s="42" t="n"/>
      <c r="C129" s="43" t="n"/>
      <c r="D129" s="43" t="n"/>
      <c r="E129" s="43" t="n"/>
      <c r="F129" s="42" t="n"/>
      <c r="G129" s="44" t="n"/>
      <c r="H129" s="45" t="n"/>
      <c r="I129" s="46">
        <f>IF(O129=1,SUMIFS(day_amt,day_year,A129,day_month,B129,day_item,C129),"")</f>
        <v/>
      </c>
      <c r="J129" s="47">
        <f>IF(H129&lt;&gt;"",H129,IF(N(I129)=0,"",I129))</f>
        <v/>
      </c>
      <c r="K129" s="48">
        <f>IF(OR(G129="",J129=""),"",G129-J129)</f>
        <v/>
      </c>
      <c r="L129" s="43" t="n"/>
      <c r="M129" s="43" t="n"/>
      <c r="N129" s="49">
        <f>IF(IFERROR(INDEX(lst_cat_wish,MATCH(D129,lst_cats,0))="Да",FALSE),MAX($N$4:N128)+1,"")</f>
        <v/>
      </c>
      <c r="O129" s="49">
        <f>IF(OR(A129="",B129="",C129="",L129="❌ Отменено"),0,IF(COUNTIFS($A$4:A128,A129,$B$4:B128,B129,$C$4:C128,C129,$L$4:L128,"&lt;&gt;❌ Отменено")=0,1,0))</f>
        <v/>
      </c>
    </row>
    <row r="130">
      <c r="A130" s="42" t="n"/>
      <c r="B130" s="42" t="n"/>
      <c r="C130" s="43" t="n"/>
      <c r="D130" s="43" t="n"/>
      <c r="E130" s="43" t="n"/>
      <c r="F130" s="42" t="n"/>
      <c r="G130" s="44" t="n"/>
      <c r="H130" s="45" t="n"/>
      <c r="I130" s="46">
        <f>IF(O130=1,SUMIFS(day_amt,day_year,A130,day_month,B130,day_item,C130),"")</f>
        <v/>
      </c>
      <c r="J130" s="47">
        <f>IF(H130&lt;&gt;"",H130,IF(N(I130)=0,"",I130))</f>
        <v/>
      </c>
      <c r="K130" s="48">
        <f>IF(OR(G130="",J130=""),"",G130-J130)</f>
        <v/>
      </c>
      <c r="L130" s="43" t="n"/>
      <c r="M130" s="43" t="n"/>
      <c r="N130" s="49">
        <f>IF(IFERROR(INDEX(lst_cat_wish,MATCH(D130,lst_cats,0))="Да",FALSE),MAX($N$4:N129)+1,"")</f>
        <v/>
      </c>
      <c r="O130" s="49">
        <f>IF(OR(A130="",B130="",C130="",L130="❌ Отменено"),0,IF(COUNTIFS($A$4:A129,A130,$B$4:B129,B130,$C$4:C129,C130,$L$4:L129,"&lt;&gt;❌ Отменено")=0,1,0))</f>
        <v/>
      </c>
    </row>
    <row r="131">
      <c r="A131" s="42" t="n"/>
      <c r="B131" s="42" t="n"/>
      <c r="C131" s="43" t="n"/>
      <c r="D131" s="43" t="n"/>
      <c r="E131" s="43" t="n"/>
      <c r="F131" s="42" t="n"/>
      <c r="G131" s="44" t="n"/>
      <c r="H131" s="45" t="n"/>
      <c r="I131" s="46">
        <f>IF(O131=1,SUMIFS(day_amt,day_year,A131,day_month,B131,day_item,C131),"")</f>
        <v/>
      </c>
      <c r="J131" s="47">
        <f>IF(H131&lt;&gt;"",H131,IF(N(I131)=0,"",I131))</f>
        <v/>
      </c>
      <c r="K131" s="48">
        <f>IF(OR(G131="",J131=""),"",G131-J131)</f>
        <v/>
      </c>
      <c r="L131" s="43" t="n"/>
      <c r="M131" s="43" t="n"/>
      <c r="N131" s="49">
        <f>IF(IFERROR(INDEX(lst_cat_wish,MATCH(D131,lst_cats,0))="Да",FALSE),MAX($N$4:N130)+1,"")</f>
        <v/>
      </c>
      <c r="O131" s="49">
        <f>IF(OR(A131="",B131="",C131="",L131="❌ Отменено"),0,IF(COUNTIFS($A$4:A130,A131,$B$4:B130,B131,$C$4:C130,C131,$L$4:L130,"&lt;&gt;❌ Отменено")=0,1,0))</f>
        <v/>
      </c>
    </row>
    <row r="132">
      <c r="A132" s="42" t="n"/>
      <c r="B132" s="42" t="n"/>
      <c r="C132" s="43" t="n"/>
      <c r="D132" s="43" t="n"/>
      <c r="E132" s="43" t="n"/>
      <c r="F132" s="42" t="n"/>
      <c r="G132" s="44" t="n"/>
      <c r="H132" s="45" t="n"/>
      <c r="I132" s="46">
        <f>IF(O132=1,SUMIFS(day_amt,day_year,A132,day_month,B132,day_item,C132),"")</f>
        <v/>
      </c>
      <c r="J132" s="47">
        <f>IF(H132&lt;&gt;"",H132,IF(N(I132)=0,"",I132))</f>
        <v/>
      </c>
      <c r="K132" s="48">
        <f>IF(OR(G132="",J132=""),"",G132-J132)</f>
        <v/>
      </c>
      <c r="L132" s="43" t="n"/>
      <c r="M132" s="43" t="n"/>
      <c r="N132" s="49">
        <f>IF(IFERROR(INDEX(lst_cat_wish,MATCH(D132,lst_cats,0))="Да",FALSE),MAX($N$4:N131)+1,"")</f>
        <v/>
      </c>
      <c r="O132" s="49">
        <f>IF(OR(A132="",B132="",C132="",L132="❌ Отменено"),0,IF(COUNTIFS($A$4:A131,A132,$B$4:B131,B132,$C$4:C131,C132,$L$4:L131,"&lt;&gt;❌ Отменено")=0,1,0))</f>
        <v/>
      </c>
    </row>
    <row r="133">
      <c r="A133" s="42" t="n"/>
      <c r="B133" s="42" t="n"/>
      <c r="C133" s="43" t="n"/>
      <c r="D133" s="43" t="n"/>
      <c r="E133" s="43" t="n"/>
      <c r="F133" s="42" t="n"/>
      <c r="G133" s="44" t="n"/>
      <c r="H133" s="45" t="n"/>
      <c r="I133" s="46">
        <f>IF(O133=1,SUMIFS(day_amt,day_year,A133,day_month,B133,day_item,C133),"")</f>
        <v/>
      </c>
      <c r="J133" s="47">
        <f>IF(H133&lt;&gt;"",H133,IF(N(I133)=0,"",I133))</f>
        <v/>
      </c>
      <c r="K133" s="48">
        <f>IF(OR(G133="",J133=""),"",G133-J133)</f>
        <v/>
      </c>
      <c r="L133" s="43" t="n"/>
      <c r="M133" s="43" t="n"/>
      <c r="N133" s="49">
        <f>IF(IFERROR(INDEX(lst_cat_wish,MATCH(D133,lst_cats,0))="Да",FALSE),MAX($N$4:N132)+1,"")</f>
        <v/>
      </c>
      <c r="O133" s="49">
        <f>IF(OR(A133="",B133="",C133="",L133="❌ Отменено"),0,IF(COUNTIFS($A$4:A132,A133,$B$4:B132,B133,$C$4:C132,C133,$L$4:L132,"&lt;&gt;❌ Отменено")=0,1,0))</f>
        <v/>
      </c>
    </row>
    <row r="134">
      <c r="A134" s="42" t="n"/>
      <c r="B134" s="42" t="n"/>
      <c r="C134" s="43" t="n"/>
      <c r="D134" s="43" t="n"/>
      <c r="E134" s="43" t="n"/>
      <c r="F134" s="42" t="n"/>
      <c r="G134" s="44" t="n"/>
      <c r="H134" s="45" t="n"/>
      <c r="I134" s="46">
        <f>IF(O134=1,SUMIFS(day_amt,day_year,A134,day_month,B134,day_item,C134),"")</f>
        <v/>
      </c>
      <c r="J134" s="47">
        <f>IF(H134&lt;&gt;"",H134,IF(N(I134)=0,"",I134))</f>
        <v/>
      </c>
      <c r="K134" s="48">
        <f>IF(OR(G134="",J134=""),"",G134-J134)</f>
        <v/>
      </c>
      <c r="L134" s="43" t="n"/>
      <c r="M134" s="43" t="n"/>
      <c r="N134" s="49">
        <f>IF(IFERROR(INDEX(lst_cat_wish,MATCH(D134,lst_cats,0))="Да",FALSE),MAX($N$4:N133)+1,"")</f>
        <v/>
      </c>
      <c r="O134" s="49">
        <f>IF(OR(A134="",B134="",C134="",L134="❌ Отменено"),0,IF(COUNTIFS($A$4:A133,A134,$B$4:B133,B134,$C$4:C133,C134,$L$4:L133,"&lt;&gt;❌ Отменено")=0,1,0))</f>
        <v/>
      </c>
    </row>
    <row r="135">
      <c r="A135" s="42" t="n"/>
      <c r="B135" s="42" t="n"/>
      <c r="C135" s="43" t="n"/>
      <c r="D135" s="43" t="n"/>
      <c r="E135" s="43" t="n"/>
      <c r="F135" s="42" t="n"/>
      <c r="G135" s="44" t="n"/>
      <c r="H135" s="45" t="n"/>
      <c r="I135" s="46">
        <f>IF(O135=1,SUMIFS(day_amt,day_year,A135,day_month,B135,day_item,C135),"")</f>
        <v/>
      </c>
      <c r="J135" s="47">
        <f>IF(H135&lt;&gt;"",H135,IF(N(I135)=0,"",I135))</f>
        <v/>
      </c>
      <c r="K135" s="48">
        <f>IF(OR(G135="",J135=""),"",G135-J135)</f>
        <v/>
      </c>
      <c r="L135" s="43" t="n"/>
      <c r="M135" s="43" t="n"/>
      <c r="N135" s="49">
        <f>IF(IFERROR(INDEX(lst_cat_wish,MATCH(D135,lst_cats,0))="Да",FALSE),MAX($N$4:N134)+1,"")</f>
        <v/>
      </c>
      <c r="O135" s="49">
        <f>IF(OR(A135="",B135="",C135="",L135="❌ Отменено"),0,IF(COUNTIFS($A$4:A134,A135,$B$4:B134,B135,$C$4:C134,C135,$L$4:L134,"&lt;&gt;❌ Отменено")=0,1,0))</f>
        <v/>
      </c>
    </row>
    <row r="136">
      <c r="A136" s="42" t="n"/>
      <c r="B136" s="42" t="n"/>
      <c r="C136" s="43" t="n"/>
      <c r="D136" s="43" t="n"/>
      <c r="E136" s="43" t="n"/>
      <c r="F136" s="42" t="n"/>
      <c r="G136" s="44" t="n"/>
      <c r="H136" s="45" t="n"/>
      <c r="I136" s="46">
        <f>IF(O136=1,SUMIFS(day_amt,day_year,A136,day_month,B136,day_item,C136),"")</f>
        <v/>
      </c>
      <c r="J136" s="47">
        <f>IF(H136&lt;&gt;"",H136,IF(N(I136)=0,"",I136))</f>
        <v/>
      </c>
      <c r="K136" s="48">
        <f>IF(OR(G136="",J136=""),"",G136-J136)</f>
        <v/>
      </c>
      <c r="L136" s="43" t="n"/>
      <c r="M136" s="43" t="n"/>
      <c r="N136" s="49">
        <f>IF(IFERROR(INDEX(lst_cat_wish,MATCH(D136,lst_cats,0))="Да",FALSE),MAX($N$4:N135)+1,"")</f>
        <v/>
      </c>
      <c r="O136" s="49">
        <f>IF(OR(A136="",B136="",C136="",L136="❌ Отменено"),0,IF(COUNTIFS($A$4:A135,A136,$B$4:B135,B136,$C$4:C135,C136,$L$4:L135,"&lt;&gt;❌ Отменено")=0,1,0))</f>
        <v/>
      </c>
    </row>
    <row r="137">
      <c r="A137" s="42" t="n"/>
      <c r="B137" s="42" t="n"/>
      <c r="C137" s="43" t="n"/>
      <c r="D137" s="43" t="n"/>
      <c r="E137" s="43" t="n"/>
      <c r="F137" s="42" t="n"/>
      <c r="G137" s="44" t="n"/>
      <c r="H137" s="45" t="n"/>
      <c r="I137" s="46">
        <f>IF(O137=1,SUMIFS(day_amt,day_year,A137,day_month,B137,day_item,C137),"")</f>
        <v/>
      </c>
      <c r="J137" s="47">
        <f>IF(H137&lt;&gt;"",H137,IF(N(I137)=0,"",I137))</f>
        <v/>
      </c>
      <c r="K137" s="48">
        <f>IF(OR(G137="",J137=""),"",G137-J137)</f>
        <v/>
      </c>
      <c r="L137" s="43" t="n"/>
      <c r="M137" s="43" t="n"/>
      <c r="N137" s="49">
        <f>IF(IFERROR(INDEX(lst_cat_wish,MATCH(D137,lst_cats,0))="Да",FALSE),MAX($N$4:N136)+1,"")</f>
        <v/>
      </c>
      <c r="O137" s="49">
        <f>IF(OR(A137="",B137="",C137="",L137="❌ Отменено"),0,IF(COUNTIFS($A$4:A136,A137,$B$4:B136,B137,$C$4:C136,C137,$L$4:L136,"&lt;&gt;❌ Отменено")=0,1,0))</f>
        <v/>
      </c>
    </row>
    <row r="138">
      <c r="A138" s="42" t="n"/>
      <c r="B138" s="42" t="n"/>
      <c r="C138" s="43" t="n"/>
      <c r="D138" s="43" t="n"/>
      <c r="E138" s="43" t="n"/>
      <c r="F138" s="42" t="n"/>
      <c r="G138" s="44" t="n"/>
      <c r="H138" s="45" t="n"/>
      <c r="I138" s="46">
        <f>IF(O138=1,SUMIFS(day_amt,day_year,A138,day_month,B138,day_item,C138),"")</f>
        <v/>
      </c>
      <c r="J138" s="47">
        <f>IF(H138&lt;&gt;"",H138,IF(N(I138)=0,"",I138))</f>
        <v/>
      </c>
      <c r="K138" s="48">
        <f>IF(OR(G138="",J138=""),"",G138-J138)</f>
        <v/>
      </c>
      <c r="L138" s="43" t="n"/>
      <c r="M138" s="43" t="n"/>
      <c r="N138" s="49">
        <f>IF(IFERROR(INDEX(lst_cat_wish,MATCH(D138,lst_cats,0))="Да",FALSE),MAX($N$4:N137)+1,"")</f>
        <v/>
      </c>
      <c r="O138" s="49">
        <f>IF(OR(A138="",B138="",C138="",L138="❌ Отменено"),0,IF(COUNTIFS($A$4:A137,A138,$B$4:B137,B138,$C$4:C137,C138,$L$4:L137,"&lt;&gt;❌ Отменено")=0,1,0))</f>
        <v/>
      </c>
    </row>
    <row r="139">
      <c r="A139" s="42" t="n"/>
      <c r="B139" s="42" t="n"/>
      <c r="C139" s="43" t="n"/>
      <c r="D139" s="43" t="n"/>
      <c r="E139" s="43" t="n"/>
      <c r="F139" s="42" t="n"/>
      <c r="G139" s="44" t="n"/>
      <c r="H139" s="45" t="n"/>
      <c r="I139" s="46">
        <f>IF(O139=1,SUMIFS(day_amt,day_year,A139,day_month,B139,day_item,C139),"")</f>
        <v/>
      </c>
      <c r="J139" s="47">
        <f>IF(H139&lt;&gt;"",H139,IF(N(I139)=0,"",I139))</f>
        <v/>
      </c>
      <c r="K139" s="48">
        <f>IF(OR(G139="",J139=""),"",G139-J139)</f>
        <v/>
      </c>
      <c r="L139" s="43" t="n"/>
      <c r="M139" s="43" t="n"/>
      <c r="N139" s="49">
        <f>IF(IFERROR(INDEX(lst_cat_wish,MATCH(D139,lst_cats,0))="Да",FALSE),MAX($N$4:N138)+1,"")</f>
        <v/>
      </c>
      <c r="O139" s="49">
        <f>IF(OR(A139="",B139="",C139="",L139="❌ Отменено"),0,IF(COUNTIFS($A$4:A138,A139,$B$4:B138,B139,$C$4:C138,C139,$L$4:L138,"&lt;&gt;❌ Отменено")=0,1,0))</f>
        <v/>
      </c>
    </row>
    <row r="140">
      <c r="A140" s="42" t="n"/>
      <c r="B140" s="42" t="n"/>
      <c r="C140" s="43" t="n"/>
      <c r="D140" s="43" t="n"/>
      <c r="E140" s="43" t="n"/>
      <c r="F140" s="42" t="n"/>
      <c r="G140" s="44" t="n"/>
      <c r="H140" s="45" t="n"/>
      <c r="I140" s="46">
        <f>IF(O140=1,SUMIFS(day_amt,day_year,A140,day_month,B140,day_item,C140),"")</f>
        <v/>
      </c>
      <c r="J140" s="47">
        <f>IF(H140&lt;&gt;"",H140,IF(N(I140)=0,"",I140))</f>
        <v/>
      </c>
      <c r="K140" s="48">
        <f>IF(OR(G140="",J140=""),"",G140-J140)</f>
        <v/>
      </c>
      <c r="L140" s="43" t="n"/>
      <c r="M140" s="43" t="n"/>
      <c r="N140" s="49">
        <f>IF(IFERROR(INDEX(lst_cat_wish,MATCH(D140,lst_cats,0))="Да",FALSE),MAX($N$4:N139)+1,"")</f>
        <v/>
      </c>
      <c r="O140" s="49">
        <f>IF(OR(A140="",B140="",C140="",L140="❌ Отменено"),0,IF(COUNTIFS($A$4:A139,A140,$B$4:B139,B140,$C$4:C139,C140,$L$4:L139,"&lt;&gt;❌ Отменено")=0,1,0))</f>
        <v/>
      </c>
    </row>
    <row r="141">
      <c r="A141" s="42" t="n"/>
      <c r="B141" s="42" t="n"/>
      <c r="C141" s="43" t="n"/>
      <c r="D141" s="43" t="n"/>
      <c r="E141" s="43" t="n"/>
      <c r="F141" s="42" t="n"/>
      <c r="G141" s="44" t="n"/>
      <c r="H141" s="45" t="n"/>
      <c r="I141" s="46">
        <f>IF(O141=1,SUMIFS(day_amt,day_year,A141,day_month,B141,day_item,C141),"")</f>
        <v/>
      </c>
      <c r="J141" s="47">
        <f>IF(H141&lt;&gt;"",H141,IF(N(I141)=0,"",I141))</f>
        <v/>
      </c>
      <c r="K141" s="48">
        <f>IF(OR(G141="",J141=""),"",G141-J141)</f>
        <v/>
      </c>
      <c r="L141" s="43" t="n"/>
      <c r="M141" s="43" t="n"/>
      <c r="N141" s="49">
        <f>IF(IFERROR(INDEX(lst_cat_wish,MATCH(D141,lst_cats,0))="Да",FALSE),MAX($N$4:N140)+1,"")</f>
        <v/>
      </c>
      <c r="O141" s="49">
        <f>IF(OR(A141="",B141="",C141="",L141="❌ Отменено"),0,IF(COUNTIFS($A$4:A140,A141,$B$4:B140,B141,$C$4:C140,C141,$L$4:L140,"&lt;&gt;❌ Отменено")=0,1,0))</f>
        <v/>
      </c>
    </row>
    <row r="142">
      <c r="A142" s="42" t="n"/>
      <c r="B142" s="42" t="n"/>
      <c r="C142" s="43" t="n"/>
      <c r="D142" s="43" t="n"/>
      <c r="E142" s="43" t="n"/>
      <c r="F142" s="42" t="n"/>
      <c r="G142" s="44" t="n"/>
      <c r="H142" s="45" t="n"/>
      <c r="I142" s="46">
        <f>IF(O142=1,SUMIFS(day_amt,day_year,A142,day_month,B142,day_item,C142),"")</f>
        <v/>
      </c>
      <c r="J142" s="47">
        <f>IF(H142&lt;&gt;"",H142,IF(N(I142)=0,"",I142))</f>
        <v/>
      </c>
      <c r="K142" s="48">
        <f>IF(OR(G142="",J142=""),"",G142-J142)</f>
        <v/>
      </c>
      <c r="L142" s="43" t="n"/>
      <c r="M142" s="43" t="n"/>
      <c r="N142" s="49">
        <f>IF(IFERROR(INDEX(lst_cat_wish,MATCH(D142,lst_cats,0))="Да",FALSE),MAX($N$4:N141)+1,"")</f>
        <v/>
      </c>
      <c r="O142" s="49">
        <f>IF(OR(A142="",B142="",C142="",L142="❌ Отменено"),0,IF(COUNTIFS($A$4:A141,A142,$B$4:B141,B142,$C$4:C141,C142,$L$4:L141,"&lt;&gt;❌ Отменено")=0,1,0))</f>
        <v/>
      </c>
    </row>
    <row r="143">
      <c r="A143" s="42" t="n"/>
      <c r="B143" s="42" t="n"/>
      <c r="C143" s="43" t="n"/>
      <c r="D143" s="43" t="n"/>
      <c r="E143" s="43" t="n"/>
      <c r="F143" s="42" t="n"/>
      <c r="G143" s="44" t="n"/>
      <c r="H143" s="45" t="n"/>
      <c r="I143" s="46">
        <f>IF(O143=1,SUMIFS(day_amt,day_year,A143,day_month,B143,day_item,C143),"")</f>
        <v/>
      </c>
      <c r="J143" s="47">
        <f>IF(H143&lt;&gt;"",H143,IF(N(I143)=0,"",I143))</f>
        <v/>
      </c>
      <c r="K143" s="48">
        <f>IF(OR(G143="",J143=""),"",G143-J143)</f>
        <v/>
      </c>
      <c r="L143" s="43" t="n"/>
      <c r="M143" s="43" t="n"/>
      <c r="N143" s="49">
        <f>IF(IFERROR(INDEX(lst_cat_wish,MATCH(D143,lst_cats,0))="Да",FALSE),MAX($N$4:N142)+1,"")</f>
        <v/>
      </c>
      <c r="O143" s="49">
        <f>IF(OR(A143="",B143="",C143="",L143="❌ Отменено"),0,IF(COUNTIFS($A$4:A142,A143,$B$4:B142,B143,$C$4:C142,C143,$L$4:L142,"&lt;&gt;❌ Отменено")=0,1,0))</f>
        <v/>
      </c>
    </row>
    <row r="144">
      <c r="A144" s="42" t="n"/>
      <c r="B144" s="42" t="n"/>
      <c r="C144" s="43" t="n"/>
      <c r="D144" s="43" t="n"/>
      <c r="E144" s="43" t="n"/>
      <c r="F144" s="42" t="n"/>
      <c r="G144" s="44" t="n"/>
      <c r="H144" s="45" t="n"/>
      <c r="I144" s="46">
        <f>IF(O144=1,SUMIFS(day_amt,day_year,A144,day_month,B144,day_item,C144),"")</f>
        <v/>
      </c>
      <c r="J144" s="47">
        <f>IF(H144&lt;&gt;"",H144,IF(N(I144)=0,"",I144))</f>
        <v/>
      </c>
      <c r="K144" s="48">
        <f>IF(OR(G144="",J144=""),"",G144-J144)</f>
        <v/>
      </c>
      <c r="L144" s="43" t="n"/>
      <c r="M144" s="43" t="n"/>
      <c r="N144" s="49">
        <f>IF(IFERROR(INDEX(lst_cat_wish,MATCH(D144,lst_cats,0))="Да",FALSE),MAX($N$4:N143)+1,"")</f>
        <v/>
      </c>
      <c r="O144" s="49">
        <f>IF(OR(A144="",B144="",C144="",L144="❌ Отменено"),0,IF(COUNTIFS($A$4:A143,A144,$B$4:B143,B144,$C$4:C143,C144,$L$4:L143,"&lt;&gt;❌ Отменено")=0,1,0))</f>
        <v/>
      </c>
    </row>
    <row r="145">
      <c r="A145" s="42" t="n"/>
      <c r="B145" s="42" t="n"/>
      <c r="C145" s="43" t="n"/>
      <c r="D145" s="43" t="n"/>
      <c r="E145" s="43" t="n"/>
      <c r="F145" s="42" t="n"/>
      <c r="G145" s="44" t="n"/>
      <c r="H145" s="45" t="n"/>
      <c r="I145" s="46">
        <f>IF(O145=1,SUMIFS(day_amt,day_year,A145,day_month,B145,day_item,C145),"")</f>
        <v/>
      </c>
      <c r="J145" s="47">
        <f>IF(H145&lt;&gt;"",H145,IF(N(I145)=0,"",I145))</f>
        <v/>
      </c>
      <c r="K145" s="48">
        <f>IF(OR(G145="",J145=""),"",G145-J145)</f>
        <v/>
      </c>
      <c r="L145" s="43" t="n"/>
      <c r="M145" s="43" t="n"/>
      <c r="N145" s="49">
        <f>IF(IFERROR(INDEX(lst_cat_wish,MATCH(D145,lst_cats,0))="Да",FALSE),MAX($N$4:N144)+1,"")</f>
        <v/>
      </c>
      <c r="O145" s="49">
        <f>IF(OR(A145="",B145="",C145="",L145="❌ Отменено"),0,IF(COUNTIFS($A$4:A144,A145,$B$4:B144,B145,$C$4:C144,C145,$L$4:L144,"&lt;&gt;❌ Отменено")=0,1,0))</f>
        <v/>
      </c>
    </row>
    <row r="146">
      <c r="A146" s="42" t="n"/>
      <c r="B146" s="42" t="n"/>
      <c r="C146" s="43" t="n"/>
      <c r="D146" s="43" t="n"/>
      <c r="E146" s="43" t="n"/>
      <c r="F146" s="42" t="n"/>
      <c r="G146" s="44" t="n"/>
      <c r="H146" s="45" t="n"/>
      <c r="I146" s="46">
        <f>IF(O146=1,SUMIFS(day_amt,day_year,A146,day_month,B146,day_item,C146),"")</f>
        <v/>
      </c>
      <c r="J146" s="47">
        <f>IF(H146&lt;&gt;"",H146,IF(N(I146)=0,"",I146))</f>
        <v/>
      </c>
      <c r="K146" s="48">
        <f>IF(OR(G146="",J146=""),"",G146-J146)</f>
        <v/>
      </c>
      <c r="L146" s="43" t="n"/>
      <c r="M146" s="43" t="n"/>
      <c r="N146" s="49">
        <f>IF(IFERROR(INDEX(lst_cat_wish,MATCH(D146,lst_cats,0))="Да",FALSE),MAX($N$4:N145)+1,"")</f>
        <v/>
      </c>
      <c r="O146" s="49">
        <f>IF(OR(A146="",B146="",C146="",L146="❌ Отменено"),0,IF(COUNTIFS($A$4:A145,A146,$B$4:B145,B146,$C$4:C145,C146,$L$4:L145,"&lt;&gt;❌ Отменено")=0,1,0))</f>
        <v/>
      </c>
    </row>
    <row r="147">
      <c r="A147" s="42" t="n"/>
      <c r="B147" s="42" t="n"/>
      <c r="C147" s="43" t="n"/>
      <c r="D147" s="43" t="n"/>
      <c r="E147" s="43" t="n"/>
      <c r="F147" s="42" t="n"/>
      <c r="G147" s="44" t="n"/>
      <c r="H147" s="45" t="n"/>
      <c r="I147" s="46">
        <f>IF(O147=1,SUMIFS(day_amt,day_year,A147,day_month,B147,day_item,C147),"")</f>
        <v/>
      </c>
      <c r="J147" s="47">
        <f>IF(H147&lt;&gt;"",H147,IF(N(I147)=0,"",I147))</f>
        <v/>
      </c>
      <c r="K147" s="48">
        <f>IF(OR(G147="",J147=""),"",G147-J147)</f>
        <v/>
      </c>
      <c r="L147" s="43" t="n"/>
      <c r="M147" s="43" t="n"/>
      <c r="N147" s="49">
        <f>IF(IFERROR(INDEX(lst_cat_wish,MATCH(D147,lst_cats,0))="Да",FALSE),MAX($N$4:N146)+1,"")</f>
        <v/>
      </c>
      <c r="O147" s="49">
        <f>IF(OR(A147="",B147="",C147="",L147="❌ Отменено"),0,IF(COUNTIFS($A$4:A146,A147,$B$4:B146,B147,$C$4:C146,C147,$L$4:L146,"&lt;&gt;❌ Отменено")=0,1,0))</f>
        <v/>
      </c>
    </row>
    <row r="148">
      <c r="A148" s="42" t="n"/>
      <c r="B148" s="42" t="n"/>
      <c r="C148" s="43" t="n"/>
      <c r="D148" s="43" t="n"/>
      <c r="E148" s="43" t="n"/>
      <c r="F148" s="42" t="n"/>
      <c r="G148" s="44" t="n"/>
      <c r="H148" s="45" t="n"/>
      <c r="I148" s="46">
        <f>IF(O148=1,SUMIFS(day_amt,day_year,A148,day_month,B148,day_item,C148),"")</f>
        <v/>
      </c>
      <c r="J148" s="47">
        <f>IF(H148&lt;&gt;"",H148,IF(N(I148)=0,"",I148))</f>
        <v/>
      </c>
      <c r="K148" s="48">
        <f>IF(OR(G148="",J148=""),"",G148-J148)</f>
        <v/>
      </c>
      <c r="L148" s="43" t="n"/>
      <c r="M148" s="43" t="n"/>
      <c r="N148" s="49">
        <f>IF(IFERROR(INDEX(lst_cat_wish,MATCH(D148,lst_cats,0))="Да",FALSE),MAX($N$4:N147)+1,"")</f>
        <v/>
      </c>
      <c r="O148" s="49">
        <f>IF(OR(A148="",B148="",C148="",L148="❌ Отменено"),0,IF(COUNTIFS($A$4:A147,A148,$B$4:B147,B148,$C$4:C147,C148,$L$4:L147,"&lt;&gt;❌ Отменено")=0,1,0))</f>
        <v/>
      </c>
    </row>
    <row r="149">
      <c r="A149" s="42" t="n"/>
      <c r="B149" s="42" t="n"/>
      <c r="C149" s="43" t="n"/>
      <c r="D149" s="43" t="n"/>
      <c r="E149" s="43" t="n"/>
      <c r="F149" s="42" t="n"/>
      <c r="G149" s="44" t="n"/>
      <c r="H149" s="45" t="n"/>
      <c r="I149" s="46">
        <f>IF(O149=1,SUMIFS(day_amt,day_year,A149,day_month,B149,day_item,C149),"")</f>
        <v/>
      </c>
      <c r="J149" s="47">
        <f>IF(H149&lt;&gt;"",H149,IF(N(I149)=0,"",I149))</f>
        <v/>
      </c>
      <c r="K149" s="48">
        <f>IF(OR(G149="",J149=""),"",G149-J149)</f>
        <v/>
      </c>
      <c r="L149" s="43" t="n"/>
      <c r="M149" s="43" t="n"/>
      <c r="N149" s="49">
        <f>IF(IFERROR(INDEX(lst_cat_wish,MATCH(D149,lst_cats,0))="Да",FALSE),MAX($N$4:N148)+1,"")</f>
        <v/>
      </c>
      <c r="O149" s="49">
        <f>IF(OR(A149="",B149="",C149="",L149="❌ Отменено"),0,IF(COUNTIFS($A$4:A148,A149,$B$4:B148,B149,$C$4:C148,C149,$L$4:L148,"&lt;&gt;❌ Отменено")=0,1,0))</f>
        <v/>
      </c>
    </row>
    <row r="150">
      <c r="A150" s="42" t="n"/>
      <c r="B150" s="42" t="n"/>
      <c r="C150" s="43" t="n"/>
      <c r="D150" s="43" t="n"/>
      <c r="E150" s="43" t="n"/>
      <c r="F150" s="42" t="n"/>
      <c r="G150" s="44" t="n"/>
      <c r="H150" s="45" t="n"/>
      <c r="I150" s="46">
        <f>IF(O150=1,SUMIFS(day_amt,day_year,A150,day_month,B150,day_item,C150),"")</f>
        <v/>
      </c>
      <c r="J150" s="47">
        <f>IF(H150&lt;&gt;"",H150,IF(N(I150)=0,"",I150))</f>
        <v/>
      </c>
      <c r="K150" s="48">
        <f>IF(OR(G150="",J150=""),"",G150-J150)</f>
        <v/>
      </c>
      <c r="L150" s="43" t="n"/>
      <c r="M150" s="43" t="n"/>
      <c r="N150" s="49">
        <f>IF(IFERROR(INDEX(lst_cat_wish,MATCH(D150,lst_cats,0))="Да",FALSE),MAX($N$4:N149)+1,"")</f>
        <v/>
      </c>
      <c r="O150" s="49">
        <f>IF(OR(A150="",B150="",C150="",L150="❌ Отменено"),0,IF(COUNTIFS($A$4:A149,A150,$B$4:B149,B150,$C$4:C149,C150,$L$4:L149,"&lt;&gt;❌ Отменено")=0,1,0))</f>
        <v/>
      </c>
    </row>
    <row r="151">
      <c r="A151" s="42" t="n"/>
      <c r="B151" s="42" t="n"/>
      <c r="C151" s="43" t="n"/>
      <c r="D151" s="43" t="n"/>
      <c r="E151" s="43" t="n"/>
      <c r="F151" s="42" t="n"/>
      <c r="G151" s="44" t="n"/>
      <c r="H151" s="45" t="n"/>
      <c r="I151" s="46">
        <f>IF(O151=1,SUMIFS(day_amt,day_year,A151,day_month,B151,day_item,C151),"")</f>
        <v/>
      </c>
      <c r="J151" s="47">
        <f>IF(H151&lt;&gt;"",H151,IF(N(I151)=0,"",I151))</f>
        <v/>
      </c>
      <c r="K151" s="48">
        <f>IF(OR(G151="",J151=""),"",G151-J151)</f>
        <v/>
      </c>
      <c r="L151" s="43" t="n"/>
      <c r="M151" s="43" t="n"/>
      <c r="N151" s="49">
        <f>IF(IFERROR(INDEX(lst_cat_wish,MATCH(D151,lst_cats,0))="Да",FALSE),MAX($N$4:N150)+1,"")</f>
        <v/>
      </c>
      <c r="O151" s="49">
        <f>IF(OR(A151="",B151="",C151="",L151="❌ Отменено"),0,IF(COUNTIFS($A$4:A150,A151,$B$4:B150,B151,$C$4:C150,C151,$L$4:L150,"&lt;&gt;❌ Отменено")=0,1,0))</f>
        <v/>
      </c>
    </row>
    <row r="152">
      <c r="A152" s="42" t="n"/>
      <c r="B152" s="42" t="n"/>
      <c r="C152" s="43" t="n"/>
      <c r="D152" s="43" t="n"/>
      <c r="E152" s="43" t="n"/>
      <c r="F152" s="42" t="n"/>
      <c r="G152" s="44" t="n"/>
      <c r="H152" s="45" t="n"/>
      <c r="I152" s="46">
        <f>IF(O152=1,SUMIFS(day_amt,day_year,A152,day_month,B152,day_item,C152),"")</f>
        <v/>
      </c>
      <c r="J152" s="47">
        <f>IF(H152&lt;&gt;"",H152,IF(N(I152)=0,"",I152))</f>
        <v/>
      </c>
      <c r="K152" s="48">
        <f>IF(OR(G152="",J152=""),"",G152-J152)</f>
        <v/>
      </c>
      <c r="L152" s="43" t="n"/>
      <c r="M152" s="43" t="n"/>
      <c r="N152" s="49">
        <f>IF(IFERROR(INDEX(lst_cat_wish,MATCH(D152,lst_cats,0))="Да",FALSE),MAX($N$4:N151)+1,"")</f>
        <v/>
      </c>
      <c r="O152" s="49">
        <f>IF(OR(A152="",B152="",C152="",L152="❌ Отменено"),0,IF(COUNTIFS($A$4:A151,A152,$B$4:B151,B152,$C$4:C151,C152,$L$4:L151,"&lt;&gt;❌ Отменено")=0,1,0))</f>
        <v/>
      </c>
    </row>
    <row r="153">
      <c r="A153" s="42" t="n"/>
      <c r="B153" s="42" t="n"/>
      <c r="C153" s="43" t="n"/>
      <c r="D153" s="43" t="n"/>
      <c r="E153" s="43" t="n"/>
      <c r="F153" s="42" t="n"/>
      <c r="G153" s="44" t="n"/>
      <c r="H153" s="45" t="n"/>
      <c r="I153" s="46">
        <f>IF(O153=1,SUMIFS(day_amt,day_year,A153,day_month,B153,day_item,C153),"")</f>
        <v/>
      </c>
      <c r="J153" s="47">
        <f>IF(H153&lt;&gt;"",H153,IF(N(I153)=0,"",I153))</f>
        <v/>
      </c>
      <c r="K153" s="48">
        <f>IF(OR(G153="",J153=""),"",G153-J153)</f>
        <v/>
      </c>
      <c r="L153" s="43" t="n"/>
      <c r="M153" s="43" t="n"/>
      <c r="N153" s="49">
        <f>IF(IFERROR(INDEX(lst_cat_wish,MATCH(D153,lst_cats,0))="Да",FALSE),MAX($N$4:N152)+1,"")</f>
        <v/>
      </c>
      <c r="O153" s="49">
        <f>IF(OR(A153="",B153="",C153="",L153="❌ Отменено"),0,IF(COUNTIFS($A$4:A152,A153,$B$4:B152,B153,$C$4:C152,C153,$L$4:L152,"&lt;&gt;❌ Отменено")=0,1,0))</f>
        <v/>
      </c>
    </row>
    <row r="154">
      <c r="A154" s="42" t="n"/>
      <c r="B154" s="42" t="n"/>
      <c r="C154" s="43" t="n"/>
      <c r="D154" s="43" t="n"/>
      <c r="E154" s="43" t="n"/>
      <c r="F154" s="42" t="n"/>
      <c r="G154" s="44" t="n"/>
      <c r="H154" s="45" t="n"/>
      <c r="I154" s="46">
        <f>IF(O154=1,SUMIFS(day_amt,day_year,A154,day_month,B154,day_item,C154),"")</f>
        <v/>
      </c>
      <c r="J154" s="47">
        <f>IF(H154&lt;&gt;"",H154,IF(N(I154)=0,"",I154))</f>
        <v/>
      </c>
      <c r="K154" s="48">
        <f>IF(OR(G154="",J154=""),"",G154-J154)</f>
        <v/>
      </c>
      <c r="L154" s="43" t="n"/>
      <c r="M154" s="43" t="n"/>
      <c r="N154" s="49">
        <f>IF(IFERROR(INDEX(lst_cat_wish,MATCH(D154,lst_cats,0))="Да",FALSE),MAX($N$4:N153)+1,"")</f>
        <v/>
      </c>
      <c r="O154" s="49">
        <f>IF(OR(A154="",B154="",C154="",L154="❌ Отменено"),0,IF(COUNTIFS($A$4:A153,A154,$B$4:B153,B154,$C$4:C153,C154,$L$4:L153,"&lt;&gt;❌ Отменено")=0,1,0))</f>
        <v/>
      </c>
    </row>
    <row r="155">
      <c r="A155" s="42" t="n"/>
      <c r="B155" s="42" t="n"/>
      <c r="C155" s="43" t="n"/>
      <c r="D155" s="43" t="n"/>
      <c r="E155" s="43" t="n"/>
      <c r="F155" s="42" t="n"/>
      <c r="G155" s="44" t="n"/>
      <c r="H155" s="45" t="n"/>
      <c r="I155" s="46">
        <f>IF(O155=1,SUMIFS(day_amt,day_year,A155,day_month,B155,day_item,C155),"")</f>
        <v/>
      </c>
      <c r="J155" s="47">
        <f>IF(H155&lt;&gt;"",H155,IF(N(I155)=0,"",I155))</f>
        <v/>
      </c>
      <c r="K155" s="48">
        <f>IF(OR(G155="",J155=""),"",G155-J155)</f>
        <v/>
      </c>
      <c r="L155" s="43" t="n"/>
      <c r="M155" s="43" t="n"/>
      <c r="N155" s="49">
        <f>IF(IFERROR(INDEX(lst_cat_wish,MATCH(D155,lst_cats,0))="Да",FALSE),MAX($N$4:N154)+1,"")</f>
        <v/>
      </c>
      <c r="O155" s="49">
        <f>IF(OR(A155="",B155="",C155="",L155="❌ Отменено"),0,IF(COUNTIFS($A$4:A154,A155,$B$4:B154,B155,$C$4:C154,C155,$L$4:L154,"&lt;&gt;❌ Отменено")=0,1,0))</f>
        <v/>
      </c>
    </row>
    <row r="156">
      <c r="A156" s="42" t="n"/>
      <c r="B156" s="42" t="n"/>
      <c r="C156" s="43" t="n"/>
      <c r="D156" s="43" t="n"/>
      <c r="E156" s="43" t="n"/>
      <c r="F156" s="42" t="n"/>
      <c r="G156" s="44" t="n"/>
      <c r="H156" s="45" t="n"/>
      <c r="I156" s="46">
        <f>IF(O156=1,SUMIFS(day_amt,day_year,A156,day_month,B156,day_item,C156),"")</f>
        <v/>
      </c>
      <c r="J156" s="47">
        <f>IF(H156&lt;&gt;"",H156,IF(N(I156)=0,"",I156))</f>
        <v/>
      </c>
      <c r="K156" s="48">
        <f>IF(OR(G156="",J156=""),"",G156-J156)</f>
        <v/>
      </c>
      <c r="L156" s="43" t="n"/>
      <c r="M156" s="43" t="n"/>
      <c r="N156" s="49">
        <f>IF(IFERROR(INDEX(lst_cat_wish,MATCH(D156,lst_cats,0))="Да",FALSE),MAX($N$4:N155)+1,"")</f>
        <v/>
      </c>
      <c r="O156" s="49">
        <f>IF(OR(A156="",B156="",C156="",L156="❌ Отменено"),0,IF(COUNTIFS($A$4:A155,A156,$B$4:B155,B156,$C$4:C155,C156,$L$4:L155,"&lt;&gt;❌ Отменено")=0,1,0))</f>
        <v/>
      </c>
    </row>
    <row r="157">
      <c r="A157" s="42" t="n"/>
      <c r="B157" s="42" t="n"/>
      <c r="C157" s="43" t="n"/>
      <c r="D157" s="43" t="n"/>
      <c r="E157" s="43" t="n"/>
      <c r="F157" s="42" t="n"/>
      <c r="G157" s="44" t="n"/>
      <c r="H157" s="45" t="n"/>
      <c r="I157" s="46">
        <f>IF(O157=1,SUMIFS(day_amt,day_year,A157,day_month,B157,day_item,C157),"")</f>
        <v/>
      </c>
      <c r="J157" s="47">
        <f>IF(H157&lt;&gt;"",H157,IF(N(I157)=0,"",I157))</f>
        <v/>
      </c>
      <c r="K157" s="48">
        <f>IF(OR(G157="",J157=""),"",G157-J157)</f>
        <v/>
      </c>
      <c r="L157" s="43" t="n"/>
      <c r="M157" s="43" t="n"/>
      <c r="N157" s="49">
        <f>IF(IFERROR(INDEX(lst_cat_wish,MATCH(D157,lst_cats,0))="Да",FALSE),MAX($N$4:N156)+1,"")</f>
        <v/>
      </c>
      <c r="O157" s="49">
        <f>IF(OR(A157="",B157="",C157="",L157="❌ Отменено"),0,IF(COUNTIFS($A$4:A156,A157,$B$4:B156,B157,$C$4:C156,C157,$L$4:L156,"&lt;&gt;❌ Отменено")=0,1,0))</f>
        <v/>
      </c>
    </row>
    <row r="158">
      <c r="A158" s="42" t="n"/>
      <c r="B158" s="42" t="n"/>
      <c r="C158" s="43" t="n"/>
      <c r="D158" s="43" t="n"/>
      <c r="E158" s="43" t="n"/>
      <c r="F158" s="42" t="n"/>
      <c r="G158" s="44" t="n"/>
      <c r="H158" s="45" t="n"/>
      <c r="I158" s="46">
        <f>IF(O158=1,SUMIFS(day_amt,day_year,A158,day_month,B158,day_item,C158),"")</f>
        <v/>
      </c>
      <c r="J158" s="47">
        <f>IF(H158&lt;&gt;"",H158,IF(N(I158)=0,"",I158))</f>
        <v/>
      </c>
      <c r="K158" s="48">
        <f>IF(OR(G158="",J158=""),"",G158-J158)</f>
        <v/>
      </c>
      <c r="L158" s="43" t="n"/>
      <c r="M158" s="43" t="n"/>
      <c r="N158" s="49">
        <f>IF(IFERROR(INDEX(lst_cat_wish,MATCH(D158,lst_cats,0))="Да",FALSE),MAX($N$4:N157)+1,"")</f>
        <v/>
      </c>
      <c r="O158" s="49">
        <f>IF(OR(A158="",B158="",C158="",L158="❌ Отменено"),0,IF(COUNTIFS($A$4:A157,A158,$B$4:B157,B158,$C$4:C157,C158,$L$4:L157,"&lt;&gt;❌ Отменено")=0,1,0))</f>
        <v/>
      </c>
    </row>
    <row r="159">
      <c r="A159" s="42" t="n"/>
      <c r="B159" s="42" t="n"/>
      <c r="C159" s="43" t="n"/>
      <c r="D159" s="43" t="n"/>
      <c r="E159" s="43" t="n"/>
      <c r="F159" s="42" t="n"/>
      <c r="G159" s="44" t="n"/>
      <c r="H159" s="45" t="n"/>
      <c r="I159" s="46">
        <f>IF(O159=1,SUMIFS(day_amt,day_year,A159,day_month,B159,day_item,C159),"")</f>
        <v/>
      </c>
      <c r="J159" s="47">
        <f>IF(H159&lt;&gt;"",H159,IF(N(I159)=0,"",I159))</f>
        <v/>
      </c>
      <c r="K159" s="48">
        <f>IF(OR(G159="",J159=""),"",G159-J159)</f>
        <v/>
      </c>
      <c r="L159" s="43" t="n"/>
      <c r="M159" s="43" t="n"/>
      <c r="N159" s="49">
        <f>IF(IFERROR(INDEX(lst_cat_wish,MATCH(D159,lst_cats,0))="Да",FALSE),MAX($N$4:N158)+1,"")</f>
        <v/>
      </c>
      <c r="O159" s="49">
        <f>IF(OR(A159="",B159="",C159="",L159="❌ Отменено"),0,IF(COUNTIFS($A$4:A158,A159,$B$4:B158,B159,$C$4:C158,C159,$L$4:L158,"&lt;&gt;❌ Отменено")=0,1,0))</f>
        <v/>
      </c>
    </row>
    <row r="160">
      <c r="A160" s="42" t="n"/>
      <c r="B160" s="42" t="n"/>
      <c r="C160" s="43" t="n"/>
      <c r="D160" s="43" t="n"/>
      <c r="E160" s="43" t="n"/>
      <c r="F160" s="42" t="n"/>
      <c r="G160" s="44" t="n"/>
      <c r="H160" s="45" t="n"/>
      <c r="I160" s="46">
        <f>IF(O160=1,SUMIFS(day_amt,day_year,A160,day_month,B160,day_item,C160),"")</f>
        <v/>
      </c>
      <c r="J160" s="47">
        <f>IF(H160&lt;&gt;"",H160,IF(N(I160)=0,"",I160))</f>
        <v/>
      </c>
      <c r="K160" s="48">
        <f>IF(OR(G160="",J160=""),"",G160-J160)</f>
        <v/>
      </c>
      <c r="L160" s="43" t="n"/>
      <c r="M160" s="43" t="n"/>
      <c r="N160" s="49">
        <f>IF(IFERROR(INDEX(lst_cat_wish,MATCH(D160,lst_cats,0))="Да",FALSE),MAX($N$4:N159)+1,"")</f>
        <v/>
      </c>
      <c r="O160" s="49">
        <f>IF(OR(A160="",B160="",C160="",L160="❌ Отменено"),0,IF(COUNTIFS($A$4:A159,A160,$B$4:B159,B160,$C$4:C159,C160,$L$4:L159,"&lt;&gt;❌ Отменено")=0,1,0))</f>
        <v/>
      </c>
    </row>
    <row r="161">
      <c r="A161" s="42" t="n"/>
      <c r="B161" s="42" t="n"/>
      <c r="C161" s="43" t="n"/>
      <c r="D161" s="43" t="n"/>
      <c r="E161" s="43" t="n"/>
      <c r="F161" s="42" t="n"/>
      <c r="G161" s="44" t="n"/>
      <c r="H161" s="45" t="n"/>
      <c r="I161" s="46">
        <f>IF(O161=1,SUMIFS(day_amt,day_year,A161,day_month,B161,day_item,C161),"")</f>
        <v/>
      </c>
      <c r="J161" s="47">
        <f>IF(H161&lt;&gt;"",H161,IF(N(I161)=0,"",I161))</f>
        <v/>
      </c>
      <c r="K161" s="48">
        <f>IF(OR(G161="",J161=""),"",G161-J161)</f>
        <v/>
      </c>
      <c r="L161" s="43" t="n"/>
      <c r="M161" s="43" t="n"/>
      <c r="N161" s="49">
        <f>IF(IFERROR(INDEX(lst_cat_wish,MATCH(D161,lst_cats,0))="Да",FALSE),MAX($N$4:N160)+1,"")</f>
        <v/>
      </c>
      <c r="O161" s="49">
        <f>IF(OR(A161="",B161="",C161="",L161="❌ Отменено"),0,IF(COUNTIFS($A$4:A160,A161,$B$4:B160,B161,$C$4:C160,C161,$L$4:L160,"&lt;&gt;❌ Отменено")=0,1,0))</f>
        <v/>
      </c>
    </row>
    <row r="162">
      <c r="A162" s="42" t="n"/>
      <c r="B162" s="42" t="n"/>
      <c r="C162" s="43" t="n"/>
      <c r="D162" s="43" t="n"/>
      <c r="E162" s="43" t="n"/>
      <c r="F162" s="42" t="n"/>
      <c r="G162" s="44" t="n"/>
      <c r="H162" s="45" t="n"/>
      <c r="I162" s="46">
        <f>IF(O162=1,SUMIFS(day_amt,day_year,A162,day_month,B162,day_item,C162),"")</f>
        <v/>
      </c>
      <c r="J162" s="47">
        <f>IF(H162&lt;&gt;"",H162,IF(N(I162)=0,"",I162))</f>
        <v/>
      </c>
      <c r="K162" s="48">
        <f>IF(OR(G162="",J162=""),"",G162-J162)</f>
        <v/>
      </c>
      <c r="L162" s="43" t="n"/>
      <c r="M162" s="43" t="n"/>
      <c r="N162" s="49">
        <f>IF(IFERROR(INDEX(lst_cat_wish,MATCH(D162,lst_cats,0))="Да",FALSE),MAX($N$4:N161)+1,"")</f>
        <v/>
      </c>
      <c r="O162" s="49">
        <f>IF(OR(A162="",B162="",C162="",L162="❌ Отменено"),0,IF(COUNTIFS($A$4:A161,A162,$B$4:B161,B162,$C$4:C161,C162,$L$4:L161,"&lt;&gt;❌ Отменено")=0,1,0))</f>
        <v/>
      </c>
    </row>
    <row r="163">
      <c r="A163" s="42" t="n"/>
      <c r="B163" s="42" t="n"/>
      <c r="C163" s="43" t="n"/>
      <c r="D163" s="43" t="n"/>
      <c r="E163" s="43" t="n"/>
      <c r="F163" s="42" t="n"/>
      <c r="G163" s="44" t="n"/>
      <c r="H163" s="45" t="n"/>
      <c r="I163" s="46">
        <f>IF(O163=1,SUMIFS(day_amt,day_year,A163,day_month,B163,day_item,C163),"")</f>
        <v/>
      </c>
      <c r="J163" s="47">
        <f>IF(H163&lt;&gt;"",H163,IF(N(I163)=0,"",I163))</f>
        <v/>
      </c>
      <c r="K163" s="48">
        <f>IF(OR(G163="",J163=""),"",G163-J163)</f>
        <v/>
      </c>
      <c r="L163" s="43" t="n"/>
      <c r="M163" s="43" t="n"/>
      <c r="N163" s="49">
        <f>IF(IFERROR(INDEX(lst_cat_wish,MATCH(D163,lst_cats,0))="Да",FALSE),MAX($N$4:N162)+1,"")</f>
        <v/>
      </c>
      <c r="O163" s="49">
        <f>IF(OR(A163="",B163="",C163="",L163="❌ Отменено"),0,IF(COUNTIFS($A$4:A162,A163,$B$4:B162,B163,$C$4:C162,C163,$L$4:L162,"&lt;&gt;❌ Отменено")=0,1,0))</f>
        <v/>
      </c>
    </row>
    <row r="164">
      <c r="A164" s="42" t="n"/>
      <c r="B164" s="42" t="n"/>
      <c r="C164" s="43" t="n"/>
      <c r="D164" s="43" t="n"/>
      <c r="E164" s="43" t="n"/>
      <c r="F164" s="42" t="n"/>
      <c r="G164" s="44" t="n"/>
      <c r="H164" s="45" t="n"/>
      <c r="I164" s="46">
        <f>IF(O164=1,SUMIFS(day_amt,day_year,A164,day_month,B164,day_item,C164),"")</f>
        <v/>
      </c>
      <c r="J164" s="47">
        <f>IF(H164&lt;&gt;"",H164,IF(N(I164)=0,"",I164))</f>
        <v/>
      </c>
      <c r="K164" s="48">
        <f>IF(OR(G164="",J164=""),"",G164-J164)</f>
        <v/>
      </c>
      <c r="L164" s="43" t="n"/>
      <c r="M164" s="43" t="n"/>
      <c r="N164" s="49">
        <f>IF(IFERROR(INDEX(lst_cat_wish,MATCH(D164,lst_cats,0))="Да",FALSE),MAX($N$4:N163)+1,"")</f>
        <v/>
      </c>
      <c r="O164" s="49">
        <f>IF(OR(A164="",B164="",C164="",L164="❌ Отменено"),0,IF(COUNTIFS($A$4:A163,A164,$B$4:B163,B164,$C$4:C163,C164,$L$4:L163,"&lt;&gt;❌ Отменено")=0,1,0))</f>
        <v/>
      </c>
    </row>
    <row r="165">
      <c r="A165" s="42" t="n"/>
      <c r="B165" s="42" t="n"/>
      <c r="C165" s="43" t="n"/>
      <c r="D165" s="43" t="n"/>
      <c r="E165" s="43" t="n"/>
      <c r="F165" s="42" t="n"/>
      <c r="G165" s="44" t="n"/>
      <c r="H165" s="45" t="n"/>
      <c r="I165" s="46">
        <f>IF(O165=1,SUMIFS(day_amt,day_year,A165,day_month,B165,day_item,C165),"")</f>
        <v/>
      </c>
      <c r="J165" s="47">
        <f>IF(H165&lt;&gt;"",H165,IF(N(I165)=0,"",I165))</f>
        <v/>
      </c>
      <c r="K165" s="48">
        <f>IF(OR(G165="",J165=""),"",G165-J165)</f>
        <v/>
      </c>
      <c r="L165" s="43" t="n"/>
      <c r="M165" s="43" t="n"/>
      <c r="N165" s="49">
        <f>IF(IFERROR(INDEX(lst_cat_wish,MATCH(D165,lst_cats,0))="Да",FALSE),MAX($N$4:N164)+1,"")</f>
        <v/>
      </c>
      <c r="O165" s="49">
        <f>IF(OR(A165="",B165="",C165="",L165="❌ Отменено"),0,IF(COUNTIFS($A$4:A164,A165,$B$4:B164,B165,$C$4:C164,C165,$L$4:L164,"&lt;&gt;❌ Отменено")=0,1,0))</f>
        <v/>
      </c>
    </row>
    <row r="166">
      <c r="A166" s="42" t="n"/>
      <c r="B166" s="42" t="n"/>
      <c r="C166" s="43" t="n"/>
      <c r="D166" s="43" t="n"/>
      <c r="E166" s="43" t="n"/>
      <c r="F166" s="42" t="n"/>
      <c r="G166" s="44" t="n"/>
      <c r="H166" s="45" t="n"/>
      <c r="I166" s="46">
        <f>IF(O166=1,SUMIFS(day_amt,day_year,A166,day_month,B166,day_item,C166),"")</f>
        <v/>
      </c>
      <c r="J166" s="47">
        <f>IF(H166&lt;&gt;"",H166,IF(N(I166)=0,"",I166))</f>
        <v/>
      </c>
      <c r="K166" s="48">
        <f>IF(OR(G166="",J166=""),"",G166-J166)</f>
        <v/>
      </c>
      <c r="L166" s="43" t="n"/>
      <c r="M166" s="43" t="n"/>
      <c r="N166" s="49">
        <f>IF(IFERROR(INDEX(lst_cat_wish,MATCH(D166,lst_cats,0))="Да",FALSE),MAX($N$4:N165)+1,"")</f>
        <v/>
      </c>
      <c r="O166" s="49">
        <f>IF(OR(A166="",B166="",C166="",L166="❌ Отменено"),0,IF(COUNTIFS($A$4:A165,A166,$B$4:B165,B166,$C$4:C165,C166,$L$4:L165,"&lt;&gt;❌ Отменено")=0,1,0))</f>
        <v/>
      </c>
    </row>
    <row r="167">
      <c r="A167" s="42" t="n"/>
      <c r="B167" s="42" t="n"/>
      <c r="C167" s="43" t="n"/>
      <c r="D167" s="43" t="n"/>
      <c r="E167" s="43" t="n"/>
      <c r="F167" s="42" t="n"/>
      <c r="G167" s="44" t="n"/>
      <c r="H167" s="45" t="n"/>
      <c r="I167" s="46">
        <f>IF(O167=1,SUMIFS(day_amt,day_year,A167,day_month,B167,day_item,C167),"")</f>
        <v/>
      </c>
      <c r="J167" s="47">
        <f>IF(H167&lt;&gt;"",H167,IF(N(I167)=0,"",I167))</f>
        <v/>
      </c>
      <c r="K167" s="48">
        <f>IF(OR(G167="",J167=""),"",G167-J167)</f>
        <v/>
      </c>
      <c r="L167" s="43" t="n"/>
      <c r="M167" s="43" t="n"/>
      <c r="N167" s="49">
        <f>IF(IFERROR(INDEX(lst_cat_wish,MATCH(D167,lst_cats,0))="Да",FALSE),MAX($N$4:N166)+1,"")</f>
        <v/>
      </c>
      <c r="O167" s="49">
        <f>IF(OR(A167="",B167="",C167="",L167="❌ Отменено"),0,IF(COUNTIFS($A$4:A166,A167,$B$4:B166,B167,$C$4:C166,C167,$L$4:L166,"&lt;&gt;❌ Отменено")=0,1,0))</f>
        <v/>
      </c>
    </row>
    <row r="168">
      <c r="A168" s="42" t="n"/>
      <c r="B168" s="42" t="n"/>
      <c r="C168" s="43" t="n"/>
      <c r="D168" s="43" t="n"/>
      <c r="E168" s="43" t="n"/>
      <c r="F168" s="42" t="n"/>
      <c r="G168" s="44" t="n"/>
      <c r="H168" s="45" t="n"/>
      <c r="I168" s="46">
        <f>IF(O168=1,SUMIFS(day_amt,day_year,A168,day_month,B168,day_item,C168),"")</f>
        <v/>
      </c>
      <c r="J168" s="47">
        <f>IF(H168&lt;&gt;"",H168,IF(N(I168)=0,"",I168))</f>
        <v/>
      </c>
      <c r="K168" s="48">
        <f>IF(OR(G168="",J168=""),"",G168-J168)</f>
        <v/>
      </c>
      <c r="L168" s="43" t="n"/>
      <c r="M168" s="43" t="n"/>
      <c r="N168" s="49">
        <f>IF(IFERROR(INDEX(lst_cat_wish,MATCH(D168,lst_cats,0))="Да",FALSE),MAX($N$4:N167)+1,"")</f>
        <v/>
      </c>
      <c r="O168" s="49">
        <f>IF(OR(A168="",B168="",C168="",L168="❌ Отменено"),0,IF(COUNTIFS($A$4:A167,A168,$B$4:B167,B168,$C$4:C167,C168,$L$4:L167,"&lt;&gt;❌ Отменено")=0,1,0))</f>
        <v/>
      </c>
    </row>
    <row r="169">
      <c r="A169" s="42" t="n"/>
      <c r="B169" s="42" t="n"/>
      <c r="C169" s="43" t="n"/>
      <c r="D169" s="43" t="n"/>
      <c r="E169" s="43" t="n"/>
      <c r="F169" s="42" t="n"/>
      <c r="G169" s="44" t="n"/>
      <c r="H169" s="45" t="n"/>
      <c r="I169" s="46">
        <f>IF(O169=1,SUMIFS(day_amt,day_year,A169,day_month,B169,day_item,C169),"")</f>
        <v/>
      </c>
      <c r="J169" s="47">
        <f>IF(H169&lt;&gt;"",H169,IF(N(I169)=0,"",I169))</f>
        <v/>
      </c>
      <c r="K169" s="48">
        <f>IF(OR(G169="",J169=""),"",G169-J169)</f>
        <v/>
      </c>
      <c r="L169" s="43" t="n"/>
      <c r="M169" s="43" t="n"/>
      <c r="N169" s="49">
        <f>IF(IFERROR(INDEX(lst_cat_wish,MATCH(D169,lst_cats,0))="Да",FALSE),MAX($N$4:N168)+1,"")</f>
        <v/>
      </c>
      <c r="O169" s="49">
        <f>IF(OR(A169="",B169="",C169="",L169="❌ Отменено"),0,IF(COUNTIFS($A$4:A168,A169,$B$4:B168,B169,$C$4:C168,C169,$L$4:L168,"&lt;&gt;❌ Отменено")=0,1,0))</f>
        <v/>
      </c>
    </row>
    <row r="170">
      <c r="A170" s="42" t="n"/>
      <c r="B170" s="42" t="n"/>
      <c r="C170" s="43" t="n"/>
      <c r="D170" s="43" t="n"/>
      <c r="E170" s="43" t="n"/>
      <c r="F170" s="42" t="n"/>
      <c r="G170" s="44" t="n"/>
      <c r="H170" s="45" t="n"/>
      <c r="I170" s="46">
        <f>IF(O170=1,SUMIFS(day_amt,day_year,A170,day_month,B170,day_item,C170),"")</f>
        <v/>
      </c>
      <c r="J170" s="47">
        <f>IF(H170&lt;&gt;"",H170,IF(N(I170)=0,"",I170))</f>
        <v/>
      </c>
      <c r="K170" s="48">
        <f>IF(OR(G170="",J170=""),"",G170-J170)</f>
        <v/>
      </c>
      <c r="L170" s="43" t="n"/>
      <c r="M170" s="43" t="n"/>
      <c r="N170" s="49">
        <f>IF(IFERROR(INDEX(lst_cat_wish,MATCH(D170,lst_cats,0))="Да",FALSE),MAX($N$4:N169)+1,"")</f>
        <v/>
      </c>
      <c r="O170" s="49">
        <f>IF(OR(A170="",B170="",C170="",L170="❌ Отменено"),0,IF(COUNTIFS($A$4:A169,A170,$B$4:B169,B170,$C$4:C169,C170,$L$4:L169,"&lt;&gt;❌ Отменено")=0,1,0))</f>
        <v/>
      </c>
    </row>
    <row r="171">
      <c r="A171" s="42" t="n"/>
      <c r="B171" s="42" t="n"/>
      <c r="C171" s="43" t="n"/>
      <c r="D171" s="43" t="n"/>
      <c r="E171" s="43" t="n"/>
      <c r="F171" s="42" t="n"/>
      <c r="G171" s="44" t="n"/>
      <c r="H171" s="45" t="n"/>
      <c r="I171" s="46">
        <f>IF(O171=1,SUMIFS(day_amt,day_year,A171,day_month,B171,day_item,C171),"")</f>
        <v/>
      </c>
      <c r="J171" s="47">
        <f>IF(H171&lt;&gt;"",H171,IF(N(I171)=0,"",I171))</f>
        <v/>
      </c>
      <c r="K171" s="48">
        <f>IF(OR(G171="",J171=""),"",G171-J171)</f>
        <v/>
      </c>
      <c r="L171" s="43" t="n"/>
      <c r="M171" s="43" t="n"/>
      <c r="N171" s="49">
        <f>IF(IFERROR(INDEX(lst_cat_wish,MATCH(D171,lst_cats,0))="Да",FALSE),MAX($N$4:N170)+1,"")</f>
        <v/>
      </c>
      <c r="O171" s="49">
        <f>IF(OR(A171="",B171="",C171="",L171="❌ Отменено"),0,IF(COUNTIFS($A$4:A170,A171,$B$4:B170,B171,$C$4:C170,C171,$L$4:L170,"&lt;&gt;❌ Отменено")=0,1,0))</f>
        <v/>
      </c>
    </row>
    <row r="172">
      <c r="A172" s="42" t="n"/>
      <c r="B172" s="42" t="n"/>
      <c r="C172" s="43" t="n"/>
      <c r="D172" s="43" t="n"/>
      <c r="E172" s="43" t="n"/>
      <c r="F172" s="42" t="n"/>
      <c r="G172" s="44" t="n"/>
      <c r="H172" s="45" t="n"/>
      <c r="I172" s="46">
        <f>IF(O172=1,SUMIFS(day_amt,day_year,A172,day_month,B172,day_item,C172),"")</f>
        <v/>
      </c>
      <c r="J172" s="47">
        <f>IF(H172&lt;&gt;"",H172,IF(N(I172)=0,"",I172))</f>
        <v/>
      </c>
      <c r="K172" s="48">
        <f>IF(OR(G172="",J172=""),"",G172-J172)</f>
        <v/>
      </c>
      <c r="L172" s="43" t="n"/>
      <c r="M172" s="43" t="n"/>
      <c r="N172" s="49">
        <f>IF(IFERROR(INDEX(lst_cat_wish,MATCH(D172,lst_cats,0))="Да",FALSE),MAX($N$4:N171)+1,"")</f>
        <v/>
      </c>
      <c r="O172" s="49">
        <f>IF(OR(A172="",B172="",C172="",L172="❌ Отменено"),0,IF(COUNTIFS($A$4:A171,A172,$B$4:B171,B172,$C$4:C171,C172,$L$4:L171,"&lt;&gt;❌ Отменено")=0,1,0))</f>
        <v/>
      </c>
    </row>
    <row r="173">
      <c r="A173" s="42" t="n"/>
      <c r="B173" s="42" t="n"/>
      <c r="C173" s="43" t="n"/>
      <c r="D173" s="43" t="n"/>
      <c r="E173" s="43" t="n"/>
      <c r="F173" s="42" t="n"/>
      <c r="G173" s="44" t="n"/>
      <c r="H173" s="45" t="n"/>
      <c r="I173" s="46">
        <f>IF(O173=1,SUMIFS(day_amt,day_year,A173,day_month,B173,day_item,C173),"")</f>
        <v/>
      </c>
      <c r="J173" s="47">
        <f>IF(H173&lt;&gt;"",H173,IF(N(I173)=0,"",I173))</f>
        <v/>
      </c>
      <c r="K173" s="48">
        <f>IF(OR(G173="",J173=""),"",G173-J173)</f>
        <v/>
      </c>
      <c r="L173" s="43" t="n"/>
      <c r="M173" s="43" t="n"/>
      <c r="N173" s="49">
        <f>IF(IFERROR(INDEX(lst_cat_wish,MATCH(D173,lst_cats,0))="Да",FALSE),MAX($N$4:N172)+1,"")</f>
        <v/>
      </c>
      <c r="O173" s="49">
        <f>IF(OR(A173="",B173="",C173="",L173="❌ Отменено"),0,IF(COUNTIFS($A$4:A172,A173,$B$4:B172,B173,$C$4:C172,C173,$L$4:L172,"&lt;&gt;❌ Отменено")=0,1,0))</f>
        <v/>
      </c>
    </row>
    <row r="174">
      <c r="A174" s="42" t="n"/>
      <c r="B174" s="42" t="n"/>
      <c r="C174" s="43" t="n"/>
      <c r="D174" s="43" t="n"/>
      <c r="E174" s="43" t="n"/>
      <c r="F174" s="42" t="n"/>
      <c r="G174" s="44" t="n"/>
      <c r="H174" s="45" t="n"/>
      <c r="I174" s="46">
        <f>IF(O174=1,SUMIFS(day_amt,day_year,A174,day_month,B174,day_item,C174),"")</f>
        <v/>
      </c>
      <c r="J174" s="47">
        <f>IF(H174&lt;&gt;"",H174,IF(N(I174)=0,"",I174))</f>
        <v/>
      </c>
      <c r="K174" s="48">
        <f>IF(OR(G174="",J174=""),"",G174-J174)</f>
        <v/>
      </c>
      <c r="L174" s="43" t="n"/>
      <c r="M174" s="43" t="n"/>
      <c r="N174" s="49">
        <f>IF(IFERROR(INDEX(lst_cat_wish,MATCH(D174,lst_cats,0))="Да",FALSE),MAX($N$4:N173)+1,"")</f>
        <v/>
      </c>
      <c r="O174" s="49">
        <f>IF(OR(A174="",B174="",C174="",L174="❌ Отменено"),0,IF(COUNTIFS($A$4:A173,A174,$B$4:B173,B174,$C$4:C173,C174,$L$4:L173,"&lt;&gt;❌ Отменено")=0,1,0))</f>
        <v/>
      </c>
    </row>
    <row r="175">
      <c r="A175" s="42" t="n"/>
      <c r="B175" s="42" t="n"/>
      <c r="C175" s="43" t="n"/>
      <c r="D175" s="43" t="n"/>
      <c r="E175" s="43" t="n"/>
      <c r="F175" s="42" t="n"/>
      <c r="G175" s="44" t="n"/>
      <c r="H175" s="45" t="n"/>
      <c r="I175" s="46">
        <f>IF(O175=1,SUMIFS(day_amt,day_year,A175,day_month,B175,day_item,C175),"")</f>
        <v/>
      </c>
      <c r="J175" s="47">
        <f>IF(H175&lt;&gt;"",H175,IF(N(I175)=0,"",I175))</f>
        <v/>
      </c>
      <c r="K175" s="48">
        <f>IF(OR(G175="",J175=""),"",G175-J175)</f>
        <v/>
      </c>
      <c r="L175" s="43" t="n"/>
      <c r="M175" s="43" t="n"/>
      <c r="N175" s="49">
        <f>IF(IFERROR(INDEX(lst_cat_wish,MATCH(D175,lst_cats,0))="Да",FALSE),MAX($N$4:N174)+1,"")</f>
        <v/>
      </c>
      <c r="O175" s="49">
        <f>IF(OR(A175="",B175="",C175="",L175="❌ Отменено"),0,IF(COUNTIFS($A$4:A174,A175,$B$4:B174,B175,$C$4:C174,C175,$L$4:L174,"&lt;&gt;❌ Отменено")=0,1,0))</f>
        <v/>
      </c>
    </row>
    <row r="176">
      <c r="A176" s="42" t="n"/>
      <c r="B176" s="42" t="n"/>
      <c r="C176" s="43" t="n"/>
      <c r="D176" s="43" t="n"/>
      <c r="E176" s="43" t="n"/>
      <c r="F176" s="42" t="n"/>
      <c r="G176" s="44" t="n"/>
      <c r="H176" s="45" t="n"/>
      <c r="I176" s="46">
        <f>IF(O176=1,SUMIFS(day_amt,day_year,A176,day_month,B176,day_item,C176),"")</f>
        <v/>
      </c>
      <c r="J176" s="47">
        <f>IF(H176&lt;&gt;"",H176,IF(N(I176)=0,"",I176))</f>
        <v/>
      </c>
      <c r="K176" s="48">
        <f>IF(OR(G176="",J176=""),"",G176-J176)</f>
        <v/>
      </c>
      <c r="L176" s="43" t="n"/>
      <c r="M176" s="43" t="n"/>
      <c r="N176" s="49">
        <f>IF(IFERROR(INDEX(lst_cat_wish,MATCH(D176,lst_cats,0))="Да",FALSE),MAX($N$4:N175)+1,"")</f>
        <v/>
      </c>
      <c r="O176" s="49">
        <f>IF(OR(A176="",B176="",C176="",L176="❌ Отменено"),0,IF(COUNTIFS($A$4:A175,A176,$B$4:B175,B176,$C$4:C175,C176,$L$4:L175,"&lt;&gt;❌ Отменено")=0,1,0))</f>
        <v/>
      </c>
    </row>
    <row r="177">
      <c r="A177" s="42" t="n"/>
      <c r="B177" s="42" t="n"/>
      <c r="C177" s="43" t="n"/>
      <c r="D177" s="43" t="n"/>
      <c r="E177" s="43" t="n"/>
      <c r="F177" s="42" t="n"/>
      <c r="G177" s="44" t="n"/>
      <c r="H177" s="45" t="n"/>
      <c r="I177" s="46">
        <f>IF(O177=1,SUMIFS(day_amt,day_year,A177,day_month,B177,day_item,C177),"")</f>
        <v/>
      </c>
      <c r="J177" s="47">
        <f>IF(H177&lt;&gt;"",H177,IF(N(I177)=0,"",I177))</f>
        <v/>
      </c>
      <c r="K177" s="48">
        <f>IF(OR(G177="",J177=""),"",G177-J177)</f>
        <v/>
      </c>
      <c r="L177" s="43" t="n"/>
      <c r="M177" s="43" t="n"/>
      <c r="N177" s="49">
        <f>IF(IFERROR(INDEX(lst_cat_wish,MATCH(D177,lst_cats,0))="Да",FALSE),MAX($N$4:N176)+1,"")</f>
        <v/>
      </c>
      <c r="O177" s="49">
        <f>IF(OR(A177="",B177="",C177="",L177="❌ Отменено"),0,IF(COUNTIFS($A$4:A176,A177,$B$4:B176,B177,$C$4:C176,C177,$L$4:L176,"&lt;&gt;❌ Отменено")=0,1,0))</f>
        <v/>
      </c>
    </row>
    <row r="178">
      <c r="A178" s="42" t="n"/>
      <c r="B178" s="42" t="n"/>
      <c r="C178" s="43" t="n"/>
      <c r="D178" s="43" t="n"/>
      <c r="E178" s="43" t="n"/>
      <c r="F178" s="42" t="n"/>
      <c r="G178" s="44" t="n"/>
      <c r="H178" s="45" t="n"/>
      <c r="I178" s="46">
        <f>IF(O178=1,SUMIFS(day_amt,day_year,A178,day_month,B178,day_item,C178),"")</f>
        <v/>
      </c>
      <c r="J178" s="47">
        <f>IF(H178&lt;&gt;"",H178,IF(N(I178)=0,"",I178))</f>
        <v/>
      </c>
      <c r="K178" s="48">
        <f>IF(OR(G178="",J178=""),"",G178-J178)</f>
        <v/>
      </c>
      <c r="L178" s="43" t="n"/>
      <c r="M178" s="43" t="n"/>
      <c r="N178" s="49">
        <f>IF(IFERROR(INDEX(lst_cat_wish,MATCH(D178,lst_cats,0))="Да",FALSE),MAX($N$4:N177)+1,"")</f>
        <v/>
      </c>
      <c r="O178" s="49">
        <f>IF(OR(A178="",B178="",C178="",L178="❌ Отменено"),0,IF(COUNTIFS($A$4:A177,A178,$B$4:B177,B178,$C$4:C177,C178,$L$4:L177,"&lt;&gt;❌ Отменено")=0,1,0))</f>
        <v/>
      </c>
    </row>
    <row r="179">
      <c r="A179" s="42" t="n"/>
      <c r="B179" s="42" t="n"/>
      <c r="C179" s="43" t="n"/>
      <c r="D179" s="43" t="n"/>
      <c r="E179" s="43" t="n"/>
      <c r="F179" s="42" t="n"/>
      <c r="G179" s="44" t="n"/>
      <c r="H179" s="45" t="n"/>
      <c r="I179" s="46">
        <f>IF(O179=1,SUMIFS(day_amt,day_year,A179,day_month,B179,day_item,C179),"")</f>
        <v/>
      </c>
      <c r="J179" s="47">
        <f>IF(H179&lt;&gt;"",H179,IF(N(I179)=0,"",I179))</f>
        <v/>
      </c>
      <c r="K179" s="48">
        <f>IF(OR(G179="",J179=""),"",G179-J179)</f>
        <v/>
      </c>
      <c r="L179" s="43" t="n"/>
      <c r="M179" s="43" t="n"/>
      <c r="N179" s="49">
        <f>IF(IFERROR(INDEX(lst_cat_wish,MATCH(D179,lst_cats,0))="Да",FALSE),MAX($N$4:N178)+1,"")</f>
        <v/>
      </c>
      <c r="O179" s="49">
        <f>IF(OR(A179="",B179="",C179="",L179="❌ Отменено"),0,IF(COUNTIFS($A$4:A178,A179,$B$4:B178,B179,$C$4:C178,C179,$L$4:L178,"&lt;&gt;❌ Отменено")=0,1,0))</f>
        <v/>
      </c>
    </row>
    <row r="180">
      <c r="A180" s="42" t="n"/>
      <c r="B180" s="42" t="n"/>
      <c r="C180" s="43" t="n"/>
      <c r="D180" s="43" t="n"/>
      <c r="E180" s="43" t="n"/>
      <c r="F180" s="42" t="n"/>
      <c r="G180" s="44" t="n"/>
      <c r="H180" s="45" t="n"/>
      <c r="I180" s="46">
        <f>IF(O180=1,SUMIFS(day_amt,day_year,A180,day_month,B180,day_item,C180),"")</f>
        <v/>
      </c>
      <c r="J180" s="47">
        <f>IF(H180&lt;&gt;"",H180,IF(N(I180)=0,"",I180))</f>
        <v/>
      </c>
      <c r="K180" s="48">
        <f>IF(OR(G180="",J180=""),"",G180-J180)</f>
        <v/>
      </c>
      <c r="L180" s="43" t="n"/>
      <c r="M180" s="43" t="n"/>
      <c r="N180" s="49">
        <f>IF(IFERROR(INDEX(lst_cat_wish,MATCH(D180,lst_cats,0))="Да",FALSE),MAX($N$4:N179)+1,"")</f>
        <v/>
      </c>
      <c r="O180" s="49">
        <f>IF(OR(A180="",B180="",C180="",L180="❌ Отменено"),0,IF(COUNTIFS($A$4:A179,A180,$B$4:B179,B180,$C$4:C179,C180,$L$4:L179,"&lt;&gt;❌ Отменено")=0,1,0))</f>
        <v/>
      </c>
    </row>
    <row r="181">
      <c r="A181" s="42" t="n"/>
      <c r="B181" s="42" t="n"/>
      <c r="C181" s="43" t="n"/>
      <c r="D181" s="43" t="n"/>
      <c r="E181" s="43" t="n"/>
      <c r="F181" s="42" t="n"/>
      <c r="G181" s="44" t="n"/>
      <c r="H181" s="45" t="n"/>
      <c r="I181" s="46">
        <f>IF(O181=1,SUMIFS(day_amt,day_year,A181,day_month,B181,day_item,C181),"")</f>
        <v/>
      </c>
      <c r="J181" s="47">
        <f>IF(H181&lt;&gt;"",H181,IF(N(I181)=0,"",I181))</f>
        <v/>
      </c>
      <c r="K181" s="48">
        <f>IF(OR(G181="",J181=""),"",G181-J181)</f>
        <v/>
      </c>
      <c r="L181" s="43" t="n"/>
      <c r="M181" s="43" t="n"/>
      <c r="N181" s="49">
        <f>IF(IFERROR(INDEX(lst_cat_wish,MATCH(D181,lst_cats,0))="Да",FALSE),MAX($N$4:N180)+1,"")</f>
        <v/>
      </c>
      <c r="O181" s="49">
        <f>IF(OR(A181="",B181="",C181="",L181="❌ Отменено"),0,IF(COUNTIFS($A$4:A180,A181,$B$4:B180,B181,$C$4:C180,C181,$L$4:L180,"&lt;&gt;❌ Отменено")=0,1,0))</f>
        <v/>
      </c>
    </row>
    <row r="182">
      <c r="A182" s="42" t="n"/>
      <c r="B182" s="42" t="n"/>
      <c r="C182" s="43" t="n"/>
      <c r="D182" s="43" t="n"/>
      <c r="E182" s="43" t="n"/>
      <c r="F182" s="42" t="n"/>
      <c r="G182" s="44" t="n"/>
      <c r="H182" s="45" t="n"/>
      <c r="I182" s="46">
        <f>IF(O182=1,SUMIFS(day_amt,day_year,A182,day_month,B182,day_item,C182),"")</f>
        <v/>
      </c>
      <c r="J182" s="47">
        <f>IF(H182&lt;&gt;"",H182,IF(N(I182)=0,"",I182))</f>
        <v/>
      </c>
      <c r="K182" s="48">
        <f>IF(OR(G182="",J182=""),"",G182-J182)</f>
        <v/>
      </c>
      <c r="L182" s="43" t="n"/>
      <c r="M182" s="43" t="n"/>
      <c r="N182" s="49">
        <f>IF(IFERROR(INDEX(lst_cat_wish,MATCH(D182,lst_cats,0))="Да",FALSE),MAX($N$4:N181)+1,"")</f>
        <v/>
      </c>
      <c r="O182" s="49">
        <f>IF(OR(A182="",B182="",C182="",L182="❌ Отменено"),0,IF(COUNTIFS($A$4:A181,A182,$B$4:B181,B182,$C$4:C181,C182,$L$4:L181,"&lt;&gt;❌ Отменено")=0,1,0))</f>
        <v/>
      </c>
    </row>
    <row r="183">
      <c r="A183" s="42" t="n"/>
      <c r="B183" s="42" t="n"/>
      <c r="C183" s="43" t="n"/>
      <c r="D183" s="43" t="n"/>
      <c r="E183" s="43" t="n"/>
      <c r="F183" s="42" t="n"/>
      <c r="G183" s="44" t="n"/>
      <c r="H183" s="45" t="n"/>
      <c r="I183" s="46">
        <f>IF(O183=1,SUMIFS(day_amt,day_year,A183,day_month,B183,day_item,C183),"")</f>
        <v/>
      </c>
      <c r="J183" s="47">
        <f>IF(H183&lt;&gt;"",H183,IF(N(I183)=0,"",I183))</f>
        <v/>
      </c>
      <c r="K183" s="48">
        <f>IF(OR(G183="",J183=""),"",G183-J183)</f>
        <v/>
      </c>
      <c r="L183" s="43" t="n"/>
      <c r="M183" s="43" t="n"/>
      <c r="N183" s="49">
        <f>IF(IFERROR(INDEX(lst_cat_wish,MATCH(D183,lst_cats,0))="Да",FALSE),MAX($N$4:N182)+1,"")</f>
        <v/>
      </c>
      <c r="O183" s="49">
        <f>IF(OR(A183="",B183="",C183="",L183="❌ Отменено"),0,IF(COUNTIFS($A$4:A182,A183,$B$4:B182,B183,$C$4:C182,C183,$L$4:L182,"&lt;&gt;❌ Отменено")=0,1,0))</f>
        <v/>
      </c>
    </row>
    <row r="184">
      <c r="A184" s="42" t="n"/>
      <c r="B184" s="42" t="n"/>
      <c r="C184" s="43" t="n"/>
      <c r="D184" s="43" t="n"/>
      <c r="E184" s="43" t="n"/>
      <c r="F184" s="42" t="n"/>
      <c r="G184" s="44" t="n"/>
      <c r="H184" s="45" t="n"/>
      <c r="I184" s="46">
        <f>IF(O184=1,SUMIFS(day_amt,day_year,A184,day_month,B184,day_item,C184),"")</f>
        <v/>
      </c>
      <c r="J184" s="47">
        <f>IF(H184&lt;&gt;"",H184,IF(N(I184)=0,"",I184))</f>
        <v/>
      </c>
      <c r="K184" s="48">
        <f>IF(OR(G184="",J184=""),"",G184-J184)</f>
        <v/>
      </c>
      <c r="L184" s="43" t="n"/>
      <c r="M184" s="43" t="n"/>
      <c r="N184" s="49">
        <f>IF(IFERROR(INDEX(lst_cat_wish,MATCH(D184,lst_cats,0))="Да",FALSE),MAX($N$4:N183)+1,"")</f>
        <v/>
      </c>
      <c r="O184" s="49">
        <f>IF(OR(A184="",B184="",C184="",L184="❌ Отменено"),0,IF(COUNTIFS($A$4:A183,A184,$B$4:B183,B184,$C$4:C183,C184,$L$4:L183,"&lt;&gt;❌ Отменено")=0,1,0))</f>
        <v/>
      </c>
    </row>
    <row r="185">
      <c r="A185" s="42" t="n"/>
      <c r="B185" s="42" t="n"/>
      <c r="C185" s="43" t="n"/>
      <c r="D185" s="43" t="n"/>
      <c r="E185" s="43" t="n"/>
      <c r="F185" s="42" t="n"/>
      <c r="G185" s="44" t="n"/>
      <c r="H185" s="45" t="n"/>
      <c r="I185" s="46">
        <f>IF(O185=1,SUMIFS(day_amt,day_year,A185,day_month,B185,day_item,C185),"")</f>
        <v/>
      </c>
      <c r="J185" s="47">
        <f>IF(H185&lt;&gt;"",H185,IF(N(I185)=0,"",I185))</f>
        <v/>
      </c>
      <c r="K185" s="48">
        <f>IF(OR(G185="",J185=""),"",G185-J185)</f>
        <v/>
      </c>
      <c r="L185" s="43" t="n"/>
      <c r="M185" s="43" t="n"/>
      <c r="N185" s="49">
        <f>IF(IFERROR(INDEX(lst_cat_wish,MATCH(D185,lst_cats,0))="Да",FALSE),MAX($N$4:N184)+1,"")</f>
        <v/>
      </c>
      <c r="O185" s="49">
        <f>IF(OR(A185="",B185="",C185="",L185="❌ Отменено"),0,IF(COUNTIFS($A$4:A184,A185,$B$4:B184,B185,$C$4:C184,C185,$L$4:L184,"&lt;&gt;❌ Отменено")=0,1,0))</f>
        <v/>
      </c>
    </row>
    <row r="186">
      <c r="A186" s="42" t="n"/>
      <c r="B186" s="42" t="n"/>
      <c r="C186" s="43" t="n"/>
      <c r="D186" s="43" t="n"/>
      <c r="E186" s="43" t="n"/>
      <c r="F186" s="42" t="n"/>
      <c r="G186" s="44" t="n"/>
      <c r="H186" s="45" t="n"/>
      <c r="I186" s="46">
        <f>IF(O186=1,SUMIFS(day_amt,day_year,A186,day_month,B186,day_item,C186),"")</f>
        <v/>
      </c>
      <c r="J186" s="47">
        <f>IF(H186&lt;&gt;"",H186,IF(N(I186)=0,"",I186))</f>
        <v/>
      </c>
      <c r="K186" s="48">
        <f>IF(OR(G186="",J186=""),"",G186-J186)</f>
        <v/>
      </c>
      <c r="L186" s="43" t="n"/>
      <c r="M186" s="43" t="n"/>
      <c r="N186" s="49">
        <f>IF(IFERROR(INDEX(lst_cat_wish,MATCH(D186,lst_cats,0))="Да",FALSE),MAX($N$4:N185)+1,"")</f>
        <v/>
      </c>
      <c r="O186" s="49">
        <f>IF(OR(A186="",B186="",C186="",L186="❌ Отменено"),0,IF(COUNTIFS($A$4:A185,A186,$B$4:B185,B186,$C$4:C185,C186,$L$4:L185,"&lt;&gt;❌ Отменено")=0,1,0))</f>
        <v/>
      </c>
    </row>
    <row r="187">
      <c r="A187" s="42" t="n"/>
      <c r="B187" s="42" t="n"/>
      <c r="C187" s="43" t="n"/>
      <c r="D187" s="43" t="n"/>
      <c r="E187" s="43" t="n"/>
      <c r="F187" s="42" t="n"/>
      <c r="G187" s="44" t="n"/>
      <c r="H187" s="45" t="n"/>
      <c r="I187" s="46">
        <f>IF(O187=1,SUMIFS(day_amt,day_year,A187,day_month,B187,day_item,C187),"")</f>
        <v/>
      </c>
      <c r="J187" s="47">
        <f>IF(H187&lt;&gt;"",H187,IF(N(I187)=0,"",I187))</f>
        <v/>
      </c>
      <c r="K187" s="48">
        <f>IF(OR(G187="",J187=""),"",G187-J187)</f>
        <v/>
      </c>
      <c r="L187" s="43" t="n"/>
      <c r="M187" s="43" t="n"/>
      <c r="N187" s="49">
        <f>IF(IFERROR(INDEX(lst_cat_wish,MATCH(D187,lst_cats,0))="Да",FALSE),MAX($N$4:N186)+1,"")</f>
        <v/>
      </c>
      <c r="O187" s="49">
        <f>IF(OR(A187="",B187="",C187="",L187="❌ Отменено"),0,IF(COUNTIFS($A$4:A186,A187,$B$4:B186,B187,$C$4:C186,C187,$L$4:L186,"&lt;&gt;❌ Отменено")=0,1,0))</f>
        <v/>
      </c>
    </row>
    <row r="188">
      <c r="A188" s="42" t="n"/>
      <c r="B188" s="42" t="n"/>
      <c r="C188" s="43" t="n"/>
      <c r="D188" s="43" t="n"/>
      <c r="E188" s="43" t="n"/>
      <c r="F188" s="42" t="n"/>
      <c r="G188" s="44" t="n"/>
      <c r="H188" s="45" t="n"/>
      <c r="I188" s="46">
        <f>IF(O188=1,SUMIFS(day_amt,day_year,A188,day_month,B188,day_item,C188),"")</f>
        <v/>
      </c>
      <c r="J188" s="47">
        <f>IF(H188&lt;&gt;"",H188,IF(N(I188)=0,"",I188))</f>
        <v/>
      </c>
      <c r="K188" s="48">
        <f>IF(OR(G188="",J188=""),"",G188-J188)</f>
        <v/>
      </c>
      <c r="L188" s="43" t="n"/>
      <c r="M188" s="43" t="n"/>
      <c r="N188" s="49">
        <f>IF(IFERROR(INDEX(lst_cat_wish,MATCH(D188,lst_cats,0))="Да",FALSE),MAX($N$4:N187)+1,"")</f>
        <v/>
      </c>
      <c r="O188" s="49">
        <f>IF(OR(A188="",B188="",C188="",L188="❌ Отменено"),0,IF(COUNTIFS($A$4:A187,A188,$B$4:B187,B188,$C$4:C187,C188,$L$4:L187,"&lt;&gt;❌ Отменено")=0,1,0))</f>
        <v/>
      </c>
    </row>
    <row r="189">
      <c r="A189" s="42" t="n"/>
      <c r="B189" s="42" t="n"/>
      <c r="C189" s="43" t="n"/>
      <c r="D189" s="43" t="n"/>
      <c r="E189" s="43" t="n"/>
      <c r="F189" s="42" t="n"/>
      <c r="G189" s="44" t="n"/>
      <c r="H189" s="45" t="n"/>
      <c r="I189" s="46">
        <f>IF(O189=1,SUMIFS(day_amt,day_year,A189,day_month,B189,day_item,C189),"")</f>
        <v/>
      </c>
      <c r="J189" s="47">
        <f>IF(H189&lt;&gt;"",H189,IF(N(I189)=0,"",I189))</f>
        <v/>
      </c>
      <c r="K189" s="48">
        <f>IF(OR(G189="",J189=""),"",G189-J189)</f>
        <v/>
      </c>
      <c r="L189" s="43" t="n"/>
      <c r="M189" s="43" t="n"/>
      <c r="N189" s="49">
        <f>IF(IFERROR(INDEX(lst_cat_wish,MATCH(D189,lst_cats,0))="Да",FALSE),MAX($N$4:N188)+1,"")</f>
        <v/>
      </c>
      <c r="O189" s="49">
        <f>IF(OR(A189="",B189="",C189="",L189="❌ Отменено"),0,IF(COUNTIFS($A$4:A188,A189,$B$4:B188,B189,$C$4:C188,C189,$L$4:L188,"&lt;&gt;❌ Отменено")=0,1,0))</f>
        <v/>
      </c>
    </row>
    <row r="190">
      <c r="A190" s="42" t="n"/>
      <c r="B190" s="42" t="n"/>
      <c r="C190" s="43" t="n"/>
      <c r="D190" s="43" t="n"/>
      <c r="E190" s="43" t="n"/>
      <c r="F190" s="42" t="n"/>
      <c r="G190" s="44" t="n"/>
      <c r="H190" s="45" t="n"/>
      <c r="I190" s="46">
        <f>IF(O190=1,SUMIFS(day_amt,day_year,A190,day_month,B190,day_item,C190),"")</f>
        <v/>
      </c>
      <c r="J190" s="47">
        <f>IF(H190&lt;&gt;"",H190,IF(N(I190)=0,"",I190))</f>
        <v/>
      </c>
      <c r="K190" s="48">
        <f>IF(OR(G190="",J190=""),"",G190-J190)</f>
        <v/>
      </c>
      <c r="L190" s="43" t="n"/>
      <c r="M190" s="43" t="n"/>
      <c r="N190" s="49">
        <f>IF(IFERROR(INDEX(lst_cat_wish,MATCH(D190,lst_cats,0))="Да",FALSE),MAX($N$4:N189)+1,"")</f>
        <v/>
      </c>
      <c r="O190" s="49">
        <f>IF(OR(A190="",B190="",C190="",L190="❌ Отменено"),0,IF(COUNTIFS($A$4:A189,A190,$B$4:B189,B190,$C$4:C189,C190,$L$4:L189,"&lt;&gt;❌ Отменено")=0,1,0))</f>
        <v/>
      </c>
    </row>
    <row r="191">
      <c r="A191" s="42" t="n"/>
      <c r="B191" s="42" t="n"/>
      <c r="C191" s="43" t="n"/>
      <c r="D191" s="43" t="n"/>
      <c r="E191" s="43" t="n"/>
      <c r="F191" s="42" t="n"/>
      <c r="G191" s="44" t="n"/>
      <c r="H191" s="45" t="n"/>
      <c r="I191" s="46">
        <f>IF(O191=1,SUMIFS(day_amt,day_year,A191,day_month,B191,day_item,C191),"")</f>
        <v/>
      </c>
      <c r="J191" s="47">
        <f>IF(H191&lt;&gt;"",H191,IF(N(I191)=0,"",I191))</f>
        <v/>
      </c>
      <c r="K191" s="48">
        <f>IF(OR(G191="",J191=""),"",G191-J191)</f>
        <v/>
      </c>
      <c r="L191" s="43" t="n"/>
      <c r="M191" s="43" t="n"/>
      <c r="N191" s="49">
        <f>IF(IFERROR(INDEX(lst_cat_wish,MATCH(D191,lst_cats,0))="Да",FALSE),MAX($N$4:N190)+1,"")</f>
        <v/>
      </c>
      <c r="O191" s="49">
        <f>IF(OR(A191="",B191="",C191="",L191="❌ Отменено"),0,IF(COUNTIFS($A$4:A190,A191,$B$4:B190,B191,$C$4:C190,C191,$L$4:L190,"&lt;&gt;❌ Отменено")=0,1,0))</f>
        <v/>
      </c>
    </row>
    <row r="192">
      <c r="A192" s="42" t="n"/>
      <c r="B192" s="42" t="n"/>
      <c r="C192" s="43" t="n"/>
      <c r="D192" s="43" t="n"/>
      <c r="E192" s="43" t="n"/>
      <c r="F192" s="42" t="n"/>
      <c r="G192" s="44" t="n"/>
      <c r="H192" s="45" t="n"/>
      <c r="I192" s="46">
        <f>IF(O192=1,SUMIFS(day_amt,day_year,A192,day_month,B192,day_item,C192),"")</f>
        <v/>
      </c>
      <c r="J192" s="47">
        <f>IF(H192&lt;&gt;"",H192,IF(N(I192)=0,"",I192))</f>
        <v/>
      </c>
      <c r="K192" s="48">
        <f>IF(OR(G192="",J192=""),"",G192-J192)</f>
        <v/>
      </c>
      <c r="L192" s="43" t="n"/>
      <c r="M192" s="43" t="n"/>
      <c r="N192" s="49">
        <f>IF(IFERROR(INDEX(lst_cat_wish,MATCH(D192,lst_cats,0))="Да",FALSE),MAX($N$4:N191)+1,"")</f>
        <v/>
      </c>
      <c r="O192" s="49">
        <f>IF(OR(A192="",B192="",C192="",L192="❌ Отменено"),0,IF(COUNTIFS($A$4:A191,A192,$B$4:B191,B192,$C$4:C191,C192,$L$4:L191,"&lt;&gt;❌ Отменено")=0,1,0))</f>
        <v/>
      </c>
    </row>
    <row r="193">
      <c r="A193" s="42" t="n"/>
      <c r="B193" s="42" t="n"/>
      <c r="C193" s="43" t="n"/>
      <c r="D193" s="43" t="n"/>
      <c r="E193" s="43" t="n"/>
      <c r="F193" s="42" t="n"/>
      <c r="G193" s="44" t="n"/>
      <c r="H193" s="45" t="n"/>
      <c r="I193" s="46">
        <f>IF(O193=1,SUMIFS(day_amt,day_year,A193,day_month,B193,day_item,C193),"")</f>
        <v/>
      </c>
      <c r="J193" s="47">
        <f>IF(H193&lt;&gt;"",H193,IF(N(I193)=0,"",I193))</f>
        <v/>
      </c>
      <c r="K193" s="48">
        <f>IF(OR(G193="",J193=""),"",G193-J193)</f>
        <v/>
      </c>
      <c r="L193" s="43" t="n"/>
      <c r="M193" s="43" t="n"/>
      <c r="N193" s="49">
        <f>IF(IFERROR(INDEX(lst_cat_wish,MATCH(D193,lst_cats,0))="Да",FALSE),MAX($N$4:N192)+1,"")</f>
        <v/>
      </c>
      <c r="O193" s="49">
        <f>IF(OR(A193="",B193="",C193="",L193="❌ Отменено"),0,IF(COUNTIFS($A$4:A192,A193,$B$4:B192,B193,$C$4:C192,C193,$L$4:L192,"&lt;&gt;❌ Отменено")=0,1,0))</f>
        <v/>
      </c>
    </row>
    <row r="194">
      <c r="A194" s="42" t="n"/>
      <c r="B194" s="42" t="n"/>
      <c r="C194" s="43" t="n"/>
      <c r="D194" s="43" t="n"/>
      <c r="E194" s="43" t="n"/>
      <c r="F194" s="42" t="n"/>
      <c r="G194" s="44" t="n"/>
      <c r="H194" s="45" t="n"/>
      <c r="I194" s="46">
        <f>IF(O194=1,SUMIFS(day_amt,day_year,A194,day_month,B194,day_item,C194),"")</f>
        <v/>
      </c>
      <c r="J194" s="47">
        <f>IF(H194&lt;&gt;"",H194,IF(N(I194)=0,"",I194))</f>
        <v/>
      </c>
      <c r="K194" s="48">
        <f>IF(OR(G194="",J194=""),"",G194-J194)</f>
        <v/>
      </c>
      <c r="L194" s="43" t="n"/>
      <c r="M194" s="43" t="n"/>
      <c r="N194" s="49">
        <f>IF(IFERROR(INDEX(lst_cat_wish,MATCH(D194,lst_cats,0))="Да",FALSE),MAX($N$4:N193)+1,"")</f>
        <v/>
      </c>
      <c r="O194" s="49">
        <f>IF(OR(A194="",B194="",C194="",L194="❌ Отменено"),0,IF(COUNTIFS($A$4:A193,A194,$B$4:B193,B194,$C$4:C193,C194,$L$4:L193,"&lt;&gt;❌ Отменено")=0,1,0))</f>
        <v/>
      </c>
    </row>
    <row r="195">
      <c r="A195" s="42" t="n"/>
      <c r="B195" s="42" t="n"/>
      <c r="C195" s="43" t="n"/>
      <c r="D195" s="43" t="n"/>
      <c r="E195" s="43" t="n"/>
      <c r="F195" s="42" t="n"/>
      <c r="G195" s="44" t="n"/>
      <c r="H195" s="45" t="n"/>
      <c r="I195" s="46">
        <f>IF(O195=1,SUMIFS(day_amt,day_year,A195,day_month,B195,day_item,C195),"")</f>
        <v/>
      </c>
      <c r="J195" s="47">
        <f>IF(H195&lt;&gt;"",H195,IF(N(I195)=0,"",I195))</f>
        <v/>
      </c>
      <c r="K195" s="48">
        <f>IF(OR(G195="",J195=""),"",G195-J195)</f>
        <v/>
      </c>
      <c r="L195" s="43" t="n"/>
      <c r="M195" s="43" t="n"/>
      <c r="N195" s="49">
        <f>IF(IFERROR(INDEX(lst_cat_wish,MATCH(D195,lst_cats,0))="Да",FALSE),MAX($N$4:N194)+1,"")</f>
        <v/>
      </c>
      <c r="O195" s="49">
        <f>IF(OR(A195="",B195="",C195="",L195="❌ Отменено"),0,IF(COUNTIFS($A$4:A194,A195,$B$4:B194,B195,$C$4:C194,C195,$L$4:L194,"&lt;&gt;❌ Отменено")=0,1,0))</f>
        <v/>
      </c>
    </row>
    <row r="196">
      <c r="A196" s="42" t="n"/>
      <c r="B196" s="42" t="n"/>
      <c r="C196" s="43" t="n"/>
      <c r="D196" s="43" t="n"/>
      <c r="E196" s="43" t="n"/>
      <c r="F196" s="42" t="n"/>
      <c r="G196" s="44" t="n"/>
      <c r="H196" s="45" t="n"/>
      <c r="I196" s="46">
        <f>IF(O196=1,SUMIFS(day_amt,day_year,A196,day_month,B196,day_item,C196),"")</f>
        <v/>
      </c>
      <c r="J196" s="47">
        <f>IF(H196&lt;&gt;"",H196,IF(N(I196)=0,"",I196))</f>
        <v/>
      </c>
      <c r="K196" s="48">
        <f>IF(OR(G196="",J196=""),"",G196-J196)</f>
        <v/>
      </c>
      <c r="L196" s="43" t="n"/>
      <c r="M196" s="43" t="n"/>
      <c r="N196" s="49">
        <f>IF(IFERROR(INDEX(lst_cat_wish,MATCH(D196,lst_cats,0))="Да",FALSE),MAX($N$4:N195)+1,"")</f>
        <v/>
      </c>
      <c r="O196" s="49">
        <f>IF(OR(A196="",B196="",C196="",L196="❌ Отменено"),0,IF(COUNTIFS($A$4:A195,A196,$B$4:B195,B196,$C$4:C195,C196,$L$4:L195,"&lt;&gt;❌ Отменено")=0,1,0))</f>
        <v/>
      </c>
    </row>
    <row r="197">
      <c r="A197" s="42" t="n"/>
      <c r="B197" s="42" t="n"/>
      <c r="C197" s="43" t="n"/>
      <c r="D197" s="43" t="n"/>
      <c r="E197" s="43" t="n"/>
      <c r="F197" s="42" t="n"/>
      <c r="G197" s="44" t="n"/>
      <c r="H197" s="45" t="n"/>
      <c r="I197" s="46">
        <f>IF(O197=1,SUMIFS(day_amt,day_year,A197,day_month,B197,day_item,C197),"")</f>
        <v/>
      </c>
      <c r="J197" s="47">
        <f>IF(H197&lt;&gt;"",H197,IF(N(I197)=0,"",I197))</f>
        <v/>
      </c>
      <c r="K197" s="48">
        <f>IF(OR(G197="",J197=""),"",G197-J197)</f>
        <v/>
      </c>
      <c r="L197" s="43" t="n"/>
      <c r="M197" s="43" t="n"/>
      <c r="N197" s="49">
        <f>IF(IFERROR(INDEX(lst_cat_wish,MATCH(D197,lst_cats,0))="Да",FALSE),MAX($N$4:N196)+1,"")</f>
        <v/>
      </c>
      <c r="O197" s="49">
        <f>IF(OR(A197="",B197="",C197="",L197="❌ Отменено"),0,IF(COUNTIFS($A$4:A196,A197,$B$4:B196,B197,$C$4:C196,C197,$L$4:L196,"&lt;&gt;❌ Отменено")=0,1,0))</f>
        <v/>
      </c>
    </row>
    <row r="198">
      <c r="A198" s="42" t="n"/>
      <c r="B198" s="42" t="n"/>
      <c r="C198" s="43" t="n"/>
      <c r="D198" s="43" t="n"/>
      <c r="E198" s="43" t="n"/>
      <c r="F198" s="42" t="n"/>
      <c r="G198" s="44" t="n"/>
      <c r="H198" s="45" t="n"/>
      <c r="I198" s="46">
        <f>IF(O198=1,SUMIFS(day_amt,day_year,A198,day_month,B198,day_item,C198),"")</f>
        <v/>
      </c>
      <c r="J198" s="47">
        <f>IF(H198&lt;&gt;"",H198,IF(N(I198)=0,"",I198))</f>
        <v/>
      </c>
      <c r="K198" s="48">
        <f>IF(OR(G198="",J198=""),"",G198-J198)</f>
        <v/>
      </c>
      <c r="L198" s="43" t="n"/>
      <c r="M198" s="43" t="n"/>
      <c r="N198" s="49">
        <f>IF(IFERROR(INDEX(lst_cat_wish,MATCH(D198,lst_cats,0))="Да",FALSE),MAX($N$4:N197)+1,"")</f>
        <v/>
      </c>
      <c r="O198" s="49">
        <f>IF(OR(A198="",B198="",C198="",L198="❌ Отменено"),0,IF(COUNTIFS($A$4:A197,A198,$B$4:B197,B198,$C$4:C197,C198,$L$4:L197,"&lt;&gt;❌ Отменено")=0,1,0))</f>
        <v/>
      </c>
    </row>
    <row r="199">
      <c r="A199" s="42" t="n"/>
      <c r="B199" s="42" t="n"/>
      <c r="C199" s="43" t="n"/>
      <c r="D199" s="43" t="n"/>
      <c r="E199" s="43" t="n"/>
      <c r="F199" s="42" t="n"/>
      <c r="G199" s="44" t="n"/>
      <c r="H199" s="45" t="n"/>
      <c r="I199" s="46">
        <f>IF(O199=1,SUMIFS(day_amt,day_year,A199,day_month,B199,day_item,C199),"")</f>
        <v/>
      </c>
      <c r="J199" s="47">
        <f>IF(H199&lt;&gt;"",H199,IF(N(I199)=0,"",I199))</f>
        <v/>
      </c>
      <c r="K199" s="48">
        <f>IF(OR(G199="",J199=""),"",G199-J199)</f>
        <v/>
      </c>
      <c r="L199" s="43" t="n"/>
      <c r="M199" s="43" t="n"/>
      <c r="N199" s="49">
        <f>IF(IFERROR(INDEX(lst_cat_wish,MATCH(D199,lst_cats,0))="Да",FALSE),MAX($N$4:N198)+1,"")</f>
        <v/>
      </c>
      <c r="O199" s="49">
        <f>IF(OR(A199="",B199="",C199="",L199="❌ Отменено"),0,IF(COUNTIFS($A$4:A198,A199,$B$4:B198,B199,$C$4:C198,C199,$L$4:L198,"&lt;&gt;❌ Отменено")=0,1,0))</f>
        <v/>
      </c>
    </row>
    <row r="200">
      <c r="A200" s="42" t="n"/>
      <c r="B200" s="42" t="n"/>
      <c r="C200" s="43" t="n"/>
      <c r="D200" s="43" t="n"/>
      <c r="E200" s="43" t="n"/>
      <c r="F200" s="42" t="n"/>
      <c r="G200" s="44" t="n"/>
      <c r="H200" s="45" t="n"/>
      <c r="I200" s="46">
        <f>IF(O200=1,SUMIFS(day_amt,day_year,A200,day_month,B200,day_item,C200),"")</f>
        <v/>
      </c>
      <c r="J200" s="47">
        <f>IF(H200&lt;&gt;"",H200,IF(N(I200)=0,"",I200))</f>
        <v/>
      </c>
      <c r="K200" s="48">
        <f>IF(OR(G200="",J200=""),"",G200-J200)</f>
        <v/>
      </c>
      <c r="L200" s="43" t="n"/>
      <c r="M200" s="43" t="n"/>
      <c r="N200" s="49">
        <f>IF(IFERROR(INDEX(lst_cat_wish,MATCH(D200,lst_cats,0))="Да",FALSE),MAX($N$4:N199)+1,"")</f>
        <v/>
      </c>
      <c r="O200" s="49">
        <f>IF(OR(A200="",B200="",C200="",L200="❌ Отменено"),0,IF(COUNTIFS($A$4:A199,A200,$B$4:B199,B200,$C$4:C199,C200,$L$4:L199,"&lt;&gt;❌ Отменено")=0,1,0))</f>
        <v/>
      </c>
    </row>
    <row r="201">
      <c r="A201" s="42" t="n"/>
      <c r="B201" s="42" t="n"/>
      <c r="C201" s="43" t="n"/>
      <c r="D201" s="43" t="n"/>
      <c r="E201" s="43" t="n"/>
      <c r="F201" s="42" t="n"/>
      <c r="G201" s="44" t="n"/>
      <c r="H201" s="45" t="n"/>
      <c r="I201" s="46">
        <f>IF(O201=1,SUMIFS(day_amt,day_year,A201,day_month,B201,day_item,C201),"")</f>
        <v/>
      </c>
      <c r="J201" s="47">
        <f>IF(H201&lt;&gt;"",H201,IF(N(I201)=0,"",I201))</f>
        <v/>
      </c>
      <c r="K201" s="48">
        <f>IF(OR(G201="",J201=""),"",G201-J201)</f>
        <v/>
      </c>
      <c r="L201" s="43" t="n"/>
      <c r="M201" s="43" t="n"/>
      <c r="N201" s="49">
        <f>IF(IFERROR(INDEX(lst_cat_wish,MATCH(D201,lst_cats,0))="Да",FALSE),MAX($N$4:N200)+1,"")</f>
        <v/>
      </c>
      <c r="O201" s="49">
        <f>IF(OR(A201="",B201="",C201="",L201="❌ Отменено"),0,IF(COUNTIFS($A$4:A200,A201,$B$4:B200,B201,$C$4:C200,C201,$L$4:L200,"&lt;&gt;❌ Отменено")=0,1,0))</f>
        <v/>
      </c>
    </row>
    <row r="202">
      <c r="A202" s="42" t="n"/>
      <c r="B202" s="42" t="n"/>
      <c r="C202" s="43" t="n"/>
      <c r="D202" s="43" t="n"/>
      <c r="E202" s="43" t="n"/>
      <c r="F202" s="42" t="n"/>
      <c r="G202" s="44" t="n"/>
      <c r="H202" s="45" t="n"/>
      <c r="I202" s="46">
        <f>IF(O202=1,SUMIFS(day_amt,day_year,A202,day_month,B202,day_item,C202),"")</f>
        <v/>
      </c>
      <c r="J202" s="47">
        <f>IF(H202&lt;&gt;"",H202,IF(N(I202)=0,"",I202))</f>
        <v/>
      </c>
      <c r="K202" s="48">
        <f>IF(OR(G202="",J202=""),"",G202-J202)</f>
        <v/>
      </c>
      <c r="L202" s="43" t="n"/>
      <c r="M202" s="43" t="n"/>
      <c r="N202" s="49">
        <f>IF(IFERROR(INDEX(lst_cat_wish,MATCH(D202,lst_cats,0))="Да",FALSE),MAX($N$4:N201)+1,"")</f>
        <v/>
      </c>
      <c r="O202" s="49">
        <f>IF(OR(A202="",B202="",C202="",L202="❌ Отменено"),0,IF(COUNTIFS($A$4:A201,A202,$B$4:B201,B202,$C$4:C201,C202,$L$4:L201,"&lt;&gt;❌ Отменено")=0,1,0))</f>
        <v/>
      </c>
    </row>
    <row r="203">
      <c r="A203" s="42" t="n"/>
      <c r="B203" s="42" t="n"/>
      <c r="C203" s="43" t="n"/>
      <c r="D203" s="43" t="n"/>
      <c r="E203" s="43" t="n"/>
      <c r="F203" s="42" t="n"/>
      <c r="G203" s="44" t="n"/>
      <c r="H203" s="45" t="n"/>
      <c r="I203" s="46">
        <f>IF(O203=1,SUMIFS(day_amt,day_year,A203,day_month,B203,day_item,C203),"")</f>
        <v/>
      </c>
      <c r="J203" s="47">
        <f>IF(H203&lt;&gt;"",H203,IF(N(I203)=0,"",I203))</f>
        <v/>
      </c>
      <c r="K203" s="48">
        <f>IF(OR(G203="",J203=""),"",G203-J203)</f>
        <v/>
      </c>
      <c r="L203" s="43" t="n"/>
      <c r="M203" s="43" t="n"/>
      <c r="N203" s="49">
        <f>IF(IFERROR(INDEX(lst_cat_wish,MATCH(D203,lst_cats,0))="Да",FALSE),MAX($N$4:N202)+1,"")</f>
        <v/>
      </c>
      <c r="O203" s="49">
        <f>IF(OR(A203="",B203="",C203="",L203="❌ Отменено"),0,IF(COUNTIFS($A$4:A202,A203,$B$4:B202,B203,$C$4:C202,C203,$L$4:L202,"&lt;&gt;❌ Отменено")=0,1,0))</f>
        <v/>
      </c>
    </row>
    <row r="204">
      <c r="A204" s="42" t="n"/>
      <c r="B204" s="42" t="n"/>
      <c r="C204" s="43" t="n"/>
      <c r="D204" s="43" t="n"/>
      <c r="E204" s="43" t="n"/>
      <c r="F204" s="42" t="n"/>
      <c r="G204" s="44" t="n"/>
      <c r="H204" s="45" t="n"/>
      <c r="I204" s="46">
        <f>IF(O204=1,SUMIFS(day_amt,day_year,A204,day_month,B204,day_item,C204),"")</f>
        <v/>
      </c>
      <c r="J204" s="47">
        <f>IF(H204&lt;&gt;"",H204,IF(N(I204)=0,"",I204))</f>
        <v/>
      </c>
      <c r="K204" s="48">
        <f>IF(OR(G204="",J204=""),"",G204-J204)</f>
        <v/>
      </c>
      <c r="L204" s="43" t="n"/>
      <c r="M204" s="43" t="n"/>
      <c r="N204" s="49">
        <f>IF(IFERROR(INDEX(lst_cat_wish,MATCH(D204,lst_cats,0))="Да",FALSE),MAX($N$4:N203)+1,"")</f>
        <v/>
      </c>
      <c r="O204" s="49">
        <f>IF(OR(A204="",B204="",C204="",L204="❌ Отменено"),0,IF(COUNTIFS($A$4:A203,A204,$B$4:B203,B204,$C$4:C203,C204,$L$4:L203,"&lt;&gt;❌ Отменено")=0,1,0))</f>
        <v/>
      </c>
    </row>
    <row r="205">
      <c r="A205" s="42" t="n"/>
      <c r="B205" s="42" t="n"/>
      <c r="C205" s="43" t="n"/>
      <c r="D205" s="43" t="n"/>
      <c r="E205" s="43" t="n"/>
      <c r="F205" s="42" t="n"/>
      <c r="G205" s="44" t="n"/>
      <c r="H205" s="45" t="n"/>
      <c r="I205" s="46">
        <f>IF(O205=1,SUMIFS(day_amt,day_year,A205,day_month,B205,day_item,C205),"")</f>
        <v/>
      </c>
      <c r="J205" s="47">
        <f>IF(H205&lt;&gt;"",H205,IF(N(I205)=0,"",I205))</f>
        <v/>
      </c>
      <c r="K205" s="48">
        <f>IF(OR(G205="",J205=""),"",G205-J205)</f>
        <v/>
      </c>
      <c r="L205" s="43" t="n"/>
      <c r="M205" s="43" t="n"/>
      <c r="N205" s="49">
        <f>IF(IFERROR(INDEX(lst_cat_wish,MATCH(D205,lst_cats,0))="Да",FALSE),MAX($N$4:N204)+1,"")</f>
        <v/>
      </c>
      <c r="O205" s="49">
        <f>IF(OR(A205="",B205="",C205="",L205="❌ Отменено"),0,IF(COUNTIFS($A$4:A204,A205,$B$4:B204,B205,$C$4:C204,C205,$L$4:L204,"&lt;&gt;❌ Отменено")=0,1,0))</f>
        <v/>
      </c>
    </row>
    <row r="206">
      <c r="A206" s="42" t="n"/>
      <c r="B206" s="42" t="n"/>
      <c r="C206" s="43" t="n"/>
      <c r="D206" s="43" t="n"/>
      <c r="E206" s="43" t="n"/>
      <c r="F206" s="42" t="n"/>
      <c r="G206" s="44" t="n"/>
      <c r="H206" s="45" t="n"/>
      <c r="I206" s="46">
        <f>IF(O206=1,SUMIFS(day_amt,day_year,A206,day_month,B206,day_item,C206),"")</f>
        <v/>
      </c>
      <c r="J206" s="47">
        <f>IF(H206&lt;&gt;"",H206,IF(N(I206)=0,"",I206))</f>
        <v/>
      </c>
      <c r="K206" s="48">
        <f>IF(OR(G206="",J206=""),"",G206-J206)</f>
        <v/>
      </c>
      <c r="L206" s="43" t="n"/>
      <c r="M206" s="43" t="n"/>
      <c r="N206" s="49">
        <f>IF(IFERROR(INDEX(lst_cat_wish,MATCH(D206,lst_cats,0))="Да",FALSE),MAX($N$4:N205)+1,"")</f>
        <v/>
      </c>
      <c r="O206" s="49">
        <f>IF(OR(A206="",B206="",C206="",L206="❌ Отменено"),0,IF(COUNTIFS($A$4:A205,A206,$B$4:B205,B206,$C$4:C205,C206,$L$4:L205,"&lt;&gt;❌ Отменено")=0,1,0))</f>
        <v/>
      </c>
    </row>
    <row r="207">
      <c r="A207" s="42" t="n"/>
      <c r="B207" s="42" t="n"/>
      <c r="C207" s="43" t="n"/>
      <c r="D207" s="43" t="n"/>
      <c r="E207" s="43" t="n"/>
      <c r="F207" s="42" t="n"/>
      <c r="G207" s="44" t="n"/>
      <c r="H207" s="45" t="n"/>
      <c r="I207" s="46">
        <f>IF(O207=1,SUMIFS(day_amt,day_year,A207,day_month,B207,day_item,C207),"")</f>
        <v/>
      </c>
      <c r="J207" s="47">
        <f>IF(H207&lt;&gt;"",H207,IF(N(I207)=0,"",I207))</f>
        <v/>
      </c>
      <c r="K207" s="48">
        <f>IF(OR(G207="",J207=""),"",G207-J207)</f>
        <v/>
      </c>
      <c r="L207" s="43" t="n"/>
      <c r="M207" s="43" t="n"/>
      <c r="N207" s="49">
        <f>IF(IFERROR(INDEX(lst_cat_wish,MATCH(D207,lst_cats,0))="Да",FALSE),MAX($N$4:N206)+1,"")</f>
        <v/>
      </c>
      <c r="O207" s="49">
        <f>IF(OR(A207="",B207="",C207="",L207="❌ Отменено"),0,IF(COUNTIFS($A$4:A206,A207,$B$4:B206,B207,$C$4:C206,C207,$L$4:L206,"&lt;&gt;❌ Отменено")=0,1,0))</f>
        <v/>
      </c>
    </row>
    <row r="208">
      <c r="A208" s="42" t="n"/>
      <c r="B208" s="42" t="n"/>
      <c r="C208" s="43" t="n"/>
      <c r="D208" s="43" t="n"/>
      <c r="E208" s="43" t="n"/>
      <c r="F208" s="42" t="n"/>
      <c r="G208" s="44" t="n"/>
      <c r="H208" s="45" t="n"/>
      <c r="I208" s="46">
        <f>IF(O208=1,SUMIFS(day_amt,day_year,A208,day_month,B208,day_item,C208),"")</f>
        <v/>
      </c>
      <c r="J208" s="47">
        <f>IF(H208&lt;&gt;"",H208,IF(N(I208)=0,"",I208))</f>
        <v/>
      </c>
      <c r="K208" s="48">
        <f>IF(OR(G208="",J208=""),"",G208-J208)</f>
        <v/>
      </c>
      <c r="L208" s="43" t="n"/>
      <c r="M208" s="43" t="n"/>
      <c r="N208" s="49">
        <f>IF(IFERROR(INDEX(lst_cat_wish,MATCH(D208,lst_cats,0))="Да",FALSE),MAX($N$4:N207)+1,"")</f>
        <v/>
      </c>
      <c r="O208" s="49">
        <f>IF(OR(A208="",B208="",C208="",L208="❌ Отменено"),0,IF(COUNTIFS($A$4:A207,A208,$B$4:B207,B208,$C$4:C207,C208,$L$4:L207,"&lt;&gt;❌ Отменено")=0,1,0))</f>
        <v/>
      </c>
    </row>
    <row r="209">
      <c r="A209" s="42" t="n"/>
      <c r="B209" s="42" t="n"/>
      <c r="C209" s="43" t="n"/>
      <c r="D209" s="43" t="n"/>
      <c r="E209" s="43" t="n"/>
      <c r="F209" s="42" t="n"/>
      <c r="G209" s="44" t="n"/>
      <c r="H209" s="45" t="n"/>
      <c r="I209" s="46">
        <f>IF(O209=1,SUMIFS(day_amt,day_year,A209,day_month,B209,day_item,C209),"")</f>
        <v/>
      </c>
      <c r="J209" s="47">
        <f>IF(H209&lt;&gt;"",H209,IF(N(I209)=0,"",I209))</f>
        <v/>
      </c>
      <c r="K209" s="48">
        <f>IF(OR(G209="",J209=""),"",G209-J209)</f>
        <v/>
      </c>
      <c r="L209" s="43" t="n"/>
      <c r="M209" s="43" t="n"/>
      <c r="N209" s="49">
        <f>IF(IFERROR(INDEX(lst_cat_wish,MATCH(D209,lst_cats,0))="Да",FALSE),MAX($N$4:N208)+1,"")</f>
        <v/>
      </c>
      <c r="O209" s="49">
        <f>IF(OR(A209="",B209="",C209="",L209="❌ Отменено"),0,IF(COUNTIFS($A$4:A208,A209,$B$4:B208,B209,$C$4:C208,C209,$L$4:L208,"&lt;&gt;❌ Отменено")=0,1,0))</f>
        <v/>
      </c>
    </row>
    <row r="210">
      <c r="A210" s="42" t="n"/>
      <c r="B210" s="42" t="n"/>
      <c r="C210" s="43" t="n"/>
      <c r="D210" s="43" t="n"/>
      <c r="E210" s="43" t="n"/>
      <c r="F210" s="42" t="n"/>
      <c r="G210" s="44" t="n"/>
      <c r="H210" s="45" t="n"/>
      <c r="I210" s="46">
        <f>IF(O210=1,SUMIFS(day_amt,day_year,A210,day_month,B210,day_item,C210),"")</f>
        <v/>
      </c>
      <c r="J210" s="47">
        <f>IF(H210&lt;&gt;"",H210,IF(N(I210)=0,"",I210))</f>
        <v/>
      </c>
      <c r="K210" s="48">
        <f>IF(OR(G210="",J210=""),"",G210-J210)</f>
        <v/>
      </c>
      <c r="L210" s="43" t="n"/>
      <c r="M210" s="43" t="n"/>
      <c r="N210" s="49">
        <f>IF(IFERROR(INDEX(lst_cat_wish,MATCH(D210,lst_cats,0))="Да",FALSE),MAX($N$4:N209)+1,"")</f>
        <v/>
      </c>
      <c r="O210" s="49">
        <f>IF(OR(A210="",B210="",C210="",L210="❌ Отменено"),0,IF(COUNTIFS($A$4:A209,A210,$B$4:B209,B210,$C$4:C209,C210,$L$4:L209,"&lt;&gt;❌ Отменено")=0,1,0))</f>
        <v/>
      </c>
    </row>
    <row r="211">
      <c r="A211" s="42" t="n"/>
      <c r="B211" s="42" t="n"/>
      <c r="C211" s="43" t="n"/>
      <c r="D211" s="43" t="n"/>
      <c r="E211" s="43" t="n"/>
      <c r="F211" s="42" t="n"/>
      <c r="G211" s="44" t="n"/>
      <c r="H211" s="45" t="n"/>
      <c r="I211" s="46">
        <f>IF(O211=1,SUMIFS(day_amt,day_year,A211,day_month,B211,day_item,C211),"")</f>
        <v/>
      </c>
      <c r="J211" s="47">
        <f>IF(H211&lt;&gt;"",H211,IF(N(I211)=0,"",I211))</f>
        <v/>
      </c>
      <c r="K211" s="48">
        <f>IF(OR(G211="",J211=""),"",G211-J211)</f>
        <v/>
      </c>
      <c r="L211" s="43" t="n"/>
      <c r="M211" s="43" t="n"/>
      <c r="N211" s="49">
        <f>IF(IFERROR(INDEX(lst_cat_wish,MATCH(D211,lst_cats,0))="Да",FALSE),MAX($N$4:N210)+1,"")</f>
        <v/>
      </c>
      <c r="O211" s="49">
        <f>IF(OR(A211="",B211="",C211="",L211="❌ Отменено"),0,IF(COUNTIFS($A$4:A210,A211,$B$4:B210,B211,$C$4:C210,C211,$L$4:L210,"&lt;&gt;❌ Отменено")=0,1,0))</f>
        <v/>
      </c>
    </row>
    <row r="212">
      <c r="A212" s="42" t="n"/>
      <c r="B212" s="42" t="n"/>
      <c r="C212" s="43" t="n"/>
      <c r="D212" s="43" t="n"/>
      <c r="E212" s="43" t="n"/>
      <c r="F212" s="42" t="n"/>
      <c r="G212" s="44" t="n"/>
      <c r="H212" s="45" t="n"/>
      <c r="I212" s="46">
        <f>IF(O212=1,SUMIFS(day_amt,day_year,A212,day_month,B212,day_item,C212),"")</f>
        <v/>
      </c>
      <c r="J212" s="47">
        <f>IF(H212&lt;&gt;"",H212,IF(N(I212)=0,"",I212))</f>
        <v/>
      </c>
      <c r="K212" s="48">
        <f>IF(OR(G212="",J212=""),"",G212-J212)</f>
        <v/>
      </c>
      <c r="L212" s="43" t="n"/>
      <c r="M212" s="43" t="n"/>
      <c r="N212" s="49">
        <f>IF(IFERROR(INDEX(lst_cat_wish,MATCH(D212,lst_cats,0))="Да",FALSE),MAX($N$4:N211)+1,"")</f>
        <v/>
      </c>
      <c r="O212" s="49">
        <f>IF(OR(A212="",B212="",C212="",L212="❌ Отменено"),0,IF(COUNTIFS($A$4:A211,A212,$B$4:B211,B212,$C$4:C211,C212,$L$4:L211,"&lt;&gt;❌ Отменено")=0,1,0))</f>
        <v/>
      </c>
    </row>
    <row r="213">
      <c r="A213" s="42" t="n"/>
      <c r="B213" s="42" t="n"/>
      <c r="C213" s="43" t="n"/>
      <c r="D213" s="43" t="n"/>
      <c r="E213" s="43" t="n"/>
      <c r="F213" s="42" t="n"/>
      <c r="G213" s="44" t="n"/>
      <c r="H213" s="45" t="n"/>
      <c r="I213" s="46">
        <f>IF(O213=1,SUMIFS(day_amt,day_year,A213,day_month,B213,day_item,C213),"")</f>
        <v/>
      </c>
      <c r="J213" s="47">
        <f>IF(H213&lt;&gt;"",H213,IF(N(I213)=0,"",I213))</f>
        <v/>
      </c>
      <c r="K213" s="48">
        <f>IF(OR(G213="",J213=""),"",G213-J213)</f>
        <v/>
      </c>
      <c r="L213" s="43" t="n"/>
      <c r="M213" s="43" t="n"/>
      <c r="N213" s="49">
        <f>IF(IFERROR(INDEX(lst_cat_wish,MATCH(D213,lst_cats,0))="Да",FALSE),MAX($N$4:N212)+1,"")</f>
        <v/>
      </c>
      <c r="O213" s="49">
        <f>IF(OR(A213="",B213="",C213="",L213="❌ Отменено"),0,IF(COUNTIFS($A$4:A212,A213,$B$4:B212,B213,$C$4:C212,C213,$L$4:L212,"&lt;&gt;❌ Отменено")=0,1,0))</f>
        <v/>
      </c>
    </row>
    <row r="214">
      <c r="A214" s="42" t="n"/>
      <c r="B214" s="42" t="n"/>
      <c r="C214" s="43" t="n"/>
      <c r="D214" s="43" t="n"/>
      <c r="E214" s="43" t="n"/>
      <c r="F214" s="42" t="n"/>
      <c r="G214" s="44" t="n"/>
      <c r="H214" s="45" t="n"/>
      <c r="I214" s="46">
        <f>IF(O214=1,SUMIFS(day_amt,day_year,A214,day_month,B214,day_item,C214),"")</f>
        <v/>
      </c>
      <c r="J214" s="47">
        <f>IF(H214&lt;&gt;"",H214,IF(N(I214)=0,"",I214))</f>
        <v/>
      </c>
      <c r="K214" s="48">
        <f>IF(OR(G214="",J214=""),"",G214-J214)</f>
        <v/>
      </c>
      <c r="L214" s="43" t="n"/>
      <c r="M214" s="43" t="n"/>
      <c r="N214" s="49">
        <f>IF(IFERROR(INDEX(lst_cat_wish,MATCH(D214,lst_cats,0))="Да",FALSE),MAX($N$4:N213)+1,"")</f>
        <v/>
      </c>
      <c r="O214" s="49">
        <f>IF(OR(A214="",B214="",C214="",L214="❌ Отменено"),0,IF(COUNTIFS($A$4:A213,A214,$B$4:B213,B214,$C$4:C213,C214,$L$4:L213,"&lt;&gt;❌ Отменено")=0,1,0))</f>
        <v/>
      </c>
    </row>
    <row r="215">
      <c r="A215" s="42" t="n"/>
      <c r="B215" s="42" t="n"/>
      <c r="C215" s="43" t="n"/>
      <c r="D215" s="43" t="n"/>
      <c r="E215" s="43" t="n"/>
      <c r="F215" s="42" t="n"/>
      <c r="G215" s="44" t="n"/>
      <c r="H215" s="45" t="n"/>
      <c r="I215" s="46">
        <f>IF(O215=1,SUMIFS(day_amt,day_year,A215,day_month,B215,day_item,C215),"")</f>
        <v/>
      </c>
      <c r="J215" s="47">
        <f>IF(H215&lt;&gt;"",H215,IF(N(I215)=0,"",I215))</f>
        <v/>
      </c>
      <c r="K215" s="48">
        <f>IF(OR(G215="",J215=""),"",G215-J215)</f>
        <v/>
      </c>
      <c r="L215" s="43" t="n"/>
      <c r="M215" s="43" t="n"/>
      <c r="N215" s="49">
        <f>IF(IFERROR(INDEX(lst_cat_wish,MATCH(D215,lst_cats,0))="Да",FALSE),MAX($N$4:N214)+1,"")</f>
        <v/>
      </c>
      <c r="O215" s="49">
        <f>IF(OR(A215="",B215="",C215="",L215="❌ Отменено"),0,IF(COUNTIFS($A$4:A214,A215,$B$4:B214,B215,$C$4:C214,C215,$L$4:L214,"&lt;&gt;❌ Отменено")=0,1,0))</f>
        <v/>
      </c>
    </row>
    <row r="216">
      <c r="A216" s="42" t="n"/>
      <c r="B216" s="42" t="n"/>
      <c r="C216" s="43" t="n"/>
      <c r="D216" s="43" t="n"/>
      <c r="E216" s="43" t="n"/>
      <c r="F216" s="42" t="n"/>
      <c r="G216" s="44" t="n"/>
      <c r="H216" s="45" t="n"/>
      <c r="I216" s="46">
        <f>IF(O216=1,SUMIFS(day_amt,day_year,A216,day_month,B216,day_item,C216),"")</f>
        <v/>
      </c>
      <c r="J216" s="47">
        <f>IF(H216&lt;&gt;"",H216,IF(N(I216)=0,"",I216))</f>
        <v/>
      </c>
      <c r="K216" s="48">
        <f>IF(OR(G216="",J216=""),"",G216-J216)</f>
        <v/>
      </c>
      <c r="L216" s="43" t="n"/>
      <c r="M216" s="43" t="n"/>
      <c r="N216" s="49">
        <f>IF(IFERROR(INDEX(lst_cat_wish,MATCH(D216,lst_cats,0))="Да",FALSE),MAX($N$4:N215)+1,"")</f>
        <v/>
      </c>
      <c r="O216" s="49">
        <f>IF(OR(A216="",B216="",C216="",L216="❌ Отменено"),0,IF(COUNTIFS($A$4:A215,A216,$B$4:B215,B216,$C$4:C215,C216,$L$4:L215,"&lt;&gt;❌ Отменено")=0,1,0))</f>
        <v/>
      </c>
    </row>
    <row r="217">
      <c r="A217" s="42" t="n"/>
      <c r="B217" s="42" t="n"/>
      <c r="C217" s="43" t="n"/>
      <c r="D217" s="43" t="n"/>
      <c r="E217" s="43" t="n"/>
      <c r="F217" s="42" t="n"/>
      <c r="G217" s="44" t="n"/>
      <c r="H217" s="45" t="n"/>
      <c r="I217" s="46">
        <f>IF(O217=1,SUMIFS(day_amt,day_year,A217,day_month,B217,day_item,C217),"")</f>
        <v/>
      </c>
      <c r="J217" s="47">
        <f>IF(H217&lt;&gt;"",H217,IF(N(I217)=0,"",I217))</f>
        <v/>
      </c>
      <c r="K217" s="48">
        <f>IF(OR(G217="",J217=""),"",G217-J217)</f>
        <v/>
      </c>
      <c r="L217" s="43" t="n"/>
      <c r="M217" s="43" t="n"/>
      <c r="N217" s="49">
        <f>IF(IFERROR(INDEX(lst_cat_wish,MATCH(D217,lst_cats,0))="Да",FALSE),MAX($N$4:N216)+1,"")</f>
        <v/>
      </c>
      <c r="O217" s="49">
        <f>IF(OR(A217="",B217="",C217="",L217="❌ Отменено"),0,IF(COUNTIFS($A$4:A216,A217,$B$4:B216,B217,$C$4:C216,C217,$L$4:L216,"&lt;&gt;❌ Отменено")=0,1,0))</f>
        <v/>
      </c>
    </row>
    <row r="218">
      <c r="A218" s="42" t="n"/>
      <c r="B218" s="42" t="n"/>
      <c r="C218" s="43" t="n"/>
      <c r="D218" s="43" t="n"/>
      <c r="E218" s="43" t="n"/>
      <c r="F218" s="42" t="n"/>
      <c r="G218" s="44" t="n"/>
      <c r="H218" s="45" t="n"/>
      <c r="I218" s="46">
        <f>IF(O218=1,SUMIFS(day_amt,day_year,A218,day_month,B218,day_item,C218),"")</f>
        <v/>
      </c>
      <c r="J218" s="47">
        <f>IF(H218&lt;&gt;"",H218,IF(N(I218)=0,"",I218))</f>
        <v/>
      </c>
      <c r="K218" s="48">
        <f>IF(OR(G218="",J218=""),"",G218-J218)</f>
        <v/>
      </c>
      <c r="L218" s="43" t="n"/>
      <c r="M218" s="43" t="n"/>
      <c r="N218" s="49">
        <f>IF(IFERROR(INDEX(lst_cat_wish,MATCH(D218,lst_cats,0))="Да",FALSE),MAX($N$4:N217)+1,"")</f>
        <v/>
      </c>
      <c r="O218" s="49">
        <f>IF(OR(A218="",B218="",C218="",L218="❌ Отменено"),0,IF(COUNTIFS($A$4:A217,A218,$B$4:B217,B218,$C$4:C217,C218,$L$4:L217,"&lt;&gt;❌ Отменено")=0,1,0))</f>
        <v/>
      </c>
    </row>
    <row r="219">
      <c r="A219" s="42" t="n"/>
      <c r="B219" s="42" t="n"/>
      <c r="C219" s="43" t="n"/>
      <c r="D219" s="43" t="n"/>
      <c r="E219" s="43" t="n"/>
      <c r="F219" s="42" t="n"/>
      <c r="G219" s="44" t="n"/>
      <c r="H219" s="45" t="n"/>
      <c r="I219" s="46">
        <f>IF(O219=1,SUMIFS(day_amt,day_year,A219,day_month,B219,day_item,C219),"")</f>
        <v/>
      </c>
      <c r="J219" s="47">
        <f>IF(H219&lt;&gt;"",H219,IF(N(I219)=0,"",I219))</f>
        <v/>
      </c>
      <c r="K219" s="48">
        <f>IF(OR(G219="",J219=""),"",G219-J219)</f>
        <v/>
      </c>
      <c r="L219" s="43" t="n"/>
      <c r="M219" s="43" t="n"/>
      <c r="N219" s="49">
        <f>IF(IFERROR(INDEX(lst_cat_wish,MATCH(D219,lst_cats,0))="Да",FALSE),MAX($N$4:N218)+1,"")</f>
        <v/>
      </c>
      <c r="O219" s="49">
        <f>IF(OR(A219="",B219="",C219="",L219="❌ Отменено"),0,IF(COUNTIFS($A$4:A218,A219,$B$4:B218,B219,$C$4:C218,C219,$L$4:L218,"&lt;&gt;❌ Отменено")=0,1,0))</f>
        <v/>
      </c>
    </row>
    <row r="220">
      <c r="A220" s="42" t="n"/>
      <c r="B220" s="42" t="n"/>
      <c r="C220" s="43" t="n"/>
      <c r="D220" s="43" t="n"/>
      <c r="E220" s="43" t="n"/>
      <c r="F220" s="42" t="n"/>
      <c r="G220" s="44" t="n"/>
      <c r="H220" s="45" t="n"/>
      <c r="I220" s="46">
        <f>IF(O220=1,SUMIFS(day_amt,day_year,A220,day_month,B220,day_item,C220),"")</f>
        <v/>
      </c>
      <c r="J220" s="47">
        <f>IF(H220&lt;&gt;"",H220,IF(N(I220)=0,"",I220))</f>
        <v/>
      </c>
      <c r="K220" s="48">
        <f>IF(OR(G220="",J220=""),"",G220-J220)</f>
        <v/>
      </c>
      <c r="L220" s="43" t="n"/>
      <c r="M220" s="43" t="n"/>
      <c r="N220" s="49">
        <f>IF(IFERROR(INDEX(lst_cat_wish,MATCH(D220,lst_cats,0))="Да",FALSE),MAX($N$4:N219)+1,"")</f>
        <v/>
      </c>
      <c r="O220" s="49">
        <f>IF(OR(A220="",B220="",C220="",L220="❌ Отменено"),0,IF(COUNTIFS($A$4:A219,A220,$B$4:B219,B220,$C$4:C219,C220,$L$4:L219,"&lt;&gt;❌ Отменено")=0,1,0))</f>
        <v/>
      </c>
    </row>
    <row r="221">
      <c r="A221" s="42" t="n"/>
      <c r="B221" s="42" t="n"/>
      <c r="C221" s="43" t="n"/>
      <c r="D221" s="43" t="n"/>
      <c r="E221" s="43" t="n"/>
      <c r="F221" s="42" t="n"/>
      <c r="G221" s="44" t="n"/>
      <c r="H221" s="45" t="n"/>
      <c r="I221" s="46">
        <f>IF(O221=1,SUMIFS(day_amt,day_year,A221,day_month,B221,day_item,C221),"")</f>
        <v/>
      </c>
      <c r="J221" s="47">
        <f>IF(H221&lt;&gt;"",H221,IF(N(I221)=0,"",I221))</f>
        <v/>
      </c>
      <c r="K221" s="48">
        <f>IF(OR(G221="",J221=""),"",G221-J221)</f>
        <v/>
      </c>
      <c r="L221" s="43" t="n"/>
      <c r="M221" s="43" t="n"/>
      <c r="N221" s="49">
        <f>IF(IFERROR(INDEX(lst_cat_wish,MATCH(D221,lst_cats,0))="Да",FALSE),MAX($N$4:N220)+1,"")</f>
        <v/>
      </c>
      <c r="O221" s="49">
        <f>IF(OR(A221="",B221="",C221="",L221="❌ Отменено"),0,IF(COUNTIFS($A$4:A220,A221,$B$4:B220,B221,$C$4:C220,C221,$L$4:L220,"&lt;&gt;❌ Отменено")=0,1,0))</f>
        <v/>
      </c>
    </row>
    <row r="222">
      <c r="A222" s="42" t="n"/>
      <c r="B222" s="42" t="n"/>
      <c r="C222" s="43" t="n"/>
      <c r="D222" s="43" t="n"/>
      <c r="E222" s="43" t="n"/>
      <c r="F222" s="42" t="n"/>
      <c r="G222" s="44" t="n"/>
      <c r="H222" s="45" t="n"/>
      <c r="I222" s="46">
        <f>IF(O222=1,SUMIFS(day_amt,day_year,A222,day_month,B222,day_item,C222),"")</f>
        <v/>
      </c>
      <c r="J222" s="47">
        <f>IF(H222&lt;&gt;"",H222,IF(N(I222)=0,"",I222))</f>
        <v/>
      </c>
      <c r="K222" s="48">
        <f>IF(OR(G222="",J222=""),"",G222-J222)</f>
        <v/>
      </c>
      <c r="L222" s="43" t="n"/>
      <c r="M222" s="43" t="n"/>
      <c r="N222" s="49">
        <f>IF(IFERROR(INDEX(lst_cat_wish,MATCH(D222,lst_cats,0))="Да",FALSE),MAX($N$4:N221)+1,"")</f>
        <v/>
      </c>
      <c r="O222" s="49">
        <f>IF(OR(A222="",B222="",C222="",L222="❌ Отменено"),0,IF(COUNTIFS($A$4:A221,A222,$B$4:B221,B222,$C$4:C221,C222,$L$4:L221,"&lt;&gt;❌ Отменено")=0,1,0))</f>
        <v/>
      </c>
    </row>
    <row r="223">
      <c r="A223" s="42" t="n"/>
      <c r="B223" s="42" t="n"/>
      <c r="C223" s="43" t="n"/>
      <c r="D223" s="43" t="n"/>
      <c r="E223" s="43" t="n"/>
      <c r="F223" s="42" t="n"/>
      <c r="G223" s="44" t="n"/>
      <c r="H223" s="45" t="n"/>
      <c r="I223" s="46">
        <f>IF(O223=1,SUMIFS(day_amt,day_year,A223,day_month,B223,day_item,C223),"")</f>
        <v/>
      </c>
      <c r="J223" s="47">
        <f>IF(H223&lt;&gt;"",H223,IF(N(I223)=0,"",I223))</f>
        <v/>
      </c>
      <c r="K223" s="48">
        <f>IF(OR(G223="",J223=""),"",G223-J223)</f>
        <v/>
      </c>
      <c r="L223" s="43" t="n"/>
      <c r="M223" s="43" t="n"/>
      <c r="N223" s="49">
        <f>IF(IFERROR(INDEX(lst_cat_wish,MATCH(D223,lst_cats,0))="Да",FALSE),MAX($N$4:N222)+1,"")</f>
        <v/>
      </c>
      <c r="O223" s="49">
        <f>IF(OR(A223="",B223="",C223="",L223="❌ Отменено"),0,IF(COUNTIFS($A$4:A222,A223,$B$4:B222,B223,$C$4:C222,C223,$L$4:L222,"&lt;&gt;❌ Отменено")=0,1,0))</f>
        <v/>
      </c>
    </row>
    <row r="224">
      <c r="A224" s="42" t="n"/>
      <c r="B224" s="42" t="n"/>
      <c r="C224" s="43" t="n"/>
      <c r="D224" s="43" t="n"/>
      <c r="E224" s="43" t="n"/>
      <c r="F224" s="42" t="n"/>
      <c r="G224" s="44" t="n"/>
      <c r="H224" s="45" t="n"/>
      <c r="I224" s="46">
        <f>IF(O224=1,SUMIFS(day_amt,day_year,A224,day_month,B224,day_item,C224),"")</f>
        <v/>
      </c>
      <c r="J224" s="47">
        <f>IF(H224&lt;&gt;"",H224,IF(N(I224)=0,"",I224))</f>
        <v/>
      </c>
      <c r="K224" s="48">
        <f>IF(OR(G224="",J224=""),"",G224-J224)</f>
        <v/>
      </c>
      <c r="L224" s="43" t="n"/>
      <c r="M224" s="43" t="n"/>
      <c r="N224" s="49">
        <f>IF(IFERROR(INDEX(lst_cat_wish,MATCH(D224,lst_cats,0))="Да",FALSE),MAX($N$4:N223)+1,"")</f>
        <v/>
      </c>
      <c r="O224" s="49">
        <f>IF(OR(A224="",B224="",C224="",L224="❌ Отменено"),0,IF(COUNTIFS($A$4:A223,A224,$B$4:B223,B224,$C$4:C223,C224,$L$4:L223,"&lt;&gt;❌ Отменено")=0,1,0))</f>
        <v/>
      </c>
    </row>
    <row r="225">
      <c r="A225" s="42" t="n"/>
      <c r="B225" s="42" t="n"/>
      <c r="C225" s="43" t="n"/>
      <c r="D225" s="43" t="n"/>
      <c r="E225" s="43" t="n"/>
      <c r="F225" s="42" t="n"/>
      <c r="G225" s="44" t="n"/>
      <c r="H225" s="45" t="n"/>
      <c r="I225" s="46">
        <f>IF(O225=1,SUMIFS(day_amt,day_year,A225,day_month,B225,day_item,C225),"")</f>
        <v/>
      </c>
      <c r="J225" s="47">
        <f>IF(H225&lt;&gt;"",H225,IF(N(I225)=0,"",I225))</f>
        <v/>
      </c>
      <c r="K225" s="48">
        <f>IF(OR(G225="",J225=""),"",G225-J225)</f>
        <v/>
      </c>
      <c r="L225" s="43" t="n"/>
      <c r="M225" s="43" t="n"/>
      <c r="N225" s="49">
        <f>IF(IFERROR(INDEX(lst_cat_wish,MATCH(D225,lst_cats,0))="Да",FALSE),MAX($N$4:N224)+1,"")</f>
        <v/>
      </c>
      <c r="O225" s="49">
        <f>IF(OR(A225="",B225="",C225="",L225="❌ Отменено"),0,IF(COUNTIFS($A$4:A224,A225,$B$4:B224,B225,$C$4:C224,C225,$L$4:L224,"&lt;&gt;❌ Отменено")=0,1,0))</f>
        <v/>
      </c>
    </row>
    <row r="226">
      <c r="A226" s="42" t="n"/>
      <c r="B226" s="42" t="n"/>
      <c r="C226" s="43" t="n"/>
      <c r="D226" s="43" t="n"/>
      <c r="E226" s="43" t="n"/>
      <c r="F226" s="42" t="n"/>
      <c r="G226" s="44" t="n"/>
      <c r="H226" s="45" t="n"/>
      <c r="I226" s="46">
        <f>IF(O226=1,SUMIFS(day_amt,day_year,A226,day_month,B226,day_item,C226),"")</f>
        <v/>
      </c>
      <c r="J226" s="47">
        <f>IF(H226&lt;&gt;"",H226,IF(N(I226)=0,"",I226))</f>
        <v/>
      </c>
      <c r="K226" s="48">
        <f>IF(OR(G226="",J226=""),"",G226-J226)</f>
        <v/>
      </c>
      <c r="L226" s="43" t="n"/>
      <c r="M226" s="43" t="n"/>
      <c r="N226" s="49">
        <f>IF(IFERROR(INDEX(lst_cat_wish,MATCH(D226,lst_cats,0))="Да",FALSE),MAX($N$4:N225)+1,"")</f>
        <v/>
      </c>
      <c r="O226" s="49">
        <f>IF(OR(A226="",B226="",C226="",L226="❌ Отменено"),0,IF(COUNTIFS($A$4:A225,A226,$B$4:B225,B226,$C$4:C225,C226,$L$4:L225,"&lt;&gt;❌ Отменено")=0,1,0))</f>
        <v/>
      </c>
    </row>
    <row r="227">
      <c r="A227" s="42" t="n"/>
      <c r="B227" s="42" t="n"/>
      <c r="C227" s="43" t="n"/>
      <c r="D227" s="43" t="n"/>
      <c r="E227" s="43" t="n"/>
      <c r="F227" s="42" t="n"/>
      <c r="G227" s="44" t="n"/>
      <c r="H227" s="45" t="n"/>
      <c r="I227" s="46">
        <f>IF(O227=1,SUMIFS(day_amt,day_year,A227,day_month,B227,day_item,C227),"")</f>
        <v/>
      </c>
      <c r="J227" s="47">
        <f>IF(H227&lt;&gt;"",H227,IF(N(I227)=0,"",I227))</f>
        <v/>
      </c>
      <c r="K227" s="48">
        <f>IF(OR(G227="",J227=""),"",G227-J227)</f>
        <v/>
      </c>
      <c r="L227" s="43" t="n"/>
      <c r="M227" s="43" t="n"/>
      <c r="N227" s="49">
        <f>IF(IFERROR(INDEX(lst_cat_wish,MATCH(D227,lst_cats,0))="Да",FALSE),MAX($N$4:N226)+1,"")</f>
        <v/>
      </c>
      <c r="O227" s="49">
        <f>IF(OR(A227="",B227="",C227="",L227="❌ Отменено"),0,IF(COUNTIFS($A$4:A226,A227,$B$4:B226,B227,$C$4:C226,C227,$L$4:L226,"&lt;&gt;❌ Отменено")=0,1,0))</f>
        <v/>
      </c>
    </row>
    <row r="228">
      <c r="A228" s="42" t="n"/>
      <c r="B228" s="42" t="n"/>
      <c r="C228" s="43" t="n"/>
      <c r="D228" s="43" t="n"/>
      <c r="E228" s="43" t="n"/>
      <c r="F228" s="42" t="n"/>
      <c r="G228" s="44" t="n"/>
      <c r="H228" s="45" t="n"/>
      <c r="I228" s="46">
        <f>IF(O228=1,SUMIFS(day_amt,day_year,A228,day_month,B228,day_item,C228),"")</f>
        <v/>
      </c>
      <c r="J228" s="47">
        <f>IF(H228&lt;&gt;"",H228,IF(N(I228)=0,"",I228))</f>
        <v/>
      </c>
      <c r="K228" s="48">
        <f>IF(OR(G228="",J228=""),"",G228-J228)</f>
        <v/>
      </c>
      <c r="L228" s="43" t="n"/>
      <c r="M228" s="43" t="n"/>
      <c r="N228" s="49">
        <f>IF(IFERROR(INDEX(lst_cat_wish,MATCH(D228,lst_cats,0))="Да",FALSE),MAX($N$4:N227)+1,"")</f>
        <v/>
      </c>
      <c r="O228" s="49">
        <f>IF(OR(A228="",B228="",C228="",L228="❌ Отменено"),0,IF(COUNTIFS($A$4:A227,A228,$B$4:B227,B228,$C$4:C227,C228,$L$4:L227,"&lt;&gt;❌ Отменено")=0,1,0))</f>
        <v/>
      </c>
    </row>
    <row r="229">
      <c r="A229" s="42" t="n"/>
      <c r="B229" s="42" t="n"/>
      <c r="C229" s="43" t="n"/>
      <c r="D229" s="43" t="n"/>
      <c r="E229" s="43" t="n"/>
      <c r="F229" s="42" t="n"/>
      <c r="G229" s="44" t="n"/>
      <c r="H229" s="45" t="n"/>
      <c r="I229" s="46">
        <f>IF(O229=1,SUMIFS(day_amt,day_year,A229,day_month,B229,day_item,C229),"")</f>
        <v/>
      </c>
      <c r="J229" s="47">
        <f>IF(H229&lt;&gt;"",H229,IF(N(I229)=0,"",I229))</f>
        <v/>
      </c>
      <c r="K229" s="48">
        <f>IF(OR(G229="",J229=""),"",G229-J229)</f>
        <v/>
      </c>
      <c r="L229" s="43" t="n"/>
      <c r="M229" s="43" t="n"/>
      <c r="N229" s="49">
        <f>IF(IFERROR(INDEX(lst_cat_wish,MATCH(D229,lst_cats,0))="Да",FALSE),MAX($N$4:N228)+1,"")</f>
        <v/>
      </c>
      <c r="O229" s="49">
        <f>IF(OR(A229="",B229="",C229="",L229="❌ Отменено"),0,IF(COUNTIFS($A$4:A228,A229,$B$4:B228,B229,$C$4:C228,C229,$L$4:L228,"&lt;&gt;❌ Отменено")=0,1,0))</f>
        <v/>
      </c>
    </row>
    <row r="230">
      <c r="A230" s="42" t="n"/>
      <c r="B230" s="42" t="n"/>
      <c r="C230" s="43" t="n"/>
      <c r="D230" s="43" t="n"/>
      <c r="E230" s="43" t="n"/>
      <c r="F230" s="42" t="n"/>
      <c r="G230" s="44" t="n"/>
      <c r="H230" s="45" t="n"/>
      <c r="I230" s="46">
        <f>IF(O230=1,SUMIFS(day_amt,day_year,A230,day_month,B230,day_item,C230),"")</f>
        <v/>
      </c>
      <c r="J230" s="47">
        <f>IF(H230&lt;&gt;"",H230,IF(N(I230)=0,"",I230))</f>
        <v/>
      </c>
      <c r="K230" s="48">
        <f>IF(OR(G230="",J230=""),"",G230-J230)</f>
        <v/>
      </c>
      <c r="L230" s="43" t="n"/>
      <c r="M230" s="43" t="n"/>
      <c r="N230" s="49">
        <f>IF(IFERROR(INDEX(lst_cat_wish,MATCH(D230,lst_cats,0))="Да",FALSE),MAX($N$4:N229)+1,"")</f>
        <v/>
      </c>
      <c r="O230" s="49">
        <f>IF(OR(A230="",B230="",C230="",L230="❌ Отменено"),0,IF(COUNTIFS($A$4:A229,A230,$B$4:B229,B230,$C$4:C229,C230,$L$4:L229,"&lt;&gt;❌ Отменено")=0,1,0))</f>
        <v/>
      </c>
    </row>
    <row r="231">
      <c r="A231" s="42" t="n"/>
      <c r="B231" s="42" t="n"/>
      <c r="C231" s="43" t="n"/>
      <c r="D231" s="43" t="n"/>
      <c r="E231" s="43" t="n"/>
      <c r="F231" s="42" t="n"/>
      <c r="G231" s="44" t="n"/>
      <c r="H231" s="45" t="n"/>
      <c r="I231" s="46">
        <f>IF(O231=1,SUMIFS(day_amt,day_year,A231,day_month,B231,day_item,C231),"")</f>
        <v/>
      </c>
      <c r="J231" s="47">
        <f>IF(H231&lt;&gt;"",H231,IF(N(I231)=0,"",I231))</f>
        <v/>
      </c>
      <c r="K231" s="48">
        <f>IF(OR(G231="",J231=""),"",G231-J231)</f>
        <v/>
      </c>
      <c r="L231" s="43" t="n"/>
      <c r="M231" s="43" t="n"/>
      <c r="N231" s="49">
        <f>IF(IFERROR(INDEX(lst_cat_wish,MATCH(D231,lst_cats,0))="Да",FALSE),MAX($N$4:N230)+1,"")</f>
        <v/>
      </c>
      <c r="O231" s="49">
        <f>IF(OR(A231="",B231="",C231="",L231="❌ Отменено"),0,IF(COUNTIFS($A$4:A230,A231,$B$4:B230,B231,$C$4:C230,C231,$L$4:L230,"&lt;&gt;❌ Отменено")=0,1,0))</f>
        <v/>
      </c>
    </row>
    <row r="232">
      <c r="A232" s="42" t="n"/>
      <c r="B232" s="42" t="n"/>
      <c r="C232" s="43" t="n"/>
      <c r="D232" s="43" t="n"/>
      <c r="E232" s="43" t="n"/>
      <c r="F232" s="42" t="n"/>
      <c r="G232" s="44" t="n"/>
      <c r="H232" s="45" t="n"/>
      <c r="I232" s="46">
        <f>IF(O232=1,SUMIFS(day_amt,day_year,A232,day_month,B232,day_item,C232),"")</f>
        <v/>
      </c>
      <c r="J232" s="47">
        <f>IF(H232&lt;&gt;"",H232,IF(N(I232)=0,"",I232))</f>
        <v/>
      </c>
      <c r="K232" s="48">
        <f>IF(OR(G232="",J232=""),"",G232-J232)</f>
        <v/>
      </c>
      <c r="L232" s="43" t="n"/>
      <c r="M232" s="43" t="n"/>
      <c r="N232" s="49">
        <f>IF(IFERROR(INDEX(lst_cat_wish,MATCH(D232,lst_cats,0))="Да",FALSE),MAX($N$4:N231)+1,"")</f>
        <v/>
      </c>
      <c r="O232" s="49">
        <f>IF(OR(A232="",B232="",C232="",L232="❌ Отменено"),0,IF(COUNTIFS($A$4:A231,A232,$B$4:B231,B232,$C$4:C231,C232,$L$4:L231,"&lt;&gt;❌ Отменено")=0,1,0))</f>
        <v/>
      </c>
    </row>
    <row r="233">
      <c r="A233" s="42" t="n"/>
      <c r="B233" s="42" t="n"/>
      <c r="C233" s="43" t="n"/>
      <c r="D233" s="43" t="n"/>
      <c r="E233" s="43" t="n"/>
      <c r="F233" s="42" t="n"/>
      <c r="G233" s="44" t="n"/>
      <c r="H233" s="45" t="n"/>
      <c r="I233" s="46">
        <f>IF(O233=1,SUMIFS(day_amt,day_year,A233,day_month,B233,day_item,C233),"")</f>
        <v/>
      </c>
      <c r="J233" s="47">
        <f>IF(H233&lt;&gt;"",H233,IF(N(I233)=0,"",I233))</f>
        <v/>
      </c>
      <c r="K233" s="48">
        <f>IF(OR(G233="",J233=""),"",G233-J233)</f>
        <v/>
      </c>
      <c r="L233" s="43" t="n"/>
      <c r="M233" s="43" t="n"/>
      <c r="N233" s="49">
        <f>IF(IFERROR(INDEX(lst_cat_wish,MATCH(D233,lst_cats,0))="Да",FALSE),MAX($N$4:N232)+1,"")</f>
        <v/>
      </c>
      <c r="O233" s="49">
        <f>IF(OR(A233="",B233="",C233="",L233="❌ Отменено"),0,IF(COUNTIFS($A$4:A232,A233,$B$4:B232,B233,$C$4:C232,C233,$L$4:L232,"&lt;&gt;❌ Отменено")=0,1,0))</f>
        <v/>
      </c>
    </row>
    <row r="234">
      <c r="A234" s="42" t="n"/>
      <c r="B234" s="42" t="n"/>
      <c r="C234" s="43" t="n"/>
      <c r="D234" s="43" t="n"/>
      <c r="E234" s="43" t="n"/>
      <c r="F234" s="42" t="n"/>
      <c r="G234" s="44" t="n"/>
      <c r="H234" s="45" t="n"/>
      <c r="I234" s="46">
        <f>IF(O234=1,SUMIFS(day_amt,day_year,A234,day_month,B234,day_item,C234),"")</f>
        <v/>
      </c>
      <c r="J234" s="47">
        <f>IF(H234&lt;&gt;"",H234,IF(N(I234)=0,"",I234))</f>
        <v/>
      </c>
      <c r="K234" s="48">
        <f>IF(OR(G234="",J234=""),"",G234-J234)</f>
        <v/>
      </c>
      <c r="L234" s="43" t="n"/>
      <c r="M234" s="43" t="n"/>
      <c r="N234" s="49">
        <f>IF(IFERROR(INDEX(lst_cat_wish,MATCH(D234,lst_cats,0))="Да",FALSE),MAX($N$4:N233)+1,"")</f>
        <v/>
      </c>
      <c r="O234" s="49">
        <f>IF(OR(A234="",B234="",C234="",L234="❌ Отменено"),0,IF(COUNTIFS($A$4:A233,A234,$B$4:B233,B234,$C$4:C233,C234,$L$4:L233,"&lt;&gt;❌ Отменено")=0,1,0))</f>
        <v/>
      </c>
    </row>
    <row r="235">
      <c r="A235" s="42" t="n"/>
      <c r="B235" s="42" t="n"/>
      <c r="C235" s="43" t="n"/>
      <c r="D235" s="43" t="n"/>
      <c r="E235" s="43" t="n"/>
      <c r="F235" s="42" t="n"/>
      <c r="G235" s="44" t="n"/>
      <c r="H235" s="45" t="n"/>
      <c r="I235" s="46">
        <f>IF(O235=1,SUMIFS(day_amt,day_year,A235,day_month,B235,day_item,C235),"")</f>
        <v/>
      </c>
      <c r="J235" s="47">
        <f>IF(H235&lt;&gt;"",H235,IF(N(I235)=0,"",I235))</f>
        <v/>
      </c>
      <c r="K235" s="48">
        <f>IF(OR(G235="",J235=""),"",G235-J235)</f>
        <v/>
      </c>
      <c r="L235" s="43" t="n"/>
      <c r="M235" s="43" t="n"/>
      <c r="N235" s="49">
        <f>IF(IFERROR(INDEX(lst_cat_wish,MATCH(D235,lst_cats,0))="Да",FALSE),MAX($N$4:N234)+1,"")</f>
        <v/>
      </c>
      <c r="O235" s="49">
        <f>IF(OR(A235="",B235="",C235="",L235="❌ Отменено"),0,IF(COUNTIFS($A$4:A234,A235,$B$4:B234,B235,$C$4:C234,C235,$L$4:L234,"&lt;&gt;❌ Отменено")=0,1,0))</f>
        <v/>
      </c>
    </row>
    <row r="236">
      <c r="A236" s="42" t="n"/>
      <c r="B236" s="42" t="n"/>
      <c r="C236" s="43" t="n"/>
      <c r="D236" s="43" t="n"/>
      <c r="E236" s="43" t="n"/>
      <c r="F236" s="42" t="n"/>
      <c r="G236" s="44" t="n"/>
      <c r="H236" s="45" t="n"/>
      <c r="I236" s="46">
        <f>IF(O236=1,SUMIFS(day_amt,day_year,A236,day_month,B236,day_item,C236),"")</f>
        <v/>
      </c>
      <c r="J236" s="47">
        <f>IF(H236&lt;&gt;"",H236,IF(N(I236)=0,"",I236))</f>
        <v/>
      </c>
      <c r="K236" s="48">
        <f>IF(OR(G236="",J236=""),"",G236-J236)</f>
        <v/>
      </c>
      <c r="L236" s="43" t="n"/>
      <c r="M236" s="43" t="n"/>
      <c r="N236" s="49">
        <f>IF(IFERROR(INDEX(lst_cat_wish,MATCH(D236,lst_cats,0))="Да",FALSE),MAX($N$4:N235)+1,"")</f>
        <v/>
      </c>
      <c r="O236" s="49">
        <f>IF(OR(A236="",B236="",C236="",L236="❌ Отменено"),0,IF(COUNTIFS($A$4:A235,A236,$B$4:B235,B236,$C$4:C235,C236,$L$4:L235,"&lt;&gt;❌ Отменено")=0,1,0))</f>
        <v/>
      </c>
    </row>
    <row r="237">
      <c r="A237" s="42" t="n"/>
      <c r="B237" s="42" t="n"/>
      <c r="C237" s="43" t="n"/>
      <c r="D237" s="43" t="n"/>
      <c r="E237" s="43" t="n"/>
      <c r="F237" s="42" t="n"/>
      <c r="G237" s="44" t="n"/>
      <c r="H237" s="45" t="n"/>
      <c r="I237" s="46">
        <f>IF(O237=1,SUMIFS(day_amt,day_year,A237,day_month,B237,day_item,C237),"")</f>
        <v/>
      </c>
      <c r="J237" s="47">
        <f>IF(H237&lt;&gt;"",H237,IF(N(I237)=0,"",I237))</f>
        <v/>
      </c>
      <c r="K237" s="48">
        <f>IF(OR(G237="",J237=""),"",G237-J237)</f>
        <v/>
      </c>
      <c r="L237" s="43" t="n"/>
      <c r="M237" s="43" t="n"/>
      <c r="N237" s="49">
        <f>IF(IFERROR(INDEX(lst_cat_wish,MATCH(D237,lst_cats,0))="Да",FALSE),MAX($N$4:N236)+1,"")</f>
        <v/>
      </c>
      <c r="O237" s="49">
        <f>IF(OR(A237="",B237="",C237="",L237="❌ Отменено"),0,IF(COUNTIFS($A$4:A236,A237,$B$4:B236,B237,$C$4:C236,C237,$L$4:L236,"&lt;&gt;❌ Отменено")=0,1,0))</f>
        <v/>
      </c>
    </row>
    <row r="238">
      <c r="A238" s="42" t="n"/>
      <c r="B238" s="42" t="n"/>
      <c r="C238" s="43" t="n"/>
      <c r="D238" s="43" t="n"/>
      <c r="E238" s="43" t="n"/>
      <c r="F238" s="42" t="n"/>
      <c r="G238" s="44" t="n"/>
      <c r="H238" s="45" t="n"/>
      <c r="I238" s="46">
        <f>IF(O238=1,SUMIFS(day_amt,day_year,A238,day_month,B238,day_item,C238),"")</f>
        <v/>
      </c>
      <c r="J238" s="47">
        <f>IF(H238&lt;&gt;"",H238,IF(N(I238)=0,"",I238))</f>
        <v/>
      </c>
      <c r="K238" s="48">
        <f>IF(OR(G238="",J238=""),"",G238-J238)</f>
        <v/>
      </c>
      <c r="L238" s="43" t="n"/>
      <c r="M238" s="43" t="n"/>
      <c r="N238" s="49">
        <f>IF(IFERROR(INDEX(lst_cat_wish,MATCH(D238,lst_cats,0))="Да",FALSE),MAX($N$4:N237)+1,"")</f>
        <v/>
      </c>
      <c r="O238" s="49">
        <f>IF(OR(A238="",B238="",C238="",L238="❌ Отменено"),0,IF(COUNTIFS($A$4:A237,A238,$B$4:B237,B238,$C$4:C237,C238,$L$4:L237,"&lt;&gt;❌ Отменено")=0,1,0))</f>
        <v/>
      </c>
    </row>
    <row r="239">
      <c r="A239" s="42" t="n"/>
      <c r="B239" s="42" t="n"/>
      <c r="C239" s="43" t="n"/>
      <c r="D239" s="43" t="n"/>
      <c r="E239" s="43" t="n"/>
      <c r="F239" s="42" t="n"/>
      <c r="G239" s="44" t="n"/>
      <c r="H239" s="45" t="n"/>
      <c r="I239" s="46">
        <f>IF(O239=1,SUMIFS(day_amt,day_year,A239,day_month,B239,day_item,C239),"")</f>
        <v/>
      </c>
      <c r="J239" s="47">
        <f>IF(H239&lt;&gt;"",H239,IF(N(I239)=0,"",I239))</f>
        <v/>
      </c>
      <c r="K239" s="48">
        <f>IF(OR(G239="",J239=""),"",G239-J239)</f>
        <v/>
      </c>
      <c r="L239" s="43" t="n"/>
      <c r="M239" s="43" t="n"/>
      <c r="N239" s="49">
        <f>IF(IFERROR(INDEX(lst_cat_wish,MATCH(D239,lst_cats,0))="Да",FALSE),MAX($N$4:N238)+1,"")</f>
        <v/>
      </c>
      <c r="O239" s="49">
        <f>IF(OR(A239="",B239="",C239="",L239="❌ Отменено"),0,IF(COUNTIFS($A$4:A238,A239,$B$4:B238,B239,$C$4:C238,C239,$L$4:L238,"&lt;&gt;❌ Отменено")=0,1,0))</f>
        <v/>
      </c>
    </row>
    <row r="240">
      <c r="A240" s="42" t="n"/>
      <c r="B240" s="42" t="n"/>
      <c r="C240" s="43" t="n"/>
      <c r="D240" s="43" t="n"/>
      <c r="E240" s="43" t="n"/>
      <c r="F240" s="42" t="n"/>
      <c r="G240" s="44" t="n"/>
      <c r="H240" s="45" t="n"/>
      <c r="I240" s="46">
        <f>IF(O240=1,SUMIFS(day_amt,day_year,A240,day_month,B240,day_item,C240),"")</f>
        <v/>
      </c>
      <c r="J240" s="47">
        <f>IF(H240&lt;&gt;"",H240,IF(N(I240)=0,"",I240))</f>
        <v/>
      </c>
      <c r="K240" s="48">
        <f>IF(OR(G240="",J240=""),"",G240-J240)</f>
        <v/>
      </c>
      <c r="L240" s="43" t="n"/>
      <c r="M240" s="43" t="n"/>
      <c r="N240" s="49">
        <f>IF(IFERROR(INDEX(lst_cat_wish,MATCH(D240,lst_cats,0))="Да",FALSE),MAX($N$4:N239)+1,"")</f>
        <v/>
      </c>
      <c r="O240" s="49">
        <f>IF(OR(A240="",B240="",C240="",L240="❌ Отменено"),0,IF(COUNTIFS($A$4:A239,A240,$B$4:B239,B240,$C$4:C239,C240,$L$4:L239,"&lt;&gt;❌ Отменено")=0,1,0))</f>
        <v/>
      </c>
    </row>
    <row r="241">
      <c r="A241" s="42" t="n"/>
      <c r="B241" s="42" t="n"/>
      <c r="C241" s="43" t="n"/>
      <c r="D241" s="43" t="n"/>
      <c r="E241" s="43" t="n"/>
      <c r="F241" s="42" t="n"/>
      <c r="G241" s="44" t="n"/>
      <c r="H241" s="45" t="n"/>
      <c r="I241" s="46">
        <f>IF(O241=1,SUMIFS(day_amt,day_year,A241,day_month,B241,day_item,C241),"")</f>
        <v/>
      </c>
      <c r="J241" s="47">
        <f>IF(H241&lt;&gt;"",H241,IF(N(I241)=0,"",I241))</f>
        <v/>
      </c>
      <c r="K241" s="48">
        <f>IF(OR(G241="",J241=""),"",G241-J241)</f>
        <v/>
      </c>
      <c r="L241" s="43" t="n"/>
      <c r="M241" s="43" t="n"/>
      <c r="N241" s="49">
        <f>IF(IFERROR(INDEX(lst_cat_wish,MATCH(D241,lst_cats,0))="Да",FALSE),MAX($N$4:N240)+1,"")</f>
        <v/>
      </c>
      <c r="O241" s="49">
        <f>IF(OR(A241="",B241="",C241="",L241="❌ Отменено"),0,IF(COUNTIFS($A$4:A240,A241,$B$4:B240,B241,$C$4:C240,C241,$L$4:L240,"&lt;&gt;❌ Отменено")=0,1,0))</f>
        <v/>
      </c>
    </row>
    <row r="242">
      <c r="A242" s="42" t="n"/>
      <c r="B242" s="42" t="n"/>
      <c r="C242" s="43" t="n"/>
      <c r="D242" s="43" t="n"/>
      <c r="E242" s="43" t="n"/>
      <c r="F242" s="42" t="n"/>
      <c r="G242" s="44" t="n"/>
      <c r="H242" s="45" t="n"/>
      <c r="I242" s="46">
        <f>IF(O242=1,SUMIFS(day_amt,day_year,A242,day_month,B242,day_item,C242),"")</f>
        <v/>
      </c>
      <c r="J242" s="47">
        <f>IF(H242&lt;&gt;"",H242,IF(N(I242)=0,"",I242))</f>
        <v/>
      </c>
      <c r="K242" s="48">
        <f>IF(OR(G242="",J242=""),"",G242-J242)</f>
        <v/>
      </c>
      <c r="L242" s="43" t="n"/>
      <c r="M242" s="43" t="n"/>
      <c r="N242" s="49">
        <f>IF(IFERROR(INDEX(lst_cat_wish,MATCH(D242,lst_cats,0))="Да",FALSE),MAX($N$4:N241)+1,"")</f>
        <v/>
      </c>
      <c r="O242" s="49">
        <f>IF(OR(A242="",B242="",C242="",L242="❌ Отменено"),0,IF(COUNTIFS($A$4:A241,A242,$B$4:B241,B242,$C$4:C241,C242,$L$4:L241,"&lt;&gt;❌ Отменено")=0,1,0))</f>
        <v/>
      </c>
    </row>
    <row r="243">
      <c r="A243" s="42" t="n"/>
      <c r="B243" s="42" t="n"/>
      <c r="C243" s="43" t="n"/>
      <c r="D243" s="43" t="n"/>
      <c r="E243" s="43" t="n"/>
      <c r="F243" s="42" t="n"/>
      <c r="G243" s="44" t="n"/>
      <c r="H243" s="45" t="n"/>
      <c r="I243" s="46">
        <f>IF(O243=1,SUMIFS(day_amt,day_year,A243,day_month,B243,day_item,C243),"")</f>
        <v/>
      </c>
      <c r="J243" s="47">
        <f>IF(H243&lt;&gt;"",H243,IF(N(I243)=0,"",I243))</f>
        <v/>
      </c>
      <c r="K243" s="48">
        <f>IF(OR(G243="",J243=""),"",G243-J243)</f>
        <v/>
      </c>
      <c r="L243" s="43" t="n"/>
      <c r="M243" s="43" t="n"/>
      <c r="N243" s="49">
        <f>IF(IFERROR(INDEX(lst_cat_wish,MATCH(D243,lst_cats,0))="Да",FALSE),MAX($N$4:N242)+1,"")</f>
        <v/>
      </c>
      <c r="O243" s="49">
        <f>IF(OR(A243="",B243="",C243="",L243="❌ Отменено"),0,IF(COUNTIFS($A$4:A242,A243,$B$4:B242,B243,$C$4:C242,C243,$L$4:L242,"&lt;&gt;❌ Отменено")=0,1,0))</f>
        <v/>
      </c>
    </row>
    <row r="244">
      <c r="A244" s="42" t="n"/>
      <c r="B244" s="42" t="n"/>
      <c r="C244" s="43" t="n"/>
      <c r="D244" s="43" t="n"/>
      <c r="E244" s="43" t="n"/>
      <c r="F244" s="42" t="n"/>
      <c r="G244" s="44" t="n"/>
      <c r="H244" s="45" t="n"/>
      <c r="I244" s="46">
        <f>IF(O244=1,SUMIFS(day_amt,day_year,A244,day_month,B244,day_item,C244),"")</f>
        <v/>
      </c>
      <c r="J244" s="47">
        <f>IF(H244&lt;&gt;"",H244,IF(N(I244)=0,"",I244))</f>
        <v/>
      </c>
      <c r="K244" s="48">
        <f>IF(OR(G244="",J244=""),"",G244-J244)</f>
        <v/>
      </c>
      <c r="L244" s="43" t="n"/>
      <c r="M244" s="43" t="n"/>
      <c r="N244" s="49">
        <f>IF(IFERROR(INDEX(lst_cat_wish,MATCH(D244,lst_cats,0))="Да",FALSE),MAX($N$4:N243)+1,"")</f>
        <v/>
      </c>
      <c r="O244" s="49">
        <f>IF(OR(A244="",B244="",C244="",L244="❌ Отменено"),0,IF(COUNTIFS($A$4:A243,A244,$B$4:B243,B244,$C$4:C243,C244,$L$4:L243,"&lt;&gt;❌ Отменено")=0,1,0))</f>
        <v/>
      </c>
    </row>
    <row r="245">
      <c r="A245" s="42" t="n"/>
      <c r="B245" s="42" t="n"/>
      <c r="C245" s="43" t="n"/>
      <c r="D245" s="43" t="n"/>
      <c r="E245" s="43" t="n"/>
      <c r="F245" s="42" t="n"/>
      <c r="G245" s="44" t="n"/>
      <c r="H245" s="45" t="n"/>
      <c r="I245" s="46">
        <f>IF(O245=1,SUMIFS(day_amt,day_year,A245,day_month,B245,day_item,C245),"")</f>
        <v/>
      </c>
      <c r="J245" s="47">
        <f>IF(H245&lt;&gt;"",H245,IF(N(I245)=0,"",I245))</f>
        <v/>
      </c>
      <c r="K245" s="48">
        <f>IF(OR(G245="",J245=""),"",G245-J245)</f>
        <v/>
      </c>
      <c r="L245" s="43" t="n"/>
      <c r="M245" s="43" t="n"/>
      <c r="N245" s="49">
        <f>IF(IFERROR(INDEX(lst_cat_wish,MATCH(D245,lst_cats,0))="Да",FALSE),MAX($N$4:N244)+1,"")</f>
        <v/>
      </c>
      <c r="O245" s="49">
        <f>IF(OR(A245="",B245="",C245="",L245="❌ Отменено"),0,IF(COUNTIFS($A$4:A244,A245,$B$4:B244,B245,$C$4:C244,C245,$L$4:L244,"&lt;&gt;❌ Отменено")=0,1,0))</f>
        <v/>
      </c>
    </row>
    <row r="246">
      <c r="A246" s="42" t="n"/>
      <c r="B246" s="42" t="n"/>
      <c r="C246" s="43" t="n"/>
      <c r="D246" s="43" t="n"/>
      <c r="E246" s="43" t="n"/>
      <c r="F246" s="42" t="n"/>
      <c r="G246" s="44" t="n"/>
      <c r="H246" s="45" t="n"/>
      <c r="I246" s="46">
        <f>IF(O246=1,SUMIFS(day_amt,day_year,A246,day_month,B246,day_item,C246),"")</f>
        <v/>
      </c>
      <c r="J246" s="47">
        <f>IF(H246&lt;&gt;"",H246,IF(N(I246)=0,"",I246))</f>
        <v/>
      </c>
      <c r="K246" s="48">
        <f>IF(OR(G246="",J246=""),"",G246-J246)</f>
        <v/>
      </c>
      <c r="L246" s="43" t="n"/>
      <c r="M246" s="43" t="n"/>
      <c r="N246" s="49">
        <f>IF(IFERROR(INDEX(lst_cat_wish,MATCH(D246,lst_cats,0))="Да",FALSE),MAX($N$4:N245)+1,"")</f>
        <v/>
      </c>
      <c r="O246" s="49">
        <f>IF(OR(A246="",B246="",C246="",L246="❌ Отменено"),0,IF(COUNTIFS($A$4:A245,A246,$B$4:B245,B246,$C$4:C245,C246,$L$4:L245,"&lt;&gt;❌ Отменено")=0,1,0))</f>
        <v/>
      </c>
    </row>
    <row r="247">
      <c r="A247" s="42" t="n"/>
      <c r="B247" s="42" t="n"/>
      <c r="C247" s="43" t="n"/>
      <c r="D247" s="43" t="n"/>
      <c r="E247" s="43" t="n"/>
      <c r="F247" s="42" t="n"/>
      <c r="G247" s="44" t="n"/>
      <c r="H247" s="45" t="n"/>
      <c r="I247" s="46">
        <f>IF(O247=1,SUMIFS(day_amt,day_year,A247,day_month,B247,day_item,C247),"")</f>
        <v/>
      </c>
      <c r="J247" s="47">
        <f>IF(H247&lt;&gt;"",H247,IF(N(I247)=0,"",I247))</f>
        <v/>
      </c>
      <c r="K247" s="48">
        <f>IF(OR(G247="",J247=""),"",G247-J247)</f>
        <v/>
      </c>
      <c r="L247" s="43" t="n"/>
      <c r="M247" s="43" t="n"/>
      <c r="N247" s="49">
        <f>IF(IFERROR(INDEX(lst_cat_wish,MATCH(D247,lst_cats,0))="Да",FALSE),MAX($N$4:N246)+1,"")</f>
        <v/>
      </c>
      <c r="O247" s="49">
        <f>IF(OR(A247="",B247="",C247="",L247="❌ Отменено"),0,IF(COUNTIFS($A$4:A246,A247,$B$4:B246,B247,$C$4:C246,C247,$L$4:L246,"&lt;&gt;❌ Отменено")=0,1,0))</f>
        <v/>
      </c>
    </row>
    <row r="248">
      <c r="A248" s="42" t="n"/>
      <c r="B248" s="42" t="n"/>
      <c r="C248" s="43" t="n"/>
      <c r="D248" s="43" t="n"/>
      <c r="E248" s="43" t="n"/>
      <c r="F248" s="42" t="n"/>
      <c r="G248" s="44" t="n"/>
      <c r="H248" s="45" t="n"/>
      <c r="I248" s="46">
        <f>IF(O248=1,SUMIFS(day_amt,day_year,A248,day_month,B248,day_item,C248),"")</f>
        <v/>
      </c>
      <c r="J248" s="47">
        <f>IF(H248&lt;&gt;"",H248,IF(N(I248)=0,"",I248))</f>
        <v/>
      </c>
      <c r="K248" s="48">
        <f>IF(OR(G248="",J248=""),"",G248-J248)</f>
        <v/>
      </c>
      <c r="L248" s="43" t="n"/>
      <c r="M248" s="43" t="n"/>
      <c r="N248" s="49">
        <f>IF(IFERROR(INDEX(lst_cat_wish,MATCH(D248,lst_cats,0))="Да",FALSE),MAX($N$4:N247)+1,"")</f>
        <v/>
      </c>
      <c r="O248" s="49">
        <f>IF(OR(A248="",B248="",C248="",L248="❌ Отменено"),0,IF(COUNTIFS($A$4:A247,A248,$B$4:B247,B248,$C$4:C247,C248,$L$4:L247,"&lt;&gt;❌ Отменено")=0,1,0))</f>
        <v/>
      </c>
    </row>
    <row r="249">
      <c r="A249" s="42" t="n"/>
      <c r="B249" s="42" t="n"/>
      <c r="C249" s="43" t="n"/>
      <c r="D249" s="43" t="n"/>
      <c r="E249" s="43" t="n"/>
      <c r="F249" s="42" t="n"/>
      <c r="G249" s="44" t="n"/>
      <c r="H249" s="45" t="n"/>
      <c r="I249" s="46">
        <f>IF(O249=1,SUMIFS(day_amt,day_year,A249,day_month,B249,day_item,C249),"")</f>
        <v/>
      </c>
      <c r="J249" s="47">
        <f>IF(H249&lt;&gt;"",H249,IF(N(I249)=0,"",I249))</f>
        <v/>
      </c>
      <c r="K249" s="48">
        <f>IF(OR(G249="",J249=""),"",G249-J249)</f>
        <v/>
      </c>
      <c r="L249" s="43" t="n"/>
      <c r="M249" s="43" t="n"/>
      <c r="N249" s="49">
        <f>IF(IFERROR(INDEX(lst_cat_wish,MATCH(D249,lst_cats,0))="Да",FALSE),MAX($N$4:N248)+1,"")</f>
        <v/>
      </c>
      <c r="O249" s="49">
        <f>IF(OR(A249="",B249="",C249="",L249="❌ Отменено"),0,IF(COUNTIFS($A$4:A248,A249,$B$4:B248,B249,$C$4:C248,C249,$L$4:L248,"&lt;&gt;❌ Отменено")=0,1,0))</f>
        <v/>
      </c>
    </row>
    <row r="250">
      <c r="A250" s="42" t="n"/>
      <c r="B250" s="42" t="n"/>
      <c r="C250" s="43" t="n"/>
      <c r="D250" s="43" t="n"/>
      <c r="E250" s="43" t="n"/>
      <c r="F250" s="42" t="n"/>
      <c r="G250" s="44" t="n"/>
      <c r="H250" s="45" t="n"/>
      <c r="I250" s="46">
        <f>IF(O250=1,SUMIFS(day_amt,day_year,A250,day_month,B250,day_item,C250),"")</f>
        <v/>
      </c>
      <c r="J250" s="47">
        <f>IF(H250&lt;&gt;"",H250,IF(N(I250)=0,"",I250))</f>
        <v/>
      </c>
      <c r="K250" s="48">
        <f>IF(OR(G250="",J250=""),"",G250-J250)</f>
        <v/>
      </c>
      <c r="L250" s="43" t="n"/>
      <c r="M250" s="43" t="n"/>
      <c r="N250" s="49">
        <f>IF(IFERROR(INDEX(lst_cat_wish,MATCH(D250,lst_cats,0))="Да",FALSE),MAX($N$4:N249)+1,"")</f>
        <v/>
      </c>
      <c r="O250" s="49">
        <f>IF(OR(A250="",B250="",C250="",L250="❌ Отменено"),0,IF(COUNTIFS($A$4:A249,A250,$B$4:B249,B250,$C$4:C249,C250,$L$4:L249,"&lt;&gt;❌ Отменено")=0,1,0))</f>
        <v/>
      </c>
    </row>
    <row r="251">
      <c r="A251" s="42" t="n"/>
      <c r="B251" s="42" t="n"/>
      <c r="C251" s="43" t="n"/>
      <c r="D251" s="43" t="n"/>
      <c r="E251" s="43" t="n"/>
      <c r="F251" s="42" t="n"/>
      <c r="G251" s="44" t="n"/>
      <c r="H251" s="45" t="n"/>
      <c r="I251" s="46">
        <f>IF(O251=1,SUMIFS(day_amt,day_year,A251,day_month,B251,day_item,C251),"")</f>
        <v/>
      </c>
      <c r="J251" s="47">
        <f>IF(H251&lt;&gt;"",H251,IF(N(I251)=0,"",I251))</f>
        <v/>
      </c>
      <c r="K251" s="48">
        <f>IF(OR(G251="",J251=""),"",G251-J251)</f>
        <v/>
      </c>
      <c r="L251" s="43" t="n"/>
      <c r="M251" s="43" t="n"/>
      <c r="N251" s="49">
        <f>IF(IFERROR(INDEX(lst_cat_wish,MATCH(D251,lst_cats,0))="Да",FALSE),MAX($N$4:N250)+1,"")</f>
        <v/>
      </c>
      <c r="O251" s="49">
        <f>IF(OR(A251="",B251="",C251="",L251="❌ Отменено"),0,IF(COUNTIFS($A$4:A250,A251,$B$4:B250,B251,$C$4:C250,C251,$L$4:L250,"&lt;&gt;❌ Отменено")=0,1,0))</f>
        <v/>
      </c>
    </row>
    <row r="252">
      <c r="A252" s="42" t="n"/>
      <c r="B252" s="42" t="n"/>
      <c r="C252" s="43" t="n"/>
      <c r="D252" s="43" t="n"/>
      <c r="E252" s="43" t="n"/>
      <c r="F252" s="42" t="n"/>
      <c r="G252" s="44" t="n"/>
      <c r="H252" s="45" t="n"/>
      <c r="I252" s="46">
        <f>IF(O252=1,SUMIFS(day_amt,day_year,A252,day_month,B252,day_item,C252),"")</f>
        <v/>
      </c>
      <c r="J252" s="47">
        <f>IF(H252&lt;&gt;"",H252,IF(N(I252)=0,"",I252))</f>
        <v/>
      </c>
      <c r="K252" s="48">
        <f>IF(OR(G252="",J252=""),"",G252-J252)</f>
        <v/>
      </c>
      <c r="L252" s="43" t="n"/>
      <c r="M252" s="43" t="n"/>
      <c r="N252" s="49">
        <f>IF(IFERROR(INDEX(lst_cat_wish,MATCH(D252,lst_cats,0))="Да",FALSE),MAX($N$4:N251)+1,"")</f>
        <v/>
      </c>
      <c r="O252" s="49">
        <f>IF(OR(A252="",B252="",C252="",L252="❌ Отменено"),0,IF(COUNTIFS($A$4:A251,A252,$B$4:B251,B252,$C$4:C251,C252,$L$4:L251,"&lt;&gt;❌ Отменено")=0,1,0))</f>
        <v/>
      </c>
    </row>
    <row r="253">
      <c r="A253" s="42" t="n"/>
      <c r="B253" s="42" t="n"/>
      <c r="C253" s="43" t="n"/>
      <c r="D253" s="43" t="n"/>
      <c r="E253" s="43" t="n"/>
      <c r="F253" s="42" t="n"/>
      <c r="G253" s="44" t="n"/>
      <c r="H253" s="45" t="n"/>
      <c r="I253" s="46">
        <f>IF(O253=1,SUMIFS(day_amt,day_year,A253,day_month,B253,day_item,C253),"")</f>
        <v/>
      </c>
      <c r="J253" s="47">
        <f>IF(H253&lt;&gt;"",H253,IF(N(I253)=0,"",I253))</f>
        <v/>
      </c>
      <c r="K253" s="48">
        <f>IF(OR(G253="",J253=""),"",G253-J253)</f>
        <v/>
      </c>
      <c r="L253" s="43" t="n"/>
      <c r="M253" s="43" t="n"/>
      <c r="N253" s="49">
        <f>IF(IFERROR(INDEX(lst_cat_wish,MATCH(D253,lst_cats,0))="Да",FALSE),MAX($N$4:N252)+1,"")</f>
        <v/>
      </c>
      <c r="O253" s="49">
        <f>IF(OR(A253="",B253="",C253="",L253="❌ Отменено"),0,IF(COUNTIFS($A$4:A252,A253,$B$4:B252,B253,$C$4:C252,C253,$L$4:L252,"&lt;&gt;❌ Отменено")=0,1,0))</f>
        <v/>
      </c>
    </row>
    <row r="254">
      <c r="A254" s="42" t="n"/>
      <c r="B254" s="42" t="n"/>
      <c r="C254" s="43" t="n"/>
      <c r="D254" s="43" t="n"/>
      <c r="E254" s="43" t="n"/>
      <c r="F254" s="42" t="n"/>
      <c r="G254" s="44" t="n"/>
      <c r="H254" s="45" t="n"/>
      <c r="I254" s="46">
        <f>IF(O254=1,SUMIFS(day_amt,day_year,A254,day_month,B254,day_item,C254),"")</f>
        <v/>
      </c>
      <c r="J254" s="47">
        <f>IF(H254&lt;&gt;"",H254,IF(N(I254)=0,"",I254))</f>
        <v/>
      </c>
      <c r="K254" s="48">
        <f>IF(OR(G254="",J254=""),"",G254-J254)</f>
        <v/>
      </c>
      <c r="L254" s="43" t="n"/>
      <c r="M254" s="43" t="n"/>
      <c r="N254" s="49">
        <f>IF(IFERROR(INDEX(lst_cat_wish,MATCH(D254,lst_cats,0))="Да",FALSE),MAX($N$4:N253)+1,"")</f>
        <v/>
      </c>
      <c r="O254" s="49">
        <f>IF(OR(A254="",B254="",C254="",L254="❌ Отменено"),0,IF(COUNTIFS($A$4:A253,A254,$B$4:B253,B254,$C$4:C253,C254,$L$4:L253,"&lt;&gt;❌ Отменено")=0,1,0))</f>
        <v/>
      </c>
    </row>
    <row r="255">
      <c r="A255" s="42" t="n"/>
      <c r="B255" s="42" t="n"/>
      <c r="C255" s="43" t="n"/>
      <c r="D255" s="43" t="n"/>
      <c r="E255" s="43" t="n"/>
      <c r="F255" s="42" t="n"/>
      <c r="G255" s="44" t="n"/>
      <c r="H255" s="45" t="n"/>
      <c r="I255" s="46">
        <f>IF(O255=1,SUMIFS(day_amt,day_year,A255,day_month,B255,day_item,C255),"")</f>
        <v/>
      </c>
      <c r="J255" s="47">
        <f>IF(H255&lt;&gt;"",H255,IF(N(I255)=0,"",I255))</f>
        <v/>
      </c>
      <c r="K255" s="48">
        <f>IF(OR(G255="",J255=""),"",G255-J255)</f>
        <v/>
      </c>
      <c r="L255" s="43" t="n"/>
      <c r="M255" s="43" t="n"/>
      <c r="N255" s="49">
        <f>IF(IFERROR(INDEX(lst_cat_wish,MATCH(D255,lst_cats,0))="Да",FALSE),MAX($N$4:N254)+1,"")</f>
        <v/>
      </c>
      <c r="O255" s="49">
        <f>IF(OR(A255="",B255="",C255="",L255="❌ Отменено"),0,IF(COUNTIFS($A$4:A254,A255,$B$4:B254,B255,$C$4:C254,C255,$L$4:L254,"&lt;&gt;❌ Отменено")=0,1,0))</f>
        <v/>
      </c>
    </row>
    <row r="256">
      <c r="A256" s="42" t="n"/>
      <c r="B256" s="42" t="n"/>
      <c r="C256" s="43" t="n"/>
      <c r="D256" s="43" t="n"/>
      <c r="E256" s="43" t="n"/>
      <c r="F256" s="42" t="n"/>
      <c r="G256" s="44" t="n"/>
      <c r="H256" s="45" t="n"/>
      <c r="I256" s="46">
        <f>IF(O256=1,SUMIFS(day_amt,day_year,A256,day_month,B256,day_item,C256),"")</f>
        <v/>
      </c>
      <c r="J256" s="47">
        <f>IF(H256&lt;&gt;"",H256,IF(N(I256)=0,"",I256))</f>
        <v/>
      </c>
      <c r="K256" s="48">
        <f>IF(OR(G256="",J256=""),"",G256-J256)</f>
        <v/>
      </c>
      <c r="L256" s="43" t="n"/>
      <c r="M256" s="43" t="n"/>
      <c r="N256" s="49">
        <f>IF(IFERROR(INDEX(lst_cat_wish,MATCH(D256,lst_cats,0))="Да",FALSE),MAX($N$4:N255)+1,"")</f>
        <v/>
      </c>
      <c r="O256" s="49">
        <f>IF(OR(A256="",B256="",C256="",L256="❌ Отменено"),0,IF(COUNTIFS($A$4:A255,A256,$B$4:B255,B256,$C$4:C255,C256,$L$4:L255,"&lt;&gt;❌ Отменено")=0,1,0))</f>
        <v/>
      </c>
    </row>
    <row r="257">
      <c r="A257" s="42" t="n"/>
      <c r="B257" s="42" t="n"/>
      <c r="C257" s="43" t="n"/>
      <c r="D257" s="43" t="n"/>
      <c r="E257" s="43" t="n"/>
      <c r="F257" s="42" t="n"/>
      <c r="G257" s="44" t="n"/>
      <c r="H257" s="45" t="n"/>
      <c r="I257" s="46">
        <f>IF(O257=1,SUMIFS(day_amt,day_year,A257,day_month,B257,day_item,C257),"")</f>
        <v/>
      </c>
      <c r="J257" s="47">
        <f>IF(H257&lt;&gt;"",H257,IF(N(I257)=0,"",I257))</f>
        <v/>
      </c>
      <c r="K257" s="48">
        <f>IF(OR(G257="",J257=""),"",G257-J257)</f>
        <v/>
      </c>
      <c r="L257" s="43" t="n"/>
      <c r="M257" s="43" t="n"/>
      <c r="N257" s="49">
        <f>IF(IFERROR(INDEX(lst_cat_wish,MATCH(D257,lst_cats,0))="Да",FALSE),MAX($N$4:N256)+1,"")</f>
        <v/>
      </c>
      <c r="O257" s="49">
        <f>IF(OR(A257="",B257="",C257="",L257="❌ Отменено"),0,IF(COUNTIFS($A$4:A256,A257,$B$4:B256,B257,$C$4:C256,C257,$L$4:L256,"&lt;&gt;❌ Отменено")=0,1,0))</f>
        <v/>
      </c>
    </row>
    <row r="258">
      <c r="A258" s="42" t="n"/>
      <c r="B258" s="42" t="n"/>
      <c r="C258" s="43" t="n"/>
      <c r="D258" s="43" t="n"/>
      <c r="E258" s="43" t="n"/>
      <c r="F258" s="42" t="n"/>
      <c r="G258" s="44" t="n"/>
      <c r="H258" s="45" t="n"/>
      <c r="I258" s="46">
        <f>IF(O258=1,SUMIFS(day_amt,day_year,A258,day_month,B258,day_item,C258),"")</f>
        <v/>
      </c>
      <c r="J258" s="47">
        <f>IF(H258&lt;&gt;"",H258,IF(N(I258)=0,"",I258))</f>
        <v/>
      </c>
      <c r="K258" s="48">
        <f>IF(OR(G258="",J258=""),"",G258-J258)</f>
        <v/>
      </c>
      <c r="L258" s="43" t="n"/>
      <c r="M258" s="43" t="n"/>
      <c r="N258" s="49">
        <f>IF(IFERROR(INDEX(lst_cat_wish,MATCH(D258,lst_cats,0))="Да",FALSE),MAX($N$4:N257)+1,"")</f>
        <v/>
      </c>
      <c r="O258" s="49">
        <f>IF(OR(A258="",B258="",C258="",L258="❌ Отменено"),0,IF(COUNTIFS($A$4:A257,A258,$B$4:B257,B258,$C$4:C257,C258,$L$4:L257,"&lt;&gt;❌ Отменено")=0,1,0))</f>
        <v/>
      </c>
    </row>
    <row r="259">
      <c r="A259" s="42" t="n"/>
      <c r="B259" s="42" t="n"/>
      <c r="C259" s="43" t="n"/>
      <c r="D259" s="43" t="n"/>
      <c r="E259" s="43" t="n"/>
      <c r="F259" s="42" t="n"/>
      <c r="G259" s="44" t="n"/>
      <c r="H259" s="45" t="n"/>
      <c r="I259" s="46">
        <f>IF(O259=1,SUMIFS(day_amt,day_year,A259,day_month,B259,day_item,C259),"")</f>
        <v/>
      </c>
      <c r="J259" s="47">
        <f>IF(H259&lt;&gt;"",H259,IF(N(I259)=0,"",I259))</f>
        <v/>
      </c>
      <c r="K259" s="48">
        <f>IF(OR(G259="",J259=""),"",G259-J259)</f>
        <v/>
      </c>
      <c r="L259" s="43" t="n"/>
      <c r="M259" s="43" t="n"/>
      <c r="N259" s="49">
        <f>IF(IFERROR(INDEX(lst_cat_wish,MATCH(D259,lst_cats,0))="Да",FALSE),MAX($N$4:N258)+1,"")</f>
        <v/>
      </c>
      <c r="O259" s="49">
        <f>IF(OR(A259="",B259="",C259="",L259="❌ Отменено"),0,IF(COUNTIFS($A$4:A258,A259,$B$4:B258,B259,$C$4:C258,C259,$L$4:L258,"&lt;&gt;❌ Отменено")=0,1,0))</f>
        <v/>
      </c>
    </row>
    <row r="260">
      <c r="A260" s="42" t="n"/>
      <c r="B260" s="42" t="n"/>
      <c r="C260" s="43" t="n"/>
      <c r="D260" s="43" t="n"/>
      <c r="E260" s="43" t="n"/>
      <c r="F260" s="42" t="n"/>
      <c r="G260" s="44" t="n"/>
      <c r="H260" s="45" t="n"/>
      <c r="I260" s="46">
        <f>IF(O260=1,SUMIFS(day_amt,day_year,A260,day_month,B260,day_item,C260),"")</f>
        <v/>
      </c>
      <c r="J260" s="47">
        <f>IF(H260&lt;&gt;"",H260,IF(N(I260)=0,"",I260))</f>
        <v/>
      </c>
      <c r="K260" s="48">
        <f>IF(OR(G260="",J260=""),"",G260-J260)</f>
        <v/>
      </c>
      <c r="L260" s="43" t="n"/>
      <c r="M260" s="43" t="n"/>
      <c r="N260" s="49">
        <f>IF(IFERROR(INDEX(lst_cat_wish,MATCH(D260,lst_cats,0))="Да",FALSE),MAX($N$4:N259)+1,"")</f>
        <v/>
      </c>
      <c r="O260" s="49">
        <f>IF(OR(A260="",B260="",C260="",L260="❌ Отменено"),0,IF(COUNTIFS($A$4:A259,A260,$B$4:B259,B260,$C$4:C259,C260,$L$4:L259,"&lt;&gt;❌ Отменено")=0,1,0))</f>
        <v/>
      </c>
    </row>
    <row r="261">
      <c r="A261" s="42" t="n"/>
      <c r="B261" s="42" t="n"/>
      <c r="C261" s="43" t="n"/>
      <c r="D261" s="43" t="n"/>
      <c r="E261" s="43" t="n"/>
      <c r="F261" s="42" t="n"/>
      <c r="G261" s="44" t="n"/>
      <c r="H261" s="45" t="n"/>
      <c r="I261" s="46">
        <f>IF(O261=1,SUMIFS(day_amt,day_year,A261,day_month,B261,day_item,C261),"")</f>
        <v/>
      </c>
      <c r="J261" s="47">
        <f>IF(H261&lt;&gt;"",H261,IF(N(I261)=0,"",I261))</f>
        <v/>
      </c>
      <c r="K261" s="48">
        <f>IF(OR(G261="",J261=""),"",G261-J261)</f>
        <v/>
      </c>
      <c r="L261" s="43" t="n"/>
      <c r="M261" s="43" t="n"/>
      <c r="N261" s="49">
        <f>IF(IFERROR(INDEX(lst_cat_wish,MATCH(D261,lst_cats,0))="Да",FALSE),MAX($N$4:N260)+1,"")</f>
        <v/>
      </c>
      <c r="O261" s="49">
        <f>IF(OR(A261="",B261="",C261="",L261="❌ Отменено"),0,IF(COUNTIFS($A$4:A260,A261,$B$4:B260,B261,$C$4:C260,C261,$L$4:L260,"&lt;&gt;❌ Отменено")=0,1,0))</f>
        <v/>
      </c>
    </row>
    <row r="262">
      <c r="A262" s="42" t="n"/>
      <c r="B262" s="42" t="n"/>
      <c r="C262" s="43" t="n"/>
      <c r="D262" s="43" t="n"/>
      <c r="E262" s="43" t="n"/>
      <c r="F262" s="42" t="n"/>
      <c r="G262" s="44" t="n"/>
      <c r="H262" s="45" t="n"/>
      <c r="I262" s="46">
        <f>IF(O262=1,SUMIFS(day_amt,day_year,A262,day_month,B262,day_item,C262),"")</f>
        <v/>
      </c>
      <c r="J262" s="47">
        <f>IF(H262&lt;&gt;"",H262,IF(N(I262)=0,"",I262))</f>
        <v/>
      </c>
      <c r="K262" s="48">
        <f>IF(OR(G262="",J262=""),"",G262-J262)</f>
        <v/>
      </c>
      <c r="L262" s="43" t="n"/>
      <c r="M262" s="43" t="n"/>
      <c r="N262" s="49">
        <f>IF(IFERROR(INDEX(lst_cat_wish,MATCH(D262,lst_cats,0))="Да",FALSE),MAX($N$4:N261)+1,"")</f>
        <v/>
      </c>
      <c r="O262" s="49">
        <f>IF(OR(A262="",B262="",C262="",L262="❌ Отменено"),0,IF(COUNTIFS($A$4:A261,A262,$B$4:B261,B262,$C$4:C261,C262,$L$4:L261,"&lt;&gt;❌ Отменено")=0,1,0))</f>
        <v/>
      </c>
    </row>
    <row r="263">
      <c r="A263" s="42" t="n"/>
      <c r="B263" s="42" t="n"/>
      <c r="C263" s="43" t="n"/>
      <c r="D263" s="43" t="n"/>
      <c r="E263" s="43" t="n"/>
      <c r="F263" s="42" t="n"/>
      <c r="G263" s="44" t="n"/>
      <c r="H263" s="45" t="n"/>
      <c r="I263" s="46">
        <f>IF(O263=1,SUMIFS(day_amt,day_year,A263,day_month,B263,day_item,C263),"")</f>
        <v/>
      </c>
      <c r="J263" s="47">
        <f>IF(H263&lt;&gt;"",H263,IF(N(I263)=0,"",I263))</f>
        <v/>
      </c>
      <c r="K263" s="48">
        <f>IF(OR(G263="",J263=""),"",G263-J263)</f>
        <v/>
      </c>
      <c r="L263" s="43" t="n"/>
      <c r="M263" s="43" t="n"/>
      <c r="N263" s="49">
        <f>IF(IFERROR(INDEX(lst_cat_wish,MATCH(D263,lst_cats,0))="Да",FALSE),MAX($N$4:N262)+1,"")</f>
        <v/>
      </c>
      <c r="O263" s="49">
        <f>IF(OR(A263="",B263="",C263="",L263="❌ Отменено"),0,IF(COUNTIFS($A$4:A262,A263,$B$4:B262,B263,$C$4:C262,C263,$L$4:L262,"&lt;&gt;❌ Отменено")=0,1,0))</f>
        <v/>
      </c>
    </row>
    <row r="264">
      <c r="A264" s="42" t="n"/>
      <c r="B264" s="42" t="n"/>
      <c r="C264" s="43" t="n"/>
      <c r="D264" s="43" t="n"/>
      <c r="E264" s="43" t="n"/>
      <c r="F264" s="42" t="n"/>
      <c r="G264" s="44" t="n"/>
      <c r="H264" s="45" t="n"/>
      <c r="I264" s="46">
        <f>IF(O264=1,SUMIFS(day_amt,day_year,A264,day_month,B264,day_item,C264),"")</f>
        <v/>
      </c>
      <c r="J264" s="47">
        <f>IF(H264&lt;&gt;"",H264,IF(N(I264)=0,"",I264))</f>
        <v/>
      </c>
      <c r="K264" s="48">
        <f>IF(OR(G264="",J264=""),"",G264-J264)</f>
        <v/>
      </c>
      <c r="L264" s="43" t="n"/>
      <c r="M264" s="43" t="n"/>
      <c r="N264" s="49">
        <f>IF(IFERROR(INDEX(lst_cat_wish,MATCH(D264,lst_cats,0))="Да",FALSE),MAX($N$4:N263)+1,"")</f>
        <v/>
      </c>
      <c r="O264" s="49">
        <f>IF(OR(A264="",B264="",C264="",L264="❌ Отменено"),0,IF(COUNTIFS($A$4:A263,A264,$B$4:B263,B264,$C$4:C263,C264,$L$4:L263,"&lt;&gt;❌ Отменено")=0,1,0))</f>
        <v/>
      </c>
    </row>
    <row r="265">
      <c r="A265" s="42" t="n"/>
      <c r="B265" s="42" t="n"/>
      <c r="C265" s="43" t="n"/>
      <c r="D265" s="43" t="n"/>
      <c r="E265" s="43" t="n"/>
      <c r="F265" s="42" t="n"/>
      <c r="G265" s="44" t="n"/>
      <c r="H265" s="45" t="n"/>
      <c r="I265" s="46">
        <f>IF(O265=1,SUMIFS(day_amt,day_year,A265,day_month,B265,day_item,C265),"")</f>
        <v/>
      </c>
      <c r="J265" s="47">
        <f>IF(H265&lt;&gt;"",H265,IF(N(I265)=0,"",I265))</f>
        <v/>
      </c>
      <c r="K265" s="48">
        <f>IF(OR(G265="",J265=""),"",G265-J265)</f>
        <v/>
      </c>
      <c r="L265" s="43" t="n"/>
      <c r="M265" s="43" t="n"/>
      <c r="N265" s="49">
        <f>IF(IFERROR(INDEX(lst_cat_wish,MATCH(D265,lst_cats,0))="Да",FALSE),MAX($N$4:N264)+1,"")</f>
        <v/>
      </c>
      <c r="O265" s="49">
        <f>IF(OR(A265="",B265="",C265="",L265="❌ Отменено"),0,IF(COUNTIFS($A$4:A264,A265,$B$4:B264,B265,$C$4:C264,C265,$L$4:L264,"&lt;&gt;❌ Отменено")=0,1,0))</f>
        <v/>
      </c>
    </row>
    <row r="266">
      <c r="A266" s="42" t="n"/>
      <c r="B266" s="42" t="n"/>
      <c r="C266" s="43" t="n"/>
      <c r="D266" s="43" t="n"/>
      <c r="E266" s="43" t="n"/>
      <c r="F266" s="42" t="n"/>
      <c r="G266" s="44" t="n"/>
      <c r="H266" s="45" t="n"/>
      <c r="I266" s="46">
        <f>IF(O266=1,SUMIFS(day_amt,day_year,A266,day_month,B266,day_item,C266),"")</f>
        <v/>
      </c>
      <c r="J266" s="47">
        <f>IF(H266&lt;&gt;"",H266,IF(N(I266)=0,"",I266))</f>
        <v/>
      </c>
      <c r="K266" s="48">
        <f>IF(OR(G266="",J266=""),"",G266-J266)</f>
        <v/>
      </c>
      <c r="L266" s="43" t="n"/>
      <c r="M266" s="43" t="n"/>
      <c r="N266" s="49">
        <f>IF(IFERROR(INDEX(lst_cat_wish,MATCH(D266,lst_cats,0))="Да",FALSE),MAX($N$4:N265)+1,"")</f>
        <v/>
      </c>
      <c r="O266" s="49">
        <f>IF(OR(A266="",B266="",C266="",L266="❌ Отменено"),0,IF(COUNTIFS($A$4:A265,A266,$B$4:B265,B266,$C$4:C265,C266,$L$4:L265,"&lt;&gt;❌ Отменено")=0,1,0))</f>
        <v/>
      </c>
    </row>
    <row r="267">
      <c r="A267" s="42" t="n"/>
      <c r="B267" s="42" t="n"/>
      <c r="C267" s="43" t="n"/>
      <c r="D267" s="43" t="n"/>
      <c r="E267" s="43" t="n"/>
      <c r="F267" s="42" t="n"/>
      <c r="G267" s="44" t="n"/>
      <c r="H267" s="45" t="n"/>
      <c r="I267" s="46">
        <f>IF(O267=1,SUMIFS(day_amt,day_year,A267,day_month,B267,day_item,C267),"")</f>
        <v/>
      </c>
      <c r="J267" s="47">
        <f>IF(H267&lt;&gt;"",H267,IF(N(I267)=0,"",I267))</f>
        <v/>
      </c>
      <c r="K267" s="48">
        <f>IF(OR(G267="",J267=""),"",G267-J267)</f>
        <v/>
      </c>
      <c r="L267" s="43" t="n"/>
      <c r="M267" s="43" t="n"/>
      <c r="N267" s="49">
        <f>IF(IFERROR(INDEX(lst_cat_wish,MATCH(D267,lst_cats,0))="Да",FALSE),MAX($N$4:N266)+1,"")</f>
        <v/>
      </c>
      <c r="O267" s="49">
        <f>IF(OR(A267="",B267="",C267="",L267="❌ Отменено"),0,IF(COUNTIFS($A$4:A266,A267,$B$4:B266,B267,$C$4:C266,C267,$L$4:L266,"&lt;&gt;❌ Отменено")=0,1,0))</f>
        <v/>
      </c>
    </row>
    <row r="268">
      <c r="A268" s="42" t="n"/>
      <c r="B268" s="42" t="n"/>
      <c r="C268" s="43" t="n"/>
      <c r="D268" s="43" t="n"/>
      <c r="E268" s="43" t="n"/>
      <c r="F268" s="42" t="n"/>
      <c r="G268" s="44" t="n"/>
      <c r="H268" s="45" t="n"/>
      <c r="I268" s="46">
        <f>IF(O268=1,SUMIFS(day_amt,day_year,A268,day_month,B268,day_item,C268),"")</f>
        <v/>
      </c>
      <c r="J268" s="47">
        <f>IF(H268&lt;&gt;"",H268,IF(N(I268)=0,"",I268))</f>
        <v/>
      </c>
      <c r="K268" s="48">
        <f>IF(OR(G268="",J268=""),"",G268-J268)</f>
        <v/>
      </c>
      <c r="L268" s="43" t="n"/>
      <c r="M268" s="43" t="n"/>
      <c r="N268" s="49">
        <f>IF(IFERROR(INDEX(lst_cat_wish,MATCH(D268,lst_cats,0))="Да",FALSE),MAX($N$4:N267)+1,"")</f>
        <v/>
      </c>
      <c r="O268" s="49">
        <f>IF(OR(A268="",B268="",C268="",L268="❌ Отменено"),0,IF(COUNTIFS($A$4:A267,A268,$B$4:B267,B268,$C$4:C267,C268,$L$4:L267,"&lt;&gt;❌ Отменено")=0,1,0))</f>
        <v/>
      </c>
    </row>
    <row r="269">
      <c r="A269" s="42" t="n"/>
      <c r="B269" s="42" t="n"/>
      <c r="C269" s="43" t="n"/>
      <c r="D269" s="43" t="n"/>
      <c r="E269" s="43" t="n"/>
      <c r="F269" s="42" t="n"/>
      <c r="G269" s="44" t="n"/>
      <c r="H269" s="45" t="n"/>
      <c r="I269" s="46">
        <f>IF(O269=1,SUMIFS(day_amt,day_year,A269,day_month,B269,day_item,C269),"")</f>
        <v/>
      </c>
      <c r="J269" s="47">
        <f>IF(H269&lt;&gt;"",H269,IF(N(I269)=0,"",I269))</f>
        <v/>
      </c>
      <c r="K269" s="48">
        <f>IF(OR(G269="",J269=""),"",G269-J269)</f>
        <v/>
      </c>
      <c r="L269" s="43" t="n"/>
      <c r="M269" s="43" t="n"/>
      <c r="N269" s="49">
        <f>IF(IFERROR(INDEX(lst_cat_wish,MATCH(D269,lst_cats,0))="Да",FALSE),MAX($N$4:N268)+1,"")</f>
        <v/>
      </c>
      <c r="O269" s="49">
        <f>IF(OR(A269="",B269="",C269="",L269="❌ Отменено"),0,IF(COUNTIFS($A$4:A268,A269,$B$4:B268,B269,$C$4:C268,C269,$L$4:L268,"&lt;&gt;❌ Отменено")=0,1,0))</f>
        <v/>
      </c>
    </row>
    <row r="270">
      <c r="A270" s="42" t="n"/>
      <c r="B270" s="42" t="n"/>
      <c r="C270" s="43" t="n"/>
      <c r="D270" s="43" t="n"/>
      <c r="E270" s="43" t="n"/>
      <c r="F270" s="42" t="n"/>
      <c r="G270" s="44" t="n"/>
      <c r="H270" s="45" t="n"/>
      <c r="I270" s="46">
        <f>IF(O270=1,SUMIFS(day_amt,day_year,A270,day_month,B270,day_item,C270),"")</f>
        <v/>
      </c>
      <c r="J270" s="47">
        <f>IF(H270&lt;&gt;"",H270,IF(N(I270)=0,"",I270))</f>
        <v/>
      </c>
      <c r="K270" s="48">
        <f>IF(OR(G270="",J270=""),"",G270-J270)</f>
        <v/>
      </c>
      <c r="L270" s="43" t="n"/>
      <c r="M270" s="43" t="n"/>
      <c r="N270" s="49">
        <f>IF(IFERROR(INDEX(lst_cat_wish,MATCH(D270,lst_cats,0))="Да",FALSE),MAX($N$4:N269)+1,"")</f>
        <v/>
      </c>
      <c r="O270" s="49">
        <f>IF(OR(A270="",B270="",C270="",L270="❌ Отменено"),0,IF(COUNTIFS($A$4:A269,A270,$B$4:B269,B270,$C$4:C269,C270,$L$4:L269,"&lt;&gt;❌ Отменено")=0,1,0))</f>
        <v/>
      </c>
    </row>
    <row r="271">
      <c r="A271" s="42" t="n"/>
      <c r="B271" s="42" t="n"/>
      <c r="C271" s="43" t="n"/>
      <c r="D271" s="43" t="n"/>
      <c r="E271" s="43" t="n"/>
      <c r="F271" s="42" t="n"/>
      <c r="G271" s="44" t="n"/>
      <c r="H271" s="45" t="n"/>
      <c r="I271" s="46">
        <f>IF(O271=1,SUMIFS(day_amt,day_year,A271,day_month,B271,day_item,C271),"")</f>
        <v/>
      </c>
      <c r="J271" s="47">
        <f>IF(H271&lt;&gt;"",H271,IF(N(I271)=0,"",I271))</f>
        <v/>
      </c>
      <c r="K271" s="48">
        <f>IF(OR(G271="",J271=""),"",G271-J271)</f>
        <v/>
      </c>
      <c r="L271" s="43" t="n"/>
      <c r="M271" s="43" t="n"/>
      <c r="N271" s="49">
        <f>IF(IFERROR(INDEX(lst_cat_wish,MATCH(D271,lst_cats,0))="Да",FALSE),MAX($N$4:N270)+1,"")</f>
        <v/>
      </c>
      <c r="O271" s="49">
        <f>IF(OR(A271="",B271="",C271="",L271="❌ Отменено"),0,IF(COUNTIFS($A$4:A270,A271,$B$4:B270,B271,$C$4:C270,C271,$L$4:L270,"&lt;&gt;❌ Отменено")=0,1,0))</f>
        <v/>
      </c>
    </row>
    <row r="272">
      <c r="A272" s="42" t="n"/>
      <c r="B272" s="42" t="n"/>
      <c r="C272" s="43" t="n"/>
      <c r="D272" s="43" t="n"/>
      <c r="E272" s="43" t="n"/>
      <c r="F272" s="42" t="n"/>
      <c r="G272" s="44" t="n"/>
      <c r="H272" s="45" t="n"/>
      <c r="I272" s="46">
        <f>IF(O272=1,SUMIFS(day_amt,day_year,A272,day_month,B272,day_item,C272),"")</f>
        <v/>
      </c>
      <c r="J272" s="47">
        <f>IF(H272&lt;&gt;"",H272,IF(N(I272)=0,"",I272))</f>
        <v/>
      </c>
      <c r="K272" s="48">
        <f>IF(OR(G272="",J272=""),"",G272-J272)</f>
        <v/>
      </c>
      <c r="L272" s="43" t="n"/>
      <c r="M272" s="43" t="n"/>
      <c r="N272" s="49">
        <f>IF(IFERROR(INDEX(lst_cat_wish,MATCH(D272,lst_cats,0))="Да",FALSE),MAX($N$4:N271)+1,"")</f>
        <v/>
      </c>
      <c r="O272" s="49">
        <f>IF(OR(A272="",B272="",C272="",L272="❌ Отменено"),0,IF(COUNTIFS($A$4:A271,A272,$B$4:B271,B272,$C$4:C271,C272,$L$4:L271,"&lt;&gt;❌ Отменено")=0,1,0))</f>
        <v/>
      </c>
    </row>
    <row r="273">
      <c r="A273" s="42" t="n"/>
      <c r="B273" s="42" t="n"/>
      <c r="C273" s="43" t="n"/>
      <c r="D273" s="43" t="n"/>
      <c r="E273" s="43" t="n"/>
      <c r="F273" s="42" t="n"/>
      <c r="G273" s="44" t="n"/>
      <c r="H273" s="45" t="n"/>
      <c r="I273" s="46">
        <f>IF(O273=1,SUMIFS(day_amt,day_year,A273,day_month,B273,day_item,C273),"")</f>
        <v/>
      </c>
      <c r="J273" s="47">
        <f>IF(H273&lt;&gt;"",H273,IF(N(I273)=0,"",I273))</f>
        <v/>
      </c>
      <c r="K273" s="48">
        <f>IF(OR(G273="",J273=""),"",G273-J273)</f>
        <v/>
      </c>
      <c r="L273" s="43" t="n"/>
      <c r="M273" s="43" t="n"/>
      <c r="N273" s="49">
        <f>IF(IFERROR(INDEX(lst_cat_wish,MATCH(D273,lst_cats,0))="Да",FALSE),MAX($N$4:N272)+1,"")</f>
        <v/>
      </c>
      <c r="O273" s="49">
        <f>IF(OR(A273="",B273="",C273="",L273="❌ Отменено"),0,IF(COUNTIFS($A$4:A272,A273,$B$4:B272,B273,$C$4:C272,C273,$L$4:L272,"&lt;&gt;❌ Отменено")=0,1,0))</f>
        <v/>
      </c>
    </row>
    <row r="274">
      <c r="A274" s="42" t="n"/>
      <c r="B274" s="42" t="n"/>
      <c r="C274" s="43" t="n"/>
      <c r="D274" s="43" t="n"/>
      <c r="E274" s="43" t="n"/>
      <c r="F274" s="42" t="n"/>
      <c r="G274" s="44" t="n"/>
      <c r="H274" s="45" t="n"/>
      <c r="I274" s="46">
        <f>IF(O274=1,SUMIFS(day_amt,day_year,A274,day_month,B274,day_item,C274),"")</f>
        <v/>
      </c>
      <c r="J274" s="47">
        <f>IF(H274&lt;&gt;"",H274,IF(N(I274)=0,"",I274))</f>
        <v/>
      </c>
      <c r="K274" s="48">
        <f>IF(OR(G274="",J274=""),"",G274-J274)</f>
        <v/>
      </c>
      <c r="L274" s="43" t="n"/>
      <c r="M274" s="43" t="n"/>
      <c r="N274" s="49">
        <f>IF(IFERROR(INDEX(lst_cat_wish,MATCH(D274,lst_cats,0))="Да",FALSE),MAX($N$4:N273)+1,"")</f>
        <v/>
      </c>
      <c r="O274" s="49">
        <f>IF(OR(A274="",B274="",C274="",L274="❌ Отменено"),0,IF(COUNTIFS($A$4:A273,A274,$B$4:B273,B274,$C$4:C273,C274,$L$4:L273,"&lt;&gt;❌ Отменено")=0,1,0))</f>
        <v/>
      </c>
    </row>
    <row r="275">
      <c r="A275" s="42" t="n"/>
      <c r="B275" s="42" t="n"/>
      <c r="C275" s="43" t="n"/>
      <c r="D275" s="43" t="n"/>
      <c r="E275" s="43" t="n"/>
      <c r="F275" s="42" t="n"/>
      <c r="G275" s="44" t="n"/>
      <c r="H275" s="45" t="n"/>
      <c r="I275" s="46">
        <f>IF(O275=1,SUMIFS(day_amt,day_year,A275,day_month,B275,day_item,C275),"")</f>
        <v/>
      </c>
      <c r="J275" s="47">
        <f>IF(H275&lt;&gt;"",H275,IF(N(I275)=0,"",I275))</f>
        <v/>
      </c>
      <c r="K275" s="48">
        <f>IF(OR(G275="",J275=""),"",G275-J275)</f>
        <v/>
      </c>
      <c r="L275" s="43" t="n"/>
      <c r="M275" s="43" t="n"/>
      <c r="N275" s="49">
        <f>IF(IFERROR(INDEX(lst_cat_wish,MATCH(D275,lst_cats,0))="Да",FALSE),MAX($N$4:N274)+1,"")</f>
        <v/>
      </c>
      <c r="O275" s="49">
        <f>IF(OR(A275="",B275="",C275="",L275="❌ Отменено"),0,IF(COUNTIFS($A$4:A274,A275,$B$4:B274,B275,$C$4:C274,C275,$L$4:L274,"&lt;&gt;❌ Отменено")=0,1,0))</f>
        <v/>
      </c>
    </row>
    <row r="276">
      <c r="A276" s="42" t="n"/>
      <c r="B276" s="42" t="n"/>
      <c r="C276" s="43" t="n"/>
      <c r="D276" s="43" t="n"/>
      <c r="E276" s="43" t="n"/>
      <c r="F276" s="42" t="n"/>
      <c r="G276" s="44" t="n"/>
      <c r="H276" s="45" t="n"/>
      <c r="I276" s="46">
        <f>IF(O276=1,SUMIFS(day_amt,day_year,A276,day_month,B276,day_item,C276),"")</f>
        <v/>
      </c>
      <c r="J276" s="47">
        <f>IF(H276&lt;&gt;"",H276,IF(N(I276)=0,"",I276))</f>
        <v/>
      </c>
      <c r="K276" s="48">
        <f>IF(OR(G276="",J276=""),"",G276-J276)</f>
        <v/>
      </c>
      <c r="L276" s="43" t="n"/>
      <c r="M276" s="43" t="n"/>
      <c r="N276" s="49">
        <f>IF(IFERROR(INDEX(lst_cat_wish,MATCH(D276,lst_cats,0))="Да",FALSE),MAX($N$4:N275)+1,"")</f>
        <v/>
      </c>
      <c r="O276" s="49">
        <f>IF(OR(A276="",B276="",C276="",L276="❌ Отменено"),0,IF(COUNTIFS($A$4:A275,A276,$B$4:B275,B276,$C$4:C275,C276,$L$4:L275,"&lt;&gt;❌ Отменено")=0,1,0))</f>
        <v/>
      </c>
    </row>
    <row r="277">
      <c r="A277" s="42" t="n"/>
      <c r="B277" s="42" t="n"/>
      <c r="C277" s="43" t="n"/>
      <c r="D277" s="43" t="n"/>
      <c r="E277" s="43" t="n"/>
      <c r="F277" s="42" t="n"/>
      <c r="G277" s="44" t="n"/>
      <c r="H277" s="45" t="n"/>
      <c r="I277" s="46">
        <f>IF(O277=1,SUMIFS(day_amt,day_year,A277,day_month,B277,day_item,C277),"")</f>
        <v/>
      </c>
      <c r="J277" s="47">
        <f>IF(H277&lt;&gt;"",H277,IF(N(I277)=0,"",I277))</f>
        <v/>
      </c>
      <c r="K277" s="48">
        <f>IF(OR(G277="",J277=""),"",G277-J277)</f>
        <v/>
      </c>
      <c r="L277" s="43" t="n"/>
      <c r="M277" s="43" t="n"/>
      <c r="N277" s="49">
        <f>IF(IFERROR(INDEX(lst_cat_wish,MATCH(D277,lst_cats,0))="Да",FALSE),MAX($N$4:N276)+1,"")</f>
        <v/>
      </c>
      <c r="O277" s="49">
        <f>IF(OR(A277="",B277="",C277="",L277="❌ Отменено"),0,IF(COUNTIFS($A$4:A276,A277,$B$4:B276,B277,$C$4:C276,C277,$L$4:L276,"&lt;&gt;❌ Отменено")=0,1,0))</f>
        <v/>
      </c>
    </row>
    <row r="278">
      <c r="A278" s="42" t="n"/>
      <c r="B278" s="42" t="n"/>
      <c r="C278" s="43" t="n"/>
      <c r="D278" s="43" t="n"/>
      <c r="E278" s="43" t="n"/>
      <c r="F278" s="42" t="n"/>
      <c r="G278" s="44" t="n"/>
      <c r="H278" s="45" t="n"/>
      <c r="I278" s="46">
        <f>IF(O278=1,SUMIFS(day_amt,day_year,A278,day_month,B278,day_item,C278),"")</f>
        <v/>
      </c>
      <c r="J278" s="47">
        <f>IF(H278&lt;&gt;"",H278,IF(N(I278)=0,"",I278))</f>
        <v/>
      </c>
      <c r="K278" s="48">
        <f>IF(OR(G278="",J278=""),"",G278-J278)</f>
        <v/>
      </c>
      <c r="L278" s="43" t="n"/>
      <c r="M278" s="43" t="n"/>
      <c r="N278" s="49">
        <f>IF(IFERROR(INDEX(lst_cat_wish,MATCH(D278,lst_cats,0))="Да",FALSE),MAX($N$4:N277)+1,"")</f>
        <v/>
      </c>
      <c r="O278" s="49">
        <f>IF(OR(A278="",B278="",C278="",L278="❌ Отменено"),0,IF(COUNTIFS($A$4:A277,A278,$B$4:B277,B278,$C$4:C277,C278,$L$4:L277,"&lt;&gt;❌ Отменено")=0,1,0))</f>
        <v/>
      </c>
    </row>
    <row r="279">
      <c r="A279" s="42" t="n"/>
      <c r="B279" s="42" t="n"/>
      <c r="C279" s="43" t="n"/>
      <c r="D279" s="43" t="n"/>
      <c r="E279" s="43" t="n"/>
      <c r="F279" s="42" t="n"/>
      <c r="G279" s="44" t="n"/>
      <c r="H279" s="45" t="n"/>
      <c r="I279" s="46">
        <f>IF(O279=1,SUMIFS(day_amt,day_year,A279,day_month,B279,day_item,C279),"")</f>
        <v/>
      </c>
      <c r="J279" s="47">
        <f>IF(H279&lt;&gt;"",H279,IF(N(I279)=0,"",I279))</f>
        <v/>
      </c>
      <c r="K279" s="48">
        <f>IF(OR(G279="",J279=""),"",G279-J279)</f>
        <v/>
      </c>
      <c r="L279" s="43" t="n"/>
      <c r="M279" s="43" t="n"/>
      <c r="N279" s="49">
        <f>IF(IFERROR(INDEX(lst_cat_wish,MATCH(D279,lst_cats,0))="Да",FALSE),MAX($N$4:N278)+1,"")</f>
        <v/>
      </c>
      <c r="O279" s="49">
        <f>IF(OR(A279="",B279="",C279="",L279="❌ Отменено"),0,IF(COUNTIFS($A$4:A278,A279,$B$4:B278,B279,$C$4:C278,C279,$L$4:L278,"&lt;&gt;❌ Отменено")=0,1,0))</f>
        <v/>
      </c>
    </row>
    <row r="280">
      <c r="A280" s="42" t="n"/>
      <c r="B280" s="42" t="n"/>
      <c r="C280" s="43" t="n"/>
      <c r="D280" s="43" t="n"/>
      <c r="E280" s="43" t="n"/>
      <c r="F280" s="42" t="n"/>
      <c r="G280" s="44" t="n"/>
      <c r="H280" s="45" t="n"/>
      <c r="I280" s="46">
        <f>IF(O280=1,SUMIFS(day_amt,day_year,A280,day_month,B280,day_item,C280),"")</f>
        <v/>
      </c>
      <c r="J280" s="47">
        <f>IF(H280&lt;&gt;"",H280,IF(N(I280)=0,"",I280))</f>
        <v/>
      </c>
      <c r="K280" s="48">
        <f>IF(OR(G280="",J280=""),"",G280-J280)</f>
        <v/>
      </c>
      <c r="L280" s="43" t="n"/>
      <c r="M280" s="43" t="n"/>
      <c r="N280" s="49">
        <f>IF(IFERROR(INDEX(lst_cat_wish,MATCH(D280,lst_cats,0))="Да",FALSE),MAX($N$4:N279)+1,"")</f>
        <v/>
      </c>
      <c r="O280" s="49">
        <f>IF(OR(A280="",B280="",C280="",L280="❌ Отменено"),0,IF(COUNTIFS($A$4:A279,A280,$B$4:B279,B280,$C$4:C279,C280,$L$4:L279,"&lt;&gt;❌ Отменено")=0,1,0))</f>
        <v/>
      </c>
    </row>
    <row r="281">
      <c r="A281" s="42" t="n"/>
      <c r="B281" s="42" t="n"/>
      <c r="C281" s="43" t="n"/>
      <c r="D281" s="43" t="n"/>
      <c r="E281" s="43" t="n"/>
      <c r="F281" s="42" t="n"/>
      <c r="G281" s="44" t="n"/>
      <c r="H281" s="45" t="n"/>
      <c r="I281" s="46">
        <f>IF(O281=1,SUMIFS(day_amt,day_year,A281,day_month,B281,day_item,C281),"")</f>
        <v/>
      </c>
      <c r="J281" s="47">
        <f>IF(H281&lt;&gt;"",H281,IF(N(I281)=0,"",I281))</f>
        <v/>
      </c>
      <c r="K281" s="48">
        <f>IF(OR(G281="",J281=""),"",G281-J281)</f>
        <v/>
      </c>
      <c r="L281" s="43" t="n"/>
      <c r="M281" s="43" t="n"/>
      <c r="N281" s="49">
        <f>IF(IFERROR(INDEX(lst_cat_wish,MATCH(D281,lst_cats,0))="Да",FALSE),MAX($N$4:N280)+1,"")</f>
        <v/>
      </c>
      <c r="O281" s="49">
        <f>IF(OR(A281="",B281="",C281="",L281="❌ Отменено"),0,IF(COUNTIFS($A$4:A280,A281,$B$4:B280,B281,$C$4:C280,C281,$L$4:L280,"&lt;&gt;❌ Отменено")=0,1,0))</f>
        <v/>
      </c>
    </row>
    <row r="282">
      <c r="A282" s="42" t="n"/>
      <c r="B282" s="42" t="n"/>
      <c r="C282" s="43" t="n"/>
      <c r="D282" s="43" t="n"/>
      <c r="E282" s="43" t="n"/>
      <c r="F282" s="42" t="n"/>
      <c r="G282" s="44" t="n"/>
      <c r="H282" s="45" t="n"/>
      <c r="I282" s="46">
        <f>IF(O282=1,SUMIFS(day_amt,day_year,A282,day_month,B282,day_item,C282),"")</f>
        <v/>
      </c>
      <c r="J282" s="47">
        <f>IF(H282&lt;&gt;"",H282,IF(N(I282)=0,"",I282))</f>
        <v/>
      </c>
      <c r="K282" s="48">
        <f>IF(OR(G282="",J282=""),"",G282-J282)</f>
        <v/>
      </c>
      <c r="L282" s="43" t="n"/>
      <c r="M282" s="43" t="n"/>
      <c r="N282" s="49">
        <f>IF(IFERROR(INDEX(lst_cat_wish,MATCH(D282,lst_cats,0))="Да",FALSE),MAX($N$4:N281)+1,"")</f>
        <v/>
      </c>
      <c r="O282" s="49">
        <f>IF(OR(A282="",B282="",C282="",L282="❌ Отменено"),0,IF(COUNTIFS($A$4:A281,A282,$B$4:B281,B282,$C$4:C281,C282,$L$4:L281,"&lt;&gt;❌ Отменено")=0,1,0))</f>
        <v/>
      </c>
    </row>
    <row r="283">
      <c r="A283" s="42" t="n"/>
      <c r="B283" s="42" t="n"/>
      <c r="C283" s="43" t="n"/>
      <c r="D283" s="43" t="n"/>
      <c r="E283" s="43" t="n"/>
      <c r="F283" s="42" t="n"/>
      <c r="G283" s="44" t="n"/>
      <c r="H283" s="45" t="n"/>
      <c r="I283" s="46">
        <f>IF(O283=1,SUMIFS(day_amt,day_year,A283,day_month,B283,day_item,C283),"")</f>
        <v/>
      </c>
      <c r="J283" s="47">
        <f>IF(H283&lt;&gt;"",H283,IF(N(I283)=0,"",I283))</f>
        <v/>
      </c>
      <c r="K283" s="48">
        <f>IF(OR(G283="",J283=""),"",G283-J283)</f>
        <v/>
      </c>
      <c r="L283" s="43" t="n"/>
      <c r="M283" s="43" t="n"/>
      <c r="N283" s="49">
        <f>IF(IFERROR(INDEX(lst_cat_wish,MATCH(D283,lst_cats,0))="Да",FALSE),MAX($N$4:N282)+1,"")</f>
        <v/>
      </c>
      <c r="O283" s="49">
        <f>IF(OR(A283="",B283="",C283="",L283="❌ Отменено"),0,IF(COUNTIFS($A$4:A282,A283,$B$4:B282,B283,$C$4:C282,C283,$L$4:L282,"&lt;&gt;❌ Отменено")=0,1,0))</f>
        <v/>
      </c>
    </row>
    <row r="284">
      <c r="A284" s="42" t="n"/>
      <c r="B284" s="42" t="n"/>
      <c r="C284" s="43" t="n"/>
      <c r="D284" s="43" t="n"/>
      <c r="E284" s="43" t="n"/>
      <c r="F284" s="42" t="n"/>
      <c r="G284" s="44" t="n"/>
      <c r="H284" s="45" t="n"/>
      <c r="I284" s="46">
        <f>IF(O284=1,SUMIFS(day_amt,day_year,A284,day_month,B284,day_item,C284),"")</f>
        <v/>
      </c>
      <c r="J284" s="47">
        <f>IF(H284&lt;&gt;"",H284,IF(N(I284)=0,"",I284))</f>
        <v/>
      </c>
      <c r="K284" s="48">
        <f>IF(OR(G284="",J284=""),"",G284-J284)</f>
        <v/>
      </c>
      <c r="L284" s="43" t="n"/>
      <c r="M284" s="43" t="n"/>
      <c r="N284" s="49">
        <f>IF(IFERROR(INDEX(lst_cat_wish,MATCH(D284,lst_cats,0))="Да",FALSE),MAX($N$4:N283)+1,"")</f>
        <v/>
      </c>
      <c r="O284" s="49">
        <f>IF(OR(A284="",B284="",C284="",L284="❌ Отменено"),0,IF(COUNTIFS($A$4:A283,A284,$B$4:B283,B284,$C$4:C283,C284,$L$4:L283,"&lt;&gt;❌ Отменено")=0,1,0))</f>
        <v/>
      </c>
    </row>
    <row r="285">
      <c r="A285" s="42" t="n"/>
      <c r="B285" s="42" t="n"/>
      <c r="C285" s="43" t="n"/>
      <c r="D285" s="43" t="n"/>
      <c r="E285" s="43" t="n"/>
      <c r="F285" s="42" t="n"/>
      <c r="G285" s="44" t="n"/>
      <c r="H285" s="45" t="n"/>
      <c r="I285" s="46">
        <f>IF(O285=1,SUMIFS(day_amt,day_year,A285,day_month,B285,day_item,C285),"")</f>
        <v/>
      </c>
      <c r="J285" s="47">
        <f>IF(H285&lt;&gt;"",H285,IF(N(I285)=0,"",I285))</f>
        <v/>
      </c>
      <c r="K285" s="48">
        <f>IF(OR(G285="",J285=""),"",G285-J285)</f>
        <v/>
      </c>
      <c r="L285" s="43" t="n"/>
      <c r="M285" s="43" t="n"/>
      <c r="N285" s="49">
        <f>IF(IFERROR(INDEX(lst_cat_wish,MATCH(D285,lst_cats,0))="Да",FALSE),MAX($N$4:N284)+1,"")</f>
        <v/>
      </c>
      <c r="O285" s="49">
        <f>IF(OR(A285="",B285="",C285="",L285="❌ Отменено"),0,IF(COUNTIFS($A$4:A284,A285,$B$4:B284,B285,$C$4:C284,C285,$L$4:L284,"&lt;&gt;❌ Отменено")=0,1,0))</f>
        <v/>
      </c>
    </row>
    <row r="286">
      <c r="A286" s="42" t="n"/>
      <c r="B286" s="42" t="n"/>
      <c r="C286" s="43" t="n"/>
      <c r="D286" s="43" t="n"/>
      <c r="E286" s="43" t="n"/>
      <c r="F286" s="42" t="n"/>
      <c r="G286" s="44" t="n"/>
      <c r="H286" s="45" t="n"/>
      <c r="I286" s="46">
        <f>IF(O286=1,SUMIFS(day_amt,day_year,A286,day_month,B286,day_item,C286),"")</f>
        <v/>
      </c>
      <c r="J286" s="47">
        <f>IF(H286&lt;&gt;"",H286,IF(N(I286)=0,"",I286))</f>
        <v/>
      </c>
      <c r="K286" s="48">
        <f>IF(OR(G286="",J286=""),"",G286-J286)</f>
        <v/>
      </c>
      <c r="L286" s="43" t="n"/>
      <c r="M286" s="43" t="n"/>
      <c r="N286" s="49">
        <f>IF(IFERROR(INDEX(lst_cat_wish,MATCH(D286,lst_cats,0))="Да",FALSE),MAX($N$4:N285)+1,"")</f>
        <v/>
      </c>
      <c r="O286" s="49">
        <f>IF(OR(A286="",B286="",C286="",L286="❌ Отменено"),0,IF(COUNTIFS($A$4:A285,A286,$B$4:B285,B286,$C$4:C285,C286,$L$4:L285,"&lt;&gt;❌ Отменено")=0,1,0))</f>
        <v/>
      </c>
    </row>
    <row r="287">
      <c r="A287" s="42" t="n"/>
      <c r="B287" s="42" t="n"/>
      <c r="C287" s="43" t="n"/>
      <c r="D287" s="43" t="n"/>
      <c r="E287" s="43" t="n"/>
      <c r="F287" s="42" t="n"/>
      <c r="G287" s="44" t="n"/>
      <c r="H287" s="45" t="n"/>
      <c r="I287" s="46">
        <f>IF(O287=1,SUMIFS(day_amt,day_year,A287,day_month,B287,day_item,C287),"")</f>
        <v/>
      </c>
      <c r="J287" s="47">
        <f>IF(H287&lt;&gt;"",H287,IF(N(I287)=0,"",I287))</f>
        <v/>
      </c>
      <c r="K287" s="48">
        <f>IF(OR(G287="",J287=""),"",G287-J287)</f>
        <v/>
      </c>
      <c r="L287" s="43" t="n"/>
      <c r="M287" s="43" t="n"/>
      <c r="N287" s="49">
        <f>IF(IFERROR(INDEX(lst_cat_wish,MATCH(D287,lst_cats,0))="Да",FALSE),MAX($N$4:N286)+1,"")</f>
        <v/>
      </c>
      <c r="O287" s="49">
        <f>IF(OR(A287="",B287="",C287="",L287="❌ Отменено"),0,IF(COUNTIFS($A$4:A286,A287,$B$4:B286,B287,$C$4:C286,C287,$L$4:L286,"&lt;&gt;❌ Отменено")=0,1,0))</f>
        <v/>
      </c>
    </row>
    <row r="288">
      <c r="A288" s="42" t="n"/>
      <c r="B288" s="42" t="n"/>
      <c r="C288" s="43" t="n"/>
      <c r="D288" s="43" t="n"/>
      <c r="E288" s="43" t="n"/>
      <c r="F288" s="42" t="n"/>
      <c r="G288" s="44" t="n"/>
      <c r="H288" s="45" t="n"/>
      <c r="I288" s="46">
        <f>IF(O288=1,SUMIFS(day_amt,day_year,A288,day_month,B288,day_item,C288),"")</f>
        <v/>
      </c>
      <c r="J288" s="47">
        <f>IF(H288&lt;&gt;"",H288,IF(N(I288)=0,"",I288))</f>
        <v/>
      </c>
      <c r="K288" s="48">
        <f>IF(OR(G288="",J288=""),"",G288-J288)</f>
        <v/>
      </c>
      <c r="L288" s="43" t="n"/>
      <c r="M288" s="43" t="n"/>
      <c r="N288" s="49">
        <f>IF(IFERROR(INDEX(lst_cat_wish,MATCH(D288,lst_cats,0))="Да",FALSE),MAX($N$4:N287)+1,"")</f>
        <v/>
      </c>
      <c r="O288" s="49">
        <f>IF(OR(A288="",B288="",C288="",L288="❌ Отменено"),0,IF(COUNTIFS($A$4:A287,A288,$B$4:B287,B288,$C$4:C287,C288,$L$4:L287,"&lt;&gt;❌ Отменено")=0,1,0))</f>
        <v/>
      </c>
    </row>
    <row r="289">
      <c r="A289" s="42" t="n"/>
      <c r="B289" s="42" t="n"/>
      <c r="C289" s="43" t="n"/>
      <c r="D289" s="43" t="n"/>
      <c r="E289" s="43" t="n"/>
      <c r="F289" s="42" t="n"/>
      <c r="G289" s="44" t="n"/>
      <c r="H289" s="45" t="n"/>
      <c r="I289" s="46">
        <f>IF(O289=1,SUMIFS(day_amt,day_year,A289,day_month,B289,day_item,C289),"")</f>
        <v/>
      </c>
      <c r="J289" s="47">
        <f>IF(H289&lt;&gt;"",H289,IF(N(I289)=0,"",I289))</f>
        <v/>
      </c>
      <c r="K289" s="48">
        <f>IF(OR(G289="",J289=""),"",G289-J289)</f>
        <v/>
      </c>
      <c r="L289" s="43" t="n"/>
      <c r="M289" s="43" t="n"/>
      <c r="N289" s="49">
        <f>IF(IFERROR(INDEX(lst_cat_wish,MATCH(D289,lst_cats,0))="Да",FALSE),MAX($N$4:N288)+1,"")</f>
        <v/>
      </c>
      <c r="O289" s="49">
        <f>IF(OR(A289="",B289="",C289="",L289="❌ Отменено"),0,IF(COUNTIFS($A$4:A288,A289,$B$4:B288,B289,$C$4:C288,C289,$L$4:L288,"&lt;&gt;❌ Отменено")=0,1,0))</f>
        <v/>
      </c>
    </row>
    <row r="290">
      <c r="A290" s="42" t="n"/>
      <c r="B290" s="42" t="n"/>
      <c r="C290" s="43" t="n"/>
      <c r="D290" s="43" t="n"/>
      <c r="E290" s="43" t="n"/>
      <c r="F290" s="42" t="n"/>
      <c r="G290" s="44" t="n"/>
      <c r="H290" s="45" t="n"/>
      <c r="I290" s="46">
        <f>IF(O290=1,SUMIFS(day_amt,day_year,A290,day_month,B290,day_item,C290),"")</f>
        <v/>
      </c>
      <c r="J290" s="47">
        <f>IF(H290&lt;&gt;"",H290,IF(N(I290)=0,"",I290))</f>
        <v/>
      </c>
      <c r="K290" s="48">
        <f>IF(OR(G290="",J290=""),"",G290-J290)</f>
        <v/>
      </c>
      <c r="L290" s="43" t="n"/>
      <c r="M290" s="43" t="n"/>
      <c r="N290" s="49">
        <f>IF(IFERROR(INDEX(lst_cat_wish,MATCH(D290,lst_cats,0))="Да",FALSE),MAX($N$4:N289)+1,"")</f>
        <v/>
      </c>
      <c r="O290" s="49">
        <f>IF(OR(A290="",B290="",C290="",L290="❌ Отменено"),0,IF(COUNTIFS($A$4:A289,A290,$B$4:B289,B290,$C$4:C289,C290,$L$4:L289,"&lt;&gt;❌ Отменено")=0,1,0))</f>
        <v/>
      </c>
    </row>
    <row r="291">
      <c r="A291" s="42" t="n"/>
      <c r="B291" s="42" t="n"/>
      <c r="C291" s="43" t="n"/>
      <c r="D291" s="43" t="n"/>
      <c r="E291" s="43" t="n"/>
      <c r="F291" s="42" t="n"/>
      <c r="G291" s="44" t="n"/>
      <c r="H291" s="45" t="n"/>
      <c r="I291" s="46">
        <f>IF(O291=1,SUMIFS(day_amt,day_year,A291,day_month,B291,day_item,C291),"")</f>
        <v/>
      </c>
      <c r="J291" s="47">
        <f>IF(H291&lt;&gt;"",H291,IF(N(I291)=0,"",I291))</f>
        <v/>
      </c>
      <c r="K291" s="48">
        <f>IF(OR(G291="",J291=""),"",G291-J291)</f>
        <v/>
      </c>
      <c r="L291" s="43" t="n"/>
      <c r="M291" s="43" t="n"/>
      <c r="N291" s="49">
        <f>IF(IFERROR(INDEX(lst_cat_wish,MATCH(D291,lst_cats,0))="Да",FALSE),MAX($N$4:N290)+1,"")</f>
        <v/>
      </c>
      <c r="O291" s="49">
        <f>IF(OR(A291="",B291="",C291="",L291="❌ Отменено"),0,IF(COUNTIFS($A$4:A290,A291,$B$4:B290,B291,$C$4:C290,C291,$L$4:L290,"&lt;&gt;❌ Отменено")=0,1,0))</f>
        <v/>
      </c>
    </row>
    <row r="292">
      <c r="A292" s="42" t="n"/>
      <c r="B292" s="42" t="n"/>
      <c r="C292" s="43" t="n"/>
      <c r="D292" s="43" t="n"/>
      <c r="E292" s="43" t="n"/>
      <c r="F292" s="42" t="n"/>
      <c r="G292" s="44" t="n"/>
      <c r="H292" s="45" t="n"/>
      <c r="I292" s="46">
        <f>IF(O292=1,SUMIFS(day_amt,day_year,A292,day_month,B292,day_item,C292),"")</f>
        <v/>
      </c>
      <c r="J292" s="47">
        <f>IF(H292&lt;&gt;"",H292,IF(N(I292)=0,"",I292))</f>
        <v/>
      </c>
      <c r="K292" s="48">
        <f>IF(OR(G292="",J292=""),"",G292-J292)</f>
        <v/>
      </c>
      <c r="L292" s="43" t="n"/>
      <c r="M292" s="43" t="n"/>
      <c r="N292" s="49">
        <f>IF(IFERROR(INDEX(lst_cat_wish,MATCH(D292,lst_cats,0))="Да",FALSE),MAX($N$4:N291)+1,"")</f>
        <v/>
      </c>
      <c r="O292" s="49">
        <f>IF(OR(A292="",B292="",C292="",L292="❌ Отменено"),0,IF(COUNTIFS($A$4:A291,A292,$B$4:B291,B292,$C$4:C291,C292,$L$4:L291,"&lt;&gt;❌ Отменено")=0,1,0))</f>
        <v/>
      </c>
    </row>
    <row r="293">
      <c r="A293" s="42" t="n"/>
      <c r="B293" s="42" t="n"/>
      <c r="C293" s="43" t="n"/>
      <c r="D293" s="43" t="n"/>
      <c r="E293" s="43" t="n"/>
      <c r="F293" s="42" t="n"/>
      <c r="G293" s="44" t="n"/>
      <c r="H293" s="45" t="n"/>
      <c r="I293" s="46">
        <f>IF(O293=1,SUMIFS(day_amt,day_year,A293,day_month,B293,day_item,C293),"")</f>
        <v/>
      </c>
      <c r="J293" s="47">
        <f>IF(H293&lt;&gt;"",H293,IF(N(I293)=0,"",I293))</f>
        <v/>
      </c>
      <c r="K293" s="48">
        <f>IF(OR(G293="",J293=""),"",G293-J293)</f>
        <v/>
      </c>
      <c r="L293" s="43" t="n"/>
      <c r="M293" s="43" t="n"/>
      <c r="N293" s="49">
        <f>IF(IFERROR(INDEX(lst_cat_wish,MATCH(D293,lst_cats,0))="Да",FALSE),MAX($N$4:N292)+1,"")</f>
        <v/>
      </c>
      <c r="O293" s="49">
        <f>IF(OR(A293="",B293="",C293="",L293="❌ Отменено"),0,IF(COUNTIFS($A$4:A292,A293,$B$4:B292,B293,$C$4:C292,C293,$L$4:L292,"&lt;&gt;❌ Отменено")=0,1,0))</f>
        <v/>
      </c>
    </row>
    <row r="294">
      <c r="A294" s="42" t="n"/>
      <c r="B294" s="42" t="n"/>
      <c r="C294" s="43" t="n"/>
      <c r="D294" s="43" t="n"/>
      <c r="E294" s="43" t="n"/>
      <c r="F294" s="42" t="n"/>
      <c r="G294" s="44" t="n"/>
      <c r="H294" s="45" t="n"/>
      <c r="I294" s="46">
        <f>IF(O294=1,SUMIFS(day_amt,day_year,A294,day_month,B294,day_item,C294),"")</f>
        <v/>
      </c>
      <c r="J294" s="47">
        <f>IF(H294&lt;&gt;"",H294,IF(N(I294)=0,"",I294))</f>
        <v/>
      </c>
      <c r="K294" s="48">
        <f>IF(OR(G294="",J294=""),"",G294-J294)</f>
        <v/>
      </c>
      <c r="L294" s="43" t="n"/>
      <c r="M294" s="43" t="n"/>
      <c r="N294" s="49">
        <f>IF(IFERROR(INDEX(lst_cat_wish,MATCH(D294,lst_cats,0))="Да",FALSE),MAX($N$4:N293)+1,"")</f>
        <v/>
      </c>
      <c r="O294" s="49">
        <f>IF(OR(A294="",B294="",C294="",L294="❌ Отменено"),0,IF(COUNTIFS($A$4:A293,A294,$B$4:B293,B294,$C$4:C293,C294,$L$4:L293,"&lt;&gt;❌ Отменено")=0,1,0))</f>
        <v/>
      </c>
    </row>
    <row r="295">
      <c r="A295" s="42" t="n"/>
      <c r="B295" s="42" t="n"/>
      <c r="C295" s="43" t="n"/>
      <c r="D295" s="43" t="n"/>
      <c r="E295" s="43" t="n"/>
      <c r="F295" s="42" t="n"/>
      <c r="G295" s="44" t="n"/>
      <c r="H295" s="45" t="n"/>
      <c r="I295" s="46">
        <f>IF(O295=1,SUMIFS(day_amt,day_year,A295,day_month,B295,day_item,C295),"")</f>
        <v/>
      </c>
      <c r="J295" s="47">
        <f>IF(H295&lt;&gt;"",H295,IF(N(I295)=0,"",I295))</f>
        <v/>
      </c>
      <c r="K295" s="48">
        <f>IF(OR(G295="",J295=""),"",G295-J295)</f>
        <v/>
      </c>
      <c r="L295" s="43" t="n"/>
      <c r="M295" s="43" t="n"/>
      <c r="N295" s="49">
        <f>IF(IFERROR(INDEX(lst_cat_wish,MATCH(D295,lst_cats,0))="Да",FALSE),MAX($N$4:N294)+1,"")</f>
        <v/>
      </c>
      <c r="O295" s="49">
        <f>IF(OR(A295="",B295="",C295="",L295="❌ Отменено"),0,IF(COUNTIFS($A$4:A294,A295,$B$4:B294,B295,$C$4:C294,C295,$L$4:L294,"&lt;&gt;❌ Отменено")=0,1,0))</f>
        <v/>
      </c>
    </row>
    <row r="296">
      <c r="A296" s="42" t="n"/>
      <c r="B296" s="42" t="n"/>
      <c r="C296" s="43" t="n"/>
      <c r="D296" s="43" t="n"/>
      <c r="E296" s="43" t="n"/>
      <c r="F296" s="42" t="n"/>
      <c r="G296" s="44" t="n"/>
      <c r="H296" s="45" t="n"/>
      <c r="I296" s="46">
        <f>IF(O296=1,SUMIFS(day_amt,day_year,A296,day_month,B296,day_item,C296),"")</f>
        <v/>
      </c>
      <c r="J296" s="47">
        <f>IF(H296&lt;&gt;"",H296,IF(N(I296)=0,"",I296))</f>
        <v/>
      </c>
      <c r="K296" s="48">
        <f>IF(OR(G296="",J296=""),"",G296-J296)</f>
        <v/>
      </c>
      <c r="L296" s="43" t="n"/>
      <c r="M296" s="43" t="n"/>
      <c r="N296" s="49">
        <f>IF(IFERROR(INDEX(lst_cat_wish,MATCH(D296,lst_cats,0))="Да",FALSE),MAX($N$4:N295)+1,"")</f>
        <v/>
      </c>
      <c r="O296" s="49">
        <f>IF(OR(A296="",B296="",C296="",L296="❌ Отменено"),0,IF(COUNTIFS($A$4:A295,A296,$B$4:B295,B296,$C$4:C295,C296,$L$4:L295,"&lt;&gt;❌ Отменено")=0,1,0))</f>
        <v/>
      </c>
    </row>
    <row r="297">
      <c r="A297" s="42" t="n"/>
      <c r="B297" s="42" t="n"/>
      <c r="C297" s="43" t="n"/>
      <c r="D297" s="43" t="n"/>
      <c r="E297" s="43" t="n"/>
      <c r="F297" s="42" t="n"/>
      <c r="G297" s="44" t="n"/>
      <c r="H297" s="45" t="n"/>
      <c r="I297" s="46">
        <f>IF(O297=1,SUMIFS(day_amt,day_year,A297,day_month,B297,day_item,C297),"")</f>
        <v/>
      </c>
      <c r="J297" s="47">
        <f>IF(H297&lt;&gt;"",H297,IF(N(I297)=0,"",I297))</f>
        <v/>
      </c>
      <c r="K297" s="48">
        <f>IF(OR(G297="",J297=""),"",G297-J297)</f>
        <v/>
      </c>
      <c r="L297" s="43" t="n"/>
      <c r="M297" s="43" t="n"/>
      <c r="N297" s="49">
        <f>IF(IFERROR(INDEX(lst_cat_wish,MATCH(D297,lst_cats,0))="Да",FALSE),MAX($N$4:N296)+1,"")</f>
        <v/>
      </c>
      <c r="O297" s="49">
        <f>IF(OR(A297="",B297="",C297="",L297="❌ Отменено"),0,IF(COUNTIFS($A$4:A296,A297,$B$4:B296,B297,$C$4:C296,C297,$L$4:L296,"&lt;&gt;❌ Отменено")=0,1,0))</f>
        <v/>
      </c>
    </row>
    <row r="298">
      <c r="A298" s="42" t="n"/>
      <c r="B298" s="42" t="n"/>
      <c r="C298" s="43" t="n"/>
      <c r="D298" s="43" t="n"/>
      <c r="E298" s="43" t="n"/>
      <c r="F298" s="42" t="n"/>
      <c r="G298" s="44" t="n"/>
      <c r="H298" s="45" t="n"/>
      <c r="I298" s="46">
        <f>IF(O298=1,SUMIFS(day_amt,day_year,A298,day_month,B298,day_item,C298),"")</f>
        <v/>
      </c>
      <c r="J298" s="47">
        <f>IF(H298&lt;&gt;"",H298,IF(N(I298)=0,"",I298))</f>
        <v/>
      </c>
      <c r="K298" s="48">
        <f>IF(OR(G298="",J298=""),"",G298-J298)</f>
        <v/>
      </c>
      <c r="L298" s="43" t="n"/>
      <c r="M298" s="43" t="n"/>
      <c r="N298" s="49">
        <f>IF(IFERROR(INDEX(lst_cat_wish,MATCH(D298,lst_cats,0))="Да",FALSE),MAX($N$4:N297)+1,"")</f>
        <v/>
      </c>
      <c r="O298" s="49">
        <f>IF(OR(A298="",B298="",C298="",L298="❌ Отменено"),0,IF(COUNTIFS($A$4:A297,A298,$B$4:B297,B298,$C$4:C297,C298,$L$4:L297,"&lt;&gt;❌ Отменено")=0,1,0))</f>
        <v/>
      </c>
    </row>
    <row r="299">
      <c r="A299" s="42" t="n"/>
      <c r="B299" s="42" t="n"/>
      <c r="C299" s="43" t="n"/>
      <c r="D299" s="43" t="n"/>
      <c r="E299" s="43" t="n"/>
      <c r="F299" s="42" t="n"/>
      <c r="G299" s="44" t="n"/>
      <c r="H299" s="45" t="n"/>
      <c r="I299" s="46">
        <f>IF(O299=1,SUMIFS(day_amt,day_year,A299,day_month,B299,day_item,C299),"")</f>
        <v/>
      </c>
      <c r="J299" s="47">
        <f>IF(H299&lt;&gt;"",H299,IF(N(I299)=0,"",I299))</f>
        <v/>
      </c>
      <c r="K299" s="48">
        <f>IF(OR(G299="",J299=""),"",G299-J299)</f>
        <v/>
      </c>
      <c r="L299" s="43" t="n"/>
      <c r="M299" s="43" t="n"/>
      <c r="N299" s="49">
        <f>IF(IFERROR(INDEX(lst_cat_wish,MATCH(D299,lst_cats,0))="Да",FALSE),MAX($N$4:N298)+1,"")</f>
        <v/>
      </c>
      <c r="O299" s="49">
        <f>IF(OR(A299="",B299="",C299="",L299="❌ Отменено"),0,IF(COUNTIFS($A$4:A298,A299,$B$4:B298,B299,$C$4:C298,C299,$L$4:L298,"&lt;&gt;❌ Отменено")=0,1,0))</f>
        <v/>
      </c>
    </row>
    <row r="300">
      <c r="A300" s="42" t="n"/>
      <c r="B300" s="42" t="n"/>
      <c r="C300" s="43" t="n"/>
      <c r="D300" s="43" t="n"/>
      <c r="E300" s="43" t="n"/>
      <c r="F300" s="42" t="n"/>
      <c r="G300" s="44" t="n"/>
      <c r="H300" s="45" t="n"/>
      <c r="I300" s="46">
        <f>IF(O300=1,SUMIFS(day_amt,day_year,A300,day_month,B300,day_item,C300),"")</f>
        <v/>
      </c>
      <c r="J300" s="47">
        <f>IF(H300&lt;&gt;"",H300,IF(N(I300)=0,"",I300))</f>
        <v/>
      </c>
      <c r="K300" s="48">
        <f>IF(OR(G300="",J300=""),"",G300-J300)</f>
        <v/>
      </c>
      <c r="L300" s="43" t="n"/>
      <c r="M300" s="43" t="n"/>
      <c r="N300" s="49">
        <f>IF(IFERROR(INDEX(lst_cat_wish,MATCH(D300,lst_cats,0))="Да",FALSE),MAX($N$4:N299)+1,"")</f>
        <v/>
      </c>
      <c r="O300" s="49">
        <f>IF(OR(A300="",B300="",C300="",L300="❌ Отменено"),0,IF(COUNTIFS($A$4:A299,A300,$B$4:B299,B300,$C$4:C299,C300,$L$4:L299,"&lt;&gt;❌ Отменено")=0,1,0))</f>
        <v/>
      </c>
    </row>
    <row r="301">
      <c r="A301" s="42" t="n"/>
      <c r="B301" s="42" t="n"/>
      <c r="C301" s="43" t="n"/>
      <c r="D301" s="43" t="n"/>
      <c r="E301" s="43" t="n"/>
      <c r="F301" s="42" t="n"/>
      <c r="G301" s="44" t="n"/>
      <c r="H301" s="45" t="n"/>
      <c r="I301" s="46">
        <f>IF(O301=1,SUMIFS(day_amt,day_year,A301,day_month,B301,day_item,C301),"")</f>
        <v/>
      </c>
      <c r="J301" s="47">
        <f>IF(H301&lt;&gt;"",H301,IF(N(I301)=0,"",I301))</f>
        <v/>
      </c>
      <c r="K301" s="48">
        <f>IF(OR(G301="",J301=""),"",G301-J301)</f>
        <v/>
      </c>
      <c r="L301" s="43" t="n"/>
      <c r="M301" s="43" t="n"/>
      <c r="N301" s="49">
        <f>IF(IFERROR(INDEX(lst_cat_wish,MATCH(D301,lst_cats,0))="Да",FALSE),MAX($N$4:N300)+1,"")</f>
        <v/>
      </c>
      <c r="O301" s="49">
        <f>IF(OR(A301="",B301="",C301="",L301="❌ Отменено"),0,IF(COUNTIFS($A$4:A300,A301,$B$4:B300,B301,$C$4:C300,C301,$L$4:L300,"&lt;&gt;❌ Отменено")=0,1,0))</f>
        <v/>
      </c>
    </row>
    <row r="302">
      <c r="A302" s="42" t="n"/>
      <c r="B302" s="42" t="n"/>
      <c r="C302" s="43" t="n"/>
      <c r="D302" s="43" t="n"/>
      <c r="E302" s="43" t="n"/>
      <c r="F302" s="42" t="n"/>
      <c r="G302" s="44" t="n"/>
      <c r="H302" s="45" t="n"/>
      <c r="I302" s="46">
        <f>IF(O302=1,SUMIFS(day_amt,day_year,A302,day_month,B302,day_item,C302),"")</f>
        <v/>
      </c>
      <c r="J302" s="47">
        <f>IF(H302&lt;&gt;"",H302,IF(N(I302)=0,"",I302))</f>
        <v/>
      </c>
      <c r="K302" s="48">
        <f>IF(OR(G302="",J302=""),"",G302-J302)</f>
        <v/>
      </c>
      <c r="L302" s="43" t="n"/>
      <c r="M302" s="43" t="n"/>
      <c r="N302" s="49">
        <f>IF(IFERROR(INDEX(lst_cat_wish,MATCH(D302,lst_cats,0))="Да",FALSE),MAX($N$4:N301)+1,"")</f>
        <v/>
      </c>
      <c r="O302" s="49">
        <f>IF(OR(A302="",B302="",C302="",L302="❌ Отменено"),0,IF(COUNTIFS($A$4:A301,A302,$B$4:B301,B302,$C$4:C301,C302,$L$4:L301,"&lt;&gt;❌ Отменено")=0,1,0))</f>
        <v/>
      </c>
    </row>
    <row r="303">
      <c r="A303" s="42" t="n"/>
      <c r="B303" s="42" t="n"/>
      <c r="C303" s="43" t="n"/>
      <c r="D303" s="43" t="n"/>
      <c r="E303" s="43" t="n"/>
      <c r="F303" s="42" t="n"/>
      <c r="G303" s="44" t="n"/>
      <c r="H303" s="45" t="n"/>
      <c r="I303" s="46">
        <f>IF(O303=1,SUMIFS(day_amt,day_year,A303,day_month,B303,day_item,C303),"")</f>
        <v/>
      </c>
      <c r="J303" s="47">
        <f>IF(H303&lt;&gt;"",H303,IF(N(I303)=0,"",I303))</f>
        <v/>
      </c>
      <c r="K303" s="48">
        <f>IF(OR(G303="",J303=""),"",G303-J303)</f>
        <v/>
      </c>
      <c r="L303" s="43" t="n"/>
      <c r="M303" s="43" t="n"/>
      <c r="N303" s="49">
        <f>IF(IFERROR(INDEX(lst_cat_wish,MATCH(D303,lst_cats,0))="Да",FALSE),MAX($N$4:N302)+1,"")</f>
        <v/>
      </c>
      <c r="O303" s="49">
        <f>IF(OR(A303="",B303="",C303="",L303="❌ Отменено"),0,IF(COUNTIFS($A$4:A302,A303,$B$4:B302,B303,$C$4:C302,C303,$L$4:L302,"&lt;&gt;❌ Отменено")=0,1,0))</f>
        <v/>
      </c>
    </row>
    <row r="304">
      <c r="A304" s="42" t="n"/>
      <c r="B304" s="42" t="n"/>
      <c r="C304" s="43" t="n"/>
      <c r="D304" s="43" t="n"/>
      <c r="E304" s="43" t="n"/>
      <c r="F304" s="42" t="n"/>
      <c r="G304" s="44" t="n"/>
      <c r="H304" s="45" t="n"/>
      <c r="I304" s="46">
        <f>IF(O304=1,SUMIFS(day_amt,day_year,A304,day_month,B304,day_item,C304),"")</f>
        <v/>
      </c>
      <c r="J304" s="47">
        <f>IF(H304&lt;&gt;"",H304,IF(N(I304)=0,"",I304))</f>
        <v/>
      </c>
      <c r="K304" s="48">
        <f>IF(OR(G304="",J304=""),"",G304-J304)</f>
        <v/>
      </c>
      <c r="L304" s="43" t="n"/>
      <c r="M304" s="43" t="n"/>
      <c r="N304" s="49">
        <f>IF(IFERROR(INDEX(lst_cat_wish,MATCH(D304,lst_cats,0))="Да",FALSE),MAX($N$4:N303)+1,"")</f>
        <v/>
      </c>
      <c r="O304" s="49">
        <f>IF(OR(A304="",B304="",C304="",L304="❌ Отменено"),0,IF(COUNTIFS($A$4:A303,A304,$B$4:B303,B304,$C$4:C303,C304,$L$4:L303,"&lt;&gt;❌ Отменено")=0,1,0))</f>
        <v/>
      </c>
    </row>
    <row r="305">
      <c r="A305" s="42" t="n"/>
      <c r="B305" s="42" t="n"/>
      <c r="C305" s="43" t="n"/>
      <c r="D305" s="43" t="n"/>
      <c r="E305" s="43" t="n"/>
      <c r="F305" s="42" t="n"/>
      <c r="G305" s="44" t="n"/>
      <c r="H305" s="45" t="n"/>
      <c r="I305" s="46">
        <f>IF(O305=1,SUMIFS(day_amt,day_year,A305,day_month,B305,day_item,C305),"")</f>
        <v/>
      </c>
      <c r="J305" s="47">
        <f>IF(H305&lt;&gt;"",H305,IF(N(I305)=0,"",I305))</f>
        <v/>
      </c>
      <c r="K305" s="48">
        <f>IF(OR(G305="",J305=""),"",G305-J305)</f>
        <v/>
      </c>
      <c r="L305" s="43" t="n"/>
      <c r="M305" s="43" t="n"/>
      <c r="N305" s="49">
        <f>IF(IFERROR(INDEX(lst_cat_wish,MATCH(D305,lst_cats,0))="Да",FALSE),MAX($N$4:N304)+1,"")</f>
        <v/>
      </c>
      <c r="O305" s="49">
        <f>IF(OR(A305="",B305="",C305="",L305="❌ Отменено"),0,IF(COUNTIFS($A$4:A304,A305,$B$4:B304,B305,$C$4:C304,C305,$L$4:L304,"&lt;&gt;❌ Отменено")=0,1,0))</f>
        <v/>
      </c>
    </row>
    <row r="306">
      <c r="A306" s="42" t="n"/>
      <c r="B306" s="42" t="n"/>
      <c r="C306" s="43" t="n"/>
      <c r="D306" s="43" t="n"/>
      <c r="E306" s="43" t="n"/>
      <c r="F306" s="42" t="n"/>
      <c r="G306" s="44" t="n"/>
      <c r="H306" s="45" t="n"/>
      <c r="I306" s="46">
        <f>IF(O306=1,SUMIFS(day_amt,day_year,A306,day_month,B306,day_item,C306),"")</f>
        <v/>
      </c>
      <c r="J306" s="47">
        <f>IF(H306&lt;&gt;"",H306,IF(N(I306)=0,"",I306))</f>
        <v/>
      </c>
      <c r="K306" s="48">
        <f>IF(OR(G306="",J306=""),"",G306-J306)</f>
        <v/>
      </c>
      <c r="L306" s="43" t="n"/>
      <c r="M306" s="43" t="n"/>
      <c r="N306" s="49">
        <f>IF(IFERROR(INDEX(lst_cat_wish,MATCH(D306,lst_cats,0))="Да",FALSE),MAX($N$4:N305)+1,"")</f>
        <v/>
      </c>
      <c r="O306" s="49">
        <f>IF(OR(A306="",B306="",C306="",L306="❌ Отменено"),0,IF(COUNTIFS($A$4:A305,A306,$B$4:B305,B306,$C$4:C305,C306,$L$4:L305,"&lt;&gt;❌ Отменено")=0,1,0))</f>
        <v/>
      </c>
    </row>
    <row r="307">
      <c r="A307" s="42" t="n"/>
      <c r="B307" s="42" t="n"/>
      <c r="C307" s="43" t="n"/>
      <c r="D307" s="43" t="n"/>
      <c r="E307" s="43" t="n"/>
      <c r="F307" s="42" t="n"/>
      <c r="G307" s="44" t="n"/>
      <c r="H307" s="45" t="n"/>
      <c r="I307" s="46">
        <f>IF(O307=1,SUMIFS(day_amt,day_year,A307,day_month,B307,day_item,C307),"")</f>
        <v/>
      </c>
      <c r="J307" s="47">
        <f>IF(H307&lt;&gt;"",H307,IF(N(I307)=0,"",I307))</f>
        <v/>
      </c>
      <c r="K307" s="48">
        <f>IF(OR(G307="",J307=""),"",G307-J307)</f>
        <v/>
      </c>
      <c r="L307" s="43" t="n"/>
      <c r="M307" s="43" t="n"/>
      <c r="N307" s="49">
        <f>IF(IFERROR(INDEX(lst_cat_wish,MATCH(D307,lst_cats,0))="Да",FALSE),MAX($N$4:N306)+1,"")</f>
        <v/>
      </c>
      <c r="O307" s="49">
        <f>IF(OR(A307="",B307="",C307="",L307="❌ Отменено"),0,IF(COUNTIFS($A$4:A306,A307,$B$4:B306,B307,$C$4:C306,C307,$L$4:L306,"&lt;&gt;❌ Отменено")=0,1,0))</f>
        <v/>
      </c>
    </row>
    <row r="308">
      <c r="A308" s="42" t="n"/>
      <c r="B308" s="42" t="n"/>
      <c r="C308" s="43" t="n"/>
      <c r="D308" s="43" t="n"/>
      <c r="E308" s="43" t="n"/>
      <c r="F308" s="42" t="n"/>
      <c r="G308" s="44" t="n"/>
      <c r="H308" s="45" t="n"/>
      <c r="I308" s="46">
        <f>IF(O308=1,SUMIFS(day_amt,day_year,A308,day_month,B308,day_item,C308),"")</f>
        <v/>
      </c>
      <c r="J308" s="47">
        <f>IF(H308&lt;&gt;"",H308,IF(N(I308)=0,"",I308))</f>
        <v/>
      </c>
      <c r="K308" s="48">
        <f>IF(OR(G308="",J308=""),"",G308-J308)</f>
        <v/>
      </c>
      <c r="L308" s="43" t="n"/>
      <c r="M308" s="43" t="n"/>
      <c r="N308" s="49">
        <f>IF(IFERROR(INDEX(lst_cat_wish,MATCH(D308,lst_cats,0))="Да",FALSE),MAX($N$4:N307)+1,"")</f>
        <v/>
      </c>
      <c r="O308" s="49">
        <f>IF(OR(A308="",B308="",C308="",L308="❌ Отменено"),0,IF(COUNTIFS($A$4:A307,A308,$B$4:B307,B308,$C$4:C307,C308,$L$4:L307,"&lt;&gt;❌ Отменено")=0,1,0))</f>
        <v/>
      </c>
    </row>
    <row r="309">
      <c r="A309" s="42" t="n"/>
      <c r="B309" s="42" t="n"/>
      <c r="C309" s="43" t="n"/>
      <c r="D309" s="43" t="n"/>
      <c r="E309" s="43" t="n"/>
      <c r="F309" s="42" t="n"/>
      <c r="G309" s="44" t="n"/>
      <c r="H309" s="45" t="n"/>
      <c r="I309" s="46">
        <f>IF(O309=1,SUMIFS(day_amt,day_year,A309,day_month,B309,day_item,C309),"")</f>
        <v/>
      </c>
      <c r="J309" s="47">
        <f>IF(H309&lt;&gt;"",H309,IF(N(I309)=0,"",I309))</f>
        <v/>
      </c>
      <c r="K309" s="48">
        <f>IF(OR(G309="",J309=""),"",G309-J309)</f>
        <v/>
      </c>
      <c r="L309" s="43" t="n"/>
      <c r="M309" s="43" t="n"/>
      <c r="N309" s="49">
        <f>IF(IFERROR(INDEX(lst_cat_wish,MATCH(D309,lst_cats,0))="Да",FALSE),MAX($N$4:N308)+1,"")</f>
        <v/>
      </c>
      <c r="O309" s="49">
        <f>IF(OR(A309="",B309="",C309="",L309="❌ Отменено"),0,IF(COUNTIFS($A$4:A308,A309,$B$4:B308,B309,$C$4:C308,C309,$L$4:L308,"&lt;&gt;❌ Отменено")=0,1,0))</f>
        <v/>
      </c>
    </row>
    <row r="310">
      <c r="A310" s="42" t="n"/>
      <c r="B310" s="42" t="n"/>
      <c r="C310" s="43" t="n"/>
      <c r="D310" s="43" t="n"/>
      <c r="E310" s="43" t="n"/>
      <c r="F310" s="42" t="n"/>
      <c r="G310" s="44" t="n"/>
      <c r="H310" s="45" t="n"/>
      <c r="I310" s="46">
        <f>IF(O310=1,SUMIFS(day_amt,day_year,A310,day_month,B310,day_item,C310),"")</f>
        <v/>
      </c>
      <c r="J310" s="47">
        <f>IF(H310&lt;&gt;"",H310,IF(N(I310)=0,"",I310))</f>
        <v/>
      </c>
      <c r="K310" s="48">
        <f>IF(OR(G310="",J310=""),"",G310-J310)</f>
        <v/>
      </c>
      <c r="L310" s="43" t="n"/>
      <c r="M310" s="43" t="n"/>
      <c r="N310" s="49">
        <f>IF(IFERROR(INDEX(lst_cat_wish,MATCH(D310,lst_cats,0))="Да",FALSE),MAX($N$4:N309)+1,"")</f>
        <v/>
      </c>
      <c r="O310" s="49">
        <f>IF(OR(A310="",B310="",C310="",L310="❌ Отменено"),0,IF(COUNTIFS($A$4:A309,A310,$B$4:B309,B310,$C$4:C309,C310,$L$4:L309,"&lt;&gt;❌ Отменено")=0,1,0))</f>
        <v/>
      </c>
    </row>
    <row r="311">
      <c r="A311" s="42" t="n"/>
      <c r="B311" s="42" t="n"/>
      <c r="C311" s="43" t="n"/>
      <c r="D311" s="43" t="n"/>
      <c r="E311" s="43" t="n"/>
      <c r="F311" s="42" t="n"/>
      <c r="G311" s="44" t="n"/>
      <c r="H311" s="45" t="n"/>
      <c r="I311" s="46">
        <f>IF(O311=1,SUMIFS(day_amt,day_year,A311,day_month,B311,day_item,C311),"")</f>
        <v/>
      </c>
      <c r="J311" s="47">
        <f>IF(H311&lt;&gt;"",H311,IF(N(I311)=0,"",I311))</f>
        <v/>
      </c>
      <c r="K311" s="48">
        <f>IF(OR(G311="",J311=""),"",G311-J311)</f>
        <v/>
      </c>
      <c r="L311" s="43" t="n"/>
      <c r="M311" s="43" t="n"/>
      <c r="N311" s="49">
        <f>IF(IFERROR(INDEX(lst_cat_wish,MATCH(D311,lst_cats,0))="Да",FALSE),MAX($N$4:N310)+1,"")</f>
        <v/>
      </c>
      <c r="O311" s="49">
        <f>IF(OR(A311="",B311="",C311="",L311="❌ Отменено"),0,IF(COUNTIFS($A$4:A310,A311,$B$4:B310,B311,$C$4:C310,C311,$L$4:L310,"&lt;&gt;❌ Отменено")=0,1,0))</f>
        <v/>
      </c>
    </row>
    <row r="312">
      <c r="A312" s="42" t="n"/>
      <c r="B312" s="42" t="n"/>
      <c r="C312" s="43" t="n"/>
      <c r="D312" s="43" t="n"/>
      <c r="E312" s="43" t="n"/>
      <c r="F312" s="42" t="n"/>
      <c r="G312" s="44" t="n"/>
      <c r="H312" s="45" t="n"/>
      <c r="I312" s="46">
        <f>IF(O312=1,SUMIFS(day_amt,day_year,A312,day_month,B312,day_item,C312),"")</f>
        <v/>
      </c>
      <c r="J312" s="47">
        <f>IF(H312&lt;&gt;"",H312,IF(N(I312)=0,"",I312))</f>
        <v/>
      </c>
      <c r="K312" s="48">
        <f>IF(OR(G312="",J312=""),"",G312-J312)</f>
        <v/>
      </c>
      <c r="L312" s="43" t="n"/>
      <c r="M312" s="43" t="n"/>
      <c r="N312" s="49">
        <f>IF(IFERROR(INDEX(lst_cat_wish,MATCH(D312,lst_cats,0))="Да",FALSE),MAX($N$4:N311)+1,"")</f>
        <v/>
      </c>
      <c r="O312" s="49">
        <f>IF(OR(A312="",B312="",C312="",L312="❌ Отменено"),0,IF(COUNTIFS($A$4:A311,A312,$B$4:B311,B312,$C$4:C311,C312,$L$4:L311,"&lt;&gt;❌ Отменено")=0,1,0))</f>
        <v/>
      </c>
    </row>
    <row r="313">
      <c r="A313" s="42" t="n"/>
      <c r="B313" s="42" t="n"/>
      <c r="C313" s="43" t="n"/>
      <c r="D313" s="43" t="n"/>
      <c r="E313" s="43" t="n"/>
      <c r="F313" s="42" t="n"/>
      <c r="G313" s="44" t="n"/>
      <c r="H313" s="45" t="n"/>
      <c r="I313" s="46">
        <f>IF(O313=1,SUMIFS(day_amt,day_year,A313,day_month,B313,day_item,C313),"")</f>
        <v/>
      </c>
      <c r="J313" s="47">
        <f>IF(H313&lt;&gt;"",H313,IF(N(I313)=0,"",I313))</f>
        <v/>
      </c>
      <c r="K313" s="48">
        <f>IF(OR(G313="",J313=""),"",G313-J313)</f>
        <v/>
      </c>
      <c r="L313" s="43" t="n"/>
      <c r="M313" s="43" t="n"/>
      <c r="N313" s="49">
        <f>IF(IFERROR(INDEX(lst_cat_wish,MATCH(D313,lst_cats,0))="Да",FALSE),MAX($N$4:N312)+1,"")</f>
        <v/>
      </c>
      <c r="O313" s="49">
        <f>IF(OR(A313="",B313="",C313="",L313="❌ Отменено"),0,IF(COUNTIFS($A$4:A312,A313,$B$4:B312,B313,$C$4:C312,C313,$L$4:L312,"&lt;&gt;❌ Отменено")=0,1,0))</f>
        <v/>
      </c>
    </row>
    <row r="314">
      <c r="A314" s="42" t="n"/>
      <c r="B314" s="42" t="n"/>
      <c r="C314" s="43" t="n"/>
      <c r="D314" s="43" t="n"/>
      <c r="E314" s="43" t="n"/>
      <c r="F314" s="42" t="n"/>
      <c r="G314" s="44" t="n"/>
      <c r="H314" s="45" t="n"/>
      <c r="I314" s="46">
        <f>IF(O314=1,SUMIFS(day_amt,day_year,A314,day_month,B314,day_item,C314),"")</f>
        <v/>
      </c>
      <c r="J314" s="47">
        <f>IF(H314&lt;&gt;"",H314,IF(N(I314)=0,"",I314))</f>
        <v/>
      </c>
      <c r="K314" s="48">
        <f>IF(OR(G314="",J314=""),"",G314-J314)</f>
        <v/>
      </c>
      <c r="L314" s="43" t="n"/>
      <c r="M314" s="43" t="n"/>
      <c r="N314" s="49">
        <f>IF(IFERROR(INDEX(lst_cat_wish,MATCH(D314,lst_cats,0))="Да",FALSE),MAX($N$4:N313)+1,"")</f>
        <v/>
      </c>
      <c r="O314" s="49">
        <f>IF(OR(A314="",B314="",C314="",L314="❌ Отменено"),0,IF(COUNTIFS($A$4:A313,A314,$B$4:B313,B314,$C$4:C313,C314,$L$4:L313,"&lt;&gt;❌ Отменено")=0,1,0))</f>
        <v/>
      </c>
    </row>
    <row r="315">
      <c r="A315" s="42" t="n"/>
      <c r="B315" s="42" t="n"/>
      <c r="C315" s="43" t="n"/>
      <c r="D315" s="43" t="n"/>
      <c r="E315" s="43" t="n"/>
      <c r="F315" s="42" t="n"/>
      <c r="G315" s="44" t="n"/>
      <c r="H315" s="45" t="n"/>
      <c r="I315" s="46">
        <f>IF(O315=1,SUMIFS(day_amt,day_year,A315,day_month,B315,day_item,C315),"")</f>
        <v/>
      </c>
      <c r="J315" s="47">
        <f>IF(H315&lt;&gt;"",H315,IF(N(I315)=0,"",I315))</f>
        <v/>
      </c>
      <c r="K315" s="48">
        <f>IF(OR(G315="",J315=""),"",G315-J315)</f>
        <v/>
      </c>
      <c r="L315" s="43" t="n"/>
      <c r="M315" s="43" t="n"/>
      <c r="N315" s="49">
        <f>IF(IFERROR(INDEX(lst_cat_wish,MATCH(D315,lst_cats,0))="Да",FALSE),MAX($N$4:N314)+1,"")</f>
        <v/>
      </c>
      <c r="O315" s="49">
        <f>IF(OR(A315="",B315="",C315="",L315="❌ Отменено"),0,IF(COUNTIFS($A$4:A314,A315,$B$4:B314,B315,$C$4:C314,C315,$L$4:L314,"&lt;&gt;❌ Отменено")=0,1,0))</f>
        <v/>
      </c>
    </row>
    <row r="316">
      <c r="A316" s="42" t="n"/>
      <c r="B316" s="42" t="n"/>
      <c r="C316" s="43" t="n"/>
      <c r="D316" s="43" t="n"/>
      <c r="E316" s="43" t="n"/>
      <c r="F316" s="42" t="n"/>
      <c r="G316" s="44" t="n"/>
      <c r="H316" s="45" t="n"/>
      <c r="I316" s="46">
        <f>IF(O316=1,SUMIFS(day_amt,day_year,A316,day_month,B316,day_item,C316),"")</f>
        <v/>
      </c>
      <c r="J316" s="47">
        <f>IF(H316&lt;&gt;"",H316,IF(N(I316)=0,"",I316))</f>
        <v/>
      </c>
      <c r="K316" s="48">
        <f>IF(OR(G316="",J316=""),"",G316-J316)</f>
        <v/>
      </c>
      <c r="L316" s="43" t="n"/>
      <c r="M316" s="43" t="n"/>
      <c r="N316" s="49">
        <f>IF(IFERROR(INDEX(lst_cat_wish,MATCH(D316,lst_cats,0))="Да",FALSE),MAX($N$4:N315)+1,"")</f>
        <v/>
      </c>
      <c r="O316" s="49">
        <f>IF(OR(A316="",B316="",C316="",L316="❌ Отменено"),0,IF(COUNTIFS($A$4:A315,A316,$B$4:B315,B316,$C$4:C315,C316,$L$4:L315,"&lt;&gt;❌ Отменено")=0,1,0))</f>
        <v/>
      </c>
    </row>
    <row r="317">
      <c r="A317" s="42" t="n"/>
      <c r="B317" s="42" t="n"/>
      <c r="C317" s="43" t="n"/>
      <c r="D317" s="43" t="n"/>
      <c r="E317" s="43" t="n"/>
      <c r="F317" s="42" t="n"/>
      <c r="G317" s="44" t="n"/>
      <c r="H317" s="45" t="n"/>
      <c r="I317" s="46">
        <f>IF(O317=1,SUMIFS(day_amt,day_year,A317,day_month,B317,day_item,C317),"")</f>
        <v/>
      </c>
      <c r="J317" s="47">
        <f>IF(H317&lt;&gt;"",H317,IF(N(I317)=0,"",I317))</f>
        <v/>
      </c>
      <c r="K317" s="48">
        <f>IF(OR(G317="",J317=""),"",G317-J317)</f>
        <v/>
      </c>
      <c r="L317" s="43" t="n"/>
      <c r="M317" s="43" t="n"/>
      <c r="N317" s="49">
        <f>IF(IFERROR(INDEX(lst_cat_wish,MATCH(D317,lst_cats,0))="Да",FALSE),MAX($N$4:N316)+1,"")</f>
        <v/>
      </c>
      <c r="O317" s="49">
        <f>IF(OR(A317="",B317="",C317="",L317="❌ Отменено"),0,IF(COUNTIFS($A$4:A316,A317,$B$4:B316,B317,$C$4:C316,C317,$L$4:L316,"&lt;&gt;❌ Отменено")=0,1,0))</f>
        <v/>
      </c>
    </row>
    <row r="318">
      <c r="A318" s="42" t="n"/>
      <c r="B318" s="42" t="n"/>
      <c r="C318" s="43" t="n"/>
      <c r="D318" s="43" t="n"/>
      <c r="E318" s="43" t="n"/>
      <c r="F318" s="42" t="n"/>
      <c r="G318" s="44" t="n"/>
      <c r="H318" s="45" t="n"/>
      <c r="I318" s="46">
        <f>IF(O318=1,SUMIFS(day_amt,day_year,A318,day_month,B318,day_item,C318),"")</f>
        <v/>
      </c>
      <c r="J318" s="47">
        <f>IF(H318&lt;&gt;"",H318,IF(N(I318)=0,"",I318))</f>
        <v/>
      </c>
      <c r="K318" s="48">
        <f>IF(OR(G318="",J318=""),"",G318-J318)</f>
        <v/>
      </c>
      <c r="L318" s="43" t="n"/>
      <c r="M318" s="43" t="n"/>
      <c r="N318" s="49">
        <f>IF(IFERROR(INDEX(lst_cat_wish,MATCH(D318,lst_cats,0))="Да",FALSE),MAX($N$4:N317)+1,"")</f>
        <v/>
      </c>
      <c r="O318" s="49">
        <f>IF(OR(A318="",B318="",C318="",L318="❌ Отменено"),0,IF(COUNTIFS($A$4:A317,A318,$B$4:B317,B318,$C$4:C317,C318,$L$4:L317,"&lt;&gt;❌ Отменено")=0,1,0))</f>
        <v/>
      </c>
    </row>
    <row r="319">
      <c r="A319" s="42" t="n"/>
      <c r="B319" s="42" t="n"/>
      <c r="C319" s="43" t="n"/>
      <c r="D319" s="43" t="n"/>
      <c r="E319" s="43" t="n"/>
      <c r="F319" s="42" t="n"/>
      <c r="G319" s="44" t="n"/>
      <c r="H319" s="45" t="n"/>
      <c r="I319" s="46">
        <f>IF(O319=1,SUMIFS(day_amt,day_year,A319,day_month,B319,day_item,C319),"")</f>
        <v/>
      </c>
      <c r="J319" s="47">
        <f>IF(H319&lt;&gt;"",H319,IF(N(I319)=0,"",I319))</f>
        <v/>
      </c>
      <c r="K319" s="48">
        <f>IF(OR(G319="",J319=""),"",G319-J319)</f>
        <v/>
      </c>
      <c r="L319" s="43" t="n"/>
      <c r="M319" s="43" t="n"/>
      <c r="N319" s="49">
        <f>IF(IFERROR(INDEX(lst_cat_wish,MATCH(D319,lst_cats,0))="Да",FALSE),MAX($N$4:N318)+1,"")</f>
        <v/>
      </c>
      <c r="O319" s="49">
        <f>IF(OR(A319="",B319="",C319="",L319="❌ Отменено"),0,IF(COUNTIFS($A$4:A318,A319,$B$4:B318,B319,$C$4:C318,C319,$L$4:L318,"&lt;&gt;❌ Отменено")=0,1,0))</f>
        <v/>
      </c>
    </row>
    <row r="320">
      <c r="A320" s="42" t="n"/>
      <c r="B320" s="42" t="n"/>
      <c r="C320" s="43" t="n"/>
      <c r="D320" s="43" t="n"/>
      <c r="E320" s="43" t="n"/>
      <c r="F320" s="42" t="n"/>
      <c r="G320" s="44" t="n"/>
      <c r="H320" s="45" t="n"/>
      <c r="I320" s="46">
        <f>IF(O320=1,SUMIFS(day_amt,day_year,A320,day_month,B320,day_item,C320),"")</f>
        <v/>
      </c>
      <c r="J320" s="47">
        <f>IF(H320&lt;&gt;"",H320,IF(N(I320)=0,"",I320))</f>
        <v/>
      </c>
      <c r="K320" s="48">
        <f>IF(OR(G320="",J320=""),"",G320-J320)</f>
        <v/>
      </c>
      <c r="L320" s="43" t="n"/>
      <c r="M320" s="43" t="n"/>
      <c r="N320" s="49">
        <f>IF(IFERROR(INDEX(lst_cat_wish,MATCH(D320,lst_cats,0))="Да",FALSE),MAX($N$4:N319)+1,"")</f>
        <v/>
      </c>
      <c r="O320" s="49">
        <f>IF(OR(A320="",B320="",C320="",L320="❌ Отменено"),0,IF(COUNTIFS($A$4:A319,A320,$B$4:B319,B320,$C$4:C319,C320,$L$4:L319,"&lt;&gt;❌ Отменено")=0,1,0))</f>
        <v/>
      </c>
    </row>
    <row r="321">
      <c r="A321" s="42" t="n"/>
      <c r="B321" s="42" t="n"/>
      <c r="C321" s="43" t="n"/>
      <c r="D321" s="43" t="n"/>
      <c r="E321" s="43" t="n"/>
      <c r="F321" s="42" t="n"/>
      <c r="G321" s="44" t="n"/>
      <c r="H321" s="45" t="n"/>
      <c r="I321" s="46">
        <f>IF(O321=1,SUMIFS(day_amt,day_year,A321,day_month,B321,day_item,C321),"")</f>
        <v/>
      </c>
      <c r="J321" s="47">
        <f>IF(H321&lt;&gt;"",H321,IF(N(I321)=0,"",I321))</f>
        <v/>
      </c>
      <c r="K321" s="48">
        <f>IF(OR(G321="",J321=""),"",G321-J321)</f>
        <v/>
      </c>
      <c r="L321" s="43" t="n"/>
      <c r="M321" s="43" t="n"/>
      <c r="N321" s="49">
        <f>IF(IFERROR(INDEX(lst_cat_wish,MATCH(D321,lst_cats,0))="Да",FALSE),MAX($N$4:N320)+1,"")</f>
        <v/>
      </c>
      <c r="O321" s="49">
        <f>IF(OR(A321="",B321="",C321="",L321="❌ Отменено"),0,IF(COUNTIFS($A$4:A320,A321,$B$4:B320,B321,$C$4:C320,C321,$L$4:L320,"&lt;&gt;❌ Отменено")=0,1,0))</f>
        <v/>
      </c>
    </row>
    <row r="322">
      <c r="A322" s="42" t="n"/>
      <c r="B322" s="42" t="n"/>
      <c r="C322" s="43" t="n"/>
      <c r="D322" s="43" t="n"/>
      <c r="E322" s="43" t="n"/>
      <c r="F322" s="42" t="n"/>
      <c r="G322" s="44" t="n"/>
      <c r="H322" s="45" t="n"/>
      <c r="I322" s="46">
        <f>IF(O322=1,SUMIFS(day_amt,day_year,A322,day_month,B322,day_item,C322),"")</f>
        <v/>
      </c>
      <c r="J322" s="47">
        <f>IF(H322&lt;&gt;"",H322,IF(N(I322)=0,"",I322))</f>
        <v/>
      </c>
      <c r="K322" s="48">
        <f>IF(OR(G322="",J322=""),"",G322-J322)</f>
        <v/>
      </c>
      <c r="L322" s="43" t="n"/>
      <c r="M322" s="43" t="n"/>
      <c r="N322" s="49">
        <f>IF(IFERROR(INDEX(lst_cat_wish,MATCH(D322,lst_cats,0))="Да",FALSE),MAX($N$4:N321)+1,"")</f>
        <v/>
      </c>
      <c r="O322" s="49">
        <f>IF(OR(A322="",B322="",C322="",L322="❌ Отменено"),0,IF(COUNTIFS($A$4:A321,A322,$B$4:B321,B322,$C$4:C321,C322,$L$4:L321,"&lt;&gt;❌ Отменено")=0,1,0))</f>
        <v/>
      </c>
    </row>
    <row r="323">
      <c r="A323" s="42" t="n"/>
      <c r="B323" s="42" t="n"/>
      <c r="C323" s="43" t="n"/>
      <c r="D323" s="43" t="n"/>
      <c r="E323" s="43" t="n"/>
      <c r="F323" s="42" t="n"/>
      <c r="G323" s="44" t="n"/>
      <c r="H323" s="45" t="n"/>
      <c r="I323" s="46">
        <f>IF(O323=1,SUMIFS(day_amt,day_year,A323,day_month,B323,day_item,C323),"")</f>
        <v/>
      </c>
      <c r="J323" s="47">
        <f>IF(H323&lt;&gt;"",H323,IF(N(I323)=0,"",I323))</f>
        <v/>
      </c>
      <c r="K323" s="48">
        <f>IF(OR(G323="",J323=""),"",G323-J323)</f>
        <v/>
      </c>
      <c r="L323" s="43" t="n"/>
      <c r="M323" s="43" t="n"/>
      <c r="N323" s="49">
        <f>IF(IFERROR(INDEX(lst_cat_wish,MATCH(D323,lst_cats,0))="Да",FALSE),MAX($N$4:N322)+1,"")</f>
        <v/>
      </c>
      <c r="O323" s="49">
        <f>IF(OR(A323="",B323="",C323="",L323="❌ Отменено"),0,IF(COUNTIFS($A$4:A322,A323,$B$4:B322,B323,$C$4:C322,C323,$L$4:L322,"&lt;&gt;❌ Отменено")=0,1,0))</f>
        <v/>
      </c>
    </row>
    <row r="324">
      <c r="A324" s="42" t="n"/>
      <c r="B324" s="42" t="n"/>
      <c r="C324" s="43" t="n"/>
      <c r="D324" s="43" t="n"/>
      <c r="E324" s="43" t="n"/>
      <c r="F324" s="42" t="n"/>
      <c r="G324" s="44" t="n"/>
      <c r="H324" s="45" t="n"/>
      <c r="I324" s="46">
        <f>IF(O324=1,SUMIFS(day_amt,day_year,A324,day_month,B324,day_item,C324),"")</f>
        <v/>
      </c>
      <c r="J324" s="47">
        <f>IF(H324&lt;&gt;"",H324,IF(N(I324)=0,"",I324))</f>
        <v/>
      </c>
      <c r="K324" s="48">
        <f>IF(OR(G324="",J324=""),"",G324-J324)</f>
        <v/>
      </c>
      <c r="L324" s="43" t="n"/>
      <c r="M324" s="43" t="n"/>
      <c r="N324" s="49">
        <f>IF(IFERROR(INDEX(lst_cat_wish,MATCH(D324,lst_cats,0))="Да",FALSE),MAX($N$4:N323)+1,"")</f>
        <v/>
      </c>
      <c r="O324" s="49">
        <f>IF(OR(A324="",B324="",C324="",L324="❌ Отменено"),0,IF(COUNTIFS($A$4:A323,A324,$B$4:B323,B324,$C$4:C323,C324,$L$4:L323,"&lt;&gt;❌ Отменено")=0,1,0))</f>
        <v/>
      </c>
    </row>
    <row r="325">
      <c r="A325" s="42" t="n"/>
      <c r="B325" s="42" t="n"/>
      <c r="C325" s="43" t="n"/>
      <c r="D325" s="43" t="n"/>
      <c r="E325" s="43" t="n"/>
      <c r="F325" s="42" t="n"/>
      <c r="G325" s="44" t="n"/>
      <c r="H325" s="45" t="n"/>
      <c r="I325" s="46">
        <f>IF(O325=1,SUMIFS(day_amt,day_year,A325,day_month,B325,day_item,C325),"")</f>
        <v/>
      </c>
      <c r="J325" s="47">
        <f>IF(H325&lt;&gt;"",H325,IF(N(I325)=0,"",I325))</f>
        <v/>
      </c>
      <c r="K325" s="48">
        <f>IF(OR(G325="",J325=""),"",G325-J325)</f>
        <v/>
      </c>
      <c r="L325" s="43" t="n"/>
      <c r="M325" s="43" t="n"/>
      <c r="N325" s="49">
        <f>IF(IFERROR(INDEX(lst_cat_wish,MATCH(D325,lst_cats,0))="Да",FALSE),MAX($N$4:N324)+1,"")</f>
        <v/>
      </c>
      <c r="O325" s="49">
        <f>IF(OR(A325="",B325="",C325="",L325="❌ Отменено"),0,IF(COUNTIFS($A$4:A324,A325,$B$4:B324,B325,$C$4:C324,C325,$L$4:L324,"&lt;&gt;❌ Отменено")=0,1,0))</f>
        <v/>
      </c>
    </row>
    <row r="326">
      <c r="A326" s="42" t="n"/>
      <c r="B326" s="42" t="n"/>
      <c r="C326" s="43" t="n"/>
      <c r="D326" s="43" t="n"/>
      <c r="E326" s="43" t="n"/>
      <c r="F326" s="42" t="n"/>
      <c r="G326" s="44" t="n"/>
      <c r="H326" s="45" t="n"/>
      <c r="I326" s="46">
        <f>IF(O326=1,SUMIFS(day_amt,day_year,A326,day_month,B326,day_item,C326),"")</f>
        <v/>
      </c>
      <c r="J326" s="47">
        <f>IF(H326&lt;&gt;"",H326,IF(N(I326)=0,"",I326))</f>
        <v/>
      </c>
      <c r="K326" s="48">
        <f>IF(OR(G326="",J326=""),"",G326-J326)</f>
        <v/>
      </c>
      <c r="L326" s="43" t="n"/>
      <c r="M326" s="43" t="n"/>
      <c r="N326" s="49">
        <f>IF(IFERROR(INDEX(lst_cat_wish,MATCH(D326,lst_cats,0))="Да",FALSE),MAX($N$4:N325)+1,"")</f>
        <v/>
      </c>
      <c r="O326" s="49">
        <f>IF(OR(A326="",B326="",C326="",L326="❌ Отменено"),0,IF(COUNTIFS($A$4:A325,A326,$B$4:B325,B326,$C$4:C325,C326,$L$4:L325,"&lt;&gt;❌ Отменено")=0,1,0))</f>
        <v/>
      </c>
    </row>
    <row r="327">
      <c r="A327" s="42" t="n"/>
      <c r="B327" s="42" t="n"/>
      <c r="C327" s="43" t="n"/>
      <c r="D327" s="43" t="n"/>
      <c r="E327" s="43" t="n"/>
      <c r="F327" s="42" t="n"/>
      <c r="G327" s="44" t="n"/>
      <c r="H327" s="45" t="n"/>
      <c r="I327" s="46">
        <f>IF(O327=1,SUMIFS(day_amt,day_year,A327,day_month,B327,day_item,C327),"")</f>
        <v/>
      </c>
      <c r="J327" s="47">
        <f>IF(H327&lt;&gt;"",H327,IF(N(I327)=0,"",I327))</f>
        <v/>
      </c>
      <c r="K327" s="48">
        <f>IF(OR(G327="",J327=""),"",G327-J327)</f>
        <v/>
      </c>
      <c r="L327" s="43" t="n"/>
      <c r="M327" s="43" t="n"/>
      <c r="N327" s="49">
        <f>IF(IFERROR(INDEX(lst_cat_wish,MATCH(D327,lst_cats,0))="Да",FALSE),MAX($N$4:N326)+1,"")</f>
        <v/>
      </c>
      <c r="O327" s="49">
        <f>IF(OR(A327="",B327="",C327="",L327="❌ Отменено"),0,IF(COUNTIFS($A$4:A326,A327,$B$4:B326,B327,$C$4:C326,C327,$L$4:L326,"&lt;&gt;❌ Отменено")=0,1,0))</f>
        <v/>
      </c>
    </row>
    <row r="328">
      <c r="A328" s="42" t="n"/>
      <c r="B328" s="42" t="n"/>
      <c r="C328" s="43" t="n"/>
      <c r="D328" s="43" t="n"/>
      <c r="E328" s="43" t="n"/>
      <c r="F328" s="42" t="n"/>
      <c r="G328" s="44" t="n"/>
      <c r="H328" s="45" t="n"/>
      <c r="I328" s="46">
        <f>IF(O328=1,SUMIFS(day_amt,day_year,A328,day_month,B328,day_item,C328),"")</f>
        <v/>
      </c>
      <c r="J328" s="47">
        <f>IF(H328&lt;&gt;"",H328,IF(N(I328)=0,"",I328))</f>
        <v/>
      </c>
      <c r="K328" s="48">
        <f>IF(OR(G328="",J328=""),"",G328-J328)</f>
        <v/>
      </c>
      <c r="L328" s="43" t="n"/>
      <c r="M328" s="43" t="n"/>
      <c r="N328" s="49">
        <f>IF(IFERROR(INDEX(lst_cat_wish,MATCH(D328,lst_cats,0))="Да",FALSE),MAX($N$4:N327)+1,"")</f>
        <v/>
      </c>
      <c r="O328" s="49">
        <f>IF(OR(A328="",B328="",C328="",L328="❌ Отменено"),0,IF(COUNTIFS($A$4:A327,A328,$B$4:B327,B328,$C$4:C327,C328,$L$4:L327,"&lt;&gt;❌ Отменено")=0,1,0))</f>
        <v/>
      </c>
    </row>
    <row r="329">
      <c r="A329" s="42" t="n"/>
      <c r="B329" s="42" t="n"/>
      <c r="C329" s="43" t="n"/>
      <c r="D329" s="43" t="n"/>
      <c r="E329" s="43" t="n"/>
      <c r="F329" s="42" t="n"/>
      <c r="G329" s="44" t="n"/>
      <c r="H329" s="45" t="n"/>
      <c r="I329" s="46">
        <f>IF(O329=1,SUMIFS(day_amt,day_year,A329,day_month,B329,day_item,C329),"")</f>
        <v/>
      </c>
      <c r="J329" s="47">
        <f>IF(H329&lt;&gt;"",H329,IF(N(I329)=0,"",I329))</f>
        <v/>
      </c>
      <c r="K329" s="48">
        <f>IF(OR(G329="",J329=""),"",G329-J329)</f>
        <v/>
      </c>
      <c r="L329" s="43" t="n"/>
      <c r="M329" s="43" t="n"/>
      <c r="N329" s="49">
        <f>IF(IFERROR(INDEX(lst_cat_wish,MATCH(D329,lst_cats,0))="Да",FALSE),MAX($N$4:N328)+1,"")</f>
        <v/>
      </c>
      <c r="O329" s="49">
        <f>IF(OR(A329="",B329="",C329="",L329="❌ Отменено"),0,IF(COUNTIFS($A$4:A328,A329,$B$4:B328,B329,$C$4:C328,C329,$L$4:L328,"&lt;&gt;❌ Отменено")=0,1,0))</f>
        <v/>
      </c>
    </row>
    <row r="330">
      <c r="A330" s="42" t="n"/>
      <c r="B330" s="42" t="n"/>
      <c r="C330" s="43" t="n"/>
      <c r="D330" s="43" t="n"/>
      <c r="E330" s="43" t="n"/>
      <c r="F330" s="42" t="n"/>
      <c r="G330" s="44" t="n"/>
      <c r="H330" s="45" t="n"/>
      <c r="I330" s="46">
        <f>IF(O330=1,SUMIFS(day_amt,day_year,A330,day_month,B330,day_item,C330),"")</f>
        <v/>
      </c>
      <c r="J330" s="47">
        <f>IF(H330&lt;&gt;"",H330,IF(N(I330)=0,"",I330))</f>
        <v/>
      </c>
      <c r="K330" s="48">
        <f>IF(OR(G330="",J330=""),"",G330-J330)</f>
        <v/>
      </c>
      <c r="L330" s="43" t="n"/>
      <c r="M330" s="43" t="n"/>
      <c r="N330" s="49">
        <f>IF(IFERROR(INDEX(lst_cat_wish,MATCH(D330,lst_cats,0))="Да",FALSE),MAX($N$4:N329)+1,"")</f>
        <v/>
      </c>
      <c r="O330" s="49">
        <f>IF(OR(A330="",B330="",C330="",L330="❌ Отменено"),0,IF(COUNTIFS($A$4:A329,A330,$B$4:B329,B330,$C$4:C329,C330,$L$4:L329,"&lt;&gt;❌ Отменено")=0,1,0))</f>
        <v/>
      </c>
    </row>
    <row r="331">
      <c r="A331" s="42" t="n"/>
      <c r="B331" s="42" t="n"/>
      <c r="C331" s="43" t="n"/>
      <c r="D331" s="43" t="n"/>
      <c r="E331" s="43" t="n"/>
      <c r="F331" s="42" t="n"/>
      <c r="G331" s="44" t="n"/>
      <c r="H331" s="45" t="n"/>
      <c r="I331" s="46">
        <f>IF(O331=1,SUMIFS(day_amt,day_year,A331,day_month,B331,day_item,C331),"")</f>
        <v/>
      </c>
      <c r="J331" s="47">
        <f>IF(H331&lt;&gt;"",H331,IF(N(I331)=0,"",I331))</f>
        <v/>
      </c>
      <c r="K331" s="48">
        <f>IF(OR(G331="",J331=""),"",G331-J331)</f>
        <v/>
      </c>
      <c r="L331" s="43" t="n"/>
      <c r="M331" s="43" t="n"/>
      <c r="N331" s="49">
        <f>IF(IFERROR(INDEX(lst_cat_wish,MATCH(D331,lst_cats,0))="Да",FALSE),MAX($N$4:N330)+1,"")</f>
        <v/>
      </c>
      <c r="O331" s="49">
        <f>IF(OR(A331="",B331="",C331="",L331="❌ Отменено"),0,IF(COUNTIFS($A$4:A330,A331,$B$4:B330,B331,$C$4:C330,C331,$L$4:L330,"&lt;&gt;❌ Отменено")=0,1,0))</f>
        <v/>
      </c>
    </row>
    <row r="332">
      <c r="A332" s="42" t="n"/>
      <c r="B332" s="42" t="n"/>
      <c r="C332" s="43" t="n"/>
      <c r="D332" s="43" t="n"/>
      <c r="E332" s="43" t="n"/>
      <c r="F332" s="42" t="n"/>
      <c r="G332" s="44" t="n"/>
      <c r="H332" s="45" t="n"/>
      <c r="I332" s="46">
        <f>IF(O332=1,SUMIFS(day_amt,day_year,A332,day_month,B332,day_item,C332),"")</f>
        <v/>
      </c>
      <c r="J332" s="47">
        <f>IF(H332&lt;&gt;"",H332,IF(N(I332)=0,"",I332))</f>
        <v/>
      </c>
      <c r="K332" s="48">
        <f>IF(OR(G332="",J332=""),"",G332-J332)</f>
        <v/>
      </c>
      <c r="L332" s="43" t="n"/>
      <c r="M332" s="43" t="n"/>
      <c r="N332" s="49">
        <f>IF(IFERROR(INDEX(lst_cat_wish,MATCH(D332,lst_cats,0))="Да",FALSE),MAX($N$4:N331)+1,"")</f>
        <v/>
      </c>
      <c r="O332" s="49">
        <f>IF(OR(A332="",B332="",C332="",L332="❌ Отменено"),0,IF(COUNTIFS($A$4:A331,A332,$B$4:B331,B332,$C$4:C331,C332,$L$4:L331,"&lt;&gt;❌ Отменено")=0,1,0))</f>
        <v/>
      </c>
    </row>
    <row r="333">
      <c r="A333" s="42" t="n"/>
      <c r="B333" s="42" t="n"/>
      <c r="C333" s="43" t="n"/>
      <c r="D333" s="43" t="n"/>
      <c r="E333" s="43" t="n"/>
      <c r="F333" s="42" t="n"/>
      <c r="G333" s="44" t="n"/>
      <c r="H333" s="45" t="n"/>
      <c r="I333" s="46">
        <f>IF(O333=1,SUMIFS(day_amt,day_year,A333,day_month,B333,day_item,C333),"")</f>
        <v/>
      </c>
      <c r="J333" s="47">
        <f>IF(H333&lt;&gt;"",H333,IF(N(I333)=0,"",I333))</f>
        <v/>
      </c>
      <c r="K333" s="48">
        <f>IF(OR(G333="",J333=""),"",G333-J333)</f>
        <v/>
      </c>
      <c r="L333" s="43" t="n"/>
      <c r="M333" s="43" t="n"/>
      <c r="N333" s="49">
        <f>IF(IFERROR(INDEX(lst_cat_wish,MATCH(D333,lst_cats,0))="Да",FALSE),MAX($N$4:N332)+1,"")</f>
        <v/>
      </c>
      <c r="O333" s="49">
        <f>IF(OR(A333="",B333="",C333="",L333="❌ Отменено"),0,IF(COUNTIFS($A$4:A332,A333,$B$4:B332,B333,$C$4:C332,C333,$L$4:L332,"&lt;&gt;❌ Отменено")=0,1,0))</f>
        <v/>
      </c>
    </row>
    <row r="334">
      <c r="A334" s="42" t="n"/>
      <c r="B334" s="42" t="n"/>
      <c r="C334" s="43" t="n"/>
      <c r="D334" s="43" t="n"/>
      <c r="E334" s="43" t="n"/>
      <c r="F334" s="42" t="n"/>
      <c r="G334" s="44" t="n"/>
      <c r="H334" s="45" t="n"/>
      <c r="I334" s="46">
        <f>IF(O334=1,SUMIFS(day_amt,day_year,A334,day_month,B334,day_item,C334),"")</f>
        <v/>
      </c>
      <c r="J334" s="47">
        <f>IF(H334&lt;&gt;"",H334,IF(N(I334)=0,"",I334))</f>
        <v/>
      </c>
      <c r="K334" s="48">
        <f>IF(OR(G334="",J334=""),"",G334-J334)</f>
        <v/>
      </c>
      <c r="L334" s="43" t="n"/>
      <c r="M334" s="43" t="n"/>
      <c r="N334" s="49">
        <f>IF(IFERROR(INDEX(lst_cat_wish,MATCH(D334,lst_cats,0))="Да",FALSE),MAX($N$4:N333)+1,"")</f>
        <v/>
      </c>
      <c r="O334" s="49">
        <f>IF(OR(A334="",B334="",C334="",L334="❌ Отменено"),0,IF(COUNTIFS($A$4:A333,A334,$B$4:B333,B334,$C$4:C333,C334,$L$4:L333,"&lt;&gt;❌ Отменено")=0,1,0))</f>
        <v/>
      </c>
    </row>
    <row r="335">
      <c r="A335" s="42" t="n"/>
      <c r="B335" s="42" t="n"/>
      <c r="C335" s="43" t="n"/>
      <c r="D335" s="43" t="n"/>
      <c r="E335" s="43" t="n"/>
      <c r="F335" s="42" t="n"/>
      <c r="G335" s="44" t="n"/>
      <c r="H335" s="45" t="n"/>
      <c r="I335" s="46">
        <f>IF(O335=1,SUMIFS(day_amt,day_year,A335,day_month,B335,day_item,C335),"")</f>
        <v/>
      </c>
      <c r="J335" s="47">
        <f>IF(H335&lt;&gt;"",H335,IF(N(I335)=0,"",I335))</f>
        <v/>
      </c>
      <c r="K335" s="48">
        <f>IF(OR(G335="",J335=""),"",G335-J335)</f>
        <v/>
      </c>
      <c r="L335" s="43" t="n"/>
      <c r="M335" s="43" t="n"/>
      <c r="N335" s="49">
        <f>IF(IFERROR(INDEX(lst_cat_wish,MATCH(D335,lst_cats,0))="Да",FALSE),MAX($N$4:N334)+1,"")</f>
        <v/>
      </c>
      <c r="O335" s="49">
        <f>IF(OR(A335="",B335="",C335="",L335="❌ Отменено"),0,IF(COUNTIFS($A$4:A334,A335,$B$4:B334,B335,$C$4:C334,C335,$L$4:L334,"&lt;&gt;❌ Отменено")=0,1,0))</f>
        <v/>
      </c>
    </row>
    <row r="336">
      <c r="A336" s="42" t="n"/>
      <c r="B336" s="42" t="n"/>
      <c r="C336" s="43" t="n"/>
      <c r="D336" s="43" t="n"/>
      <c r="E336" s="43" t="n"/>
      <c r="F336" s="42" t="n"/>
      <c r="G336" s="44" t="n"/>
      <c r="H336" s="45" t="n"/>
      <c r="I336" s="46">
        <f>IF(O336=1,SUMIFS(day_amt,day_year,A336,day_month,B336,day_item,C336),"")</f>
        <v/>
      </c>
      <c r="J336" s="47">
        <f>IF(H336&lt;&gt;"",H336,IF(N(I336)=0,"",I336))</f>
        <v/>
      </c>
      <c r="K336" s="48">
        <f>IF(OR(G336="",J336=""),"",G336-J336)</f>
        <v/>
      </c>
      <c r="L336" s="43" t="n"/>
      <c r="M336" s="43" t="n"/>
      <c r="N336" s="49">
        <f>IF(IFERROR(INDEX(lst_cat_wish,MATCH(D336,lst_cats,0))="Да",FALSE),MAX($N$4:N335)+1,"")</f>
        <v/>
      </c>
      <c r="O336" s="49">
        <f>IF(OR(A336="",B336="",C336="",L336="❌ Отменено"),0,IF(COUNTIFS($A$4:A335,A336,$B$4:B335,B336,$C$4:C335,C336,$L$4:L335,"&lt;&gt;❌ Отменено")=0,1,0))</f>
        <v/>
      </c>
    </row>
    <row r="337">
      <c r="A337" s="42" t="n"/>
      <c r="B337" s="42" t="n"/>
      <c r="C337" s="43" t="n"/>
      <c r="D337" s="43" t="n"/>
      <c r="E337" s="43" t="n"/>
      <c r="F337" s="42" t="n"/>
      <c r="G337" s="44" t="n"/>
      <c r="H337" s="45" t="n"/>
      <c r="I337" s="46">
        <f>IF(O337=1,SUMIFS(day_amt,day_year,A337,day_month,B337,day_item,C337),"")</f>
        <v/>
      </c>
      <c r="J337" s="47">
        <f>IF(H337&lt;&gt;"",H337,IF(N(I337)=0,"",I337))</f>
        <v/>
      </c>
      <c r="K337" s="48">
        <f>IF(OR(G337="",J337=""),"",G337-J337)</f>
        <v/>
      </c>
      <c r="L337" s="43" t="n"/>
      <c r="M337" s="43" t="n"/>
      <c r="N337" s="49">
        <f>IF(IFERROR(INDEX(lst_cat_wish,MATCH(D337,lst_cats,0))="Да",FALSE),MAX($N$4:N336)+1,"")</f>
        <v/>
      </c>
      <c r="O337" s="49">
        <f>IF(OR(A337="",B337="",C337="",L337="❌ Отменено"),0,IF(COUNTIFS($A$4:A336,A337,$B$4:B336,B337,$C$4:C336,C337,$L$4:L336,"&lt;&gt;❌ Отменено")=0,1,0))</f>
        <v/>
      </c>
    </row>
    <row r="338">
      <c r="A338" s="42" t="n"/>
      <c r="B338" s="42" t="n"/>
      <c r="C338" s="43" t="n"/>
      <c r="D338" s="43" t="n"/>
      <c r="E338" s="43" t="n"/>
      <c r="F338" s="42" t="n"/>
      <c r="G338" s="44" t="n"/>
      <c r="H338" s="45" t="n"/>
      <c r="I338" s="46">
        <f>IF(O338=1,SUMIFS(day_amt,day_year,A338,day_month,B338,day_item,C338),"")</f>
        <v/>
      </c>
      <c r="J338" s="47">
        <f>IF(H338&lt;&gt;"",H338,IF(N(I338)=0,"",I338))</f>
        <v/>
      </c>
      <c r="K338" s="48">
        <f>IF(OR(G338="",J338=""),"",G338-J338)</f>
        <v/>
      </c>
      <c r="L338" s="43" t="n"/>
      <c r="M338" s="43" t="n"/>
      <c r="N338" s="49">
        <f>IF(IFERROR(INDEX(lst_cat_wish,MATCH(D338,lst_cats,0))="Да",FALSE),MAX($N$4:N337)+1,"")</f>
        <v/>
      </c>
      <c r="O338" s="49">
        <f>IF(OR(A338="",B338="",C338="",L338="❌ Отменено"),0,IF(COUNTIFS($A$4:A337,A338,$B$4:B337,B338,$C$4:C337,C338,$L$4:L337,"&lt;&gt;❌ Отменено")=0,1,0))</f>
        <v/>
      </c>
    </row>
    <row r="339">
      <c r="A339" s="42" t="n"/>
      <c r="B339" s="42" t="n"/>
      <c r="C339" s="43" t="n"/>
      <c r="D339" s="43" t="n"/>
      <c r="E339" s="43" t="n"/>
      <c r="F339" s="42" t="n"/>
      <c r="G339" s="44" t="n"/>
      <c r="H339" s="45" t="n"/>
      <c r="I339" s="46">
        <f>IF(O339=1,SUMIFS(day_amt,day_year,A339,day_month,B339,day_item,C339),"")</f>
        <v/>
      </c>
      <c r="J339" s="47">
        <f>IF(H339&lt;&gt;"",H339,IF(N(I339)=0,"",I339))</f>
        <v/>
      </c>
      <c r="K339" s="48">
        <f>IF(OR(G339="",J339=""),"",G339-J339)</f>
        <v/>
      </c>
      <c r="L339" s="43" t="n"/>
      <c r="M339" s="43" t="n"/>
      <c r="N339" s="49">
        <f>IF(IFERROR(INDEX(lst_cat_wish,MATCH(D339,lst_cats,0))="Да",FALSE),MAX($N$4:N338)+1,"")</f>
        <v/>
      </c>
      <c r="O339" s="49">
        <f>IF(OR(A339="",B339="",C339="",L339="❌ Отменено"),0,IF(COUNTIFS($A$4:A338,A339,$B$4:B338,B339,$C$4:C338,C339,$L$4:L338,"&lt;&gt;❌ Отменено")=0,1,0))</f>
        <v/>
      </c>
    </row>
    <row r="340">
      <c r="A340" s="42" t="n"/>
      <c r="B340" s="42" t="n"/>
      <c r="C340" s="43" t="n"/>
      <c r="D340" s="43" t="n"/>
      <c r="E340" s="43" t="n"/>
      <c r="F340" s="42" t="n"/>
      <c r="G340" s="44" t="n"/>
      <c r="H340" s="45" t="n"/>
      <c r="I340" s="46">
        <f>IF(O340=1,SUMIFS(day_amt,day_year,A340,day_month,B340,day_item,C340),"")</f>
        <v/>
      </c>
      <c r="J340" s="47">
        <f>IF(H340&lt;&gt;"",H340,IF(N(I340)=0,"",I340))</f>
        <v/>
      </c>
      <c r="K340" s="48">
        <f>IF(OR(G340="",J340=""),"",G340-J340)</f>
        <v/>
      </c>
      <c r="L340" s="43" t="n"/>
      <c r="M340" s="43" t="n"/>
      <c r="N340" s="49">
        <f>IF(IFERROR(INDEX(lst_cat_wish,MATCH(D340,lst_cats,0))="Да",FALSE),MAX($N$4:N339)+1,"")</f>
        <v/>
      </c>
      <c r="O340" s="49">
        <f>IF(OR(A340="",B340="",C340="",L340="❌ Отменено"),0,IF(COUNTIFS($A$4:A339,A340,$B$4:B339,B340,$C$4:C339,C340,$L$4:L339,"&lt;&gt;❌ Отменено")=0,1,0))</f>
        <v/>
      </c>
    </row>
    <row r="341">
      <c r="A341" s="42" t="n"/>
      <c r="B341" s="42" t="n"/>
      <c r="C341" s="43" t="n"/>
      <c r="D341" s="43" t="n"/>
      <c r="E341" s="43" t="n"/>
      <c r="F341" s="42" t="n"/>
      <c r="G341" s="44" t="n"/>
      <c r="H341" s="45" t="n"/>
      <c r="I341" s="46">
        <f>IF(O341=1,SUMIFS(day_amt,day_year,A341,day_month,B341,day_item,C341),"")</f>
        <v/>
      </c>
      <c r="J341" s="47">
        <f>IF(H341&lt;&gt;"",H341,IF(N(I341)=0,"",I341))</f>
        <v/>
      </c>
      <c r="K341" s="48">
        <f>IF(OR(G341="",J341=""),"",G341-J341)</f>
        <v/>
      </c>
      <c r="L341" s="43" t="n"/>
      <c r="M341" s="43" t="n"/>
      <c r="N341" s="49">
        <f>IF(IFERROR(INDEX(lst_cat_wish,MATCH(D341,lst_cats,0))="Да",FALSE),MAX($N$4:N340)+1,"")</f>
        <v/>
      </c>
      <c r="O341" s="49">
        <f>IF(OR(A341="",B341="",C341="",L341="❌ Отменено"),0,IF(COUNTIFS($A$4:A340,A341,$B$4:B340,B341,$C$4:C340,C341,$L$4:L340,"&lt;&gt;❌ Отменено")=0,1,0))</f>
        <v/>
      </c>
    </row>
    <row r="342">
      <c r="A342" s="42" t="n"/>
      <c r="B342" s="42" t="n"/>
      <c r="C342" s="43" t="n"/>
      <c r="D342" s="43" t="n"/>
      <c r="E342" s="43" t="n"/>
      <c r="F342" s="42" t="n"/>
      <c r="G342" s="44" t="n"/>
      <c r="H342" s="45" t="n"/>
      <c r="I342" s="46">
        <f>IF(O342=1,SUMIFS(day_amt,day_year,A342,day_month,B342,day_item,C342),"")</f>
        <v/>
      </c>
      <c r="J342" s="47">
        <f>IF(H342&lt;&gt;"",H342,IF(N(I342)=0,"",I342))</f>
        <v/>
      </c>
      <c r="K342" s="48">
        <f>IF(OR(G342="",J342=""),"",G342-J342)</f>
        <v/>
      </c>
      <c r="L342" s="43" t="n"/>
      <c r="M342" s="43" t="n"/>
      <c r="N342" s="49">
        <f>IF(IFERROR(INDEX(lst_cat_wish,MATCH(D342,lst_cats,0))="Да",FALSE),MAX($N$4:N341)+1,"")</f>
        <v/>
      </c>
      <c r="O342" s="49">
        <f>IF(OR(A342="",B342="",C342="",L342="❌ Отменено"),0,IF(COUNTIFS($A$4:A341,A342,$B$4:B341,B342,$C$4:C341,C342,$L$4:L341,"&lt;&gt;❌ Отменено")=0,1,0))</f>
        <v/>
      </c>
    </row>
    <row r="343">
      <c r="A343" s="42" t="n"/>
      <c r="B343" s="42" t="n"/>
      <c r="C343" s="43" t="n"/>
      <c r="D343" s="43" t="n"/>
      <c r="E343" s="43" t="n"/>
      <c r="F343" s="42" t="n"/>
      <c r="G343" s="44" t="n"/>
      <c r="H343" s="45" t="n"/>
      <c r="I343" s="46">
        <f>IF(O343=1,SUMIFS(day_amt,day_year,A343,day_month,B343,day_item,C343),"")</f>
        <v/>
      </c>
      <c r="J343" s="47">
        <f>IF(H343&lt;&gt;"",H343,IF(N(I343)=0,"",I343))</f>
        <v/>
      </c>
      <c r="K343" s="48">
        <f>IF(OR(G343="",J343=""),"",G343-J343)</f>
        <v/>
      </c>
      <c r="L343" s="43" t="n"/>
      <c r="M343" s="43" t="n"/>
      <c r="N343" s="49">
        <f>IF(IFERROR(INDEX(lst_cat_wish,MATCH(D343,lst_cats,0))="Да",FALSE),MAX($N$4:N342)+1,"")</f>
        <v/>
      </c>
      <c r="O343" s="49">
        <f>IF(OR(A343="",B343="",C343="",L343="❌ Отменено"),0,IF(COUNTIFS($A$4:A342,A343,$B$4:B342,B343,$C$4:C342,C343,$L$4:L342,"&lt;&gt;❌ Отменено")=0,1,0))</f>
        <v/>
      </c>
    </row>
    <row r="344">
      <c r="A344" s="42" t="n"/>
      <c r="B344" s="42" t="n"/>
      <c r="C344" s="43" t="n"/>
      <c r="D344" s="43" t="n"/>
      <c r="E344" s="43" t="n"/>
      <c r="F344" s="42" t="n"/>
      <c r="G344" s="44" t="n"/>
      <c r="H344" s="45" t="n"/>
      <c r="I344" s="46">
        <f>IF(O344=1,SUMIFS(day_amt,day_year,A344,day_month,B344,day_item,C344),"")</f>
        <v/>
      </c>
      <c r="J344" s="47">
        <f>IF(H344&lt;&gt;"",H344,IF(N(I344)=0,"",I344))</f>
        <v/>
      </c>
      <c r="K344" s="48">
        <f>IF(OR(G344="",J344=""),"",G344-J344)</f>
        <v/>
      </c>
      <c r="L344" s="43" t="n"/>
      <c r="M344" s="43" t="n"/>
      <c r="N344" s="49">
        <f>IF(IFERROR(INDEX(lst_cat_wish,MATCH(D344,lst_cats,0))="Да",FALSE),MAX($N$4:N343)+1,"")</f>
        <v/>
      </c>
      <c r="O344" s="49">
        <f>IF(OR(A344="",B344="",C344="",L344="❌ Отменено"),0,IF(COUNTIFS($A$4:A343,A344,$B$4:B343,B344,$C$4:C343,C344,$L$4:L343,"&lt;&gt;❌ Отменено")=0,1,0))</f>
        <v/>
      </c>
    </row>
    <row r="345">
      <c r="A345" s="42" t="n"/>
      <c r="B345" s="42" t="n"/>
      <c r="C345" s="43" t="n"/>
      <c r="D345" s="43" t="n"/>
      <c r="E345" s="43" t="n"/>
      <c r="F345" s="42" t="n"/>
      <c r="G345" s="44" t="n"/>
      <c r="H345" s="45" t="n"/>
      <c r="I345" s="46">
        <f>IF(O345=1,SUMIFS(day_amt,day_year,A345,day_month,B345,day_item,C345),"")</f>
        <v/>
      </c>
      <c r="J345" s="47">
        <f>IF(H345&lt;&gt;"",H345,IF(N(I345)=0,"",I345))</f>
        <v/>
      </c>
      <c r="K345" s="48">
        <f>IF(OR(G345="",J345=""),"",G345-J345)</f>
        <v/>
      </c>
      <c r="L345" s="43" t="n"/>
      <c r="M345" s="43" t="n"/>
      <c r="N345" s="49">
        <f>IF(IFERROR(INDEX(lst_cat_wish,MATCH(D345,lst_cats,0))="Да",FALSE),MAX($N$4:N344)+1,"")</f>
        <v/>
      </c>
      <c r="O345" s="49">
        <f>IF(OR(A345="",B345="",C345="",L345="❌ Отменено"),0,IF(COUNTIFS($A$4:A344,A345,$B$4:B344,B345,$C$4:C344,C345,$L$4:L344,"&lt;&gt;❌ Отменено")=0,1,0))</f>
        <v/>
      </c>
    </row>
    <row r="346">
      <c r="A346" s="42" t="n"/>
      <c r="B346" s="42" t="n"/>
      <c r="C346" s="43" t="n"/>
      <c r="D346" s="43" t="n"/>
      <c r="E346" s="43" t="n"/>
      <c r="F346" s="42" t="n"/>
      <c r="G346" s="44" t="n"/>
      <c r="H346" s="45" t="n"/>
      <c r="I346" s="46">
        <f>IF(O346=1,SUMIFS(day_amt,day_year,A346,day_month,B346,day_item,C346),"")</f>
        <v/>
      </c>
      <c r="J346" s="47">
        <f>IF(H346&lt;&gt;"",H346,IF(N(I346)=0,"",I346))</f>
        <v/>
      </c>
      <c r="K346" s="48">
        <f>IF(OR(G346="",J346=""),"",G346-J346)</f>
        <v/>
      </c>
      <c r="L346" s="43" t="n"/>
      <c r="M346" s="43" t="n"/>
      <c r="N346" s="49">
        <f>IF(IFERROR(INDEX(lst_cat_wish,MATCH(D346,lst_cats,0))="Да",FALSE),MAX($N$4:N345)+1,"")</f>
        <v/>
      </c>
      <c r="O346" s="49">
        <f>IF(OR(A346="",B346="",C346="",L346="❌ Отменено"),0,IF(COUNTIFS($A$4:A345,A346,$B$4:B345,B346,$C$4:C345,C346,$L$4:L345,"&lt;&gt;❌ Отменено")=0,1,0))</f>
        <v/>
      </c>
    </row>
    <row r="347">
      <c r="A347" s="42" t="n"/>
      <c r="B347" s="42" t="n"/>
      <c r="C347" s="43" t="n"/>
      <c r="D347" s="43" t="n"/>
      <c r="E347" s="43" t="n"/>
      <c r="F347" s="42" t="n"/>
      <c r="G347" s="44" t="n"/>
      <c r="H347" s="45" t="n"/>
      <c r="I347" s="46">
        <f>IF(O347=1,SUMIFS(day_amt,day_year,A347,day_month,B347,day_item,C347),"")</f>
        <v/>
      </c>
      <c r="J347" s="47">
        <f>IF(H347&lt;&gt;"",H347,IF(N(I347)=0,"",I347))</f>
        <v/>
      </c>
      <c r="K347" s="48">
        <f>IF(OR(G347="",J347=""),"",G347-J347)</f>
        <v/>
      </c>
      <c r="L347" s="43" t="n"/>
      <c r="M347" s="43" t="n"/>
      <c r="N347" s="49">
        <f>IF(IFERROR(INDEX(lst_cat_wish,MATCH(D347,lst_cats,0))="Да",FALSE),MAX($N$4:N346)+1,"")</f>
        <v/>
      </c>
      <c r="O347" s="49">
        <f>IF(OR(A347="",B347="",C347="",L347="❌ Отменено"),0,IF(COUNTIFS($A$4:A346,A347,$B$4:B346,B347,$C$4:C346,C347,$L$4:L346,"&lt;&gt;❌ Отменено")=0,1,0))</f>
        <v/>
      </c>
    </row>
    <row r="348">
      <c r="A348" s="42" t="n"/>
      <c r="B348" s="42" t="n"/>
      <c r="C348" s="43" t="n"/>
      <c r="D348" s="43" t="n"/>
      <c r="E348" s="43" t="n"/>
      <c r="F348" s="42" t="n"/>
      <c r="G348" s="44" t="n"/>
      <c r="H348" s="45" t="n"/>
      <c r="I348" s="46">
        <f>IF(O348=1,SUMIFS(day_amt,day_year,A348,day_month,B348,day_item,C348),"")</f>
        <v/>
      </c>
      <c r="J348" s="47">
        <f>IF(H348&lt;&gt;"",H348,IF(N(I348)=0,"",I348))</f>
        <v/>
      </c>
      <c r="K348" s="48">
        <f>IF(OR(G348="",J348=""),"",G348-J348)</f>
        <v/>
      </c>
      <c r="L348" s="43" t="n"/>
      <c r="M348" s="43" t="n"/>
      <c r="N348" s="49">
        <f>IF(IFERROR(INDEX(lst_cat_wish,MATCH(D348,lst_cats,0))="Да",FALSE),MAX($N$4:N347)+1,"")</f>
        <v/>
      </c>
      <c r="O348" s="49">
        <f>IF(OR(A348="",B348="",C348="",L348="❌ Отменено"),0,IF(COUNTIFS($A$4:A347,A348,$B$4:B347,B348,$C$4:C347,C348,$L$4:L347,"&lt;&gt;❌ Отменено")=0,1,0))</f>
        <v/>
      </c>
    </row>
    <row r="349">
      <c r="A349" s="42" t="n"/>
      <c r="B349" s="42" t="n"/>
      <c r="C349" s="43" t="n"/>
      <c r="D349" s="43" t="n"/>
      <c r="E349" s="43" t="n"/>
      <c r="F349" s="42" t="n"/>
      <c r="G349" s="44" t="n"/>
      <c r="H349" s="45" t="n"/>
      <c r="I349" s="46">
        <f>IF(O349=1,SUMIFS(day_amt,day_year,A349,day_month,B349,day_item,C349),"")</f>
        <v/>
      </c>
      <c r="J349" s="47">
        <f>IF(H349&lt;&gt;"",H349,IF(N(I349)=0,"",I349))</f>
        <v/>
      </c>
      <c r="K349" s="48">
        <f>IF(OR(G349="",J349=""),"",G349-J349)</f>
        <v/>
      </c>
      <c r="L349" s="43" t="n"/>
      <c r="M349" s="43" t="n"/>
      <c r="N349" s="49">
        <f>IF(IFERROR(INDEX(lst_cat_wish,MATCH(D349,lst_cats,0))="Да",FALSE),MAX($N$4:N348)+1,"")</f>
        <v/>
      </c>
      <c r="O349" s="49">
        <f>IF(OR(A349="",B349="",C349="",L349="❌ Отменено"),0,IF(COUNTIFS($A$4:A348,A349,$B$4:B348,B349,$C$4:C348,C349,$L$4:L348,"&lt;&gt;❌ Отменено")=0,1,0))</f>
        <v/>
      </c>
    </row>
    <row r="350">
      <c r="A350" s="42" t="n"/>
      <c r="B350" s="42" t="n"/>
      <c r="C350" s="43" t="n"/>
      <c r="D350" s="43" t="n"/>
      <c r="E350" s="43" t="n"/>
      <c r="F350" s="42" t="n"/>
      <c r="G350" s="44" t="n"/>
      <c r="H350" s="45" t="n"/>
      <c r="I350" s="46">
        <f>IF(O350=1,SUMIFS(day_amt,day_year,A350,day_month,B350,day_item,C350),"")</f>
        <v/>
      </c>
      <c r="J350" s="47">
        <f>IF(H350&lt;&gt;"",H350,IF(N(I350)=0,"",I350))</f>
        <v/>
      </c>
      <c r="K350" s="48">
        <f>IF(OR(G350="",J350=""),"",G350-J350)</f>
        <v/>
      </c>
      <c r="L350" s="43" t="n"/>
      <c r="M350" s="43" t="n"/>
      <c r="N350" s="49">
        <f>IF(IFERROR(INDEX(lst_cat_wish,MATCH(D350,lst_cats,0))="Да",FALSE),MAX($N$4:N349)+1,"")</f>
        <v/>
      </c>
      <c r="O350" s="49">
        <f>IF(OR(A350="",B350="",C350="",L350="❌ Отменено"),0,IF(COUNTIFS($A$4:A349,A350,$B$4:B349,B350,$C$4:C349,C350,$L$4:L349,"&lt;&gt;❌ Отменено")=0,1,0))</f>
        <v/>
      </c>
    </row>
    <row r="351">
      <c r="A351" s="42" t="n"/>
      <c r="B351" s="42" t="n"/>
      <c r="C351" s="43" t="n"/>
      <c r="D351" s="43" t="n"/>
      <c r="E351" s="43" t="n"/>
      <c r="F351" s="42" t="n"/>
      <c r="G351" s="44" t="n"/>
      <c r="H351" s="45" t="n"/>
      <c r="I351" s="46">
        <f>IF(O351=1,SUMIFS(day_amt,day_year,A351,day_month,B351,day_item,C351),"")</f>
        <v/>
      </c>
      <c r="J351" s="47">
        <f>IF(H351&lt;&gt;"",H351,IF(N(I351)=0,"",I351))</f>
        <v/>
      </c>
      <c r="K351" s="48">
        <f>IF(OR(G351="",J351=""),"",G351-J351)</f>
        <v/>
      </c>
      <c r="L351" s="43" t="n"/>
      <c r="M351" s="43" t="n"/>
      <c r="N351" s="49">
        <f>IF(IFERROR(INDEX(lst_cat_wish,MATCH(D351,lst_cats,0))="Да",FALSE),MAX($N$4:N350)+1,"")</f>
        <v/>
      </c>
      <c r="O351" s="49">
        <f>IF(OR(A351="",B351="",C351="",L351="❌ Отменено"),0,IF(COUNTIFS($A$4:A350,A351,$B$4:B350,B351,$C$4:C350,C351,$L$4:L350,"&lt;&gt;❌ Отменено")=0,1,0))</f>
        <v/>
      </c>
    </row>
    <row r="352">
      <c r="A352" s="42" t="n"/>
      <c r="B352" s="42" t="n"/>
      <c r="C352" s="43" t="n"/>
      <c r="D352" s="43" t="n"/>
      <c r="E352" s="43" t="n"/>
      <c r="F352" s="42" t="n"/>
      <c r="G352" s="44" t="n"/>
      <c r="H352" s="45" t="n"/>
      <c r="I352" s="46">
        <f>IF(O352=1,SUMIFS(day_amt,day_year,A352,day_month,B352,day_item,C352),"")</f>
        <v/>
      </c>
      <c r="J352" s="47">
        <f>IF(H352&lt;&gt;"",H352,IF(N(I352)=0,"",I352))</f>
        <v/>
      </c>
      <c r="K352" s="48">
        <f>IF(OR(G352="",J352=""),"",G352-J352)</f>
        <v/>
      </c>
      <c r="L352" s="43" t="n"/>
      <c r="M352" s="43" t="n"/>
      <c r="N352" s="49">
        <f>IF(IFERROR(INDEX(lst_cat_wish,MATCH(D352,lst_cats,0))="Да",FALSE),MAX($N$4:N351)+1,"")</f>
        <v/>
      </c>
      <c r="O352" s="49">
        <f>IF(OR(A352="",B352="",C352="",L352="❌ Отменено"),0,IF(COUNTIFS($A$4:A351,A352,$B$4:B351,B352,$C$4:C351,C352,$L$4:L351,"&lt;&gt;❌ Отменено")=0,1,0))</f>
        <v/>
      </c>
    </row>
    <row r="353">
      <c r="A353" s="42" t="n"/>
      <c r="B353" s="42" t="n"/>
      <c r="C353" s="43" t="n"/>
      <c r="D353" s="43" t="n"/>
      <c r="E353" s="43" t="n"/>
      <c r="F353" s="42" t="n"/>
      <c r="G353" s="44" t="n"/>
      <c r="H353" s="45" t="n"/>
      <c r="I353" s="46">
        <f>IF(O353=1,SUMIFS(day_amt,day_year,A353,day_month,B353,day_item,C353),"")</f>
        <v/>
      </c>
      <c r="J353" s="47">
        <f>IF(H353&lt;&gt;"",H353,IF(N(I353)=0,"",I353))</f>
        <v/>
      </c>
      <c r="K353" s="48">
        <f>IF(OR(G353="",J353=""),"",G353-J353)</f>
        <v/>
      </c>
      <c r="L353" s="43" t="n"/>
      <c r="M353" s="43" t="n"/>
      <c r="N353" s="49">
        <f>IF(IFERROR(INDEX(lst_cat_wish,MATCH(D353,lst_cats,0))="Да",FALSE),MAX($N$4:N352)+1,"")</f>
        <v/>
      </c>
      <c r="O353" s="49">
        <f>IF(OR(A353="",B353="",C353="",L353="❌ Отменено"),0,IF(COUNTIFS($A$4:A352,A353,$B$4:B352,B353,$C$4:C352,C353,$L$4:L352,"&lt;&gt;❌ Отменено")=0,1,0))</f>
        <v/>
      </c>
    </row>
    <row r="354">
      <c r="A354" s="42" t="n"/>
      <c r="B354" s="42" t="n"/>
      <c r="C354" s="43" t="n"/>
      <c r="D354" s="43" t="n"/>
      <c r="E354" s="43" t="n"/>
      <c r="F354" s="42" t="n"/>
      <c r="G354" s="44" t="n"/>
      <c r="H354" s="45" t="n"/>
      <c r="I354" s="46">
        <f>IF(O354=1,SUMIFS(day_amt,day_year,A354,day_month,B354,day_item,C354),"")</f>
        <v/>
      </c>
      <c r="J354" s="47">
        <f>IF(H354&lt;&gt;"",H354,IF(N(I354)=0,"",I354))</f>
        <v/>
      </c>
      <c r="K354" s="48">
        <f>IF(OR(G354="",J354=""),"",G354-J354)</f>
        <v/>
      </c>
      <c r="L354" s="43" t="n"/>
      <c r="M354" s="43" t="n"/>
      <c r="N354" s="49">
        <f>IF(IFERROR(INDEX(lst_cat_wish,MATCH(D354,lst_cats,0))="Да",FALSE),MAX($N$4:N353)+1,"")</f>
        <v/>
      </c>
      <c r="O354" s="49">
        <f>IF(OR(A354="",B354="",C354="",L354="❌ Отменено"),0,IF(COUNTIFS($A$4:A353,A354,$B$4:B353,B354,$C$4:C353,C354,$L$4:L353,"&lt;&gt;❌ Отменено")=0,1,0))</f>
        <v/>
      </c>
    </row>
    <row r="355">
      <c r="A355" s="42" t="n"/>
      <c r="B355" s="42" t="n"/>
      <c r="C355" s="43" t="n"/>
      <c r="D355" s="43" t="n"/>
      <c r="E355" s="43" t="n"/>
      <c r="F355" s="42" t="n"/>
      <c r="G355" s="44" t="n"/>
      <c r="H355" s="45" t="n"/>
      <c r="I355" s="46">
        <f>IF(O355=1,SUMIFS(day_amt,day_year,A355,day_month,B355,day_item,C355),"")</f>
        <v/>
      </c>
      <c r="J355" s="47">
        <f>IF(H355&lt;&gt;"",H355,IF(N(I355)=0,"",I355))</f>
        <v/>
      </c>
      <c r="K355" s="48">
        <f>IF(OR(G355="",J355=""),"",G355-J355)</f>
        <v/>
      </c>
      <c r="L355" s="43" t="n"/>
      <c r="M355" s="43" t="n"/>
      <c r="N355" s="49">
        <f>IF(IFERROR(INDEX(lst_cat_wish,MATCH(D355,lst_cats,0))="Да",FALSE),MAX($N$4:N354)+1,"")</f>
        <v/>
      </c>
      <c r="O355" s="49">
        <f>IF(OR(A355="",B355="",C355="",L355="❌ Отменено"),0,IF(COUNTIFS($A$4:A354,A355,$B$4:B354,B355,$C$4:C354,C355,$L$4:L354,"&lt;&gt;❌ Отменено")=0,1,0))</f>
        <v/>
      </c>
    </row>
    <row r="356">
      <c r="A356" s="42" t="n"/>
      <c r="B356" s="42" t="n"/>
      <c r="C356" s="43" t="n"/>
      <c r="D356" s="43" t="n"/>
      <c r="E356" s="43" t="n"/>
      <c r="F356" s="42" t="n"/>
      <c r="G356" s="44" t="n"/>
      <c r="H356" s="45" t="n"/>
      <c r="I356" s="46">
        <f>IF(O356=1,SUMIFS(day_amt,day_year,A356,day_month,B356,day_item,C356),"")</f>
        <v/>
      </c>
      <c r="J356" s="47">
        <f>IF(H356&lt;&gt;"",H356,IF(N(I356)=0,"",I356))</f>
        <v/>
      </c>
      <c r="K356" s="48">
        <f>IF(OR(G356="",J356=""),"",G356-J356)</f>
        <v/>
      </c>
      <c r="L356" s="43" t="n"/>
      <c r="M356" s="43" t="n"/>
      <c r="N356" s="49">
        <f>IF(IFERROR(INDEX(lst_cat_wish,MATCH(D356,lst_cats,0))="Да",FALSE),MAX($N$4:N355)+1,"")</f>
        <v/>
      </c>
      <c r="O356" s="49">
        <f>IF(OR(A356="",B356="",C356="",L356="❌ Отменено"),0,IF(COUNTIFS($A$4:A355,A356,$B$4:B355,B356,$C$4:C355,C356,$L$4:L355,"&lt;&gt;❌ Отменено")=0,1,0))</f>
        <v/>
      </c>
    </row>
    <row r="357">
      <c r="A357" s="42" t="n"/>
      <c r="B357" s="42" t="n"/>
      <c r="C357" s="43" t="n"/>
      <c r="D357" s="43" t="n"/>
      <c r="E357" s="43" t="n"/>
      <c r="F357" s="42" t="n"/>
      <c r="G357" s="44" t="n"/>
      <c r="H357" s="45" t="n"/>
      <c r="I357" s="46">
        <f>IF(O357=1,SUMIFS(day_amt,day_year,A357,day_month,B357,day_item,C357),"")</f>
        <v/>
      </c>
      <c r="J357" s="47">
        <f>IF(H357&lt;&gt;"",H357,IF(N(I357)=0,"",I357))</f>
        <v/>
      </c>
      <c r="K357" s="48">
        <f>IF(OR(G357="",J357=""),"",G357-J357)</f>
        <v/>
      </c>
      <c r="L357" s="43" t="n"/>
      <c r="M357" s="43" t="n"/>
      <c r="N357" s="49">
        <f>IF(IFERROR(INDEX(lst_cat_wish,MATCH(D357,lst_cats,0))="Да",FALSE),MAX($N$4:N356)+1,"")</f>
        <v/>
      </c>
      <c r="O357" s="49">
        <f>IF(OR(A357="",B357="",C357="",L357="❌ Отменено"),0,IF(COUNTIFS($A$4:A356,A357,$B$4:B356,B357,$C$4:C356,C357,$L$4:L356,"&lt;&gt;❌ Отменено")=0,1,0))</f>
        <v/>
      </c>
    </row>
    <row r="358">
      <c r="A358" s="42" t="n"/>
      <c r="B358" s="42" t="n"/>
      <c r="C358" s="43" t="n"/>
      <c r="D358" s="43" t="n"/>
      <c r="E358" s="43" t="n"/>
      <c r="F358" s="42" t="n"/>
      <c r="G358" s="44" t="n"/>
      <c r="H358" s="45" t="n"/>
      <c r="I358" s="46">
        <f>IF(O358=1,SUMIFS(day_amt,day_year,A358,day_month,B358,day_item,C358),"")</f>
        <v/>
      </c>
      <c r="J358" s="47">
        <f>IF(H358&lt;&gt;"",H358,IF(N(I358)=0,"",I358))</f>
        <v/>
      </c>
      <c r="K358" s="48">
        <f>IF(OR(G358="",J358=""),"",G358-J358)</f>
        <v/>
      </c>
      <c r="L358" s="43" t="n"/>
      <c r="M358" s="43" t="n"/>
      <c r="N358" s="49">
        <f>IF(IFERROR(INDEX(lst_cat_wish,MATCH(D358,lst_cats,0))="Да",FALSE),MAX($N$4:N357)+1,"")</f>
        <v/>
      </c>
      <c r="O358" s="49">
        <f>IF(OR(A358="",B358="",C358="",L358="❌ Отменено"),0,IF(COUNTIFS($A$4:A357,A358,$B$4:B357,B358,$C$4:C357,C358,$L$4:L357,"&lt;&gt;❌ Отменено")=0,1,0))</f>
        <v/>
      </c>
    </row>
    <row r="359">
      <c r="A359" s="42" t="n"/>
      <c r="B359" s="42" t="n"/>
      <c r="C359" s="43" t="n"/>
      <c r="D359" s="43" t="n"/>
      <c r="E359" s="43" t="n"/>
      <c r="F359" s="42" t="n"/>
      <c r="G359" s="44" t="n"/>
      <c r="H359" s="45" t="n"/>
      <c r="I359" s="46">
        <f>IF(O359=1,SUMIFS(day_amt,day_year,A359,day_month,B359,day_item,C359),"")</f>
        <v/>
      </c>
      <c r="J359" s="47">
        <f>IF(H359&lt;&gt;"",H359,IF(N(I359)=0,"",I359))</f>
        <v/>
      </c>
      <c r="K359" s="48">
        <f>IF(OR(G359="",J359=""),"",G359-J359)</f>
        <v/>
      </c>
      <c r="L359" s="43" t="n"/>
      <c r="M359" s="43" t="n"/>
      <c r="N359" s="49">
        <f>IF(IFERROR(INDEX(lst_cat_wish,MATCH(D359,lst_cats,0))="Да",FALSE),MAX($N$4:N358)+1,"")</f>
        <v/>
      </c>
      <c r="O359" s="49">
        <f>IF(OR(A359="",B359="",C359="",L359="❌ Отменено"),0,IF(COUNTIFS($A$4:A358,A359,$B$4:B358,B359,$C$4:C358,C359,$L$4:L358,"&lt;&gt;❌ Отменено")=0,1,0))</f>
        <v/>
      </c>
    </row>
    <row r="360">
      <c r="A360" s="42" t="n"/>
      <c r="B360" s="42" t="n"/>
      <c r="C360" s="43" t="n"/>
      <c r="D360" s="43" t="n"/>
      <c r="E360" s="43" t="n"/>
      <c r="F360" s="42" t="n"/>
      <c r="G360" s="44" t="n"/>
      <c r="H360" s="45" t="n"/>
      <c r="I360" s="46">
        <f>IF(O360=1,SUMIFS(day_amt,day_year,A360,day_month,B360,day_item,C360),"")</f>
        <v/>
      </c>
      <c r="J360" s="47">
        <f>IF(H360&lt;&gt;"",H360,IF(N(I360)=0,"",I360))</f>
        <v/>
      </c>
      <c r="K360" s="48">
        <f>IF(OR(G360="",J360=""),"",G360-J360)</f>
        <v/>
      </c>
      <c r="L360" s="43" t="n"/>
      <c r="M360" s="43" t="n"/>
      <c r="N360" s="49">
        <f>IF(IFERROR(INDEX(lst_cat_wish,MATCH(D360,lst_cats,0))="Да",FALSE),MAX($N$4:N359)+1,"")</f>
        <v/>
      </c>
      <c r="O360" s="49">
        <f>IF(OR(A360="",B360="",C360="",L360="❌ Отменено"),0,IF(COUNTIFS($A$4:A359,A360,$B$4:B359,B360,$C$4:C359,C360,$L$4:L359,"&lt;&gt;❌ Отменено")=0,1,0))</f>
        <v/>
      </c>
    </row>
    <row r="361">
      <c r="A361" s="42" t="n"/>
      <c r="B361" s="42" t="n"/>
      <c r="C361" s="43" t="n"/>
      <c r="D361" s="43" t="n"/>
      <c r="E361" s="43" t="n"/>
      <c r="F361" s="42" t="n"/>
      <c r="G361" s="44" t="n"/>
      <c r="H361" s="45" t="n"/>
      <c r="I361" s="46">
        <f>IF(O361=1,SUMIFS(day_amt,day_year,A361,day_month,B361,day_item,C361),"")</f>
        <v/>
      </c>
      <c r="J361" s="47">
        <f>IF(H361&lt;&gt;"",H361,IF(N(I361)=0,"",I361))</f>
        <v/>
      </c>
      <c r="K361" s="48">
        <f>IF(OR(G361="",J361=""),"",G361-J361)</f>
        <v/>
      </c>
      <c r="L361" s="43" t="n"/>
      <c r="M361" s="43" t="n"/>
      <c r="N361" s="49">
        <f>IF(IFERROR(INDEX(lst_cat_wish,MATCH(D361,lst_cats,0))="Да",FALSE),MAX($N$4:N360)+1,"")</f>
        <v/>
      </c>
      <c r="O361" s="49">
        <f>IF(OR(A361="",B361="",C361="",L361="❌ Отменено"),0,IF(COUNTIFS($A$4:A360,A361,$B$4:B360,B361,$C$4:C360,C361,$L$4:L360,"&lt;&gt;❌ Отменено")=0,1,0))</f>
        <v/>
      </c>
    </row>
    <row r="362">
      <c r="A362" s="42" t="n"/>
      <c r="B362" s="42" t="n"/>
      <c r="C362" s="43" t="n"/>
      <c r="D362" s="43" t="n"/>
      <c r="E362" s="43" t="n"/>
      <c r="F362" s="42" t="n"/>
      <c r="G362" s="44" t="n"/>
      <c r="H362" s="45" t="n"/>
      <c r="I362" s="46">
        <f>IF(O362=1,SUMIFS(day_amt,day_year,A362,day_month,B362,day_item,C362),"")</f>
        <v/>
      </c>
      <c r="J362" s="47">
        <f>IF(H362&lt;&gt;"",H362,IF(N(I362)=0,"",I362))</f>
        <v/>
      </c>
      <c r="K362" s="48">
        <f>IF(OR(G362="",J362=""),"",G362-J362)</f>
        <v/>
      </c>
      <c r="L362" s="43" t="n"/>
      <c r="M362" s="43" t="n"/>
      <c r="N362" s="49">
        <f>IF(IFERROR(INDEX(lst_cat_wish,MATCH(D362,lst_cats,0))="Да",FALSE),MAX($N$4:N361)+1,"")</f>
        <v/>
      </c>
      <c r="O362" s="49">
        <f>IF(OR(A362="",B362="",C362="",L362="❌ Отменено"),0,IF(COUNTIFS($A$4:A361,A362,$B$4:B361,B362,$C$4:C361,C362,$L$4:L361,"&lt;&gt;❌ Отменено")=0,1,0))</f>
        <v/>
      </c>
    </row>
    <row r="363">
      <c r="A363" s="42" t="n"/>
      <c r="B363" s="42" t="n"/>
      <c r="C363" s="43" t="n"/>
      <c r="D363" s="43" t="n"/>
      <c r="E363" s="43" t="n"/>
      <c r="F363" s="42" t="n"/>
      <c r="G363" s="44" t="n"/>
      <c r="H363" s="45" t="n"/>
      <c r="I363" s="46">
        <f>IF(O363=1,SUMIFS(day_amt,day_year,A363,day_month,B363,day_item,C363),"")</f>
        <v/>
      </c>
      <c r="J363" s="47">
        <f>IF(H363&lt;&gt;"",H363,IF(N(I363)=0,"",I363))</f>
        <v/>
      </c>
      <c r="K363" s="48">
        <f>IF(OR(G363="",J363=""),"",G363-J363)</f>
        <v/>
      </c>
      <c r="L363" s="43" t="n"/>
      <c r="M363" s="43" t="n"/>
      <c r="N363" s="49">
        <f>IF(IFERROR(INDEX(lst_cat_wish,MATCH(D363,lst_cats,0))="Да",FALSE),MAX($N$4:N362)+1,"")</f>
        <v/>
      </c>
      <c r="O363" s="49">
        <f>IF(OR(A363="",B363="",C363="",L363="❌ Отменено"),0,IF(COUNTIFS($A$4:A362,A363,$B$4:B362,B363,$C$4:C362,C363,$L$4:L362,"&lt;&gt;❌ Отменено")=0,1,0))</f>
        <v/>
      </c>
    </row>
    <row r="364">
      <c r="A364" s="42" t="n"/>
      <c r="B364" s="42" t="n"/>
      <c r="C364" s="43" t="n"/>
      <c r="D364" s="43" t="n"/>
      <c r="E364" s="43" t="n"/>
      <c r="F364" s="42" t="n"/>
      <c r="G364" s="44" t="n"/>
      <c r="H364" s="45" t="n"/>
      <c r="I364" s="46">
        <f>IF(O364=1,SUMIFS(day_amt,day_year,A364,day_month,B364,day_item,C364),"")</f>
        <v/>
      </c>
      <c r="J364" s="47">
        <f>IF(H364&lt;&gt;"",H364,IF(N(I364)=0,"",I364))</f>
        <v/>
      </c>
      <c r="K364" s="48">
        <f>IF(OR(G364="",J364=""),"",G364-J364)</f>
        <v/>
      </c>
      <c r="L364" s="43" t="n"/>
      <c r="M364" s="43" t="n"/>
      <c r="N364" s="49">
        <f>IF(IFERROR(INDEX(lst_cat_wish,MATCH(D364,lst_cats,0))="Да",FALSE),MAX($N$4:N363)+1,"")</f>
        <v/>
      </c>
      <c r="O364" s="49">
        <f>IF(OR(A364="",B364="",C364="",L364="❌ Отменено"),0,IF(COUNTIFS($A$4:A363,A364,$B$4:B363,B364,$C$4:C363,C364,$L$4:L363,"&lt;&gt;❌ Отменено")=0,1,0))</f>
        <v/>
      </c>
    </row>
    <row r="365">
      <c r="A365" s="42" t="n"/>
      <c r="B365" s="42" t="n"/>
      <c r="C365" s="43" t="n"/>
      <c r="D365" s="43" t="n"/>
      <c r="E365" s="43" t="n"/>
      <c r="F365" s="42" t="n"/>
      <c r="G365" s="44" t="n"/>
      <c r="H365" s="45" t="n"/>
      <c r="I365" s="46">
        <f>IF(O365=1,SUMIFS(day_amt,day_year,A365,day_month,B365,day_item,C365),"")</f>
        <v/>
      </c>
      <c r="J365" s="47">
        <f>IF(H365&lt;&gt;"",H365,IF(N(I365)=0,"",I365))</f>
        <v/>
      </c>
      <c r="K365" s="48">
        <f>IF(OR(G365="",J365=""),"",G365-J365)</f>
        <v/>
      </c>
      <c r="L365" s="43" t="n"/>
      <c r="M365" s="43" t="n"/>
      <c r="N365" s="49">
        <f>IF(IFERROR(INDEX(lst_cat_wish,MATCH(D365,lst_cats,0))="Да",FALSE),MAX($N$4:N364)+1,"")</f>
        <v/>
      </c>
      <c r="O365" s="49">
        <f>IF(OR(A365="",B365="",C365="",L365="❌ Отменено"),0,IF(COUNTIFS($A$4:A364,A365,$B$4:B364,B365,$C$4:C364,C365,$L$4:L364,"&lt;&gt;❌ Отменено")=0,1,0))</f>
        <v/>
      </c>
    </row>
    <row r="366">
      <c r="A366" s="42" t="n"/>
      <c r="B366" s="42" t="n"/>
      <c r="C366" s="43" t="n"/>
      <c r="D366" s="43" t="n"/>
      <c r="E366" s="43" t="n"/>
      <c r="F366" s="42" t="n"/>
      <c r="G366" s="44" t="n"/>
      <c r="H366" s="45" t="n"/>
      <c r="I366" s="46">
        <f>IF(O366=1,SUMIFS(day_amt,day_year,A366,day_month,B366,day_item,C366),"")</f>
        <v/>
      </c>
      <c r="J366" s="47">
        <f>IF(H366&lt;&gt;"",H366,IF(N(I366)=0,"",I366))</f>
        <v/>
      </c>
      <c r="K366" s="48">
        <f>IF(OR(G366="",J366=""),"",G366-J366)</f>
        <v/>
      </c>
      <c r="L366" s="43" t="n"/>
      <c r="M366" s="43" t="n"/>
      <c r="N366" s="49">
        <f>IF(IFERROR(INDEX(lst_cat_wish,MATCH(D366,lst_cats,0))="Да",FALSE),MAX($N$4:N365)+1,"")</f>
        <v/>
      </c>
      <c r="O366" s="49">
        <f>IF(OR(A366="",B366="",C366="",L366="❌ Отменено"),0,IF(COUNTIFS($A$4:A365,A366,$B$4:B365,B366,$C$4:C365,C366,$L$4:L365,"&lt;&gt;❌ Отменено")=0,1,0))</f>
        <v/>
      </c>
    </row>
    <row r="367">
      <c r="A367" s="42" t="n"/>
      <c r="B367" s="42" t="n"/>
      <c r="C367" s="43" t="n"/>
      <c r="D367" s="43" t="n"/>
      <c r="E367" s="43" t="n"/>
      <c r="F367" s="42" t="n"/>
      <c r="G367" s="44" t="n"/>
      <c r="H367" s="45" t="n"/>
      <c r="I367" s="46">
        <f>IF(O367=1,SUMIFS(day_amt,day_year,A367,day_month,B367,day_item,C367),"")</f>
        <v/>
      </c>
      <c r="J367" s="47">
        <f>IF(H367&lt;&gt;"",H367,IF(N(I367)=0,"",I367))</f>
        <v/>
      </c>
      <c r="K367" s="48">
        <f>IF(OR(G367="",J367=""),"",G367-J367)</f>
        <v/>
      </c>
      <c r="L367" s="43" t="n"/>
      <c r="M367" s="43" t="n"/>
      <c r="N367" s="49">
        <f>IF(IFERROR(INDEX(lst_cat_wish,MATCH(D367,lst_cats,0))="Да",FALSE),MAX($N$4:N366)+1,"")</f>
        <v/>
      </c>
      <c r="O367" s="49">
        <f>IF(OR(A367="",B367="",C367="",L367="❌ Отменено"),0,IF(COUNTIFS($A$4:A366,A367,$B$4:B366,B367,$C$4:C366,C367,$L$4:L366,"&lt;&gt;❌ Отменено")=0,1,0))</f>
        <v/>
      </c>
    </row>
    <row r="368">
      <c r="A368" s="42" t="n"/>
      <c r="B368" s="42" t="n"/>
      <c r="C368" s="43" t="n"/>
      <c r="D368" s="43" t="n"/>
      <c r="E368" s="43" t="n"/>
      <c r="F368" s="42" t="n"/>
      <c r="G368" s="44" t="n"/>
      <c r="H368" s="45" t="n"/>
      <c r="I368" s="46">
        <f>IF(O368=1,SUMIFS(day_amt,day_year,A368,day_month,B368,day_item,C368),"")</f>
        <v/>
      </c>
      <c r="J368" s="47">
        <f>IF(H368&lt;&gt;"",H368,IF(N(I368)=0,"",I368))</f>
        <v/>
      </c>
      <c r="K368" s="48">
        <f>IF(OR(G368="",J368=""),"",G368-J368)</f>
        <v/>
      </c>
      <c r="L368" s="43" t="n"/>
      <c r="M368" s="43" t="n"/>
      <c r="N368" s="49">
        <f>IF(IFERROR(INDEX(lst_cat_wish,MATCH(D368,lst_cats,0))="Да",FALSE),MAX($N$4:N367)+1,"")</f>
        <v/>
      </c>
      <c r="O368" s="49">
        <f>IF(OR(A368="",B368="",C368="",L368="❌ Отменено"),0,IF(COUNTIFS($A$4:A367,A368,$B$4:B367,B368,$C$4:C367,C368,$L$4:L367,"&lt;&gt;❌ Отменено")=0,1,0))</f>
        <v/>
      </c>
    </row>
    <row r="369">
      <c r="A369" s="42" t="n"/>
      <c r="B369" s="42" t="n"/>
      <c r="C369" s="43" t="n"/>
      <c r="D369" s="43" t="n"/>
      <c r="E369" s="43" t="n"/>
      <c r="F369" s="42" t="n"/>
      <c r="G369" s="44" t="n"/>
      <c r="H369" s="45" t="n"/>
      <c r="I369" s="46">
        <f>IF(O369=1,SUMIFS(day_amt,day_year,A369,day_month,B369,day_item,C369),"")</f>
        <v/>
      </c>
      <c r="J369" s="47">
        <f>IF(H369&lt;&gt;"",H369,IF(N(I369)=0,"",I369))</f>
        <v/>
      </c>
      <c r="K369" s="48">
        <f>IF(OR(G369="",J369=""),"",G369-J369)</f>
        <v/>
      </c>
      <c r="L369" s="43" t="n"/>
      <c r="M369" s="43" t="n"/>
      <c r="N369" s="49">
        <f>IF(IFERROR(INDEX(lst_cat_wish,MATCH(D369,lst_cats,0))="Да",FALSE),MAX($N$4:N368)+1,"")</f>
        <v/>
      </c>
      <c r="O369" s="49">
        <f>IF(OR(A369="",B369="",C369="",L369="❌ Отменено"),0,IF(COUNTIFS($A$4:A368,A369,$B$4:B368,B369,$C$4:C368,C369,$L$4:L368,"&lt;&gt;❌ Отменено")=0,1,0))</f>
        <v/>
      </c>
    </row>
    <row r="370">
      <c r="A370" s="42" t="n"/>
      <c r="B370" s="42" t="n"/>
      <c r="C370" s="43" t="n"/>
      <c r="D370" s="43" t="n"/>
      <c r="E370" s="43" t="n"/>
      <c r="F370" s="42" t="n"/>
      <c r="G370" s="44" t="n"/>
      <c r="H370" s="45" t="n"/>
      <c r="I370" s="46">
        <f>IF(O370=1,SUMIFS(day_amt,day_year,A370,day_month,B370,day_item,C370),"")</f>
        <v/>
      </c>
      <c r="J370" s="47">
        <f>IF(H370&lt;&gt;"",H370,IF(N(I370)=0,"",I370))</f>
        <v/>
      </c>
      <c r="K370" s="48">
        <f>IF(OR(G370="",J370=""),"",G370-J370)</f>
        <v/>
      </c>
      <c r="L370" s="43" t="n"/>
      <c r="M370" s="43" t="n"/>
      <c r="N370" s="49">
        <f>IF(IFERROR(INDEX(lst_cat_wish,MATCH(D370,lst_cats,0))="Да",FALSE),MAX($N$4:N369)+1,"")</f>
        <v/>
      </c>
      <c r="O370" s="49">
        <f>IF(OR(A370="",B370="",C370="",L370="❌ Отменено"),0,IF(COUNTIFS($A$4:A369,A370,$B$4:B369,B370,$C$4:C369,C370,$L$4:L369,"&lt;&gt;❌ Отменено")=0,1,0))</f>
        <v/>
      </c>
    </row>
    <row r="371">
      <c r="A371" s="42" t="n"/>
      <c r="B371" s="42" t="n"/>
      <c r="C371" s="43" t="n"/>
      <c r="D371" s="43" t="n"/>
      <c r="E371" s="43" t="n"/>
      <c r="F371" s="42" t="n"/>
      <c r="G371" s="44" t="n"/>
      <c r="H371" s="45" t="n"/>
      <c r="I371" s="46">
        <f>IF(O371=1,SUMIFS(day_amt,day_year,A371,day_month,B371,day_item,C371),"")</f>
        <v/>
      </c>
      <c r="J371" s="47">
        <f>IF(H371&lt;&gt;"",H371,IF(N(I371)=0,"",I371))</f>
        <v/>
      </c>
      <c r="K371" s="48">
        <f>IF(OR(G371="",J371=""),"",G371-J371)</f>
        <v/>
      </c>
      <c r="L371" s="43" t="n"/>
      <c r="M371" s="43" t="n"/>
      <c r="N371" s="49">
        <f>IF(IFERROR(INDEX(lst_cat_wish,MATCH(D371,lst_cats,0))="Да",FALSE),MAX($N$4:N370)+1,"")</f>
        <v/>
      </c>
      <c r="O371" s="49">
        <f>IF(OR(A371="",B371="",C371="",L371="❌ Отменено"),0,IF(COUNTIFS($A$4:A370,A371,$B$4:B370,B371,$C$4:C370,C371,$L$4:L370,"&lt;&gt;❌ Отменено")=0,1,0))</f>
        <v/>
      </c>
    </row>
    <row r="372">
      <c r="A372" s="42" t="n"/>
      <c r="B372" s="42" t="n"/>
      <c r="C372" s="43" t="n"/>
      <c r="D372" s="43" t="n"/>
      <c r="E372" s="43" t="n"/>
      <c r="F372" s="42" t="n"/>
      <c r="G372" s="44" t="n"/>
      <c r="H372" s="45" t="n"/>
      <c r="I372" s="46">
        <f>IF(O372=1,SUMIFS(day_amt,day_year,A372,day_month,B372,day_item,C372),"")</f>
        <v/>
      </c>
      <c r="J372" s="47">
        <f>IF(H372&lt;&gt;"",H372,IF(N(I372)=0,"",I372))</f>
        <v/>
      </c>
      <c r="K372" s="48">
        <f>IF(OR(G372="",J372=""),"",G372-J372)</f>
        <v/>
      </c>
      <c r="L372" s="43" t="n"/>
      <c r="M372" s="43" t="n"/>
      <c r="N372" s="49">
        <f>IF(IFERROR(INDEX(lst_cat_wish,MATCH(D372,lst_cats,0))="Да",FALSE),MAX($N$4:N371)+1,"")</f>
        <v/>
      </c>
      <c r="O372" s="49">
        <f>IF(OR(A372="",B372="",C372="",L372="❌ Отменено"),0,IF(COUNTIFS($A$4:A371,A372,$B$4:B371,B372,$C$4:C371,C372,$L$4:L371,"&lt;&gt;❌ Отменено")=0,1,0))</f>
        <v/>
      </c>
    </row>
    <row r="373">
      <c r="A373" s="42" t="n"/>
      <c r="B373" s="42" t="n"/>
      <c r="C373" s="43" t="n"/>
      <c r="D373" s="43" t="n"/>
      <c r="E373" s="43" t="n"/>
      <c r="F373" s="42" t="n"/>
      <c r="G373" s="44" t="n"/>
      <c r="H373" s="45" t="n"/>
      <c r="I373" s="46">
        <f>IF(O373=1,SUMIFS(day_amt,day_year,A373,day_month,B373,day_item,C373),"")</f>
        <v/>
      </c>
      <c r="J373" s="47">
        <f>IF(H373&lt;&gt;"",H373,IF(N(I373)=0,"",I373))</f>
        <v/>
      </c>
      <c r="K373" s="48">
        <f>IF(OR(G373="",J373=""),"",G373-J373)</f>
        <v/>
      </c>
      <c r="L373" s="43" t="n"/>
      <c r="M373" s="43" t="n"/>
      <c r="N373" s="49">
        <f>IF(IFERROR(INDEX(lst_cat_wish,MATCH(D373,lst_cats,0))="Да",FALSE),MAX($N$4:N372)+1,"")</f>
        <v/>
      </c>
      <c r="O373" s="49">
        <f>IF(OR(A373="",B373="",C373="",L373="❌ Отменено"),0,IF(COUNTIFS($A$4:A372,A373,$B$4:B372,B373,$C$4:C372,C373,$L$4:L372,"&lt;&gt;❌ Отменено")=0,1,0))</f>
        <v/>
      </c>
    </row>
    <row r="374">
      <c r="A374" s="42" t="n"/>
      <c r="B374" s="42" t="n"/>
      <c r="C374" s="43" t="n"/>
      <c r="D374" s="43" t="n"/>
      <c r="E374" s="43" t="n"/>
      <c r="F374" s="42" t="n"/>
      <c r="G374" s="44" t="n"/>
      <c r="H374" s="45" t="n"/>
      <c r="I374" s="46">
        <f>IF(O374=1,SUMIFS(day_amt,day_year,A374,day_month,B374,day_item,C374),"")</f>
        <v/>
      </c>
      <c r="J374" s="47">
        <f>IF(H374&lt;&gt;"",H374,IF(N(I374)=0,"",I374))</f>
        <v/>
      </c>
      <c r="K374" s="48">
        <f>IF(OR(G374="",J374=""),"",G374-J374)</f>
        <v/>
      </c>
      <c r="L374" s="43" t="n"/>
      <c r="M374" s="43" t="n"/>
      <c r="N374" s="49">
        <f>IF(IFERROR(INDEX(lst_cat_wish,MATCH(D374,lst_cats,0))="Да",FALSE),MAX($N$4:N373)+1,"")</f>
        <v/>
      </c>
      <c r="O374" s="49">
        <f>IF(OR(A374="",B374="",C374="",L374="❌ Отменено"),0,IF(COUNTIFS($A$4:A373,A374,$B$4:B373,B374,$C$4:C373,C374,$L$4:L373,"&lt;&gt;❌ Отменено")=0,1,0))</f>
        <v/>
      </c>
    </row>
    <row r="375">
      <c r="A375" s="42" t="n"/>
      <c r="B375" s="42" t="n"/>
      <c r="C375" s="43" t="n"/>
      <c r="D375" s="43" t="n"/>
      <c r="E375" s="43" t="n"/>
      <c r="F375" s="42" t="n"/>
      <c r="G375" s="44" t="n"/>
      <c r="H375" s="45" t="n"/>
      <c r="I375" s="46">
        <f>IF(O375=1,SUMIFS(day_amt,day_year,A375,day_month,B375,day_item,C375),"")</f>
        <v/>
      </c>
      <c r="J375" s="47">
        <f>IF(H375&lt;&gt;"",H375,IF(N(I375)=0,"",I375))</f>
        <v/>
      </c>
      <c r="K375" s="48">
        <f>IF(OR(G375="",J375=""),"",G375-J375)</f>
        <v/>
      </c>
      <c r="L375" s="43" t="n"/>
      <c r="M375" s="43" t="n"/>
      <c r="N375" s="49">
        <f>IF(IFERROR(INDEX(lst_cat_wish,MATCH(D375,lst_cats,0))="Да",FALSE),MAX($N$4:N374)+1,"")</f>
        <v/>
      </c>
      <c r="O375" s="49">
        <f>IF(OR(A375="",B375="",C375="",L375="❌ Отменено"),0,IF(COUNTIFS($A$4:A374,A375,$B$4:B374,B375,$C$4:C374,C375,$L$4:L374,"&lt;&gt;❌ Отменено")=0,1,0))</f>
        <v/>
      </c>
    </row>
    <row r="376">
      <c r="A376" s="42" t="n"/>
      <c r="B376" s="42" t="n"/>
      <c r="C376" s="43" t="n"/>
      <c r="D376" s="43" t="n"/>
      <c r="E376" s="43" t="n"/>
      <c r="F376" s="42" t="n"/>
      <c r="G376" s="44" t="n"/>
      <c r="H376" s="45" t="n"/>
      <c r="I376" s="46">
        <f>IF(O376=1,SUMIFS(day_amt,day_year,A376,day_month,B376,day_item,C376),"")</f>
        <v/>
      </c>
      <c r="J376" s="47">
        <f>IF(H376&lt;&gt;"",H376,IF(N(I376)=0,"",I376))</f>
        <v/>
      </c>
      <c r="K376" s="48">
        <f>IF(OR(G376="",J376=""),"",G376-J376)</f>
        <v/>
      </c>
      <c r="L376" s="43" t="n"/>
      <c r="M376" s="43" t="n"/>
      <c r="N376" s="49">
        <f>IF(IFERROR(INDEX(lst_cat_wish,MATCH(D376,lst_cats,0))="Да",FALSE),MAX($N$4:N375)+1,"")</f>
        <v/>
      </c>
      <c r="O376" s="49">
        <f>IF(OR(A376="",B376="",C376="",L376="❌ Отменено"),0,IF(COUNTIFS($A$4:A375,A376,$B$4:B375,B376,$C$4:C375,C376,$L$4:L375,"&lt;&gt;❌ Отменено")=0,1,0))</f>
        <v/>
      </c>
    </row>
    <row r="377">
      <c r="A377" s="42" t="n"/>
      <c r="B377" s="42" t="n"/>
      <c r="C377" s="43" t="n"/>
      <c r="D377" s="43" t="n"/>
      <c r="E377" s="43" t="n"/>
      <c r="F377" s="42" t="n"/>
      <c r="G377" s="44" t="n"/>
      <c r="H377" s="45" t="n"/>
      <c r="I377" s="46">
        <f>IF(O377=1,SUMIFS(day_amt,day_year,A377,day_month,B377,day_item,C377),"")</f>
        <v/>
      </c>
      <c r="J377" s="47">
        <f>IF(H377&lt;&gt;"",H377,IF(N(I377)=0,"",I377))</f>
        <v/>
      </c>
      <c r="K377" s="48">
        <f>IF(OR(G377="",J377=""),"",G377-J377)</f>
        <v/>
      </c>
      <c r="L377" s="43" t="n"/>
      <c r="M377" s="43" t="n"/>
      <c r="N377" s="49">
        <f>IF(IFERROR(INDEX(lst_cat_wish,MATCH(D377,lst_cats,0))="Да",FALSE),MAX($N$4:N376)+1,"")</f>
        <v/>
      </c>
      <c r="O377" s="49">
        <f>IF(OR(A377="",B377="",C377="",L377="❌ Отменено"),0,IF(COUNTIFS($A$4:A376,A377,$B$4:B376,B377,$C$4:C376,C377,$L$4:L376,"&lt;&gt;❌ Отменено")=0,1,0))</f>
        <v/>
      </c>
    </row>
    <row r="378">
      <c r="A378" s="42" t="n"/>
      <c r="B378" s="42" t="n"/>
      <c r="C378" s="43" t="n"/>
      <c r="D378" s="43" t="n"/>
      <c r="E378" s="43" t="n"/>
      <c r="F378" s="42" t="n"/>
      <c r="G378" s="44" t="n"/>
      <c r="H378" s="45" t="n"/>
      <c r="I378" s="46">
        <f>IF(O378=1,SUMIFS(day_amt,day_year,A378,day_month,B378,day_item,C378),"")</f>
        <v/>
      </c>
      <c r="J378" s="47">
        <f>IF(H378&lt;&gt;"",H378,IF(N(I378)=0,"",I378))</f>
        <v/>
      </c>
      <c r="K378" s="48">
        <f>IF(OR(G378="",J378=""),"",G378-J378)</f>
        <v/>
      </c>
      <c r="L378" s="43" t="n"/>
      <c r="M378" s="43" t="n"/>
      <c r="N378" s="49">
        <f>IF(IFERROR(INDEX(lst_cat_wish,MATCH(D378,lst_cats,0))="Да",FALSE),MAX($N$4:N377)+1,"")</f>
        <v/>
      </c>
      <c r="O378" s="49">
        <f>IF(OR(A378="",B378="",C378="",L378="❌ Отменено"),0,IF(COUNTIFS($A$4:A377,A378,$B$4:B377,B378,$C$4:C377,C378,$L$4:L377,"&lt;&gt;❌ Отменено")=0,1,0))</f>
        <v/>
      </c>
    </row>
    <row r="379">
      <c r="A379" s="42" t="n"/>
      <c r="B379" s="42" t="n"/>
      <c r="C379" s="43" t="n"/>
      <c r="D379" s="43" t="n"/>
      <c r="E379" s="43" t="n"/>
      <c r="F379" s="42" t="n"/>
      <c r="G379" s="44" t="n"/>
      <c r="H379" s="45" t="n"/>
      <c r="I379" s="46">
        <f>IF(O379=1,SUMIFS(day_amt,day_year,A379,day_month,B379,day_item,C379),"")</f>
        <v/>
      </c>
      <c r="J379" s="47">
        <f>IF(H379&lt;&gt;"",H379,IF(N(I379)=0,"",I379))</f>
        <v/>
      </c>
      <c r="K379" s="48">
        <f>IF(OR(G379="",J379=""),"",G379-J379)</f>
        <v/>
      </c>
      <c r="L379" s="43" t="n"/>
      <c r="M379" s="43" t="n"/>
      <c r="N379" s="49">
        <f>IF(IFERROR(INDEX(lst_cat_wish,MATCH(D379,lst_cats,0))="Да",FALSE),MAX($N$4:N378)+1,"")</f>
        <v/>
      </c>
      <c r="O379" s="49">
        <f>IF(OR(A379="",B379="",C379="",L379="❌ Отменено"),0,IF(COUNTIFS($A$4:A378,A379,$B$4:B378,B379,$C$4:C378,C379,$L$4:L378,"&lt;&gt;❌ Отменено")=0,1,0))</f>
        <v/>
      </c>
    </row>
    <row r="380">
      <c r="A380" s="42" t="n"/>
      <c r="B380" s="42" t="n"/>
      <c r="C380" s="43" t="n"/>
      <c r="D380" s="43" t="n"/>
      <c r="E380" s="43" t="n"/>
      <c r="F380" s="42" t="n"/>
      <c r="G380" s="44" t="n"/>
      <c r="H380" s="45" t="n"/>
      <c r="I380" s="46">
        <f>IF(O380=1,SUMIFS(day_amt,day_year,A380,day_month,B380,day_item,C380),"")</f>
        <v/>
      </c>
      <c r="J380" s="47">
        <f>IF(H380&lt;&gt;"",H380,IF(N(I380)=0,"",I380))</f>
        <v/>
      </c>
      <c r="K380" s="48">
        <f>IF(OR(G380="",J380=""),"",G380-J380)</f>
        <v/>
      </c>
      <c r="L380" s="43" t="n"/>
      <c r="M380" s="43" t="n"/>
      <c r="N380" s="49">
        <f>IF(IFERROR(INDEX(lst_cat_wish,MATCH(D380,lst_cats,0))="Да",FALSE),MAX($N$4:N379)+1,"")</f>
        <v/>
      </c>
      <c r="O380" s="49">
        <f>IF(OR(A380="",B380="",C380="",L380="❌ Отменено"),0,IF(COUNTIFS($A$4:A379,A380,$B$4:B379,B380,$C$4:C379,C380,$L$4:L379,"&lt;&gt;❌ Отменено")=0,1,0))</f>
        <v/>
      </c>
    </row>
    <row r="381">
      <c r="A381" s="42" t="n"/>
      <c r="B381" s="42" t="n"/>
      <c r="C381" s="43" t="n"/>
      <c r="D381" s="43" t="n"/>
      <c r="E381" s="43" t="n"/>
      <c r="F381" s="42" t="n"/>
      <c r="G381" s="44" t="n"/>
      <c r="H381" s="45" t="n"/>
      <c r="I381" s="46">
        <f>IF(O381=1,SUMIFS(day_amt,day_year,A381,day_month,B381,day_item,C381),"")</f>
        <v/>
      </c>
      <c r="J381" s="47">
        <f>IF(H381&lt;&gt;"",H381,IF(N(I381)=0,"",I381))</f>
        <v/>
      </c>
      <c r="K381" s="48">
        <f>IF(OR(G381="",J381=""),"",G381-J381)</f>
        <v/>
      </c>
      <c r="L381" s="43" t="n"/>
      <c r="M381" s="43" t="n"/>
      <c r="N381" s="49">
        <f>IF(IFERROR(INDEX(lst_cat_wish,MATCH(D381,lst_cats,0))="Да",FALSE),MAX($N$4:N380)+1,"")</f>
        <v/>
      </c>
      <c r="O381" s="49">
        <f>IF(OR(A381="",B381="",C381="",L381="❌ Отменено"),0,IF(COUNTIFS($A$4:A380,A381,$B$4:B380,B381,$C$4:C380,C381,$L$4:L380,"&lt;&gt;❌ Отменено")=0,1,0))</f>
        <v/>
      </c>
    </row>
    <row r="382">
      <c r="A382" s="42" t="n"/>
      <c r="B382" s="42" t="n"/>
      <c r="C382" s="43" t="n"/>
      <c r="D382" s="43" t="n"/>
      <c r="E382" s="43" t="n"/>
      <c r="F382" s="42" t="n"/>
      <c r="G382" s="44" t="n"/>
      <c r="H382" s="45" t="n"/>
      <c r="I382" s="46">
        <f>IF(O382=1,SUMIFS(day_amt,day_year,A382,day_month,B382,day_item,C382),"")</f>
        <v/>
      </c>
      <c r="J382" s="47">
        <f>IF(H382&lt;&gt;"",H382,IF(N(I382)=0,"",I382))</f>
        <v/>
      </c>
      <c r="K382" s="48">
        <f>IF(OR(G382="",J382=""),"",G382-J382)</f>
        <v/>
      </c>
      <c r="L382" s="43" t="n"/>
      <c r="M382" s="43" t="n"/>
      <c r="N382" s="49">
        <f>IF(IFERROR(INDEX(lst_cat_wish,MATCH(D382,lst_cats,0))="Да",FALSE),MAX($N$4:N381)+1,"")</f>
        <v/>
      </c>
      <c r="O382" s="49">
        <f>IF(OR(A382="",B382="",C382="",L382="❌ Отменено"),0,IF(COUNTIFS($A$4:A381,A382,$B$4:B381,B382,$C$4:C381,C382,$L$4:L381,"&lt;&gt;❌ Отменено")=0,1,0))</f>
        <v/>
      </c>
    </row>
    <row r="383">
      <c r="A383" s="42" t="n"/>
      <c r="B383" s="42" t="n"/>
      <c r="C383" s="43" t="n"/>
      <c r="D383" s="43" t="n"/>
      <c r="E383" s="43" t="n"/>
      <c r="F383" s="42" t="n"/>
      <c r="G383" s="44" t="n"/>
      <c r="H383" s="45" t="n"/>
      <c r="I383" s="46">
        <f>IF(O383=1,SUMIFS(day_amt,day_year,A383,day_month,B383,day_item,C383),"")</f>
        <v/>
      </c>
      <c r="J383" s="47">
        <f>IF(H383&lt;&gt;"",H383,IF(N(I383)=0,"",I383))</f>
        <v/>
      </c>
      <c r="K383" s="48">
        <f>IF(OR(G383="",J383=""),"",G383-J383)</f>
        <v/>
      </c>
      <c r="L383" s="43" t="n"/>
      <c r="M383" s="43" t="n"/>
      <c r="N383" s="49">
        <f>IF(IFERROR(INDEX(lst_cat_wish,MATCH(D383,lst_cats,0))="Да",FALSE),MAX($N$4:N382)+1,"")</f>
        <v/>
      </c>
      <c r="O383" s="49">
        <f>IF(OR(A383="",B383="",C383="",L383="❌ Отменено"),0,IF(COUNTIFS($A$4:A382,A383,$B$4:B382,B383,$C$4:C382,C383,$L$4:L382,"&lt;&gt;❌ Отменено")=0,1,0))</f>
        <v/>
      </c>
    </row>
    <row r="384">
      <c r="A384" s="42" t="n"/>
      <c r="B384" s="42" t="n"/>
      <c r="C384" s="43" t="n"/>
      <c r="D384" s="43" t="n"/>
      <c r="E384" s="43" t="n"/>
      <c r="F384" s="42" t="n"/>
      <c r="G384" s="44" t="n"/>
      <c r="H384" s="45" t="n"/>
      <c r="I384" s="46">
        <f>IF(O384=1,SUMIFS(day_amt,day_year,A384,day_month,B384,day_item,C384),"")</f>
        <v/>
      </c>
      <c r="J384" s="47">
        <f>IF(H384&lt;&gt;"",H384,IF(N(I384)=0,"",I384))</f>
        <v/>
      </c>
      <c r="K384" s="48">
        <f>IF(OR(G384="",J384=""),"",G384-J384)</f>
        <v/>
      </c>
      <c r="L384" s="43" t="n"/>
      <c r="M384" s="43" t="n"/>
      <c r="N384" s="49">
        <f>IF(IFERROR(INDEX(lst_cat_wish,MATCH(D384,lst_cats,0))="Да",FALSE),MAX($N$4:N383)+1,"")</f>
        <v/>
      </c>
      <c r="O384" s="49">
        <f>IF(OR(A384="",B384="",C384="",L384="❌ Отменено"),0,IF(COUNTIFS($A$4:A383,A384,$B$4:B383,B384,$C$4:C383,C384,$L$4:L383,"&lt;&gt;❌ Отменено")=0,1,0))</f>
        <v/>
      </c>
    </row>
    <row r="385">
      <c r="A385" s="42" t="n"/>
      <c r="B385" s="42" t="n"/>
      <c r="C385" s="43" t="n"/>
      <c r="D385" s="43" t="n"/>
      <c r="E385" s="43" t="n"/>
      <c r="F385" s="42" t="n"/>
      <c r="G385" s="44" t="n"/>
      <c r="H385" s="45" t="n"/>
      <c r="I385" s="46">
        <f>IF(O385=1,SUMIFS(day_amt,day_year,A385,day_month,B385,day_item,C385),"")</f>
        <v/>
      </c>
      <c r="J385" s="47">
        <f>IF(H385&lt;&gt;"",H385,IF(N(I385)=0,"",I385))</f>
        <v/>
      </c>
      <c r="K385" s="48">
        <f>IF(OR(G385="",J385=""),"",G385-J385)</f>
        <v/>
      </c>
      <c r="L385" s="43" t="n"/>
      <c r="M385" s="43" t="n"/>
      <c r="N385" s="49">
        <f>IF(IFERROR(INDEX(lst_cat_wish,MATCH(D385,lst_cats,0))="Да",FALSE),MAX($N$4:N384)+1,"")</f>
        <v/>
      </c>
      <c r="O385" s="49">
        <f>IF(OR(A385="",B385="",C385="",L385="❌ Отменено"),0,IF(COUNTIFS($A$4:A384,A385,$B$4:B384,B385,$C$4:C384,C385,$L$4:L384,"&lt;&gt;❌ Отменено")=0,1,0))</f>
        <v/>
      </c>
    </row>
    <row r="386">
      <c r="A386" s="42" t="n"/>
      <c r="B386" s="42" t="n"/>
      <c r="C386" s="43" t="n"/>
      <c r="D386" s="43" t="n"/>
      <c r="E386" s="43" t="n"/>
      <c r="F386" s="42" t="n"/>
      <c r="G386" s="44" t="n"/>
      <c r="H386" s="45" t="n"/>
      <c r="I386" s="46">
        <f>IF(O386=1,SUMIFS(day_amt,day_year,A386,day_month,B386,day_item,C386),"")</f>
        <v/>
      </c>
      <c r="J386" s="47">
        <f>IF(H386&lt;&gt;"",H386,IF(N(I386)=0,"",I386))</f>
        <v/>
      </c>
      <c r="K386" s="48">
        <f>IF(OR(G386="",J386=""),"",G386-J386)</f>
        <v/>
      </c>
      <c r="L386" s="43" t="n"/>
      <c r="M386" s="43" t="n"/>
      <c r="N386" s="49">
        <f>IF(IFERROR(INDEX(lst_cat_wish,MATCH(D386,lst_cats,0))="Да",FALSE),MAX($N$4:N385)+1,"")</f>
        <v/>
      </c>
      <c r="O386" s="49">
        <f>IF(OR(A386="",B386="",C386="",L386="❌ Отменено"),0,IF(COUNTIFS($A$4:A385,A386,$B$4:B385,B386,$C$4:C385,C386,$L$4:L385,"&lt;&gt;❌ Отменено")=0,1,0))</f>
        <v/>
      </c>
    </row>
    <row r="387">
      <c r="A387" s="42" t="n"/>
      <c r="B387" s="42" t="n"/>
      <c r="C387" s="43" t="n"/>
      <c r="D387" s="43" t="n"/>
      <c r="E387" s="43" t="n"/>
      <c r="F387" s="42" t="n"/>
      <c r="G387" s="44" t="n"/>
      <c r="H387" s="45" t="n"/>
      <c r="I387" s="46">
        <f>IF(O387=1,SUMIFS(day_amt,day_year,A387,day_month,B387,day_item,C387),"")</f>
        <v/>
      </c>
      <c r="J387" s="47">
        <f>IF(H387&lt;&gt;"",H387,IF(N(I387)=0,"",I387))</f>
        <v/>
      </c>
      <c r="K387" s="48">
        <f>IF(OR(G387="",J387=""),"",G387-J387)</f>
        <v/>
      </c>
      <c r="L387" s="43" t="n"/>
      <c r="M387" s="43" t="n"/>
      <c r="N387" s="49">
        <f>IF(IFERROR(INDEX(lst_cat_wish,MATCH(D387,lst_cats,0))="Да",FALSE),MAX($N$4:N386)+1,"")</f>
        <v/>
      </c>
      <c r="O387" s="49">
        <f>IF(OR(A387="",B387="",C387="",L387="❌ Отменено"),0,IF(COUNTIFS($A$4:A386,A387,$B$4:B386,B387,$C$4:C386,C387,$L$4:L386,"&lt;&gt;❌ Отменено")=0,1,0))</f>
        <v/>
      </c>
    </row>
    <row r="388">
      <c r="A388" s="42" t="n"/>
      <c r="B388" s="42" t="n"/>
      <c r="C388" s="43" t="n"/>
      <c r="D388" s="43" t="n"/>
      <c r="E388" s="43" t="n"/>
      <c r="F388" s="42" t="n"/>
      <c r="G388" s="44" t="n"/>
      <c r="H388" s="45" t="n"/>
      <c r="I388" s="46">
        <f>IF(O388=1,SUMIFS(day_amt,day_year,A388,day_month,B388,day_item,C388),"")</f>
        <v/>
      </c>
      <c r="J388" s="47">
        <f>IF(H388&lt;&gt;"",H388,IF(N(I388)=0,"",I388))</f>
        <v/>
      </c>
      <c r="K388" s="48">
        <f>IF(OR(G388="",J388=""),"",G388-J388)</f>
        <v/>
      </c>
      <c r="L388" s="43" t="n"/>
      <c r="M388" s="43" t="n"/>
      <c r="N388" s="49">
        <f>IF(IFERROR(INDEX(lst_cat_wish,MATCH(D388,lst_cats,0))="Да",FALSE),MAX($N$4:N387)+1,"")</f>
        <v/>
      </c>
      <c r="O388" s="49">
        <f>IF(OR(A388="",B388="",C388="",L388="❌ Отменено"),0,IF(COUNTIFS($A$4:A387,A388,$B$4:B387,B388,$C$4:C387,C388,$L$4:L387,"&lt;&gt;❌ Отменено")=0,1,0))</f>
        <v/>
      </c>
    </row>
    <row r="389">
      <c r="A389" s="42" t="n"/>
      <c r="B389" s="42" t="n"/>
      <c r="C389" s="43" t="n"/>
      <c r="D389" s="43" t="n"/>
      <c r="E389" s="43" t="n"/>
      <c r="F389" s="42" t="n"/>
      <c r="G389" s="44" t="n"/>
      <c r="H389" s="45" t="n"/>
      <c r="I389" s="46">
        <f>IF(O389=1,SUMIFS(day_amt,day_year,A389,day_month,B389,day_item,C389),"")</f>
        <v/>
      </c>
      <c r="J389" s="47">
        <f>IF(H389&lt;&gt;"",H389,IF(N(I389)=0,"",I389))</f>
        <v/>
      </c>
      <c r="K389" s="48">
        <f>IF(OR(G389="",J389=""),"",G389-J389)</f>
        <v/>
      </c>
      <c r="L389" s="43" t="n"/>
      <c r="M389" s="43" t="n"/>
      <c r="N389" s="49">
        <f>IF(IFERROR(INDEX(lst_cat_wish,MATCH(D389,lst_cats,0))="Да",FALSE),MAX($N$4:N388)+1,"")</f>
        <v/>
      </c>
      <c r="O389" s="49">
        <f>IF(OR(A389="",B389="",C389="",L389="❌ Отменено"),0,IF(COUNTIFS($A$4:A388,A389,$B$4:B388,B389,$C$4:C388,C389,$L$4:L388,"&lt;&gt;❌ Отменено")=0,1,0))</f>
        <v/>
      </c>
    </row>
    <row r="390">
      <c r="A390" s="42" t="n"/>
      <c r="B390" s="42" t="n"/>
      <c r="C390" s="43" t="n"/>
      <c r="D390" s="43" t="n"/>
      <c r="E390" s="43" t="n"/>
      <c r="F390" s="42" t="n"/>
      <c r="G390" s="44" t="n"/>
      <c r="H390" s="45" t="n"/>
      <c r="I390" s="46">
        <f>IF(O390=1,SUMIFS(day_amt,day_year,A390,day_month,B390,day_item,C390),"")</f>
        <v/>
      </c>
      <c r="J390" s="47">
        <f>IF(H390&lt;&gt;"",H390,IF(N(I390)=0,"",I390))</f>
        <v/>
      </c>
      <c r="K390" s="48">
        <f>IF(OR(G390="",J390=""),"",G390-J390)</f>
        <v/>
      </c>
      <c r="L390" s="43" t="n"/>
      <c r="M390" s="43" t="n"/>
      <c r="N390" s="49">
        <f>IF(IFERROR(INDEX(lst_cat_wish,MATCH(D390,lst_cats,0))="Да",FALSE),MAX($N$4:N389)+1,"")</f>
        <v/>
      </c>
      <c r="O390" s="49">
        <f>IF(OR(A390="",B390="",C390="",L390="❌ Отменено"),0,IF(COUNTIFS($A$4:A389,A390,$B$4:B389,B390,$C$4:C389,C390,$L$4:L389,"&lt;&gt;❌ Отменено")=0,1,0))</f>
        <v/>
      </c>
    </row>
    <row r="391">
      <c r="A391" s="42" t="n"/>
      <c r="B391" s="42" t="n"/>
      <c r="C391" s="43" t="n"/>
      <c r="D391" s="43" t="n"/>
      <c r="E391" s="43" t="n"/>
      <c r="F391" s="42" t="n"/>
      <c r="G391" s="44" t="n"/>
      <c r="H391" s="45" t="n"/>
      <c r="I391" s="46">
        <f>IF(O391=1,SUMIFS(day_amt,day_year,A391,day_month,B391,day_item,C391),"")</f>
        <v/>
      </c>
      <c r="J391" s="47">
        <f>IF(H391&lt;&gt;"",H391,IF(N(I391)=0,"",I391))</f>
        <v/>
      </c>
      <c r="K391" s="48">
        <f>IF(OR(G391="",J391=""),"",G391-J391)</f>
        <v/>
      </c>
      <c r="L391" s="43" t="n"/>
      <c r="M391" s="43" t="n"/>
      <c r="N391" s="49">
        <f>IF(IFERROR(INDEX(lst_cat_wish,MATCH(D391,lst_cats,0))="Да",FALSE),MAX($N$4:N390)+1,"")</f>
        <v/>
      </c>
      <c r="O391" s="49">
        <f>IF(OR(A391="",B391="",C391="",L391="❌ Отменено"),0,IF(COUNTIFS($A$4:A390,A391,$B$4:B390,B391,$C$4:C390,C391,$L$4:L390,"&lt;&gt;❌ Отменено")=0,1,0))</f>
        <v/>
      </c>
    </row>
    <row r="392">
      <c r="A392" s="42" t="n"/>
      <c r="B392" s="42" t="n"/>
      <c r="C392" s="43" t="n"/>
      <c r="D392" s="43" t="n"/>
      <c r="E392" s="43" t="n"/>
      <c r="F392" s="42" t="n"/>
      <c r="G392" s="44" t="n"/>
      <c r="H392" s="45" t="n"/>
      <c r="I392" s="46">
        <f>IF(O392=1,SUMIFS(day_amt,day_year,A392,day_month,B392,day_item,C392),"")</f>
        <v/>
      </c>
      <c r="J392" s="47">
        <f>IF(H392&lt;&gt;"",H392,IF(N(I392)=0,"",I392))</f>
        <v/>
      </c>
      <c r="K392" s="48">
        <f>IF(OR(G392="",J392=""),"",G392-J392)</f>
        <v/>
      </c>
      <c r="L392" s="43" t="n"/>
      <c r="M392" s="43" t="n"/>
      <c r="N392" s="49">
        <f>IF(IFERROR(INDEX(lst_cat_wish,MATCH(D392,lst_cats,0))="Да",FALSE),MAX($N$4:N391)+1,"")</f>
        <v/>
      </c>
      <c r="O392" s="49">
        <f>IF(OR(A392="",B392="",C392="",L392="❌ Отменено"),0,IF(COUNTIFS($A$4:A391,A392,$B$4:B391,B392,$C$4:C391,C392,$L$4:L391,"&lt;&gt;❌ Отменено")=0,1,0))</f>
        <v/>
      </c>
    </row>
    <row r="393">
      <c r="A393" s="42" t="n"/>
      <c r="B393" s="42" t="n"/>
      <c r="C393" s="43" t="n"/>
      <c r="D393" s="43" t="n"/>
      <c r="E393" s="43" t="n"/>
      <c r="F393" s="42" t="n"/>
      <c r="G393" s="44" t="n"/>
      <c r="H393" s="45" t="n"/>
      <c r="I393" s="46">
        <f>IF(O393=1,SUMIFS(day_amt,day_year,A393,day_month,B393,day_item,C393),"")</f>
        <v/>
      </c>
      <c r="J393" s="47">
        <f>IF(H393&lt;&gt;"",H393,IF(N(I393)=0,"",I393))</f>
        <v/>
      </c>
      <c r="K393" s="48">
        <f>IF(OR(G393="",J393=""),"",G393-J393)</f>
        <v/>
      </c>
      <c r="L393" s="43" t="n"/>
      <c r="M393" s="43" t="n"/>
      <c r="N393" s="49">
        <f>IF(IFERROR(INDEX(lst_cat_wish,MATCH(D393,lst_cats,0))="Да",FALSE),MAX($N$4:N392)+1,"")</f>
        <v/>
      </c>
      <c r="O393" s="49">
        <f>IF(OR(A393="",B393="",C393="",L393="❌ Отменено"),0,IF(COUNTIFS($A$4:A392,A393,$B$4:B392,B393,$C$4:C392,C393,$L$4:L392,"&lt;&gt;❌ Отменено")=0,1,0))</f>
        <v/>
      </c>
    </row>
    <row r="394">
      <c r="A394" s="42" t="n"/>
      <c r="B394" s="42" t="n"/>
      <c r="C394" s="43" t="n"/>
      <c r="D394" s="43" t="n"/>
      <c r="E394" s="43" t="n"/>
      <c r="F394" s="42" t="n"/>
      <c r="G394" s="44" t="n"/>
      <c r="H394" s="45" t="n"/>
      <c r="I394" s="46">
        <f>IF(O394=1,SUMIFS(day_amt,day_year,A394,day_month,B394,day_item,C394),"")</f>
        <v/>
      </c>
      <c r="J394" s="47">
        <f>IF(H394&lt;&gt;"",H394,IF(N(I394)=0,"",I394))</f>
        <v/>
      </c>
      <c r="K394" s="48">
        <f>IF(OR(G394="",J394=""),"",G394-J394)</f>
        <v/>
      </c>
      <c r="L394" s="43" t="n"/>
      <c r="M394" s="43" t="n"/>
      <c r="N394" s="49">
        <f>IF(IFERROR(INDEX(lst_cat_wish,MATCH(D394,lst_cats,0))="Да",FALSE),MAX($N$4:N393)+1,"")</f>
        <v/>
      </c>
      <c r="O394" s="49">
        <f>IF(OR(A394="",B394="",C394="",L394="❌ Отменено"),0,IF(COUNTIFS($A$4:A393,A394,$B$4:B393,B394,$C$4:C393,C394,$L$4:L393,"&lt;&gt;❌ Отменено")=0,1,0))</f>
        <v/>
      </c>
    </row>
    <row r="395">
      <c r="A395" s="42" t="n"/>
      <c r="B395" s="42" t="n"/>
      <c r="C395" s="43" t="n"/>
      <c r="D395" s="43" t="n"/>
      <c r="E395" s="43" t="n"/>
      <c r="F395" s="42" t="n"/>
      <c r="G395" s="44" t="n"/>
      <c r="H395" s="45" t="n"/>
      <c r="I395" s="46">
        <f>IF(O395=1,SUMIFS(day_amt,day_year,A395,day_month,B395,day_item,C395),"")</f>
        <v/>
      </c>
      <c r="J395" s="47">
        <f>IF(H395&lt;&gt;"",H395,IF(N(I395)=0,"",I395))</f>
        <v/>
      </c>
      <c r="K395" s="48">
        <f>IF(OR(G395="",J395=""),"",G395-J395)</f>
        <v/>
      </c>
      <c r="L395" s="43" t="n"/>
      <c r="M395" s="43" t="n"/>
      <c r="N395" s="49">
        <f>IF(IFERROR(INDEX(lst_cat_wish,MATCH(D395,lst_cats,0))="Да",FALSE),MAX($N$4:N394)+1,"")</f>
        <v/>
      </c>
      <c r="O395" s="49">
        <f>IF(OR(A395="",B395="",C395="",L395="❌ Отменено"),0,IF(COUNTIFS($A$4:A394,A395,$B$4:B394,B395,$C$4:C394,C395,$L$4:L394,"&lt;&gt;❌ Отменено")=0,1,0))</f>
        <v/>
      </c>
    </row>
    <row r="396">
      <c r="A396" s="42" t="n"/>
      <c r="B396" s="42" t="n"/>
      <c r="C396" s="43" t="n"/>
      <c r="D396" s="43" t="n"/>
      <c r="E396" s="43" t="n"/>
      <c r="F396" s="42" t="n"/>
      <c r="G396" s="44" t="n"/>
      <c r="H396" s="45" t="n"/>
      <c r="I396" s="46">
        <f>IF(O396=1,SUMIFS(day_amt,day_year,A396,day_month,B396,day_item,C396),"")</f>
        <v/>
      </c>
      <c r="J396" s="47">
        <f>IF(H396&lt;&gt;"",H396,IF(N(I396)=0,"",I396))</f>
        <v/>
      </c>
      <c r="K396" s="48">
        <f>IF(OR(G396="",J396=""),"",G396-J396)</f>
        <v/>
      </c>
      <c r="L396" s="43" t="n"/>
      <c r="M396" s="43" t="n"/>
      <c r="N396" s="49">
        <f>IF(IFERROR(INDEX(lst_cat_wish,MATCH(D396,lst_cats,0))="Да",FALSE),MAX($N$4:N395)+1,"")</f>
        <v/>
      </c>
      <c r="O396" s="49">
        <f>IF(OR(A396="",B396="",C396="",L396="❌ Отменено"),0,IF(COUNTIFS($A$4:A395,A396,$B$4:B395,B396,$C$4:C395,C396,$L$4:L395,"&lt;&gt;❌ Отменено")=0,1,0))</f>
        <v/>
      </c>
    </row>
    <row r="397">
      <c r="A397" s="42" t="n"/>
      <c r="B397" s="42" t="n"/>
      <c r="C397" s="43" t="n"/>
      <c r="D397" s="43" t="n"/>
      <c r="E397" s="43" t="n"/>
      <c r="F397" s="42" t="n"/>
      <c r="G397" s="44" t="n"/>
      <c r="H397" s="45" t="n"/>
      <c r="I397" s="46">
        <f>IF(O397=1,SUMIFS(day_amt,day_year,A397,day_month,B397,day_item,C397),"")</f>
        <v/>
      </c>
      <c r="J397" s="47">
        <f>IF(H397&lt;&gt;"",H397,IF(N(I397)=0,"",I397))</f>
        <v/>
      </c>
      <c r="K397" s="48">
        <f>IF(OR(G397="",J397=""),"",G397-J397)</f>
        <v/>
      </c>
      <c r="L397" s="43" t="n"/>
      <c r="M397" s="43" t="n"/>
      <c r="N397" s="49">
        <f>IF(IFERROR(INDEX(lst_cat_wish,MATCH(D397,lst_cats,0))="Да",FALSE),MAX($N$4:N396)+1,"")</f>
        <v/>
      </c>
      <c r="O397" s="49">
        <f>IF(OR(A397="",B397="",C397="",L397="❌ Отменено"),0,IF(COUNTIFS($A$4:A396,A397,$B$4:B396,B397,$C$4:C396,C397,$L$4:L396,"&lt;&gt;❌ Отменено")=0,1,0))</f>
        <v/>
      </c>
    </row>
    <row r="398">
      <c r="A398" s="42" t="n"/>
      <c r="B398" s="42" t="n"/>
      <c r="C398" s="43" t="n"/>
      <c r="D398" s="43" t="n"/>
      <c r="E398" s="43" t="n"/>
      <c r="F398" s="42" t="n"/>
      <c r="G398" s="44" t="n"/>
      <c r="H398" s="45" t="n"/>
      <c r="I398" s="46">
        <f>IF(O398=1,SUMIFS(day_amt,day_year,A398,day_month,B398,day_item,C398),"")</f>
        <v/>
      </c>
      <c r="J398" s="47">
        <f>IF(H398&lt;&gt;"",H398,IF(N(I398)=0,"",I398))</f>
        <v/>
      </c>
      <c r="K398" s="48">
        <f>IF(OR(G398="",J398=""),"",G398-J398)</f>
        <v/>
      </c>
      <c r="L398" s="43" t="n"/>
      <c r="M398" s="43" t="n"/>
      <c r="N398" s="49">
        <f>IF(IFERROR(INDEX(lst_cat_wish,MATCH(D398,lst_cats,0))="Да",FALSE),MAX($N$4:N397)+1,"")</f>
        <v/>
      </c>
      <c r="O398" s="49">
        <f>IF(OR(A398="",B398="",C398="",L398="❌ Отменено"),0,IF(COUNTIFS($A$4:A397,A398,$B$4:B397,B398,$C$4:C397,C398,$L$4:L397,"&lt;&gt;❌ Отменено")=0,1,0))</f>
        <v/>
      </c>
    </row>
    <row r="399">
      <c r="A399" s="42" t="n"/>
      <c r="B399" s="42" t="n"/>
      <c r="C399" s="43" t="n"/>
      <c r="D399" s="43" t="n"/>
      <c r="E399" s="43" t="n"/>
      <c r="F399" s="42" t="n"/>
      <c r="G399" s="44" t="n"/>
      <c r="H399" s="45" t="n"/>
      <c r="I399" s="46">
        <f>IF(O399=1,SUMIFS(day_amt,day_year,A399,day_month,B399,day_item,C399),"")</f>
        <v/>
      </c>
      <c r="J399" s="47">
        <f>IF(H399&lt;&gt;"",H399,IF(N(I399)=0,"",I399))</f>
        <v/>
      </c>
      <c r="K399" s="48">
        <f>IF(OR(G399="",J399=""),"",G399-J399)</f>
        <v/>
      </c>
      <c r="L399" s="43" t="n"/>
      <c r="M399" s="43" t="n"/>
      <c r="N399" s="49">
        <f>IF(IFERROR(INDEX(lst_cat_wish,MATCH(D399,lst_cats,0))="Да",FALSE),MAX($N$4:N398)+1,"")</f>
        <v/>
      </c>
      <c r="O399" s="49">
        <f>IF(OR(A399="",B399="",C399="",L399="❌ Отменено"),0,IF(COUNTIFS($A$4:A398,A399,$B$4:B398,B399,$C$4:C398,C399,$L$4:L398,"&lt;&gt;❌ Отменено")=0,1,0))</f>
        <v/>
      </c>
    </row>
    <row r="400">
      <c r="A400" s="42" t="n"/>
      <c r="B400" s="42" t="n"/>
      <c r="C400" s="43" t="n"/>
      <c r="D400" s="43" t="n"/>
      <c r="E400" s="43" t="n"/>
      <c r="F400" s="42" t="n"/>
      <c r="G400" s="44" t="n"/>
      <c r="H400" s="45" t="n"/>
      <c r="I400" s="46">
        <f>IF(O400=1,SUMIFS(day_amt,day_year,A400,day_month,B400,day_item,C400),"")</f>
        <v/>
      </c>
      <c r="J400" s="47">
        <f>IF(H400&lt;&gt;"",H400,IF(N(I400)=0,"",I400))</f>
        <v/>
      </c>
      <c r="K400" s="48">
        <f>IF(OR(G400="",J400=""),"",G400-J400)</f>
        <v/>
      </c>
      <c r="L400" s="43" t="n"/>
      <c r="M400" s="43" t="n"/>
      <c r="N400" s="49">
        <f>IF(IFERROR(INDEX(lst_cat_wish,MATCH(D400,lst_cats,0))="Да",FALSE),MAX($N$4:N399)+1,"")</f>
        <v/>
      </c>
      <c r="O400" s="49">
        <f>IF(OR(A400="",B400="",C400="",L400="❌ Отменено"),0,IF(COUNTIFS($A$4:A399,A400,$B$4:B399,B400,$C$4:C399,C400,$L$4:L399,"&lt;&gt;❌ Отменено")=0,1,0))</f>
        <v/>
      </c>
    </row>
    <row r="401">
      <c r="A401" s="42" t="n"/>
      <c r="B401" s="42" t="n"/>
      <c r="C401" s="43" t="n"/>
      <c r="D401" s="43" t="n"/>
      <c r="E401" s="43" t="n"/>
      <c r="F401" s="42" t="n"/>
      <c r="G401" s="44" t="n"/>
      <c r="H401" s="45" t="n"/>
      <c r="I401" s="46">
        <f>IF(O401=1,SUMIFS(day_amt,day_year,A401,day_month,B401,day_item,C401),"")</f>
        <v/>
      </c>
      <c r="J401" s="47">
        <f>IF(H401&lt;&gt;"",H401,IF(N(I401)=0,"",I401))</f>
        <v/>
      </c>
      <c r="K401" s="48">
        <f>IF(OR(G401="",J401=""),"",G401-J401)</f>
        <v/>
      </c>
      <c r="L401" s="43" t="n"/>
      <c r="M401" s="43" t="n"/>
      <c r="N401" s="49">
        <f>IF(IFERROR(INDEX(lst_cat_wish,MATCH(D401,lst_cats,0))="Да",FALSE),MAX($N$4:N400)+1,"")</f>
        <v/>
      </c>
      <c r="O401" s="49">
        <f>IF(OR(A401="",B401="",C401="",L401="❌ Отменено"),0,IF(COUNTIFS($A$4:A400,A401,$B$4:B400,B401,$C$4:C400,C401,$L$4:L400,"&lt;&gt;❌ Отменено")=0,1,0))</f>
        <v/>
      </c>
    </row>
    <row r="402">
      <c r="A402" s="42" t="n"/>
      <c r="B402" s="42" t="n"/>
      <c r="C402" s="43" t="n"/>
      <c r="D402" s="43" t="n"/>
      <c r="E402" s="43" t="n"/>
      <c r="F402" s="42" t="n"/>
      <c r="G402" s="44" t="n"/>
      <c r="H402" s="45" t="n"/>
      <c r="I402" s="46">
        <f>IF(O402=1,SUMIFS(day_amt,day_year,A402,day_month,B402,day_item,C402),"")</f>
        <v/>
      </c>
      <c r="J402" s="47">
        <f>IF(H402&lt;&gt;"",H402,IF(N(I402)=0,"",I402))</f>
        <v/>
      </c>
      <c r="K402" s="48">
        <f>IF(OR(G402="",J402=""),"",G402-J402)</f>
        <v/>
      </c>
      <c r="L402" s="43" t="n"/>
      <c r="M402" s="43" t="n"/>
      <c r="N402" s="49">
        <f>IF(IFERROR(INDEX(lst_cat_wish,MATCH(D402,lst_cats,0))="Да",FALSE),MAX($N$4:N401)+1,"")</f>
        <v/>
      </c>
      <c r="O402" s="49">
        <f>IF(OR(A402="",B402="",C402="",L402="❌ Отменено"),0,IF(COUNTIFS($A$4:A401,A402,$B$4:B401,B402,$C$4:C401,C402,$L$4:L401,"&lt;&gt;❌ Отменено")=0,1,0))</f>
        <v/>
      </c>
    </row>
    <row r="403">
      <c r="A403" s="42" t="n"/>
      <c r="B403" s="42" t="n"/>
      <c r="C403" s="43" t="n"/>
      <c r="D403" s="43" t="n"/>
      <c r="E403" s="43" t="n"/>
      <c r="F403" s="42" t="n"/>
      <c r="G403" s="44" t="n"/>
      <c r="H403" s="45" t="n"/>
      <c r="I403" s="46">
        <f>IF(O403=1,SUMIFS(day_amt,day_year,A403,day_month,B403,day_item,C403),"")</f>
        <v/>
      </c>
      <c r="J403" s="47">
        <f>IF(H403&lt;&gt;"",H403,IF(N(I403)=0,"",I403))</f>
        <v/>
      </c>
      <c r="K403" s="48">
        <f>IF(OR(G403="",J403=""),"",G403-J403)</f>
        <v/>
      </c>
      <c r="L403" s="43" t="n"/>
      <c r="M403" s="43" t="n"/>
      <c r="N403" s="49">
        <f>IF(IFERROR(INDEX(lst_cat_wish,MATCH(D403,lst_cats,0))="Да",FALSE),MAX($N$4:N402)+1,"")</f>
        <v/>
      </c>
      <c r="O403" s="49">
        <f>IF(OR(A403="",B403="",C403="",L403="❌ Отменено"),0,IF(COUNTIFS($A$4:A402,A403,$B$4:B402,B403,$C$4:C402,C403,$L$4:L402,"&lt;&gt;❌ Отменено")=0,1,0))</f>
        <v/>
      </c>
    </row>
    <row r="404">
      <c r="A404" s="42" t="n"/>
      <c r="B404" s="42" t="n"/>
      <c r="C404" s="43" t="n"/>
      <c r="D404" s="43" t="n"/>
      <c r="E404" s="43" t="n"/>
      <c r="F404" s="42" t="n"/>
      <c r="G404" s="44" t="n"/>
      <c r="H404" s="45" t="n"/>
      <c r="I404" s="46">
        <f>IF(O404=1,SUMIFS(day_amt,day_year,A404,day_month,B404,day_item,C404),"")</f>
        <v/>
      </c>
      <c r="J404" s="47">
        <f>IF(H404&lt;&gt;"",H404,IF(N(I404)=0,"",I404))</f>
        <v/>
      </c>
      <c r="K404" s="48">
        <f>IF(OR(G404="",J404=""),"",G404-J404)</f>
        <v/>
      </c>
      <c r="L404" s="43" t="n"/>
      <c r="M404" s="43" t="n"/>
      <c r="N404" s="49">
        <f>IF(IFERROR(INDEX(lst_cat_wish,MATCH(D404,lst_cats,0))="Да",FALSE),MAX($N$4:N403)+1,"")</f>
        <v/>
      </c>
      <c r="O404" s="49">
        <f>IF(OR(A404="",B404="",C404="",L404="❌ Отменено"),0,IF(COUNTIFS($A$4:A403,A404,$B$4:B403,B404,$C$4:C403,C404,$L$4:L403,"&lt;&gt;❌ Отменено")=0,1,0))</f>
        <v/>
      </c>
    </row>
    <row r="405">
      <c r="A405" s="42" t="n"/>
      <c r="B405" s="42" t="n"/>
      <c r="C405" s="43" t="n"/>
      <c r="D405" s="43" t="n"/>
      <c r="E405" s="43" t="n"/>
      <c r="F405" s="42" t="n"/>
      <c r="G405" s="44" t="n"/>
      <c r="H405" s="45" t="n"/>
      <c r="I405" s="46">
        <f>IF(O405=1,SUMIFS(day_amt,day_year,A405,day_month,B405,day_item,C405),"")</f>
        <v/>
      </c>
      <c r="J405" s="47">
        <f>IF(H405&lt;&gt;"",H405,IF(N(I405)=0,"",I405))</f>
        <v/>
      </c>
      <c r="K405" s="48">
        <f>IF(OR(G405="",J405=""),"",G405-J405)</f>
        <v/>
      </c>
      <c r="L405" s="43" t="n"/>
      <c r="M405" s="43" t="n"/>
      <c r="N405" s="49">
        <f>IF(IFERROR(INDEX(lst_cat_wish,MATCH(D405,lst_cats,0))="Да",FALSE),MAX($N$4:N404)+1,"")</f>
        <v/>
      </c>
      <c r="O405" s="49">
        <f>IF(OR(A405="",B405="",C405="",L405="❌ Отменено"),0,IF(COUNTIFS($A$4:A404,A405,$B$4:B404,B405,$C$4:C404,C405,$L$4:L404,"&lt;&gt;❌ Отменено")=0,1,0))</f>
        <v/>
      </c>
    </row>
    <row r="406">
      <c r="A406" s="42" t="n"/>
      <c r="B406" s="42" t="n"/>
      <c r="C406" s="43" t="n"/>
      <c r="D406" s="43" t="n"/>
      <c r="E406" s="43" t="n"/>
      <c r="F406" s="42" t="n"/>
      <c r="G406" s="44" t="n"/>
      <c r="H406" s="45" t="n"/>
      <c r="I406" s="46">
        <f>IF(O406=1,SUMIFS(day_amt,day_year,A406,day_month,B406,day_item,C406),"")</f>
        <v/>
      </c>
      <c r="J406" s="47">
        <f>IF(H406&lt;&gt;"",H406,IF(N(I406)=0,"",I406))</f>
        <v/>
      </c>
      <c r="K406" s="48">
        <f>IF(OR(G406="",J406=""),"",G406-J406)</f>
        <v/>
      </c>
      <c r="L406" s="43" t="n"/>
      <c r="M406" s="43" t="n"/>
      <c r="N406" s="49">
        <f>IF(IFERROR(INDEX(lst_cat_wish,MATCH(D406,lst_cats,0))="Да",FALSE),MAX($N$4:N405)+1,"")</f>
        <v/>
      </c>
      <c r="O406" s="49">
        <f>IF(OR(A406="",B406="",C406="",L406="❌ Отменено"),0,IF(COUNTIFS($A$4:A405,A406,$B$4:B405,B406,$C$4:C405,C406,$L$4:L405,"&lt;&gt;❌ Отменено")=0,1,0))</f>
        <v/>
      </c>
    </row>
    <row r="407">
      <c r="A407" s="42" t="n"/>
      <c r="B407" s="42" t="n"/>
      <c r="C407" s="43" t="n"/>
      <c r="D407" s="43" t="n"/>
      <c r="E407" s="43" t="n"/>
      <c r="F407" s="42" t="n"/>
      <c r="G407" s="44" t="n"/>
      <c r="H407" s="45" t="n"/>
      <c r="I407" s="46">
        <f>IF(O407=1,SUMIFS(day_amt,day_year,A407,day_month,B407,day_item,C407),"")</f>
        <v/>
      </c>
      <c r="J407" s="47">
        <f>IF(H407&lt;&gt;"",H407,IF(N(I407)=0,"",I407))</f>
        <v/>
      </c>
      <c r="K407" s="48">
        <f>IF(OR(G407="",J407=""),"",G407-J407)</f>
        <v/>
      </c>
      <c r="L407" s="43" t="n"/>
      <c r="M407" s="43" t="n"/>
      <c r="N407" s="49">
        <f>IF(IFERROR(INDEX(lst_cat_wish,MATCH(D407,lst_cats,0))="Да",FALSE),MAX($N$4:N406)+1,"")</f>
        <v/>
      </c>
      <c r="O407" s="49">
        <f>IF(OR(A407="",B407="",C407="",L407="❌ Отменено"),0,IF(COUNTIFS($A$4:A406,A407,$B$4:B406,B407,$C$4:C406,C407,$L$4:L406,"&lt;&gt;❌ Отменено")=0,1,0))</f>
        <v/>
      </c>
    </row>
    <row r="408">
      <c r="A408" s="42" t="n"/>
      <c r="B408" s="42" t="n"/>
      <c r="C408" s="43" t="n"/>
      <c r="D408" s="43" t="n"/>
      <c r="E408" s="43" t="n"/>
      <c r="F408" s="42" t="n"/>
      <c r="G408" s="44" t="n"/>
      <c r="H408" s="45" t="n"/>
      <c r="I408" s="46">
        <f>IF(O408=1,SUMIFS(day_amt,day_year,A408,day_month,B408,day_item,C408),"")</f>
        <v/>
      </c>
      <c r="J408" s="47">
        <f>IF(H408&lt;&gt;"",H408,IF(N(I408)=0,"",I408))</f>
        <v/>
      </c>
      <c r="K408" s="48">
        <f>IF(OR(G408="",J408=""),"",G408-J408)</f>
        <v/>
      </c>
      <c r="L408" s="43" t="n"/>
      <c r="M408" s="43" t="n"/>
      <c r="N408" s="49">
        <f>IF(IFERROR(INDEX(lst_cat_wish,MATCH(D408,lst_cats,0))="Да",FALSE),MAX($N$4:N407)+1,"")</f>
        <v/>
      </c>
      <c r="O408" s="49">
        <f>IF(OR(A408="",B408="",C408="",L408="❌ Отменено"),0,IF(COUNTIFS($A$4:A407,A408,$B$4:B407,B408,$C$4:C407,C408,$L$4:L407,"&lt;&gt;❌ Отменено")=0,1,0))</f>
        <v/>
      </c>
    </row>
    <row r="409">
      <c r="A409" s="42" t="n"/>
      <c r="B409" s="42" t="n"/>
      <c r="C409" s="43" t="n"/>
      <c r="D409" s="43" t="n"/>
      <c r="E409" s="43" t="n"/>
      <c r="F409" s="42" t="n"/>
      <c r="G409" s="44" t="n"/>
      <c r="H409" s="45" t="n"/>
      <c r="I409" s="46">
        <f>IF(O409=1,SUMIFS(day_amt,day_year,A409,day_month,B409,day_item,C409),"")</f>
        <v/>
      </c>
      <c r="J409" s="47">
        <f>IF(H409&lt;&gt;"",H409,IF(N(I409)=0,"",I409))</f>
        <v/>
      </c>
      <c r="K409" s="48">
        <f>IF(OR(G409="",J409=""),"",G409-J409)</f>
        <v/>
      </c>
      <c r="L409" s="43" t="n"/>
      <c r="M409" s="43" t="n"/>
      <c r="N409" s="49">
        <f>IF(IFERROR(INDEX(lst_cat_wish,MATCH(D409,lst_cats,0))="Да",FALSE),MAX($N$4:N408)+1,"")</f>
        <v/>
      </c>
      <c r="O409" s="49">
        <f>IF(OR(A409="",B409="",C409="",L409="❌ Отменено"),0,IF(COUNTIFS($A$4:A408,A409,$B$4:B408,B409,$C$4:C408,C409,$L$4:L408,"&lt;&gt;❌ Отменено")=0,1,0))</f>
        <v/>
      </c>
    </row>
    <row r="410">
      <c r="A410" s="42" t="n"/>
      <c r="B410" s="42" t="n"/>
      <c r="C410" s="43" t="n"/>
      <c r="D410" s="43" t="n"/>
      <c r="E410" s="43" t="n"/>
      <c r="F410" s="42" t="n"/>
      <c r="G410" s="44" t="n"/>
      <c r="H410" s="45" t="n"/>
      <c r="I410" s="46">
        <f>IF(O410=1,SUMIFS(day_amt,day_year,A410,day_month,B410,day_item,C410),"")</f>
        <v/>
      </c>
      <c r="J410" s="47">
        <f>IF(H410&lt;&gt;"",H410,IF(N(I410)=0,"",I410))</f>
        <v/>
      </c>
      <c r="K410" s="48">
        <f>IF(OR(G410="",J410=""),"",G410-J410)</f>
        <v/>
      </c>
      <c r="L410" s="43" t="n"/>
      <c r="M410" s="43" t="n"/>
      <c r="N410" s="49">
        <f>IF(IFERROR(INDEX(lst_cat_wish,MATCH(D410,lst_cats,0))="Да",FALSE),MAX($N$4:N409)+1,"")</f>
        <v/>
      </c>
      <c r="O410" s="49">
        <f>IF(OR(A410="",B410="",C410="",L410="❌ Отменено"),0,IF(COUNTIFS($A$4:A409,A410,$B$4:B409,B410,$C$4:C409,C410,$L$4:L409,"&lt;&gt;❌ Отменено")=0,1,0))</f>
        <v/>
      </c>
    </row>
    <row r="411">
      <c r="A411" s="42" t="n"/>
      <c r="B411" s="42" t="n"/>
      <c r="C411" s="43" t="n"/>
      <c r="D411" s="43" t="n"/>
      <c r="E411" s="43" t="n"/>
      <c r="F411" s="42" t="n"/>
      <c r="G411" s="44" t="n"/>
      <c r="H411" s="45" t="n"/>
      <c r="I411" s="46">
        <f>IF(O411=1,SUMIFS(day_amt,day_year,A411,day_month,B411,day_item,C411),"")</f>
        <v/>
      </c>
      <c r="J411" s="47">
        <f>IF(H411&lt;&gt;"",H411,IF(N(I411)=0,"",I411))</f>
        <v/>
      </c>
      <c r="K411" s="48">
        <f>IF(OR(G411="",J411=""),"",G411-J411)</f>
        <v/>
      </c>
      <c r="L411" s="43" t="n"/>
      <c r="M411" s="43" t="n"/>
      <c r="N411" s="49">
        <f>IF(IFERROR(INDEX(lst_cat_wish,MATCH(D411,lst_cats,0))="Да",FALSE),MAX($N$4:N410)+1,"")</f>
        <v/>
      </c>
      <c r="O411" s="49">
        <f>IF(OR(A411="",B411="",C411="",L411="❌ Отменено"),0,IF(COUNTIFS($A$4:A410,A411,$B$4:B410,B411,$C$4:C410,C411,$L$4:L410,"&lt;&gt;❌ Отменено")=0,1,0))</f>
        <v/>
      </c>
    </row>
    <row r="412">
      <c r="A412" s="42" t="n"/>
      <c r="B412" s="42" t="n"/>
      <c r="C412" s="43" t="n"/>
      <c r="D412" s="43" t="n"/>
      <c r="E412" s="43" t="n"/>
      <c r="F412" s="42" t="n"/>
      <c r="G412" s="44" t="n"/>
      <c r="H412" s="45" t="n"/>
      <c r="I412" s="46">
        <f>IF(O412=1,SUMIFS(day_amt,day_year,A412,day_month,B412,day_item,C412),"")</f>
        <v/>
      </c>
      <c r="J412" s="47">
        <f>IF(H412&lt;&gt;"",H412,IF(N(I412)=0,"",I412))</f>
        <v/>
      </c>
      <c r="K412" s="48">
        <f>IF(OR(G412="",J412=""),"",G412-J412)</f>
        <v/>
      </c>
      <c r="L412" s="43" t="n"/>
      <c r="M412" s="43" t="n"/>
      <c r="N412" s="49">
        <f>IF(IFERROR(INDEX(lst_cat_wish,MATCH(D412,lst_cats,0))="Да",FALSE),MAX($N$4:N411)+1,"")</f>
        <v/>
      </c>
      <c r="O412" s="49">
        <f>IF(OR(A412="",B412="",C412="",L412="❌ Отменено"),0,IF(COUNTIFS($A$4:A411,A412,$B$4:B411,B412,$C$4:C411,C412,$L$4:L411,"&lt;&gt;❌ Отменено")=0,1,0))</f>
        <v/>
      </c>
    </row>
    <row r="413">
      <c r="A413" s="42" t="n"/>
      <c r="B413" s="42" t="n"/>
      <c r="C413" s="43" t="n"/>
      <c r="D413" s="43" t="n"/>
      <c r="E413" s="43" t="n"/>
      <c r="F413" s="42" t="n"/>
      <c r="G413" s="44" t="n"/>
      <c r="H413" s="45" t="n"/>
      <c r="I413" s="46">
        <f>IF(O413=1,SUMIFS(day_amt,day_year,A413,day_month,B413,day_item,C413),"")</f>
        <v/>
      </c>
      <c r="J413" s="47">
        <f>IF(H413&lt;&gt;"",H413,IF(N(I413)=0,"",I413))</f>
        <v/>
      </c>
      <c r="K413" s="48">
        <f>IF(OR(G413="",J413=""),"",G413-J413)</f>
        <v/>
      </c>
      <c r="L413" s="43" t="n"/>
      <c r="M413" s="43" t="n"/>
      <c r="N413" s="49">
        <f>IF(IFERROR(INDEX(lst_cat_wish,MATCH(D413,lst_cats,0))="Да",FALSE),MAX($N$4:N412)+1,"")</f>
        <v/>
      </c>
      <c r="O413" s="49">
        <f>IF(OR(A413="",B413="",C413="",L413="❌ Отменено"),0,IF(COUNTIFS($A$4:A412,A413,$B$4:B412,B413,$C$4:C412,C413,$L$4:L412,"&lt;&gt;❌ Отменено")=0,1,0))</f>
        <v/>
      </c>
    </row>
    <row r="414">
      <c r="A414" s="42" t="n"/>
      <c r="B414" s="42" t="n"/>
      <c r="C414" s="43" t="n"/>
      <c r="D414" s="43" t="n"/>
      <c r="E414" s="43" t="n"/>
      <c r="F414" s="42" t="n"/>
      <c r="G414" s="44" t="n"/>
      <c r="H414" s="45" t="n"/>
      <c r="I414" s="46">
        <f>IF(O414=1,SUMIFS(day_amt,day_year,A414,day_month,B414,day_item,C414),"")</f>
        <v/>
      </c>
      <c r="J414" s="47">
        <f>IF(H414&lt;&gt;"",H414,IF(N(I414)=0,"",I414))</f>
        <v/>
      </c>
      <c r="K414" s="48">
        <f>IF(OR(G414="",J414=""),"",G414-J414)</f>
        <v/>
      </c>
      <c r="L414" s="43" t="n"/>
      <c r="M414" s="43" t="n"/>
      <c r="N414" s="49">
        <f>IF(IFERROR(INDEX(lst_cat_wish,MATCH(D414,lst_cats,0))="Да",FALSE),MAX($N$4:N413)+1,"")</f>
        <v/>
      </c>
      <c r="O414" s="49">
        <f>IF(OR(A414="",B414="",C414="",L414="❌ Отменено"),0,IF(COUNTIFS($A$4:A413,A414,$B$4:B413,B414,$C$4:C413,C414,$L$4:L413,"&lt;&gt;❌ Отменено")=0,1,0))</f>
        <v/>
      </c>
    </row>
    <row r="415">
      <c r="A415" s="42" t="n"/>
      <c r="B415" s="42" t="n"/>
      <c r="C415" s="43" t="n"/>
      <c r="D415" s="43" t="n"/>
      <c r="E415" s="43" t="n"/>
      <c r="F415" s="42" t="n"/>
      <c r="G415" s="44" t="n"/>
      <c r="H415" s="45" t="n"/>
      <c r="I415" s="46">
        <f>IF(O415=1,SUMIFS(day_amt,day_year,A415,day_month,B415,day_item,C415),"")</f>
        <v/>
      </c>
      <c r="J415" s="47">
        <f>IF(H415&lt;&gt;"",H415,IF(N(I415)=0,"",I415))</f>
        <v/>
      </c>
      <c r="K415" s="48">
        <f>IF(OR(G415="",J415=""),"",G415-J415)</f>
        <v/>
      </c>
      <c r="L415" s="43" t="n"/>
      <c r="M415" s="43" t="n"/>
      <c r="N415" s="49">
        <f>IF(IFERROR(INDEX(lst_cat_wish,MATCH(D415,lst_cats,0))="Да",FALSE),MAX($N$4:N414)+1,"")</f>
        <v/>
      </c>
      <c r="O415" s="49">
        <f>IF(OR(A415="",B415="",C415="",L415="❌ Отменено"),0,IF(COUNTIFS($A$4:A414,A415,$B$4:B414,B415,$C$4:C414,C415,$L$4:L414,"&lt;&gt;❌ Отменено")=0,1,0))</f>
        <v/>
      </c>
    </row>
    <row r="416">
      <c r="A416" s="42" t="n"/>
      <c r="B416" s="42" t="n"/>
      <c r="C416" s="43" t="n"/>
      <c r="D416" s="43" t="n"/>
      <c r="E416" s="43" t="n"/>
      <c r="F416" s="42" t="n"/>
      <c r="G416" s="44" t="n"/>
      <c r="H416" s="45" t="n"/>
      <c r="I416" s="46">
        <f>IF(O416=1,SUMIFS(day_amt,day_year,A416,day_month,B416,day_item,C416),"")</f>
        <v/>
      </c>
      <c r="J416" s="47">
        <f>IF(H416&lt;&gt;"",H416,IF(N(I416)=0,"",I416))</f>
        <v/>
      </c>
      <c r="K416" s="48">
        <f>IF(OR(G416="",J416=""),"",G416-J416)</f>
        <v/>
      </c>
      <c r="L416" s="43" t="n"/>
      <c r="M416" s="43" t="n"/>
      <c r="N416" s="49">
        <f>IF(IFERROR(INDEX(lst_cat_wish,MATCH(D416,lst_cats,0))="Да",FALSE),MAX($N$4:N415)+1,"")</f>
        <v/>
      </c>
      <c r="O416" s="49">
        <f>IF(OR(A416="",B416="",C416="",L416="❌ Отменено"),0,IF(COUNTIFS($A$4:A415,A416,$B$4:B415,B416,$C$4:C415,C416,$L$4:L415,"&lt;&gt;❌ Отменено")=0,1,0))</f>
        <v/>
      </c>
    </row>
    <row r="417">
      <c r="A417" s="42" t="n"/>
      <c r="B417" s="42" t="n"/>
      <c r="C417" s="43" t="n"/>
      <c r="D417" s="43" t="n"/>
      <c r="E417" s="43" t="n"/>
      <c r="F417" s="42" t="n"/>
      <c r="G417" s="44" t="n"/>
      <c r="H417" s="45" t="n"/>
      <c r="I417" s="46">
        <f>IF(O417=1,SUMIFS(day_amt,day_year,A417,day_month,B417,day_item,C417),"")</f>
        <v/>
      </c>
      <c r="J417" s="47">
        <f>IF(H417&lt;&gt;"",H417,IF(N(I417)=0,"",I417))</f>
        <v/>
      </c>
      <c r="K417" s="48">
        <f>IF(OR(G417="",J417=""),"",G417-J417)</f>
        <v/>
      </c>
      <c r="L417" s="43" t="n"/>
      <c r="M417" s="43" t="n"/>
      <c r="N417" s="49">
        <f>IF(IFERROR(INDEX(lst_cat_wish,MATCH(D417,lst_cats,0))="Да",FALSE),MAX($N$4:N416)+1,"")</f>
        <v/>
      </c>
      <c r="O417" s="49">
        <f>IF(OR(A417="",B417="",C417="",L417="❌ Отменено"),0,IF(COUNTIFS($A$4:A416,A417,$B$4:B416,B417,$C$4:C416,C417,$L$4:L416,"&lt;&gt;❌ Отменено")=0,1,0))</f>
        <v/>
      </c>
    </row>
    <row r="418">
      <c r="A418" s="42" t="n"/>
      <c r="B418" s="42" t="n"/>
      <c r="C418" s="43" t="n"/>
      <c r="D418" s="43" t="n"/>
      <c r="E418" s="43" t="n"/>
      <c r="F418" s="42" t="n"/>
      <c r="G418" s="44" t="n"/>
      <c r="H418" s="45" t="n"/>
      <c r="I418" s="46">
        <f>IF(O418=1,SUMIFS(day_amt,day_year,A418,day_month,B418,day_item,C418),"")</f>
        <v/>
      </c>
      <c r="J418" s="47">
        <f>IF(H418&lt;&gt;"",H418,IF(N(I418)=0,"",I418))</f>
        <v/>
      </c>
      <c r="K418" s="48">
        <f>IF(OR(G418="",J418=""),"",G418-J418)</f>
        <v/>
      </c>
      <c r="L418" s="43" t="n"/>
      <c r="M418" s="43" t="n"/>
      <c r="N418" s="49">
        <f>IF(IFERROR(INDEX(lst_cat_wish,MATCH(D418,lst_cats,0))="Да",FALSE),MAX($N$4:N417)+1,"")</f>
        <v/>
      </c>
      <c r="O418" s="49">
        <f>IF(OR(A418="",B418="",C418="",L418="❌ Отменено"),0,IF(COUNTIFS($A$4:A417,A418,$B$4:B417,B418,$C$4:C417,C418,$L$4:L417,"&lt;&gt;❌ Отменено")=0,1,0))</f>
        <v/>
      </c>
    </row>
    <row r="419">
      <c r="A419" s="42" t="n"/>
      <c r="B419" s="42" t="n"/>
      <c r="C419" s="43" t="n"/>
      <c r="D419" s="43" t="n"/>
      <c r="E419" s="43" t="n"/>
      <c r="F419" s="42" t="n"/>
      <c r="G419" s="44" t="n"/>
      <c r="H419" s="45" t="n"/>
      <c r="I419" s="46">
        <f>IF(O419=1,SUMIFS(day_amt,day_year,A419,day_month,B419,day_item,C419),"")</f>
        <v/>
      </c>
      <c r="J419" s="47">
        <f>IF(H419&lt;&gt;"",H419,IF(N(I419)=0,"",I419))</f>
        <v/>
      </c>
      <c r="K419" s="48">
        <f>IF(OR(G419="",J419=""),"",G419-J419)</f>
        <v/>
      </c>
      <c r="L419" s="43" t="n"/>
      <c r="M419" s="43" t="n"/>
      <c r="N419" s="49">
        <f>IF(IFERROR(INDEX(lst_cat_wish,MATCH(D419,lst_cats,0))="Да",FALSE),MAX($N$4:N418)+1,"")</f>
        <v/>
      </c>
      <c r="O419" s="49">
        <f>IF(OR(A419="",B419="",C419="",L419="❌ Отменено"),0,IF(COUNTIFS($A$4:A418,A419,$B$4:B418,B419,$C$4:C418,C419,$L$4:L418,"&lt;&gt;❌ Отменено")=0,1,0))</f>
        <v/>
      </c>
    </row>
    <row r="420">
      <c r="A420" s="42" t="n"/>
      <c r="B420" s="42" t="n"/>
      <c r="C420" s="43" t="n"/>
      <c r="D420" s="43" t="n"/>
      <c r="E420" s="43" t="n"/>
      <c r="F420" s="42" t="n"/>
      <c r="G420" s="44" t="n"/>
      <c r="H420" s="45" t="n"/>
      <c r="I420" s="46">
        <f>IF(O420=1,SUMIFS(day_amt,day_year,A420,day_month,B420,day_item,C420),"")</f>
        <v/>
      </c>
      <c r="J420" s="47">
        <f>IF(H420&lt;&gt;"",H420,IF(N(I420)=0,"",I420))</f>
        <v/>
      </c>
      <c r="K420" s="48">
        <f>IF(OR(G420="",J420=""),"",G420-J420)</f>
        <v/>
      </c>
      <c r="L420" s="43" t="n"/>
      <c r="M420" s="43" t="n"/>
      <c r="N420" s="49">
        <f>IF(IFERROR(INDEX(lst_cat_wish,MATCH(D420,lst_cats,0))="Да",FALSE),MAX($N$4:N419)+1,"")</f>
        <v/>
      </c>
      <c r="O420" s="49">
        <f>IF(OR(A420="",B420="",C420="",L420="❌ Отменено"),0,IF(COUNTIFS($A$4:A419,A420,$B$4:B419,B420,$C$4:C419,C420,$L$4:L419,"&lt;&gt;❌ Отменено")=0,1,0))</f>
        <v/>
      </c>
    </row>
    <row r="421">
      <c r="A421" s="42" t="n"/>
      <c r="B421" s="42" t="n"/>
      <c r="C421" s="43" t="n"/>
      <c r="D421" s="43" t="n"/>
      <c r="E421" s="43" t="n"/>
      <c r="F421" s="42" t="n"/>
      <c r="G421" s="44" t="n"/>
      <c r="H421" s="45" t="n"/>
      <c r="I421" s="46">
        <f>IF(O421=1,SUMIFS(day_amt,day_year,A421,day_month,B421,day_item,C421),"")</f>
        <v/>
      </c>
      <c r="J421" s="47">
        <f>IF(H421&lt;&gt;"",H421,IF(N(I421)=0,"",I421))</f>
        <v/>
      </c>
      <c r="K421" s="48">
        <f>IF(OR(G421="",J421=""),"",G421-J421)</f>
        <v/>
      </c>
      <c r="L421" s="43" t="n"/>
      <c r="M421" s="43" t="n"/>
      <c r="N421" s="49">
        <f>IF(IFERROR(INDEX(lst_cat_wish,MATCH(D421,lst_cats,0))="Да",FALSE),MAX($N$4:N420)+1,"")</f>
        <v/>
      </c>
      <c r="O421" s="49">
        <f>IF(OR(A421="",B421="",C421="",L421="❌ Отменено"),0,IF(COUNTIFS($A$4:A420,A421,$B$4:B420,B421,$C$4:C420,C421,$L$4:L420,"&lt;&gt;❌ Отменено")=0,1,0))</f>
        <v/>
      </c>
    </row>
    <row r="422">
      <c r="A422" s="42" t="n"/>
      <c r="B422" s="42" t="n"/>
      <c r="C422" s="43" t="n"/>
      <c r="D422" s="43" t="n"/>
      <c r="E422" s="43" t="n"/>
      <c r="F422" s="42" t="n"/>
      <c r="G422" s="44" t="n"/>
      <c r="H422" s="45" t="n"/>
      <c r="I422" s="46">
        <f>IF(O422=1,SUMIFS(day_amt,day_year,A422,day_month,B422,day_item,C422),"")</f>
        <v/>
      </c>
      <c r="J422" s="47">
        <f>IF(H422&lt;&gt;"",H422,IF(N(I422)=0,"",I422))</f>
        <v/>
      </c>
      <c r="K422" s="48">
        <f>IF(OR(G422="",J422=""),"",G422-J422)</f>
        <v/>
      </c>
      <c r="L422" s="43" t="n"/>
      <c r="M422" s="43" t="n"/>
      <c r="N422" s="49">
        <f>IF(IFERROR(INDEX(lst_cat_wish,MATCH(D422,lst_cats,0))="Да",FALSE),MAX($N$4:N421)+1,"")</f>
        <v/>
      </c>
      <c r="O422" s="49">
        <f>IF(OR(A422="",B422="",C422="",L422="❌ Отменено"),0,IF(COUNTIFS($A$4:A421,A422,$B$4:B421,B422,$C$4:C421,C422,$L$4:L421,"&lt;&gt;❌ Отменено")=0,1,0))</f>
        <v/>
      </c>
    </row>
    <row r="423">
      <c r="A423" s="42" t="n"/>
      <c r="B423" s="42" t="n"/>
      <c r="C423" s="43" t="n"/>
      <c r="D423" s="43" t="n"/>
      <c r="E423" s="43" t="n"/>
      <c r="F423" s="42" t="n"/>
      <c r="G423" s="44" t="n"/>
      <c r="H423" s="45" t="n"/>
      <c r="I423" s="46">
        <f>IF(O423=1,SUMIFS(day_amt,day_year,A423,day_month,B423,day_item,C423),"")</f>
        <v/>
      </c>
      <c r="J423" s="47">
        <f>IF(H423&lt;&gt;"",H423,IF(N(I423)=0,"",I423))</f>
        <v/>
      </c>
      <c r="K423" s="48">
        <f>IF(OR(G423="",J423=""),"",G423-J423)</f>
        <v/>
      </c>
      <c r="L423" s="43" t="n"/>
      <c r="M423" s="43" t="n"/>
      <c r="N423" s="49">
        <f>IF(IFERROR(INDEX(lst_cat_wish,MATCH(D423,lst_cats,0))="Да",FALSE),MAX($N$4:N422)+1,"")</f>
        <v/>
      </c>
      <c r="O423" s="49">
        <f>IF(OR(A423="",B423="",C423="",L423="❌ Отменено"),0,IF(COUNTIFS($A$4:A422,A423,$B$4:B422,B423,$C$4:C422,C423,$L$4:L422,"&lt;&gt;❌ Отменено")=0,1,0))</f>
        <v/>
      </c>
    </row>
    <row r="424">
      <c r="A424" s="42" t="n"/>
      <c r="B424" s="42" t="n"/>
      <c r="C424" s="43" t="n"/>
      <c r="D424" s="43" t="n"/>
      <c r="E424" s="43" t="n"/>
      <c r="F424" s="42" t="n"/>
      <c r="G424" s="44" t="n"/>
      <c r="H424" s="45" t="n"/>
      <c r="I424" s="46">
        <f>IF(O424=1,SUMIFS(day_amt,day_year,A424,day_month,B424,day_item,C424),"")</f>
        <v/>
      </c>
      <c r="J424" s="47">
        <f>IF(H424&lt;&gt;"",H424,IF(N(I424)=0,"",I424))</f>
        <v/>
      </c>
      <c r="K424" s="48">
        <f>IF(OR(G424="",J424=""),"",G424-J424)</f>
        <v/>
      </c>
      <c r="L424" s="43" t="n"/>
      <c r="M424" s="43" t="n"/>
      <c r="N424" s="49">
        <f>IF(IFERROR(INDEX(lst_cat_wish,MATCH(D424,lst_cats,0))="Да",FALSE),MAX($N$4:N423)+1,"")</f>
        <v/>
      </c>
      <c r="O424" s="49">
        <f>IF(OR(A424="",B424="",C424="",L424="❌ Отменено"),0,IF(COUNTIFS($A$4:A423,A424,$B$4:B423,B424,$C$4:C423,C424,$L$4:L423,"&lt;&gt;❌ Отменено")=0,1,0))</f>
        <v/>
      </c>
    </row>
    <row r="425">
      <c r="A425" s="42" t="n"/>
      <c r="B425" s="42" t="n"/>
      <c r="C425" s="43" t="n"/>
      <c r="D425" s="43" t="n"/>
      <c r="E425" s="43" t="n"/>
      <c r="F425" s="42" t="n"/>
      <c r="G425" s="44" t="n"/>
      <c r="H425" s="45" t="n"/>
      <c r="I425" s="46">
        <f>IF(O425=1,SUMIFS(day_amt,day_year,A425,day_month,B425,day_item,C425),"")</f>
        <v/>
      </c>
      <c r="J425" s="47">
        <f>IF(H425&lt;&gt;"",H425,IF(N(I425)=0,"",I425))</f>
        <v/>
      </c>
      <c r="K425" s="48">
        <f>IF(OR(G425="",J425=""),"",G425-J425)</f>
        <v/>
      </c>
      <c r="L425" s="43" t="n"/>
      <c r="M425" s="43" t="n"/>
      <c r="N425" s="49">
        <f>IF(IFERROR(INDEX(lst_cat_wish,MATCH(D425,lst_cats,0))="Да",FALSE),MAX($N$4:N424)+1,"")</f>
        <v/>
      </c>
      <c r="O425" s="49">
        <f>IF(OR(A425="",B425="",C425="",L425="❌ Отменено"),0,IF(COUNTIFS($A$4:A424,A425,$B$4:B424,B425,$C$4:C424,C425,$L$4:L424,"&lt;&gt;❌ Отменено")=0,1,0))</f>
        <v/>
      </c>
    </row>
    <row r="426">
      <c r="A426" s="42" t="n"/>
      <c r="B426" s="42" t="n"/>
      <c r="C426" s="43" t="n"/>
      <c r="D426" s="43" t="n"/>
      <c r="E426" s="43" t="n"/>
      <c r="F426" s="42" t="n"/>
      <c r="G426" s="44" t="n"/>
      <c r="H426" s="45" t="n"/>
      <c r="I426" s="46">
        <f>IF(O426=1,SUMIFS(day_amt,day_year,A426,day_month,B426,day_item,C426),"")</f>
        <v/>
      </c>
      <c r="J426" s="47">
        <f>IF(H426&lt;&gt;"",H426,IF(N(I426)=0,"",I426))</f>
        <v/>
      </c>
      <c r="K426" s="48">
        <f>IF(OR(G426="",J426=""),"",G426-J426)</f>
        <v/>
      </c>
      <c r="L426" s="43" t="n"/>
      <c r="M426" s="43" t="n"/>
      <c r="N426" s="49">
        <f>IF(IFERROR(INDEX(lst_cat_wish,MATCH(D426,lst_cats,0))="Да",FALSE),MAX($N$4:N425)+1,"")</f>
        <v/>
      </c>
      <c r="O426" s="49">
        <f>IF(OR(A426="",B426="",C426="",L426="❌ Отменено"),0,IF(COUNTIFS($A$4:A425,A426,$B$4:B425,B426,$C$4:C425,C426,$L$4:L425,"&lt;&gt;❌ Отменено")=0,1,0))</f>
        <v/>
      </c>
    </row>
    <row r="427">
      <c r="A427" s="42" t="n"/>
      <c r="B427" s="42" t="n"/>
      <c r="C427" s="43" t="n"/>
      <c r="D427" s="43" t="n"/>
      <c r="E427" s="43" t="n"/>
      <c r="F427" s="42" t="n"/>
      <c r="G427" s="44" t="n"/>
      <c r="H427" s="45" t="n"/>
      <c r="I427" s="46">
        <f>IF(O427=1,SUMIFS(day_amt,day_year,A427,day_month,B427,day_item,C427),"")</f>
        <v/>
      </c>
      <c r="J427" s="47">
        <f>IF(H427&lt;&gt;"",H427,IF(N(I427)=0,"",I427))</f>
        <v/>
      </c>
      <c r="K427" s="48">
        <f>IF(OR(G427="",J427=""),"",G427-J427)</f>
        <v/>
      </c>
      <c r="L427" s="43" t="n"/>
      <c r="M427" s="43" t="n"/>
      <c r="N427" s="49">
        <f>IF(IFERROR(INDEX(lst_cat_wish,MATCH(D427,lst_cats,0))="Да",FALSE),MAX($N$4:N426)+1,"")</f>
        <v/>
      </c>
      <c r="O427" s="49">
        <f>IF(OR(A427="",B427="",C427="",L427="❌ Отменено"),0,IF(COUNTIFS($A$4:A426,A427,$B$4:B426,B427,$C$4:C426,C427,$L$4:L426,"&lt;&gt;❌ Отменено")=0,1,0))</f>
        <v/>
      </c>
    </row>
    <row r="428">
      <c r="A428" s="42" t="n"/>
      <c r="B428" s="42" t="n"/>
      <c r="C428" s="43" t="n"/>
      <c r="D428" s="43" t="n"/>
      <c r="E428" s="43" t="n"/>
      <c r="F428" s="42" t="n"/>
      <c r="G428" s="44" t="n"/>
      <c r="H428" s="45" t="n"/>
      <c r="I428" s="46">
        <f>IF(O428=1,SUMIFS(day_amt,day_year,A428,day_month,B428,day_item,C428),"")</f>
        <v/>
      </c>
      <c r="J428" s="47">
        <f>IF(H428&lt;&gt;"",H428,IF(N(I428)=0,"",I428))</f>
        <v/>
      </c>
      <c r="K428" s="48">
        <f>IF(OR(G428="",J428=""),"",G428-J428)</f>
        <v/>
      </c>
      <c r="L428" s="43" t="n"/>
      <c r="M428" s="43" t="n"/>
      <c r="N428" s="49">
        <f>IF(IFERROR(INDEX(lst_cat_wish,MATCH(D428,lst_cats,0))="Да",FALSE),MAX($N$4:N427)+1,"")</f>
        <v/>
      </c>
      <c r="O428" s="49">
        <f>IF(OR(A428="",B428="",C428="",L428="❌ Отменено"),0,IF(COUNTIFS($A$4:A427,A428,$B$4:B427,B428,$C$4:C427,C428,$L$4:L427,"&lt;&gt;❌ Отменено")=0,1,0))</f>
        <v/>
      </c>
    </row>
    <row r="429">
      <c r="A429" s="42" t="n"/>
      <c r="B429" s="42" t="n"/>
      <c r="C429" s="43" t="n"/>
      <c r="D429" s="43" t="n"/>
      <c r="E429" s="43" t="n"/>
      <c r="F429" s="42" t="n"/>
      <c r="G429" s="44" t="n"/>
      <c r="H429" s="45" t="n"/>
      <c r="I429" s="46">
        <f>IF(O429=1,SUMIFS(day_amt,day_year,A429,day_month,B429,day_item,C429),"")</f>
        <v/>
      </c>
      <c r="J429" s="47">
        <f>IF(H429&lt;&gt;"",H429,IF(N(I429)=0,"",I429))</f>
        <v/>
      </c>
      <c r="K429" s="48">
        <f>IF(OR(G429="",J429=""),"",G429-J429)</f>
        <v/>
      </c>
      <c r="L429" s="43" t="n"/>
      <c r="M429" s="43" t="n"/>
      <c r="N429" s="49">
        <f>IF(IFERROR(INDEX(lst_cat_wish,MATCH(D429,lst_cats,0))="Да",FALSE),MAX($N$4:N428)+1,"")</f>
        <v/>
      </c>
      <c r="O429" s="49">
        <f>IF(OR(A429="",B429="",C429="",L429="❌ Отменено"),0,IF(COUNTIFS($A$4:A428,A429,$B$4:B428,B429,$C$4:C428,C429,$L$4:L428,"&lt;&gt;❌ Отменено")=0,1,0))</f>
        <v/>
      </c>
    </row>
    <row r="430">
      <c r="A430" s="42" t="n"/>
      <c r="B430" s="42" t="n"/>
      <c r="C430" s="43" t="n"/>
      <c r="D430" s="43" t="n"/>
      <c r="E430" s="43" t="n"/>
      <c r="F430" s="42" t="n"/>
      <c r="G430" s="44" t="n"/>
      <c r="H430" s="45" t="n"/>
      <c r="I430" s="46">
        <f>IF(O430=1,SUMIFS(day_amt,day_year,A430,day_month,B430,day_item,C430),"")</f>
        <v/>
      </c>
      <c r="J430" s="47">
        <f>IF(H430&lt;&gt;"",H430,IF(N(I430)=0,"",I430))</f>
        <v/>
      </c>
      <c r="K430" s="48">
        <f>IF(OR(G430="",J430=""),"",G430-J430)</f>
        <v/>
      </c>
      <c r="L430" s="43" t="n"/>
      <c r="M430" s="43" t="n"/>
      <c r="N430" s="49">
        <f>IF(IFERROR(INDEX(lst_cat_wish,MATCH(D430,lst_cats,0))="Да",FALSE),MAX($N$4:N429)+1,"")</f>
        <v/>
      </c>
      <c r="O430" s="49">
        <f>IF(OR(A430="",B430="",C430="",L430="❌ Отменено"),0,IF(COUNTIFS($A$4:A429,A430,$B$4:B429,B430,$C$4:C429,C430,$L$4:L429,"&lt;&gt;❌ Отменено")=0,1,0))</f>
        <v/>
      </c>
    </row>
    <row r="431">
      <c r="A431" s="42" t="n"/>
      <c r="B431" s="42" t="n"/>
      <c r="C431" s="43" t="n"/>
      <c r="D431" s="43" t="n"/>
      <c r="E431" s="43" t="n"/>
      <c r="F431" s="42" t="n"/>
      <c r="G431" s="44" t="n"/>
      <c r="H431" s="45" t="n"/>
      <c r="I431" s="46">
        <f>IF(O431=1,SUMIFS(day_amt,day_year,A431,day_month,B431,day_item,C431),"")</f>
        <v/>
      </c>
      <c r="J431" s="47">
        <f>IF(H431&lt;&gt;"",H431,IF(N(I431)=0,"",I431))</f>
        <v/>
      </c>
      <c r="K431" s="48">
        <f>IF(OR(G431="",J431=""),"",G431-J431)</f>
        <v/>
      </c>
      <c r="L431" s="43" t="n"/>
      <c r="M431" s="43" t="n"/>
      <c r="N431" s="49">
        <f>IF(IFERROR(INDEX(lst_cat_wish,MATCH(D431,lst_cats,0))="Да",FALSE),MAX($N$4:N430)+1,"")</f>
        <v/>
      </c>
      <c r="O431" s="49">
        <f>IF(OR(A431="",B431="",C431="",L431="❌ Отменено"),0,IF(COUNTIFS($A$4:A430,A431,$B$4:B430,B431,$C$4:C430,C431,$L$4:L430,"&lt;&gt;❌ Отменено")=0,1,0))</f>
        <v/>
      </c>
    </row>
    <row r="432">
      <c r="A432" s="42" t="n"/>
      <c r="B432" s="42" t="n"/>
      <c r="C432" s="43" t="n"/>
      <c r="D432" s="43" t="n"/>
      <c r="E432" s="43" t="n"/>
      <c r="F432" s="42" t="n"/>
      <c r="G432" s="44" t="n"/>
      <c r="H432" s="45" t="n"/>
      <c r="I432" s="46">
        <f>IF(O432=1,SUMIFS(day_amt,day_year,A432,day_month,B432,day_item,C432),"")</f>
        <v/>
      </c>
      <c r="J432" s="47">
        <f>IF(H432&lt;&gt;"",H432,IF(N(I432)=0,"",I432))</f>
        <v/>
      </c>
      <c r="K432" s="48">
        <f>IF(OR(G432="",J432=""),"",G432-J432)</f>
        <v/>
      </c>
      <c r="L432" s="43" t="n"/>
      <c r="M432" s="43" t="n"/>
      <c r="N432" s="49">
        <f>IF(IFERROR(INDEX(lst_cat_wish,MATCH(D432,lst_cats,0))="Да",FALSE),MAX($N$4:N431)+1,"")</f>
        <v/>
      </c>
      <c r="O432" s="49">
        <f>IF(OR(A432="",B432="",C432="",L432="❌ Отменено"),0,IF(COUNTIFS($A$4:A431,A432,$B$4:B431,B432,$C$4:C431,C432,$L$4:L431,"&lt;&gt;❌ Отменено")=0,1,0))</f>
        <v/>
      </c>
    </row>
    <row r="433">
      <c r="A433" s="42" t="n"/>
      <c r="B433" s="42" t="n"/>
      <c r="C433" s="43" t="n"/>
      <c r="D433" s="43" t="n"/>
      <c r="E433" s="43" t="n"/>
      <c r="F433" s="42" t="n"/>
      <c r="G433" s="44" t="n"/>
      <c r="H433" s="45" t="n"/>
      <c r="I433" s="46">
        <f>IF(O433=1,SUMIFS(day_amt,day_year,A433,day_month,B433,day_item,C433),"")</f>
        <v/>
      </c>
      <c r="J433" s="47">
        <f>IF(H433&lt;&gt;"",H433,IF(N(I433)=0,"",I433))</f>
        <v/>
      </c>
      <c r="K433" s="48">
        <f>IF(OR(G433="",J433=""),"",G433-J433)</f>
        <v/>
      </c>
      <c r="L433" s="43" t="n"/>
      <c r="M433" s="43" t="n"/>
      <c r="N433" s="49">
        <f>IF(IFERROR(INDEX(lst_cat_wish,MATCH(D433,lst_cats,0))="Да",FALSE),MAX($N$4:N432)+1,"")</f>
        <v/>
      </c>
      <c r="O433" s="49">
        <f>IF(OR(A433="",B433="",C433="",L433="❌ Отменено"),0,IF(COUNTIFS($A$4:A432,A433,$B$4:B432,B433,$C$4:C432,C433,$L$4:L432,"&lt;&gt;❌ Отменено")=0,1,0))</f>
        <v/>
      </c>
    </row>
    <row r="434">
      <c r="A434" s="42" t="n"/>
      <c r="B434" s="42" t="n"/>
      <c r="C434" s="43" t="n"/>
      <c r="D434" s="43" t="n"/>
      <c r="E434" s="43" t="n"/>
      <c r="F434" s="42" t="n"/>
      <c r="G434" s="44" t="n"/>
      <c r="H434" s="45" t="n"/>
      <c r="I434" s="46">
        <f>IF(O434=1,SUMIFS(day_amt,day_year,A434,day_month,B434,day_item,C434),"")</f>
        <v/>
      </c>
      <c r="J434" s="47">
        <f>IF(H434&lt;&gt;"",H434,IF(N(I434)=0,"",I434))</f>
        <v/>
      </c>
      <c r="K434" s="48">
        <f>IF(OR(G434="",J434=""),"",G434-J434)</f>
        <v/>
      </c>
      <c r="L434" s="43" t="n"/>
      <c r="M434" s="43" t="n"/>
      <c r="N434" s="49">
        <f>IF(IFERROR(INDEX(lst_cat_wish,MATCH(D434,lst_cats,0))="Да",FALSE),MAX($N$4:N433)+1,"")</f>
        <v/>
      </c>
      <c r="O434" s="49">
        <f>IF(OR(A434="",B434="",C434="",L434="❌ Отменено"),0,IF(COUNTIFS($A$4:A433,A434,$B$4:B433,B434,$C$4:C433,C434,$L$4:L433,"&lt;&gt;❌ Отменено")=0,1,0))</f>
        <v/>
      </c>
    </row>
    <row r="435">
      <c r="A435" s="42" t="n"/>
      <c r="B435" s="42" t="n"/>
      <c r="C435" s="43" t="n"/>
      <c r="D435" s="43" t="n"/>
      <c r="E435" s="43" t="n"/>
      <c r="F435" s="42" t="n"/>
      <c r="G435" s="44" t="n"/>
      <c r="H435" s="45" t="n"/>
      <c r="I435" s="46">
        <f>IF(O435=1,SUMIFS(day_amt,day_year,A435,day_month,B435,day_item,C435),"")</f>
        <v/>
      </c>
      <c r="J435" s="47">
        <f>IF(H435&lt;&gt;"",H435,IF(N(I435)=0,"",I435))</f>
        <v/>
      </c>
      <c r="K435" s="48">
        <f>IF(OR(G435="",J435=""),"",G435-J435)</f>
        <v/>
      </c>
      <c r="L435" s="43" t="n"/>
      <c r="M435" s="43" t="n"/>
      <c r="N435" s="49">
        <f>IF(IFERROR(INDEX(lst_cat_wish,MATCH(D435,lst_cats,0))="Да",FALSE),MAX($N$4:N434)+1,"")</f>
        <v/>
      </c>
      <c r="O435" s="49">
        <f>IF(OR(A435="",B435="",C435="",L435="❌ Отменено"),0,IF(COUNTIFS($A$4:A434,A435,$B$4:B434,B435,$C$4:C434,C435,$L$4:L434,"&lt;&gt;❌ Отменено")=0,1,0))</f>
        <v/>
      </c>
    </row>
    <row r="436">
      <c r="A436" s="42" t="n"/>
      <c r="B436" s="42" t="n"/>
      <c r="C436" s="43" t="n"/>
      <c r="D436" s="43" t="n"/>
      <c r="E436" s="43" t="n"/>
      <c r="F436" s="42" t="n"/>
      <c r="G436" s="44" t="n"/>
      <c r="H436" s="45" t="n"/>
      <c r="I436" s="46">
        <f>IF(O436=1,SUMIFS(day_amt,day_year,A436,day_month,B436,day_item,C436),"")</f>
        <v/>
      </c>
      <c r="J436" s="47">
        <f>IF(H436&lt;&gt;"",H436,IF(N(I436)=0,"",I436))</f>
        <v/>
      </c>
      <c r="K436" s="48">
        <f>IF(OR(G436="",J436=""),"",G436-J436)</f>
        <v/>
      </c>
      <c r="L436" s="43" t="n"/>
      <c r="M436" s="43" t="n"/>
      <c r="N436" s="49">
        <f>IF(IFERROR(INDEX(lst_cat_wish,MATCH(D436,lst_cats,0))="Да",FALSE),MAX($N$4:N435)+1,"")</f>
        <v/>
      </c>
      <c r="O436" s="49">
        <f>IF(OR(A436="",B436="",C436="",L436="❌ Отменено"),0,IF(COUNTIFS($A$4:A435,A436,$B$4:B435,B436,$C$4:C435,C436,$L$4:L435,"&lt;&gt;❌ Отменено")=0,1,0))</f>
        <v/>
      </c>
    </row>
    <row r="437">
      <c r="A437" s="42" t="n"/>
      <c r="B437" s="42" t="n"/>
      <c r="C437" s="43" t="n"/>
      <c r="D437" s="43" t="n"/>
      <c r="E437" s="43" t="n"/>
      <c r="F437" s="42" t="n"/>
      <c r="G437" s="44" t="n"/>
      <c r="H437" s="45" t="n"/>
      <c r="I437" s="46">
        <f>IF(O437=1,SUMIFS(day_amt,day_year,A437,day_month,B437,day_item,C437),"")</f>
        <v/>
      </c>
      <c r="J437" s="47">
        <f>IF(H437&lt;&gt;"",H437,IF(N(I437)=0,"",I437))</f>
        <v/>
      </c>
      <c r="K437" s="48">
        <f>IF(OR(G437="",J437=""),"",G437-J437)</f>
        <v/>
      </c>
      <c r="L437" s="43" t="n"/>
      <c r="M437" s="43" t="n"/>
      <c r="N437" s="49">
        <f>IF(IFERROR(INDEX(lst_cat_wish,MATCH(D437,lst_cats,0))="Да",FALSE),MAX($N$4:N436)+1,"")</f>
        <v/>
      </c>
      <c r="O437" s="49">
        <f>IF(OR(A437="",B437="",C437="",L437="❌ Отменено"),0,IF(COUNTIFS($A$4:A436,A437,$B$4:B436,B437,$C$4:C436,C437,$L$4:L436,"&lt;&gt;❌ Отменено")=0,1,0))</f>
        <v/>
      </c>
    </row>
    <row r="438">
      <c r="A438" s="42" t="n"/>
      <c r="B438" s="42" t="n"/>
      <c r="C438" s="43" t="n"/>
      <c r="D438" s="43" t="n"/>
      <c r="E438" s="43" t="n"/>
      <c r="F438" s="42" t="n"/>
      <c r="G438" s="44" t="n"/>
      <c r="H438" s="45" t="n"/>
      <c r="I438" s="46">
        <f>IF(O438=1,SUMIFS(day_amt,day_year,A438,day_month,B438,day_item,C438),"")</f>
        <v/>
      </c>
      <c r="J438" s="47">
        <f>IF(H438&lt;&gt;"",H438,IF(N(I438)=0,"",I438))</f>
        <v/>
      </c>
      <c r="K438" s="48">
        <f>IF(OR(G438="",J438=""),"",G438-J438)</f>
        <v/>
      </c>
      <c r="L438" s="43" t="n"/>
      <c r="M438" s="43" t="n"/>
      <c r="N438" s="49">
        <f>IF(IFERROR(INDEX(lst_cat_wish,MATCH(D438,lst_cats,0))="Да",FALSE),MAX($N$4:N437)+1,"")</f>
        <v/>
      </c>
      <c r="O438" s="49">
        <f>IF(OR(A438="",B438="",C438="",L438="❌ Отменено"),0,IF(COUNTIFS($A$4:A437,A438,$B$4:B437,B438,$C$4:C437,C438,$L$4:L437,"&lt;&gt;❌ Отменено")=0,1,0))</f>
        <v/>
      </c>
    </row>
    <row r="439">
      <c r="A439" s="42" t="n"/>
      <c r="B439" s="42" t="n"/>
      <c r="C439" s="43" t="n"/>
      <c r="D439" s="43" t="n"/>
      <c r="E439" s="43" t="n"/>
      <c r="F439" s="42" t="n"/>
      <c r="G439" s="44" t="n"/>
      <c r="H439" s="45" t="n"/>
      <c r="I439" s="46">
        <f>IF(O439=1,SUMIFS(day_amt,day_year,A439,day_month,B439,day_item,C439),"")</f>
        <v/>
      </c>
      <c r="J439" s="47">
        <f>IF(H439&lt;&gt;"",H439,IF(N(I439)=0,"",I439))</f>
        <v/>
      </c>
      <c r="K439" s="48">
        <f>IF(OR(G439="",J439=""),"",G439-J439)</f>
        <v/>
      </c>
      <c r="L439" s="43" t="n"/>
      <c r="M439" s="43" t="n"/>
      <c r="N439" s="49">
        <f>IF(IFERROR(INDEX(lst_cat_wish,MATCH(D439,lst_cats,0))="Да",FALSE),MAX($N$4:N438)+1,"")</f>
        <v/>
      </c>
      <c r="O439" s="49">
        <f>IF(OR(A439="",B439="",C439="",L439="❌ Отменено"),0,IF(COUNTIFS($A$4:A438,A439,$B$4:B438,B439,$C$4:C438,C439,$L$4:L438,"&lt;&gt;❌ Отменено")=0,1,0))</f>
        <v/>
      </c>
    </row>
    <row r="440">
      <c r="A440" s="42" t="n"/>
      <c r="B440" s="42" t="n"/>
      <c r="C440" s="43" t="n"/>
      <c r="D440" s="43" t="n"/>
      <c r="E440" s="43" t="n"/>
      <c r="F440" s="42" t="n"/>
      <c r="G440" s="44" t="n"/>
      <c r="H440" s="45" t="n"/>
      <c r="I440" s="46">
        <f>IF(O440=1,SUMIFS(day_amt,day_year,A440,day_month,B440,day_item,C440),"")</f>
        <v/>
      </c>
      <c r="J440" s="47">
        <f>IF(H440&lt;&gt;"",H440,IF(N(I440)=0,"",I440))</f>
        <v/>
      </c>
      <c r="K440" s="48">
        <f>IF(OR(G440="",J440=""),"",G440-J440)</f>
        <v/>
      </c>
      <c r="L440" s="43" t="n"/>
      <c r="M440" s="43" t="n"/>
      <c r="N440" s="49">
        <f>IF(IFERROR(INDEX(lst_cat_wish,MATCH(D440,lst_cats,0))="Да",FALSE),MAX($N$4:N439)+1,"")</f>
        <v/>
      </c>
      <c r="O440" s="49">
        <f>IF(OR(A440="",B440="",C440="",L440="❌ Отменено"),0,IF(COUNTIFS($A$4:A439,A440,$B$4:B439,B440,$C$4:C439,C440,$L$4:L439,"&lt;&gt;❌ Отменено")=0,1,0))</f>
        <v/>
      </c>
    </row>
    <row r="441">
      <c r="A441" s="42" t="n"/>
      <c r="B441" s="42" t="n"/>
      <c r="C441" s="43" t="n"/>
      <c r="D441" s="43" t="n"/>
      <c r="E441" s="43" t="n"/>
      <c r="F441" s="42" t="n"/>
      <c r="G441" s="44" t="n"/>
      <c r="H441" s="45" t="n"/>
      <c r="I441" s="46">
        <f>IF(O441=1,SUMIFS(day_amt,day_year,A441,day_month,B441,day_item,C441),"")</f>
        <v/>
      </c>
      <c r="J441" s="47">
        <f>IF(H441&lt;&gt;"",H441,IF(N(I441)=0,"",I441))</f>
        <v/>
      </c>
      <c r="K441" s="48">
        <f>IF(OR(G441="",J441=""),"",G441-J441)</f>
        <v/>
      </c>
      <c r="L441" s="43" t="n"/>
      <c r="M441" s="43" t="n"/>
      <c r="N441" s="49">
        <f>IF(IFERROR(INDEX(lst_cat_wish,MATCH(D441,lst_cats,0))="Да",FALSE),MAX($N$4:N440)+1,"")</f>
        <v/>
      </c>
      <c r="O441" s="49">
        <f>IF(OR(A441="",B441="",C441="",L441="❌ Отменено"),0,IF(COUNTIFS($A$4:A440,A441,$B$4:B440,B441,$C$4:C440,C441,$L$4:L440,"&lt;&gt;❌ Отменено")=0,1,0))</f>
        <v/>
      </c>
    </row>
    <row r="442">
      <c r="A442" s="42" t="n"/>
      <c r="B442" s="42" t="n"/>
      <c r="C442" s="43" t="n"/>
      <c r="D442" s="43" t="n"/>
      <c r="E442" s="43" t="n"/>
      <c r="F442" s="42" t="n"/>
      <c r="G442" s="44" t="n"/>
      <c r="H442" s="45" t="n"/>
      <c r="I442" s="46">
        <f>IF(O442=1,SUMIFS(day_amt,day_year,A442,day_month,B442,day_item,C442),"")</f>
        <v/>
      </c>
      <c r="J442" s="47">
        <f>IF(H442&lt;&gt;"",H442,IF(N(I442)=0,"",I442))</f>
        <v/>
      </c>
      <c r="K442" s="48">
        <f>IF(OR(G442="",J442=""),"",G442-J442)</f>
        <v/>
      </c>
      <c r="L442" s="43" t="n"/>
      <c r="M442" s="43" t="n"/>
      <c r="N442" s="49">
        <f>IF(IFERROR(INDEX(lst_cat_wish,MATCH(D442,lst_cats,0))="Да",FALSE),MAX($N$4:N441)+1,"")</f>
        <v/>
      </c>
      <c r="O442" s="49">
        <f>IF(OR(A442="",B442="",C442="",L442="❌ Отменено"),0,IF(COUNTIFS($A$4:A441,A442,$B$4:B441,B442,$C$4:C441,C442,$L$4:L441,"&lt;&gt;❌ Отменено")=0,1,0))</f>
        <v/>
      </c>
    </row>
    <row r="443">
      <c r="A443" s="42" t="n"/>
      <c r="B443" s="42" t="n"/>
      <c r="C443" s="43" t="n"/>
      <c r="D443" s="43" t="n"/>
      <c r="E443" s="43" t="n"/>
      <c r="F443" s="42" t="n"/>
      <c r="G443" s="44" t="n"/>
      <c r="H443" s="45" t="n"/>
      <c r="I443" s="46">
        <f>IF(O443=1,SUMIFS(day_amt,day_year,A443,day_month,B443,day_item,C443),"")</f>
        <v/>
      </c>
      <c r="J443" s="47">
        <f>IF(H443&lt;&gt;"",H443,IF(N(I443)=0,"",I443))</f>
        <v/>
      </c>
      <c r="K443" s="48">
        <f>IF(OR(G443="",J443=""),"",G443-J443)</f>
        <v/>
      </c>
      <c r="L443" s="43" t="n"/>
      <c r="M443" s="43" t="n"/>
      <c r="N443" s="49">
        <f>IF(IFERROR(INDEX(lst_cat_wish,MATCH(D443,lst_cats,0))="Да",FALSE),MAX($N$4:N442)+1,"")</f>
        <v/>
      </c>
      <c r="O443" s="49">
        <f>IF(OR(A443="",B443="",C443="",L443="❌ Отменено"),0,IF(COUNTIFS($A$4:A442,A443,$B$4:B442,B443,$C$4:C442,C443,$L$4:L442,"&lt;&gt;❌ Отменено")=0,1,0))</f>
        <v/>
      </c>
    </row>
    <row r="444">
      <c r="A444" s="42" t="n"/>
      <c r="B444" s="42" t="n"/>
      <c r="C444" s="43" t="n"/>
      <c r="D444" s="43" t="n"/>
      <c r="E444" s="43" t="n"/>
      <c r="F444" s="42" t="n"/>
      <c r="G444" s="44" t="n"/>
      <c r="H444" s="45" t="n"/>
      <c r="I444" s="46">
        <f>IF(O444=1,SUMIFS(day_amt,day_year,A444,day_month,B444,day_item,C444),"")</f>
        <v/>
      </c>
      <c r="J444" s="47">
        <f>IF(H444&lt;&gt;"",H444,IF(N(I444)=0,"",I444))</f>
        <v/>
      </c>
      <c r="K444" s="48">
        <f>IF(OR(G444="",J444=""),"",G444-J444)</f>
        <v/>
      </c>
      <c r="L444" s="43" t="n"/>
      <c r="M444" s="43" t="n"/>
      <c r="N444" s="49">
        <f>IF(IFERROR(INDEX(lst_cat_wish,MATCH(D444,lst_cats,0))="Да",FALSE),MAX($N$4:N443)+1,"")</f>
        <v/>
      </c>
      <c r="O444" s="49">
        <f>IF(OR(A444="",B444="",C444="",L444="❌ Отменено"),0,IF(COUNTIFS($A$4:A443,A444,$B$4:B443,B444,$C$4:C443,C444,$L$4:L443,"&lt;&gt;❌ Отменено")=0,1,0))</f>
        <v/>
      </c>
    </row>
    <row r="445">
      <c r="A445" s="42" t="n"/>
      <c r="B445" s="42" t="n"/>
      <c r="C445" s="43" t="n"/>
      <c r="D445" s="43" t="n"/>
      <c r="E445" s="43" t="n"/>
      <c r="F445" s="42" t="n"/>
      <c r="G445" s="44" t="n"/>
      <c r="H445" s="45" t="n"/>
      <c r="I445" s="46">
        <f>IF(O445=1,SUMIFS(day_amt,day_year,A445,day_month,B445,day_item,C445),"")</f>
        <v/>
      </c>
      <c r="J445" s="47">
        <f>IF(H445&lt;&gt;"",H445,IF(N(I445)=0,"",I445))</f>
        <v/>
      </c>
      <c r="K445" s="48">
        <f>IF(OR(G445="",J445=""),"",G445-J445)</f>
        <v/>
      </c>
      <c r="L445" s="43" t="n"/>
      <c r="M445" s="43" t="n"/>
      <c r="N445" s="49">
        <f>IF(IFERROR(INDEX(lst_cat_wish,MATCH(D445,lst_cats,0))="Да",FALSE),MAX($N$4:N444)+1,"")</f>
        <v/>
      </c>
      <c r="O445" s="49">
        <f>IF(OR(A445="",B445="",C445="",L445="❌ Отменено"),0,IF(COUNTIFS($A$4:A444,A445,$B$4:B444,B445,$C$4:C444,C445,$L$4:L444,"&lt;&gt;❌ Отменено")=0,1,0))</f>
        <v/>
      </c>
    </row>
    <row r="446">
      <c r="A446" s="42" t="n"/>
      <c r="B446" s="42" t="n"/>
      <c r="C446" s="43" t="n"/>
      <c r="D446" s="43" t="n"/>
      <c r="E446" s="43" t="n"/>
      <c r="F446" s="42" t="n"/>
      <c r="G446" s="44" t="n"/>
      <c r="H446" s="45" t="n"/>
      <c r="I446" s="46">
        <f>IF(O446=1,SUMIFS(day_amt,day_year,A446,day_month,B446,day_item,C446),"")</f>
        <v/>
      </c>
      <c r="J446" s="47">
        <f>IF(H446&lt;&gt;"",H446,IF(N(I446)=0,"",I446))</f>
        <v/>
      </c>
      <c r="K446" s="48">
        <f>IF(OR(G446="",J446=""),"",G446-J446)</f>
        <v/>
      </c>
      <c r="L446" s="43" t="n"/>
      <c r="M446" s="43" t="n"/>
      <c r="N446" s="49">
        <f>IF(IFERROR(INDEX(lst_cat_wish,MATCH(D446,lst_cats,0))="Да",FALSE),MAX($N$4:N445)+1,"")</f>
        <v/>
      </c>
      <c r="O446" s="49">
        <f>IF(OR(A446="",B446="",C446="",L446="❌ Отменено"),0,IF(COUNTIFS($A$4:A445,A446,$B$4:B445,B446,$C$4:C445,C446,$L$4:L445,"&lt;&gt;❌ Отменено")=0,1,0))</f>
        <v/>
      </c>
    </row>
    <row r="447">
      <c r="A447" s="42" t="n"/>
      <c r="B447" s="42" t="n"/>
      <c r="C447" s="43" t="n"/>
      <c r="D447" s="43" t="n"/>
      <c r="E447" s="43" t="n"/>
      <c r="F447" s="42" t="n"/>
      <c r="G447" s="44" t="n"/>
      <c r="H447" s="45" t="n"/>
      <c r="I447" s="46">
        <f>IF(O447=1,SUMIFS(day_amt,day_year,A447,day_month,B447,day_item,C447),"")</f>
        <v/>
      </c>
      <c r="J447" s="47">
        <f>IF(H447&lt;&gt;"",H447,IF(N(I447)=0,"",I447))</f>
        <v/>
      </c>
      <c r="K447" s="48">
        <f>IF(OR(G447="",J447=""),"",G447-J447)</f>
        <v/>
      </c>
      <c r="L447" s="43" t="n"/>
      <c r="M447" s="43" t="n"/>
      <c r="N447" s="49">
        <f>IF(IFERROR(INDEX(lst_cat_wish,MATCH(D447,lst_cats,0))="Да",FALSE),MAX($N$4:N446)+1,"")</f>
        <v/>
      </c>
      <c r="O447" s="49">
        <f>IF(OR(A447="",B447="",C447="",L447="❌ Отменено"),0,IF(COUNTIFS($A$4:A446,A447,$B$4:B446,B447,$C$4:C446,C447,$L$4:L446,"&lt;&gt;❌ Отменено")=0,1,0))</f>
        <v/>
      </c>
    </row>
    <row r="448">
      <c r="A448" s="42" t="n"/>
      <c r="B448" s="42" t="n"/>
      <c r="C448" s="43" t="n"/>
      <c r="D448" s="43" t="n"/>
      <c r="E448" s="43" t="n"/>
      <c r="F448" s="42" t="n"/>
      <c r="G448" s="44" t="n"/>
      <c r="H448" s="45" t="n"/>
      <c r="I448" s="46">
        <f>IF(O448=1,SUMIFS(day_amt,day_year,A448,day_month,B448,day_item,C448),"")</f>
        <v/>
      </c>
      <c r="J448" s="47">
        <f>IF(H448&lt;&gt;"",H448,IF(N(I448)=0,"",I448))</f>
        <v/>
      </c>
      <c r="K448" s="48">
        <f>IF(OR(G448="",J448=""),"",G448-J448)</f>
        <v/>
      </c>
      <c r="L448" s="43" t="n"/>
      <c r="M448" s="43" t="n"/>
      <c r="N448" s="49">
        <f>IF(IFERROR(INDEX(lst_cat_wish,MATCH(D448,lst_cats,0))="Да",FALSE),MAX($N$4:N447)+1,"")</f>
        <v/>
      </c>
      <c r="O448" s="49">
        <f>IF(OR(A448="",B448="",C448="",L448="❌ Отменено"),0,IF(COUNTIFS($A$4:A447,A448,$B$4:B447,B448,$C$4:C447,C448,$L$4:L447,"&lt;&gt;❌ Отменено")=0,1,0))</f>
        <v/>
      </c>
    </row>
    <row r="449">
      <c r="A449" s="42" t="n"/>
      <c r="B449" s="42" t="n"/>
      <c r="C449" s="43" t="n"/>
      <c r="D449" s="43" t="n"/>
      <c r="E449" s="43" t="n"/>
      <c r="F449" s="42" t="n"/>
      <c r="G449" s="44" t="n"/>
      <c r="H449" s="45" t="n"/>
      <c r="I449" s="46">
        <f>IF(O449=1,SUMIFS(day_amt,day_year,A449,day_month,B449,day_item,C449),"")</f>
        <v/>
      </c>
      <c r="J449" s="47">
        <f>IF(H449&lt;&gt;"",H449,IF(N(I449)=0,"",I449))</f>
        <v/>
      </c>
      <c r="K449" s="48">
        <f>IF(OR(G449="",J449=""),"",G449-J449)</f>
        <v/>
      </c>
      <c r="L449" s="43" t="n"/>
      <c r="M449" s="43" t="n"/>
      <c r="N449" s="49">
        <f>IF(IFERROR(INDEX(lst_cat_wish,MATCH(D449,lst_cats,0))="Да",FALSE),MAX($N$4:N448)+1,"")</f>
        <v/>
      </c>
      <c r="O449" s="49">
        <f>IF(OR(A449="",B449="",C449="",L449="❌ Отменено"),0,IF(COUNTIFS($A$4:A448,A449,$B$4:B448,B449,$C$4:C448,C449,$L$4:L448,"&lt;&gt;❌ Отменено")=0,1,0))</f>
        <v/>
      </c>
    </row>
    <row r="450">
      <c r="A450" s="42" t="n"/>
      <c r="B450" s="42" t="n"/>
      <c r="C450" s="43" t="n"/>
      <c r="D450" s="43" t="n"/>
      <c r="E450" s="43" t="n"/>
      <c r="F450" s="42" t="n"/>
      <c r="G450" s="44" t="n"/>
      <c r="H450" s="45" t="n"/>
      <c r="I450" s="46">
        <f>IF(O450=1,SUMIFS(day_amt,day_year,A450,day_month,B450,day_item,C450),"")</f>
        <v/>
      </c>
      <c r="J450" s="47">
        <f>IF(H450&lt;&gt;"",H450,IF(N(I450)=0,"",I450))</f>
        <v/>
      </c>
      <c r="K450" s="48">
        <f>IF(OR(G450="",J450=""),"",G450-J450)</f>
        <v/>
      </c>
      <c r="L450" s="43" t="n"/>
      <c r="M450" s="43" t="n"/>
      <c r="N450" s="49">
        <f>IF(IFERROR(INDEX(lst_cat_wish,MATCH(D450,lst_cats,0))="Да",FALSE),MAX($N$4:N449)+1,"")</f>
        <v/>
      </c>
      <c r="O450" s="49">
        <f>IF(OR(A450="",B450="",C450="",L450="❌ Отменено"),0,IF(COUNTIFS($A$4:A449,A450,$B$4:B449,B450,$C$4:C449,C450,$L$4:L449,"&lt;&gt;❌ Отменено")=0,1,0))</f>
        <v/>
      </c>
    </row>
    <row r="451">
      <c r="A451" s="42" t="n"/>
      <c r="B451" s="42" t="n"/>
      <c r="C451" s="43" t="n"/>
      <c r="D451" s="43" t="n"/>
      <c r="E451" s="43" t="n"/>
      <c r="F451" s="42" t="n"/>
      <c r="G451" s="44" t="n"/>
      <c r="H451" s="45" t="n"/>
      <c r="I451" s="46">
        <f>IF(O451=1,SUMIFS(day_amt,day_year,A451,day_month,B451,day_item,C451),"")</f>
        <v/>
      </c>
      <c r="J451" s="47">
        <f>IF(H451&lt;&gt;"",H451,IF(N(I451)=0,"",I451))</f>
        <v/>
      </c>
      <c r="K451" s="48">
        <f>IF(OR(G451="",J451=""),"",G451-J451)</f>
        <v/>
      </c>
      <c r="L451" s="43" t="n"/>
      <c r="M451" s="43" t="n"/>
      <c r="N451" s="49">
        <f>IF(IFERROR(INDEX(lst_cat_wish,MATCH(D451,lst_cats,0))="Да",FALSE),MAX($N$4:N450)+1,"")</f>
        <v/>
      </c>
      <c r="O451" s="49">
        <f>IF(OR(A451="",B451="",C451="",L451="❌ Отменено"),0,IF(COUNTIFS($A$4:A450,A451,$B$4:B450,B451,$C$4:C450,C451,$L$4:L450,"&lt;&gt;❌ Отменено")=0,1,0))</f>
        <v/>
      </c>
    </row>
    <row r="452">
      <c r="A452" s="42" t="n"/>
      <c r="B452" s="42" t="n"/>
      <c r="C452" s="43" t="n"/>
      <c r="D452" s="43" t="n"/>
      <c r="E452" s="43" t="n"/>
      <c r="F452" s="42" t="n"/>
      <c r="G452" s="44" t="n"/>
      <c r="H452" s="45" t="n"/>
      <c r="I452" s="46">
        <f>IF(O452=1,SUMIFS(day_amt,day_year,A452,day_month,B452,day_item,C452),"")</f>
        <v/>
      </c>
      <c r="J452" s="47">
        <f>IF(H452&lt;&gt;"",H452,IF(N(I452)=0,"",I452))</f>
        <v/>
      </c>
      <c r="K452" s="48">
        <f>IF(OR(G452="",J452=""),"",G452-J452)</f>
        <v/>
      </c>
      <c r="L452" s="43" t="n"/>
      <c r="M452" s="43" t="n"/>
      <c r="N452" s="49">
        <f>IF(IFERROR(INDEX(lst_cat_wish,MATCH(D452,lst_cats,0))="Да",FALSE),MAX($N$4:N451)+1,"")</f>
        <v/>
      </c>
      <c r="O452" s="49">
        <f>IF(OR(A452="",B452="",C452="",L452="❌ Отменено"),0,IF(COUNTIFS($A$4:A451,A452,$B$4:B451,B452,$C$4:C451,C452,$L$4:L451,"&lt;&gt;❌ Отменено")=0,1,0))</f>
        <v/>
      </c>
    </row>
    <row r="453">
      <c r="A453" s="42" t="n"/>
      <c r="B453" s="42" t="n"/>
      <c r="C453" s="43" t="n"/>
      <c r="D453" s="43" t="n"/>
      <c r="E453" s="43" t="n"/>
      <c r="F453" s="42" t="n"/>
      <c r="G453" s="44" t="n"/>
      <c r="H453" s="45" t="n"/>
      <c r="I453" s="46">
        <f>IF(O453=1,SUMIFS(day_amt,day_year,A453,day_month,B453,day_item,C453),"")</f>
        <v/>
      </c>
      <c r="J453" s="47">
        <f>IF(H453&lt;&gt;"",H453,IF(N(I453)=0,"",I453))</f>
        <v/>
      </c>
      <c r="K453" s="48">
        <f>IF(OR(G453="",J453=""),"",G453-J453)</f>
        <v/>
      </c>
      <c r="L453" s="43" t="n"/>
      <c r="M453" s="43" t="n"/>
      <c r="N453" s="49">
        <f>IF(IFERROR(INDEX(lst_cat_wish,MATCH(D453,lst_cats,0))="Да",FALSE),MAX($N$4:N452)+1,"")</f>
        <v/>
      </c>
      <c r="O453" s="49">
        <f>IF(OR(A453="",B453="",C453="",L453="❌ Отменено"),0,IF(COUNTIFS($A$4:A452,A453,$B$4:B452,B453,$C$4:C452,C453,$L$4:L452,"&lt;&gt;❌ Отменено")=0,1,0))</f>
        <v/>
      </c>
    </row>
    <row r="454">
      <c r="A454" s="42" t="n"/>
      <c r="B454" s="42" t="n"/>
      <c r="C454" s="43" t="n"/>
      <c r="D454" s="43" t="n"/>
      <c r="E454" s="43" t="n"/>
      <c r="F454" s="42" t="n"/>
      <c r="G454" s="44" t="n"/>
      <c r="H454" s="45" t="n"/>
      <c r="I454" s="46">
        <f>IF(O454=1,SUMIFS(day_amt,day_year,A454,day_month,B454,day_item,C454),"")</f>
        <v/>
      </c>
      <c r="J454" s="47">
        <f>IF(H454&lt;&gt;"",H454,IF(N(I454)=0,"",I454))</f>
        <v/>
      </c>
      <c r="K454" s="48">
        <f>IF(OR(G454="",J454=""),"",G454-J454)</f>
        <v/>
      </c>
      <c r="L454" s="43" t="n"/>
      <c r="M454" s="43" t="n"/>
      <c r="N454" s="49">
        <f>IF(IFERROR(INDEX(lst_cat_wish,MATCH(D454,lst_cats,0))="Да",FALSE),MAX($N$4:N453)+1,"")</f>
        <v/>
      </c>
      <c r="O454" s="49">
        <f>IF(OR(A454="",B454="",C454="",L454="❌ Отменено"),0,IF(COUNTIFS($A$4:A453,A454,$B$4:B453,B454,$C$4:C453,C454,$L$4:L453,"&lt;&gt;❌ Отменено")=0,1,0))</f>
        <v/>
      </c>
    </row>
    <row r="455">
      <c r="A455" s="42" t="n"/>
      <c r="B455" s="42" t="n"/>
      <c r="C455" s="43" t="n"/>
      <c r="D455" s="43" t="n"/>
      <c r="E455" s="43" t="n"/>
      <c r="F455" s="42" t="n"/>
      <c r="G455" s="44" t="n"/>
      <c r="H455" s="45" t="n"/>
      <c r="I455" s="46">
        <f>IF(O455=1,SUMIFS(day_amt,day_year,A455,day_month,B455,day_item,C455),"")</f>
        <v/>
      </c>
      <c r="J455" s="47">
        <f>IF(H455&lt;&gt;"",H455,IF(N(I455)=0,"",I455))</f>
        <v/>
      </c>
      <c r="K455" s="48">
        <f>IF(OR(G455="",J455=""),"",G455-J455)</f>
        <v/>
      </c>
      <c r="L455" s="43" t="n"/>
      <c r="M455" s="43" t="n"/>
      <c r="N455" s="49">
        <f>IF(IFERROR(INDEX(lst_cat_wish,MATCH(D455,lst_cats,0))="Да",FALSE),MAX($N$4:N454)+1,"")</f>
        <v/>
      </c>
      <c r="O455" s="49">
        <f>IF(OR(A455="",B455="",C455="",L455="❌ Отменено"),0,IF(COUNTIFS($A$4:A454,A455,$B$4:B454,B455,$C$4:C454,C455,$L$4:L454,"&lt;&gt;❌ Отменено")=0,1,0))</f>
        <v/>
      </c>
    </row>
    <row r="456">
      <c r="A456" s="42" t="n"/>
      <c r="B456" s="42" t="n"/>
      <c r="C456" s="43" t="n"/>
      <c r="D456" s="43" t="n"/>
      <c r="E456" s="43" t="n"/>
      <c r="F456" s="42" t="n"/>
      <c r="G456" s="44" t="n"/>
      <c r="H456" s="45" t="n"/>
      <c r="I456" s="46">
        <f>IF(O456=1,SUMIFS(day_amt,day_year,A456,day_month,B456,day_item,C456),"")</f>
        <v/>
      </c>
      <c r="J456" s="47">
        <f>IF(H456&lt;&gt;"",H456,IF(N(I456)=0,"",I456))</f>
        <v/>
      </c>
      <c r="K456" s="48">
        <f>IF(OR(G456="",J456=""),"",G456-J456)</f>
        <v/>
      </c>
      <c r="L456" s="43" t="n"/>
      <c r="M456" s="43" t="n"/>
      <c r="N456" s="49">
        <f>IF(IFERROR(INDEX(lst_cat_wish,MATCH(D456,lst_cats,0))="Да",FALSE),MAX($N$4:N455)+1,"")</f>
        <v/>
      </c>
      <c r="O456" s="49">
        <f>IF(OR(A456="",B456="",C456="",L456="❌ Отменено"),0,IF(COUNTIFS($A$4:A455,A456,$B$4:B455,B456,$C$4:C455,C456,$L$4:L455,"&lt;&gt;❌ Отменено")=0,1,0))</f>
        <v/>
      </c>
    </row>
    <row r="457">
      <c r="A457" s="42" t="n"/>
      <c r="B457" s="42" t="n"/>
      <c r="C457" s="43" t="n"/>
      <c r="D457" s="43" t="n"/>
      <c r="E457" s="43" t="n"/>
      <c r="F457" s="42" t="n"/>
      <c r="G457" s="44" t="n"/>
      <c r="H457" s="45" t="n"/>
      <c r="I457" s="46">
        <f>IF(O457=1,SUMIFS(day_amt,day_year,A457,day_month,B457,day_item,C457),"")</f>
        <v/>
      </c>
      <c r="J457" s="47">
        <f>IF(H457&lt;&gt;"",H457,IF(N(I457)=0,"",I457))</f>
        <v/>
      </c>
      <c r="K457" s="48">
        <f>IF(OR(G457="",J457=""),"",G457-J457)</f>
        <v/>
      </c>
      <c r="L457" s="43" t="n"/>
      <c r="M457" s="43" t="n"/>
      <c r="N457" s="49">
        <f>IF(IFERROR(INDEX(lst_cat_wish,MATCH(D457,lst_cats,0))="Да",FALSE),MAX($N$4:N456)+1,"")</f>
        <v/>
      </c>
      <c r="O457" s="49">
        <f>IF(OR(A457="",B457="",C457="",L457="❌ Отменено"),0,IF(COUNTIFS($A$4:A456,A457,$B$4:B456,B457,$C$4:C456,C457,$L$4:L456,"&lt;&gt;❌ Отменено")=0,1,0))</f>
        <v/>
      </c>
    </row>
    <row r="458">
      <c r="A458" s="42" t="n"/>
      <c r="B458" s="42" t="n"/>
      <c r="C458" s="43" t="n"/>
      <c r="D458" s="43" t="n"/>
      <c r="E458" s="43" t="n"/>
      <c r="F458" s="42" t="n"/>
      <c r="G458" s="44" t="n"/>
      <c r="H458" s="45" t="n"/>
      <c r="I458" s="46">
        <f>IF(O458=1,SUMIFS(day_amt,day_year,A458,day_month,B458,day_item,C458),"")</f>
        <v/>
      </c>
      <c r="J458" s="47">
        <f>IF(H458&lt;&gt;"",H458,IF(N(I458)=0,"",I458))</f>
        <v/>
      </c>
      <c r="K458" s="48">
        <f>IF(OR(G458="",J458=""),"",G458-J458)</f>
        <v/>
      </c>
      <c r="L458" s="43" t="n"/>
      <c r="M458" s="43" t="n"/>
      <c r="N458" s="49">
        <f>IF(IFERROR(INDEX(lst_cat_wish,MATCH(D458,lst_cats,0))="Да",FALSE),MAX($N$4:N457)+1,"")</f>
        <v/>
      </c>
      <c r="O458" s="49">
        <f>IF(OR(A458="",B458="",C458="",L458="❌ Отменено"),0,IF(COUNTIFS($A$4:A457,A458,$B$4:B457,B458,$C$4:C457,C458,$L$4:L457,"&lt;&gt;❌ Отменено")=0,1,0))</f>
        <v/>
      </c>
    </row>
    <row r="459">
      <c r="A459" s="42" t="n"/>
      <c r="B459" s="42" t="n"/>
      <c r="C459" s="43" t="n"/>
      <c r="D459" s="43" t="n"/>
      <c r="E459" s="43" t="n"/>
      <c r="F459" s="42" t="n"/>
      <c r="G459" s="44" t="n"/>
      <c r="H459" s="45" t="n"/>
      <c r="I459" s="46">
        <f>IF(O459=1,SUMIFS(day_amt,day_year,A459,day_month,B459,day_item,C459),"")</f>
        <v/>
      </c>
      <c r="J459" s="47">
        <f>IF(H459&lt;&gt;"",H459,IF(N(I459)=0,"",I459))</f>
        <v/>
      </c>
      <c r="K459" s="48">
        <f>IF(OR(G459="",J459=""),"",G459-J459)</f>
        <v/>
      </c>
      <c r="L459" s="43" t="n"/>
      <c r="M459" s="43" t="n"/>
      <c r="N459" s="49">
        <f>IF(IFERROR(INDEX(lst_cat_wish,MATCH(D459,lst_cats,0))="Да",FALSE),MAX($N$4:N458)+1,"")</f>
        <v/>
      </c>
      <c r="O459" s="49">
        <f>IF(OR(A459="",B459="",C459="",L459="❌ Отменено"),0,IF(COUNTIFS($A$4:A458,A459,$B$4:B458,B459,$C$4:C458,C459,$L$4:L458,"&lt;&gt;❌ Отменено")=0,1,0))</f>
        <v/>
      </c>
    </row>
    <row r="460">
      <c r="A460" s="42" t="n"/>
      <c r="B460" s="42" t="n"/>
      <c r="C460" s="43" t="n"/>
      <c r="D460" s="43" t="n"/>
      <c r="E460" s="43" t="n"/>
      <c r="F460" s="42" t="n"/>
      <c r="G460" s="44" t="n"/>
      <c r="H460" s="45" t="n"/>
      <c r="I460" s="46">
        <f>IF(O460=1,SUMIFS(day_amt,day_year,A460,day_month,B460,day_item,C460),"")</f>
        <v/>
      </c>
      <c r="J460" s="47">
        <f>IF(H460&lt;&gt;"",H460,IF(N(I460)=0,"",I460))</f>
        <v/>
      </c>
      <c r="K460" s="48">
        <f>IF(OR(G460="",J460=""),"",G460-J460)</f>
        <v/>
      </c>
      <c r="L460" s="43" t="n"/>
      <c r="M460" s="43" t="n"/>
      <c r="N460" s="49">
        <f>IF(IFERROR(INDEX(lst_cat_wish,MATCH(D460,lst_cats,0))="Да",FALSE),MAX($N$4:N459)+1,"")</f>
        <v/>
      </c>
      <c r="O460" s="49">
        <f>IF(OR(A460="",B460="",C460="",L460="❌ Отменено"),0,IF(COUNTIFS($A$4:A459,A460,$B$4:B459,B460,$C$4:C459,C460,$L$4:L459,"&lt;&gt;❌ Отменено")=0,1,0))</f>
        <v/>
      </c>
    </row>
    <row r="461">
      <c r="A461" s="42" t="n"/>
      <c r="B461" s="42" t="n"/>
      <c r="C461" s="43" t="n"/>
      <c r="D461" s="43" t="n"/>
      <c r="E461" s="43" t="n"/>
      <c r="F461" s="42" t="n"/>
      <c r="G461" s="44" t="n"/>
      <c r="H461" s="45" t="n"/>
      <c r="I461" s="46">
        <f>IF(O461=1,SUMIFS(day_amt,day_year,A461,day_month,B461,day_item,C461),"")</f>
        <v/>
      </c>
      <c r="J461" s="47">
        <f>IF(H461&lt;&gt;"",H461,IF(N(I461)=0,"",I461))</f>
        <v/>
      </c>
      <c r="K461" s="48">
        <f>IF(OR(G461="",J461=""),"",G461-J461)</f>
        <v/>
      </c>
      <c r="L461" s="43" t="n"/>
      <c r="M461" s="43" t="n"/>
      <c r="N461" s="49">
        <f>IF(IFERROR(INDEX(lst_cat_wish,MATCH(D461,lst_cats,0))="Да",FALSE),MAX($N$4:N460)+1,"")</f>
        <v/>
      </c>
      <c r="O461" s="49">
        <f>IF(OR(A461="",B461="",C461="",L461="❌ Отменено"),0,IF(COUNTIFS($A$4:A460,A461,$B$4:B460,B461,$C$4:C460,C461,$L$4:L460,"&lt;&gt;❌ Отменено")=0,1,0))</f>
        <v/>
      </c>
    </row>
    <row r="462">
      <c r="A462" s="42" t="n"/>
      <c r="B462" s="42" t="n"/>
      <c r="C462" s="43" t="n"/>
      <c r="D462" s="43" t="n"/>
      <c r="E462" s="43" t="n"/>
      <c r="F462" s="42" t="n"/>
      <c r="G462" s="44" t="n"/>
      <c r="H462" s="45" t="n"/>
      <c r="I462" s="46">
        <f>IF(O462=1,SUMIFS(day_amt,day_year,A462,day_month,B462,day_item,C462),"")</f>
        <v/>
      </c>
      <c r="J462" s="47">
        <f>IF(H462&lt;&gt;"",H462,IF(N(I462)=0,"",I462))</f>
        <v/>
      </c>
      <c r="K462" s="48">
        <f>IF(OR(G462="",J462=""),"",G462-J462)</f>
        <v/>
      </c>
      <c r="L462" s="43" t="n"/>
      <c r="M462" s="43" t="n"/>
      <c r="N462" s="49">
        <f>IF(IFERROR(INDEX(lst_cat_wish,MATCH(D462,lst_cats,0))="Да",FALSE),MAX($N$4:N461)+1,"")</f>
        <v/>
      </c>
      <c r="O462" s="49">
        <f>IF(OR(A462="",B462="",C462="",L462="❌ Отменено"),0,IF(COUNTIFS($A$4:A461,A462,$B$4:B461,B462,$C$4:C461,C462,$L$4:L461,"&lt;&gt;❌ Отменено")=0,1,0))</f>
        <v/>
      </c>
    </row>
    <row r="463">
      <c r="A463" s="42" t="n"/>
      <c r="B463" s="42" t="n"/>
      <c r="C463" s="43" t="n"/>
      <c r="D463" s="43" t="n"/>
      <c r="E463" s="43" t="n"/>
      <c r="F463" s="42" t="n"/>
      <c r="G463" s="44" t="n"/>
      <c r="H463" s="45" t="n"/>
      <c r="I463" s="46">
        <f>IF(O463=1,SUMIFS(day_amt,day_year,A463,day_month,B463,day_item,C463),"")</f>
        <v/>
      </c>
      <c r="J463" s="47">
        <f>IF(H463&lt;&gt;"",H463,IF(N(I463)=0,"",I463))</f>
        <v/>
      </c>
      <c r="K463" s="48">
        <f>IF(OR(G463="",J463=""),"",G463-J463)</f>
        <v/>
      </c>
      <c r="L463" s="43" t="n"/>
      <c r="M463" s="43" t="n"/>
      <c r="N463" s="49">
        <f>IF(IFERROR(INDEX(lst_cat_wish,MATCH(D463,lst_cats,0))="Да",FALSE),MAX($N$4:N462)+1,"")</f>
        <v/>
      </c>
      <c r="O463" s="49">
        <f>IF(OR(A463="",B463="",C463="",L463="❌ Отменено"),0,IF(COUNTIFS($A$4:A462,A463,$B$4:B462,B463,$C$4:C462,C463,$L$4:L462,"&lt;&gt;❌ Отменено")=0,1,0))</f>
        <v/>
      </c>
    </row>
    <row r="464">
      <c r="A464" s="42" t="n"/>
      <c r="B464" s="42" t="n"/>
      <c r="C464" s="43" t="n"/>
      <c r="D464" s="43" t="n"/>
      <c r="E464" s="43" t="n"/>
      <c r="F464" s="42" t="n"/>
      <c r="G464" s="44" t="n"/>
      <c r="H464" s="45" t="n"/>
      <c r="I464" s="46">
        <f>IF(O464=1,SUMIFS(day_amt,day_year,A464,day_month,B464,day_item,C464),"")</f>
        <v/>
      </c>
      <c r="J464" s="47">
        <f>IF(H464&lt;&gt;"",H464,IF(N(I464)=0,"",I464))</f>
        <v/>
      </c>
      <c r="K464" s="48">
        <f>IF(OR(G464="",J464=""),"",G464-J464)</f>
        <v/>
      </c>
      <c r="L464" s="43" t="n"/>
      <c r="M464" s="43" t="n"/>
      <c r="N464" s="49">
        <f>IF(IFERROR(INDEX(lst_cat_wish,MATCH(D464,lst_cats,0))="Да",FALSE),MAX($N$4:N463)+1,"")</f>
        <v/>
      </c>
      <c r="O464" s="49">
        <f>IF(OR(A464="",B464="",C464="",L464="❌ Отменено"),0,IF(COUNTIFS($A$4:A463,A464,$B$4:B463,B464,$C$4:C463,C464,$L$4:L463,"&lt;&gt;❌ Отменено")=0,1,0))</f>
        <v/>
      </c>
    </row>
    <row r="465">
      <c r="A465" s="42" t="n"/>
      <c r="B465" s="42" t="n"/>
      <c r="C465" s="43" t="n"/>
      <c r="D465" s="43" t="n"/>
      <c r="E465" s="43" t="n"/>
      <c r="F465" s="42" t="n"/>
      <c r="G465" s="44" t="n"/>
      <c r="H465" s="45" t="n"/>
      <c r="I465" s="46">
        <f>IF(O465=1,SUMIFS(day_amt,day_year,A465,day_month,B465,day_item,C465),"")</f>
        <v/>
      </c>
      <c r="J465" s="47">
        <f>IF(H465&lt;&gt;"",H465,IF(N(I465)=0,"",I465))</f>
        <v/>
      </c>
      <c r="K465" s="48">
        <f>IF(OR(G465="",J465=""),"",G465-J465)</f>
        <v/>
      </c>
      <c r="L465" s="43" t="n"/>
      <c r="M465" s="43" t="n"/>
      <c r="N465" s="49">
        <f>IF(IFERROR(INDEX(lst_cat_wish,MATCH(D465,lst_cats,0))="Да",FALSE),MAX($N$4:N464)+1,"")</f>
        <v/>
      </c>
      <c r="O465" s="49">
        <f>IF(OR(A465="",B465="",C465="",L465="❌ Отменено"),0,IF(COUNTIFS($A$4:A464,A465,$B$4:B464,B465,$C$4:C464,C465,$L$4:L464,"&lt;&gt;❌ Отменено")=0,1,0))</f>
        <v/>
      </c>
    </row>
    <row r="466">
      <c r="A466" s="42" t="n"/>
      <c r="B466" s="42" t="n"/>
      <c r="C466" s="43" t="n"/>
      <c r="D466" s="43" t="n"/>
      <c r="E466" s="43" t="n"/>
      <c r="F466" s="42" t="n"/>
      <c r="G466" s="44" t="n"/>
      <c r="H466" s="45" t="n"/>
      <c r="I466" s="46">
        <f>IF(O466=1,SUMIFS(day_amt,day_year,A466,day_month,B466,day_item,C466),"")</f>
        <v/>
      </c>
      <c r="J466" s="47">
        <f>IF(H466&lt;&gt;"",H466,IF(N(I466)=0,"",I466))</f>
        <v/>
      </c>
      <c r="K466" s="48">
        <f>IF(OR(G466="",J466=""),"",G466-J466)</f>
        <v/>
      </c>
      <c r="L466" s="43" t="n"/>
      <c r="M466" s="43" t="n"/>
      <c r="N466" s="49">
        <f>IF(IFERROR(INDEX(lst_cat_wish,MATCH(D466,lst_cats,0))="Да",FALSE),MAX($N$4:N465)+1,"")</f>
        <v/>
      </c>
      <c r="O466" s="49">
        <f>IF(OR(A466="",B466="",C466="",L466="❌ Отменено"),0,IF(COUNTIFS($A$4:A465,A466,$B$4:B465,B466,$C$4:C465,C466,$L$4:L465,"&lt;&gt;❌ Отменено")=0,1,0))</f>
        <v/>
      </c>
    </row>
    <row r="467">
      <c r="A467" s="42" t="n"/>
      <c r="B467" s="42" t="n"/>
      <c r="C467" s="43" t="n"/>
      <c r="D467" s="43" t="n"/>
      <c r="E467" s="43" t="n"/>
      <c r="F467" s="42" t="n"/>
      <c r="G467" s="44" t="n"/>
      <c r="H467" s="45" t="n"/>
      <c r="I467" s="46">
        <f>IF(O467=1,SUMIFS(day_amt,day_year,A467,day_month,B467,day_item,C467),"")</f>
        <v/>
      </c>
      <c r="J467" s="47">
        <f>IF(H467&lt;&gt;"",H467,IF(N(I467)=0,"",I467))</f>
        <v/>
      </c>
      <c r="K467" s="48">
        <f>IF(OR(G467="",J467=""),"",G467-J467)</f>
        <v/>
      </c>
      <c r="L467" s="43" t="n"/>
      <c r="M467" s="43" t="n"/>
      <c r="N467" s="49">
        <f>IF(IFERROR(INDEX(lst_cat_wish,MATCH(D467,lst_cats,0))="Да",FALSE),MAX($N$4:N466)+1,"")</f>
        <v/>
      </c>
      <c r="O467" s="49">
        <f>IF(OR(A467="",B467="",C467="",L467="❌ Отменено"),0,IF(COUNTIFS($A$4:A466,A467,$B$4:B466,B467,$C$4:C466,C467,$L$4:L466,"&lt;&gt;❌ Отменено")=0,1,0))</f>
        <v/>
      </c>
    </row>
    <row r="468">
      <c r="A468" s="42" t="n"/>
      <c r="B468" s="42" t="n"/>
      <c r="C468" s="43" t="n"/>
      <c r="D468" s="43" t="n"/>
      <c r="E468" s="43" t="n"/>
      <c r="F468" s="42" t="n"/>
      <c r="G468" s="44" t="n"/>
      <c r="H468" s="45" t="n"/>
      <c r="I468" s="46">
        <f>IF(O468=1,SUMIFS(day_amt,day_year,A468,day_month,B468,day_item,C468),"")</f>
        <v/>
      </c>
      <c r="J468" s="47">
        <f>IF(H468&lt;&gt;"",H468,IF(N(I468)=0,"",I468))</f>
        <v/>
      </c>
      <c r="K468" s="48">
        <f>IF(OR(G468="",J468=""),"",G468-J468)</f>
        <v/>
      </c>
      <c r="L468" s="43" t="n"/>
      <c r="M468" s="43" t="n"/>
      <c r="N468" s="49">
        <f>IF(IFERROR(INDEX(lst_cat_wish,MATCH(D468,lst_cats,0))="Да",FALSE),MAX($N$4:N467)+1,"")</f>
        <v/>
      </c>
      <c r="O468" s="49">
        <f>IF(OR(A468="",B468="",C468="",L468="❌ Отменено"),0,IF(COUNTIFS($A$4:A467,A468,$B$4:B467,B468,$C$4:C467,C468,$L$4:L467,"&lt;&gt;❌ Отменено")=0,1,0))</f>
        <v/>
      </c>
    </row>
    <row r="469">
      <c r="A469" s="42" t="n"/>
      <c r="B469" s="42" t="n"/>
      <c r="C469" s="43" t="n"/>
      <c r="D469" s="43" t="n"/>
      <c r="E469" s="43" t="n"/>
      <c r="F469" s="42" t="n"/>
      <c r="G469" s="44" t="n"/>
      <c r="H469" s="45" t="n"/>
      <c r="I469" s="46">
        <f>IF(O469=1,SUMIFS(day_amt,day_year,A469,day_month,B469,day_item,C469),"")</f>
        <v/>
      </c>
      <c r="J469" s="47">
        <f>IF(H469&lt;&gt;"",H469,IF(N(I469)=0,"",I469))</f>
        <v/>
      </c>
      <c r="K469" s="48">
        <f>IF(OR(G469="",J469=""),"",G469-J469)</f>
        <v/>
      </c>
      <c r="L469" s="43" t="n"/>
      <c r="M469" s="43" t="n"/>
      <c r="N469" s="49">
        <f>IF(IFERROR(INDEX(lst_cat_wish,MATCH(D469,lst_cats,0))="Да",FALSE),MAX($N$4:N468)+1,"")</f>
        <v/>
      </c>
      <c r="O469" s="49">
        <f>IF(OR(A469="",B469="",C469="",L469="❌ Отменено"),0,IF(COUNTIFS($A$4:A468,A469,$B$4:B468,B469,$C$4:C468,C469,$L$4:L468,"&lt;&gt;❌ Отменено")=0,1,0))</f>
        <v/>
      </c>
    </row>
    <row r="470">
      <c r="A470" s="42" t="n"/>
      <c r="B470" s="42" t="n"/>
      <c r="C470" s="43" t="n"/>
      <c r="D470" s="43" t="n"/>
      <c r="E470" s="43" t="n"/>
      <c r="F470" s="42" t="n"/>
      <c r="G470" s="44" t="n"/>
      <c r="H470" s="45" t="n"/>
      <c r="I470" s="46">
        <f>IF(O470=1,SUMIFS(day_amt,day_year,A470,day_month,B470,day_item,C470),"")</f>
        <v/>
      </c>
      <c r="J470" s="47">
        <f>IF(H470&lt;&gt;"",H470,IF(N(I470)=0,"",I470))</f>
        <v/>
      </c>
      <c r="K470" s="48">
        <f>IF(OR(G470="",J470=""),"",G470-J470)</f>
        <v/>
      </c>
      <c r="L470" s="43" t="n"/>
      <c r="M470" s="43" t="n"/>
      <c r="N470" s="49">
        <f>IF(IFERROR(INDEX(lst_cat_wish,MATCH(D470,lst_cats,0))="Да",FALSE),MAX($N$4:N469)+1,"")</f>
        <v/>
      </c>
      <c r="O470" s="49">
        <f>IF(OR(A470="",B470="",C470="",L470="❌ Отменено"),0,IF(COUNTIFS($A$4:A469,A470,$B$4:B469,B470,$C$4:C469,C470,$L$4:L469,"&lt;&gt;❌ Отменено")=0,1,0))</f>
        <v/>
      </c>
    </row>
    <row r="471">
      <c r="A471" s="42" t="n"/>
      <c r="B471" s="42" t="n"/>
      <c r="C471" s="43" t="n"/>
      <c r="D471" s="43" t="n"/>
      <c r="E471" s="43" t="n"/>
      <c r="F471" s="42" t="n"/>
      <c r="G471" s="44" t="n"/>
      <c r="H471" s="45" t="n"/>
      <c r="I471" s="46">
        <f>IF(O471=1,SUMIFS(day_amt,day_year,A471,day_month,B471,day_item,C471),"")</f>
        <v/>
      </c>
      <c r="J471" s="47">
        <f>IF(H471&lt;&gt;"",H471,IF(N(I471)=0,"",I471))</f>
        <v/>
      </c>
      <c r="K471" s="48">
        <f>IF(OR(G471="",J471=""),"",G471-J471)</f>
        <v/>
      </c>
      <c r="L471" s="43" t="n"/>
      <c r="M471" s="43" t="n"/>
      <c r="N471" s="49">
        <f>IF(IFERROR(INDEX(lst_cat_wish,MATCH(D471,lst_cats,0))="Да",FALSE),MAX($N$4:N470)+1,"")</f>
        <v/>
      </c>
      <c r="O471" s="49">
        <f>IF(OR(A471="",B471="",C471="",L471="❌ Отменено"),0,IF(COUNTIFS($A$4:A470,A471,$B$4:B470,B471,$C$4:C470,C471,$L$4:L470,"&lt;&gt;❌ Отменено")=0,1,0))</f>
        <v/>
      </c>
    </row>
    <row r="472">
      <c r="A472" s="42" t="n"/>
      <c r="B472" s="42" t="n"/>
      <c r="C472" s="43" t="n"/>
      <c r="D472" s="43" t="n"/>
      <c r="E472" s="43" t="n"/>
      <c r="F472" s="42" t="n"/>
      <c r="G472" s="44" t="n"/>
      <c r="H472" s="45" t="n"/>
      <c r="I472" s="46">
        <f>IF(O472=1,SUMIFS(day_amt,day_year,A472,day_month,B472,day_item,C472),"")</f>
        <v/>
      </c>
      <c r="J472" s="47">
        <f>IF(H472&lt;&gt;"",H472,IF(N(I472)=0,"",I472))</f>
        <v/>
      </c>
      <c r="K472" s="48">
        <f>IF(OR(G472="",J472=""),"",G472-J472)</f>
        <v/>
      </c>
      <c r="L472" s="43" t="n"/>
      <c r="M472" s="43" t="n"/>
      <c r="N472" s="49">
        <f>IF(IFERROR(INDEX(lst_cat_wish,MATCH(D472,lst_cats,0))="Да",FALSE),MAX($N$4:N471)+1,"")</f>
        <v/>
      </c>
      <c r="O472" s="49">
        <f>IF(OR(A472="",B472="",C472="",L472="❌ Отменено"),0,IF(COUNTIFS($A$4:A471,A472,$B$4:B471,B472,$C$4:C471,C472,$L$4:L471,"&lt;&gt;❌ Отменено")=0,1,0))</f>
        <v/>
      </c>
    </row>
    <row r="473">
      <c r="A473" s="42" t="n"/>
      <c r="B473" s="42" t="n"/>
      <c r="C473" s="43" t="n"/>
      <c r="D473" s="43" t="n"/>
      <c r="E473" s="43" t="n"/>
      <c r="F473" s="42" t="n"/>
      <c r="G473" s="44" t="n"/>
      <c r="H473" s="45" t="n"/>
      <c r="I473" s="46">
        <f>IF(O473=1,SUMIFS(day_amt,day_year,A473,day_month,B473,day_item,C473),"")</f>
        <v/>
      </c>
      <c r="J473" s="47">
        <f>IF(H473&lt;&gt;"",H473,IF(N(I473)=0,"",I473))</f>
        <v/>
      </c>
      <c r="K473" s="48">
        <f>IF(OR(G473="",J473=""),"",G473-J473)</f>
        <v/>
      </c>
      <c r="L473" s="43" t="n"/>
      <c r="M473" s="43" t="n"/>
      <c r="N473" s="49">
        <f>IF(IFERROR(INDEX(lst_cat_wish,MATCH(D473,lst_cats,0))="Да",FALSE),MAX($N$4:N472)+1,"")</f>
        <v/>
      </c>
      <c r="O473" s="49">
        <f>IF(OR(A473="",B473="",C473="",L473="❌ Отменено"),0,IF(COUNTIFS($A$4:A472,A473,$B$4:B472,B473,$C$4:C472,C473,$L$4:L472,"&lt;&gt;❌ Отменено")=0,1,0))</f>
        <v/>
      </c>
    </row>
    <row r="474">
      <c r="A474" s="42" t="n"/>
      <c r="B474" s="42" t="n"/>
      <c r="C474" s="43" t="n"/>
      <c r="D474" s="43" t="n"/>
      <c r="E474" s="43" t="n"/>
      <c r="F474" s="42" t="n"/>
      <c r="G474" s="44" t="n"/>
      <c r="H474" s="45" t="n"/>
      <c r="I474" s="46">
        <f>IF(O474=1,SUMIFS(day_amt,day_year,A474,day_month,B474,day_item,C474),"")</f>
        <v/>
      </c>
      <c r="J474" s="47">
        <f>IF(H474&lt;&gt;"",H474,IF(N(I474)=0,"",I474))</f>
        <v/>
      </c>
      <c r="K474" s="48">
        <f>IF(OR(G474="",J474=""),"",G474-J474)</f>
        <v/>
      </c>
      <c r="L474" s="43" t="n"/>
      <c r="M474" s="43" t="n"/>
      <c r="N474" s="49">
        <f>IF(IFERROR(INDEX(lst_cat_wish,MATCH(D474,lst_cats,0))="Да",FALSE),MAX($N$4:N473)+1,"")</f>
        <v/>
      </c>
      <c r="O474" s="49">
        <f>IF(OR(A474="",B474="",C474="",L474="❌ Отменено"),0,IF(COUNTIFS($A$4:A473,A474,$B$4:B473,B474,$C$4:C473,C474,$L$4:L473,"&lt;&gt;❌ Отменено")=0,1,0))</f>
        <v/>
      </c>
    </row>
    <row r="475">
      <c r="A475" s="42" t="n"/>
      <c r="B475" s="42" t="n"/>
      <c r="C475" s="43" t="n"/>
      <c r="D475" s="43" t="n"/>
      <c r="E475" s="43" t="n"/>
      <c r="F475" s="42" t="n"/>
      <c r="G475" s="44" t="n"/>
      <c r="H475" s="45" t="n"/>
      <c r="I475" s="46">
        <f>IF(O475=1,SUMIFS(day_amt,day_year,A475,day_month,B475,day_item,C475),"")</f>
        <v/>
      </c>
      <c r="J475" s="47">
        <f>IF(H475&lt;&gt;"",H475,IF(N(I475)=0,"",I475))</f>
        <v/>
      </c>
      <c r="K475" s="48">
        <f>IF(OR(G475="",J475=""),"",G475-J475)</f>
        <v/>
      </c>
      <c r="L475" s="43" t="n"/>
      <c r="M475" s="43" t="n"/>
      <c r="N475" s="49">
        <f>IF(IFERROR(INDEX(lst_cat_wish,MATCH(D475,lst_cats,0))="Да",FALSE),MAX($N$4:N474)+1,"")</f>
        <v/>
      </c>
      <c r="O475" s="49">
        <f>IF(OR(A475="",B475="",C475="",L475="❌ Отменено"),0,IF(COUNTIFS($A$4:A474,A475,$B$4:B474,B475,$C$4:C474,C475,$L$4:L474,"&lt;&gt;❌ Отменено")=0,1,0))</f>
        <v/>
      </c>
    </row>
    <row r="476">
      <c r="A476" s="42" t="n"/>
      <c r="B476" s="42" t="n"/>
      <c r="C476" s="43" t="n"/>
      <c r="D476" s="43" t="n"/>
      <c r="E476" s="43" t="n"/>
      <c r="F476" s="42" t="n"/>
      <c r="G476" s="44" t="n"/>
      <c r="H476" s="45" t="n"/>
      <c r="I476" s="46">
        <f>IF(O476=1,SUMIFS(day_amt,day_year,A476,day_month,B476,day_item,C476),"")</f>
        <v/>
      </c>
      <c r="J476" s="47">
        <f>IF(H476&lt;&gt;"",H476,IF(N(I476)=0,"",I476))</f>
        <v/>
      </c>
      <c r="K476" s="48">
        <f>IF(OR(G476="",J476=""),"",G476-J476)</f>
        <v/>
      </c>
      <c r="L476" s="43" t="n"/>
      <c r="M476" s="43" t="n"/>
      <c r="N476" s="49">
        <f>IF(IFERROR(INDEX(lst_cat_wish,MATCH(D476,lst_cats,0))="Да",FALSE),MAX($N$4:N475)+1,"")</f>
        <v/>
      </c>
      <c r="O476" s="49">
        <f>IF(OR(A476="",B476="",C476="",L476="❌ Отменено"),0,IF(COUNTIFS($A$4:A475,A476,$B$4:B475,B476,$C$4:C475,C476,$L$4:L475,"&lt;&gt;❌ Отменено")=0,1,0))</f>
        <v/>
      </c>
    </row>
    <row r="477">
      <c r="A477" s="42" t="n"/>
      <c r="B477" s="42" t="n"/>
      <c r="C477" s="43" t="n"/>
      <c r="D477" s="43" t="n"/>
      <c r="E477" s="43" t="n"/>
      <c r="F477" s="42" t="n"/>
      <c r="G477" s="44" t="n"/>
      <c r="H477" s="45" t="n"/>
      <c r="I477" s="46">
        <f>IF(O477=1,SUMIFS(day_amt,day_year,A477,day_month,B477,day_item,C477),"")</f>
        <v/>
      </c>
      <c r="J477" s="47">
        <f>IF(H477&lt;&gt;"",H477,IF(N(I477)=0,"",I477))</f>
        <v/>
      </c>
      <c r="K477" s="48">
        <f>IF(OR(G477="",J477=""),"",G477-J477)</f>
        <v/>
      </c>
      <c r="L477" s="43" t="n"/>
      <c r="M477" s="43" t="n"/>
      <c r="N477" s="49">
        <f>IF(IFERROR(INDEX(lst_cat_wish,MATCH(D477,lst_cats,0))="Да",FALSE),MAX($N$4:N476)+1,"")</f>
        <v/>
      </c>
      <c r="O477" s="49">
        <f>IF(OR(A477="",B477="",C477="",L477="❌ Отменено"),0,IF(COUNTIFS($A$4:A476,A477,$B$4:B476,B477,$C$4:C476,C477,$L$4:L476,"&lt;&gt;❌ Отменено")=0,1,0))</f>
        <v/>
      </c>
    </row>
    <row r="478">
      <c r="A478" s="42" t="n"/>
      <c r="B478" s="42" t="n"/>
      <c r="C478" s="43" t="n"/>
      <c r="D478" s="43" t="n"/>
      <c r="E478" s="43" t="n"/>
      <c r="F478" s="42" t="n"/>
      <c r="G478" s="44" t="n"/>
      <c r="H478" s="45" t="n"/>
      <c r="I478" s="46">
        <f>IF(O478=1,SUMIFS(day_amt,day_year,A478,day_month,B478,day_item,C478),"")</f>
        <v/>
      </c>
      <c r="J478" s="47">
        <f>IF(H478&lt;&gt;"",H478,IF(N(I478)=0,"",I478))</f>
        <v/>
      </c>
      <c r="K478" s="48">
        <f>IF(OR(G478="",J478=""),"",G478-J478)</f>
        <v/>
      </c>
      <c r="L478" s="43" t="n"/>
      <c r="M478" s="43" t="n"/>
      <c r="N478" s="49">
        <f>IF(IFERROR(INDEX(lst_cat_wish,MATCH(D478,lst_cats,0))="Да",FALSE),MAX($N$4:N477)+1,"")</f>
        <v/>
      </c>
      <c r="O478" s="49">
        <f>IF(OR(A478="",B478="",C478="",L478="❌ Отменено"),0,IF(COUNTIFS($A$4:A477,A478,$B$4:B477,B478,$C$4:C477,C478,$L$4:L477,"&lt;&gt;❌ Отменено")=0,1,0))</f>
        <v/>
      </c>
    </row>
    <row r="479">
      <c r="A479" s="42" t="n"/>
      <c r="B479" s="42" t="n"/>
      <c r="C479" s="43" t="n"/>
      <c r="D479" s="43" t="n"/>
      <c r="E479" s="43" t="n"/>
      <c r="F479" s="42" t="n"/>
      <c r="G479" s="44" t="n"/>
      <c r="H479" s="45" t="n"/>
      <c r="I479" s="46">
        <f>IF(O479=1,SUMIFS(day_amt,day_year,A479,day_month,B479,day_item,C479),"")</f>
        <v/>
      </c>
      <c r="J479" s="47">
        <f>IF(H479&lt;&gt;"",H479,IF(N(I479)=0,"",I479))</f>
        <v/>
      </c>
      <c r="K479" s="48">
        <f>IF(OR(G479="",J479=""),"",G479-J479)</f>
        <v/>
      </c>
      <c r="L479" s="43" t="n"/>
      <c r="M479" s="43" t="n"/>
      <c r="N479" s="49">
        <f>IF(IFERROR(INDEX(lst_cat_wish,MATCH(D479,lst_cats,0))="Да",FALSE),MAX($N$4:N478)+1,"")</f>
        <v/>
      </c>
      <c r="O479" s="49">
        <f>IF(OR(A479="",B479="",C479="",L479="❌ Отменено"),0,IF(COUNTIFS($A$4:A478,A479,$B$4:B478,B479,$C$4:C478,C479,$L$4:L478,"&lt;&gt;❌ Отменено")=0,1,0))</f>
        <v/>
      </c>
    </row>
    <row r="480">
      <c r="A480" s="42" t="n"/>
      <c r="B480" s="42" t="n"/>
      <c r="C480" s="43" t="n"/>
      <c r="D480" s="43" t="n"/>
      <c r="E480" s="43" t="n"/>
      <c r="F480" s="42" t="n"/>
      <c r="G480" s="44" t="n"/>
      <c r="H480" s="45" t="n"/>
      <c r="I480" s="46">
        <f>IF(O480=1,SUMIFS(day_amt,day_year,A480,day_month,B480,day_item,C480),"")</f>
        <v/>
      </c>
      <c r="J480" s="47">
        <f>IF(H480&lt;&gt;"",H480,IF(N(I480)=0,"",I480))</f>
        <v/>
      </c>
      <c r="K480" s="48">
        <f>IF(OR(G480="",J480=""),"",G480-J480)</f>
        <v/>
      </c>
      <c r="L480" s="43" t="n"/>
      <c r="M480" s="43" t="n"/>
      <c r="N480" s="49">
        <f>IF(IFERROR(INDEX(lst_cat_wish,MATCH(D480,lst_cats,0))="Да",FALSE),MAX($N$4:N479)+1,"")</f>
        <v/>
      </c>
      <c r="O480" s="49">
        <f>IF(OR(A480="",B480="",C480="",L480="❌ Отменено"),0,IF(COUNTIFS($A$4:A479,A480,$B$4:B479,B480,$C$4:C479,C480,$L$4:L479,"&lt;&gt;❌ Отменено")=0,1,0))</f>
        <v/>
      </c>
    </row>
    <row r="481">
      <c r="A481" s="42" t="n"/>
      <c r="B481" s="42" t="n"/>
      <c r="C481" s="43" t="n"/>
      <c r="D481" s="43" t="n"/>
      <c r="E481" s="43" t="n"/>
      <c r="F481" s="42" t="n"/>
      <c r="G481" s="44" t="n"/>
      <c r="H481" s="45" t="n"/>
      <c r="I481" s="46">
        <f>IF(O481=1,SUMIFS(day_amt,day_year,A481,day_month,B481,day_item,C481),"")</f>
        <v/>
      </c>
      <c r="J481" s="47">
        <f>IF(H481&lt;&gt;"",H481,IF(N(I481)=0,"",I481))</f>
        <v/>
      </c>
      <c r="K481" s="48">
        <f>IF(OR(G481="",J481=""),"",G481-J481)</f>
        <v/>
      </c>
      <c r="L481" s="43" t="n"/>
      <c r="M481" s="43" t="n"/>
      <c r="N481" s="49">
        <f>IF(IFERROR(INDEX(lst_cat_wish,MATCH(D481,lst_cats,0))="Да",FALSE),MAX($N$4:N480)+1,"")</f>
        <v/>
      </c>
      <c r="O481" s="49">
        <f>IF(OR(A481="",B481="",C481="",L481="❌ Отменено"),0,IF(COUNTIFS($A$4:A480,A481,$B$4:B480,B481,$C$4:C480,C481,$L$4:L480,"&lt;&gt;❌ Отменено")=0,1,0))</f>
        <v/>
      </c>
    </row>
    <row r="482">
      <c r="A482" s="42" t="n"/>
      <c r="B482" s="42" t="n"/>
      <c r="C482" s="43" t="n"/>
      <c r="D482" s="43" t="n"/>
      <c r="E482" s="43" t="n"/>
      <c r="F482" s="42" t="n"/>
      <c r="G482" s="44" t="n"/>
      <c r="H482" s="45" t="n"/>
      <c r="I482" s="46">
        <f>IF(O482=1,SUMIFS(day_amt,day_year,A482,day_month,B482,day_item,C482),"")</f>
        <v/>
      </c>
      <c r="J482" s="47">
        <f>IF(H482&lt;&gt;"",H482,IF(N(I482)=0,"",I482))</f>
        <v/>
      </c>
      <c r="K482" s="48">
        <f>IF(OR(G482="",J482=""),"",G482-J482)</f>
        <v/>
      </c>
      <c r="L482" s="43" t="n"/>
      <c r="M482" s="43" t="n"/>
      <c r="N482" s="49">
        <f>IF(IFERROR(INDEX(lst_cat_wish,MATCH(D482,lst_cats,0))="Да",FALSE),MAX($N$4:N481)+1,"")</f>
        <v/>
      </c>
      <c r="O482" s="49">
        <f>IF(OR(A482="",B482="",C482="",L482="❌ Отменено"),0,IF(COUNTIFS($A$4:A481,A482,$B$4:B481,B482,$C$4:C481,C482,$L$4:L481,"&lt;&gt;❌ Отменено")=0,1,0))</f>
        <v/>
      </c>
    </row>
    <row r="483">
      <c r="A483" s="42" t="n"/>
      <c r="B483" s="42" t="n"/>
      <c r="C483" s="43" t="n"/>
      <c r="D483" s="43" t="n"/>
      <c r="E483" s="43" t="n"/>
      <c r="F483" s="42" t="n"/>
      <c r="G483" s="44" t="n"/>
      <c r="H483" s="45" t="n"/>
      <c r="I483" s="46">
        <f>IF(O483=1,SUMIFS(day_amt,day_year,A483,day_month,B483,day_item,C483),"")</f>
        <v/>
      </c>
      <c r="J483" s="47">
        <f>IF(H483&lt;&gt;"",H483,IF(N(I483)=0,"",I483))</f>
        <v/>
      </c>
      <c r="K483" s="48">
        <f>IF(OR(G483="",J483=""),"",G483-J483)</f>
        <v/>
      </c>
      <c r="L483" s="43" t="n"/>
      <c r="M483" s="43" t="n"/>
      <c r="N483" s="49">
        <f>IF(IFERROR(INDEX(lst_cat_wish,MATCH(D483,lst_cats,0))="Да",FALSE),MAX($N$4:N482)+1,"")</f>
        <v/>
      </c>
      <c r="O483" s="49">
        <f>IF(OR(A483="",B483="",C483="",L483="❌ Отменено"),0,IF(COUNTIFS($A$4:A482,A483,$B$4:B482,B483,$C$4:C482,C483,$L$4:L482,"&lt;&gt;❌ Отменено")=0,1,0))</f>
        <v/>
      </c>
    </row>
    <row r="484">
      <c r="A484" s="42" t="n"/>
      <c r="B484" s="42" t="n"/>
      <c r="C484" s="43" t="n"/>
      <c r="D484" s="43" t="n"/>
      <c r="E484" s="43" t="n"/>
      <c r="F484" s="42" t="n"/>
      <c r="G484" s="44" t="n"/>
      <c r="H484" s="45" t="n"/>
      <c r="I484" s="46">
        <f>IF(O484=1,SUMIFS(day_amt,day_year,A484,day_month,B484,day_item,C484),"")</f>
        <v/>
      </c>
      <c r="J484" s="47">
        <f>IF(H484&lt;&gt;"",H484,IF(N(I484)=0,"",I484))</f>
        <v/>
      </c>
      <c r="K484" s="48">
        <f>IF(OR(G484="",J484=""),"",G484-J484)</f>
        <v/>
      </c>
      <c r="L484" s="43" t="n"/>
      <c r="M484" s="43" t="n"/>
      <c r="N484" s="49">
        <f>IF(IFERROR(INDEX(lst_cat_wish,MATCH(D484,lst_cats,0))="Да",FALSE),MAX($N$4:N483)+1,"")</f>
        <v/>
      </c>
      <c r="O484" s="49">
        <f>IF(OR(A484="",B484="",C484="",L484="❌ Отменено"),0,IF(COUNTIFS($A$4:A483,A484,$B$4:B483,B484,$C$4:C483,C484,$L$4:L483,"&lt;&gt;❌ Отменено")=0,1,0))</f>
        <v/>
      </c>
    </row>
    <row r="485">
      <c r="A485" s="42" t="n"/>
      <c r="B485" s="42" t="n"/>
      <c r="C485" s="43" t="n"/>
      <c r="D485" s="43" t="n"/>
      <c r="E485" s="43" t="n"/>
      <c r="F485" s="42" t="n"/>
      <c r="G485" s="44" t="n"/>
      <c r="H485" s="45" t="n"/>
      <c r="I485" s="46">
        <f>IF(O485=1,SUMIFS(day_amt,day_year,A485,day_month,B485,day_item,C485),"")</f>
        <v/>
      </c>
      <c r="J485" s="47">
        <f>IF(H485&lt;&gt;"",H485,IF(N(I485)=0,"",I485))</f>
        <v/>
      </c>
      <c r="K485" s="48">
        <f>IF(OR(G485="",J485=""),"",G485-J485)</f>
        <v/>
      </c>
      <c r="L485" s="43" t="n"/>
      <c r="M485" s="43" t="n"/>
      <c r="N485" s="49">
        <f>IF(IFERROR(INDEX(lst_cat_wish,MATCH(D485,lst_cats,0))="Да",FALSE),MAX($N$4:N484)+1,"")</f>
        <v/>
      </c>
      <c r="O485" s="49">
        <f>IF(OR(A485="",B485="",C485="",L485="❌ Отменено"),0,IF(COUNTIFS($A$4:A484,A485,$B$4:B484,B485,$C$4:C484,C485,$L$4:L484,"&lt;&gt;❌ Отменено")=0,1,0))</f>
        <v/>
      </c>
    </row>
    <row r="486">
      <c r="A486" s="42" t="n"/>
      <c r="B486" s="42" t="n"/>
      <c r="C486" s="43" t="n"/>
      <c r="D486" s="43" t="n"/>
      <c r="E486" s="43" t="n"/>
      <c r="F486" s="42" t="n"/>
      <c r="G486" s="44" t="n"/>
      <c r="H486" s="45" t="n"/>
      <c r="I486" s="46">
        <f>IF(O486=1,SUMIFS(day_amt,day_year,A486,day_month,B486,day_item,C486),"")</f>
        <v/>
      </c>
      <c r="J486" s="47">
        <f>IF(H486&lt;&gt;"",H486,IF(N(I486)=0,"",I486))</f>
        <v/>
      </c>
      <c r="K486" s="48">
        <f>IF(OR(G486="",J486=""),"",G486-J486)</f>
        <v/>
      </c>
      <c r="L486" s="43" t="n"/>
      <c r="M486" s="43" t="n"/>
      <c r="N486" s="49">
        <f>IF(IFERROR(INDEX(lst_cat_wish,MATCH(D486,lst_cats,0))="Да",FALSE),MAX($N$4:N485)+1,"")</f>
        <v/>
      </c>
      <c r="O486" s="49">
        <f>IF(OR(A486="",B486="",C486="",L486="❌ Отменено"),0,IF(COUNTIFS($A$4:A485,A486,$B$4:B485,B486,$C$4:C485,C486,$L$4:L485,"&lt;&gt;❌ Отменено")=0,1,0))</f>
        <v/>
      </c>
    </row>
    <row r="487">
      <c r="A487" s="42" t="n"/>
      <c r="B487" s="42" t="n"/>
      <c r="C487" s="43" t="n"/>
      <c r="D487" s="43" t="n"/>
      <c r="E487" s="43" t="n"/>
      <c r="F487" s="42" t="n"/>
      <c r="G487" s="44" t="n"/>
      <c r="H487" s="45" t="n"/>
      <c r="I487" s="46">
        <f>IF(O487=1,SUMIFS(day_amt,day_year,A487,day_month,B487,day_item,C487),"")</f>
        <v/>
      </c>
      <c r="J487" s="47">
        <f>IF(H487&lt;&gt;"",H487,IF(N(I487)=0,"",I487))</f>
        <v/>
      </c>
      <c r="K487" s="48">
        <f>IF(OR(G487="",J487=""),"",G487-J487)</f>
        <v/>
      </c>
      <c r="L487" s="43" t="n"/>
      <c r="M487" s="43" t="n"/>
      <c r="N487" s="49">
        <f>IF(IFERROR(INDEX(lst_cat_wish,MATCH(D487,lst_cats,0))="Да",FALSE),MAX($N$4:N486)+1,"")</f>
        <v/>
      </c>
      <c r="O487" s="49">
        <f>IF(OR(A487="",B487="",C487="",L487="❌ Отменено"),0,IF(COUNTIFS($A$4:A486,A487,$B$4:B486,B487,$C$4:C486,C487,$L$4:L486,"&lt;&gt;❌ Отменено")=0,1,0))</f>
        <v/>
      </c>
    </row>
    <row r="488">
      <c r="A488" s="42" t="n"/>
      <c r="B488" s="42" t="n"/>
      <c r="C488" s="43" t="n"/>
      <c r="D488" s="43" t="n"/>
      <c r="E488" s="43" t="n"/>
      <c r="F488" s="42" t="n"/>
      <c r="G488" s="44" t="n"/>
      <c r="H488" s="45" t="n"/>
      <c r="I488" s="46">
        <f>IF(O488=1,SUMIFS(day_amt,day_year,A488,day_month,B488,day_item,C488),"")</f>
        <v/>
      </c>
      <c r="J488" s="47">
        <f>IF(H488&lt;&gt;"",H488,IF(N(I488)=0,"",I488))</f>
        <v/>
      </c>
      <c r="K488" s="48">
        <f>IF(OR(G488="",J488=""),"",G488-J488)</f>
        <v/>
      </c>
      <c r="L488" s="43" t="n"/>
      <c r="M488" s="43" t="n"/>
      <c r="N488" s="49">
        <f>IF(IFERROR(INDEX(lst_cat_wish,MATCH(D488,lst_cats,0))="Да",FALSE),MAX($N$4:N487)+1,"")</f>
        <v/>
      </c>
      <c r="O488" s="49">
        <f>IF(OR(A488="",B488="",C488="",L488="❌ Отменено"),0,IF(COUNTIFS($A$4:A487,A488,$B$4:B487,B488,$C$4:C487,C488,$L$4:L487,"&lt;&gt;❌ Отменено")=0,1,0))</f>
        <v/>
      </c>
    </row>
    <row r="489">
      <c r="A489" s="42" t="n"/>
      <c r="B489" s="42" t="n"/>
      <c r="C489" s="43" t="n"/>
      <c r="D489" s="43" t="n"/>
      <c r="E489" s="43" t="n"/>
      <c r="F489" s="42" t="n"/>
      <c r="G489" s="44" t="n"/>
      <c r="H489" s="45" t="n"/>
      <c r="I489" s="46">
        <f>IF(O489=1,SUMIFS(day_amt,day_year,A489,day_month,B489,day_item,C489),"")</f>
        <v/>
      </c>
      <c r="J489" s="47">
        <f>IF(H489&lt;&gt;"",H489,IF(N(I489)=0,"",I489))</f>
        <v/>
      </c>
      <c r="K489" s="48">
        <f>IF(OR(G489="",J489=""),"",G489-J489)</f>
        <v/>
      </c>
      <c r="L489" s="43" t="n"/>
      <c r="M489" s="43" t="n"/>
      <c r="N489" s="49">
        <f>IF(IFERROR(INDEX(lst_cat_wish,MATCH(D489,lst_cats,0))="Да",FALSE),MAX($N$4:N488)+1,"")</f>
        <v/>
      </c>
      <c r="O489" s="49">
        <f>IF(OR(A489="",B489="",C489="",L489="❌ Отменено"),0,IF(COUNTIFS($A$4:A488,A489,$B$4:B488,B489,$C$4:C488,C489,$L$4:L488,"&lt;&gt;❌ Отменено")=0,1,0))</f>
        <v/>
      </c>
    </row>
    <row r="490">
      <c r="A490" s="42" t="n"/>
      <c r="B490" s="42" t="n"/>
      <c r="C490" s="43" t="n"/>
      <c r="D490" s="43" t="n"/>
      <c r="E490" s="43" t="n"/>
      <c r="F490" s="42" t="n"/>
      <c r="G490" s="44" t="n"/>
      <c r="H490" s="45" t="n"/>
      <c r="I490" s="46">
        <f>IF(O490=1,SUMIFS(day_amt,day_year,A490,day_month,B490,day_item,C490),"")</f>
        <v/>
      </c>
      <c r="J490" s="47">
        <f>IF(H490&lt;&gt;"",H490,IF(N(I490)=0,"",I490))</f>
        <v/>
      </c>
      <c r="K490" s="48">
        <f>IF(OR(G490="",J490=""),"",G490-J490)</f>
        <v/>
      </c>
      <c r="L490" s="43" t="n"/>
      <c r="M490" s="43" t="n"/>
      <c r="N490" s="49">
        <f>IF(IFERROR(INDEX(lst_cat_wish,MATCH(D490,lst_cats,0))="Да",FALSE),MAX($N$4:N489)+1,"")</f>
        <v/>
      </c>
      <c r="O490" s="49">
        <f>IF(OR(A490="",B490="",C490="",L490="❌ Отменено"),0,IF(COUNTIFS($A$4:A489,A490,$B$4:B489,B490,$C$4:C489,C490,$L$4:L489,"&lt;&gt;❌ Отменено")=0,1,0))</f>
        <v/>
      </c>
    </row>
    <row r="491">
      <c r="A491" s="42" t="n"/>
      <c r="B491" s="42" t="n"/>
      <c r="C491" s="43" t="n"/>
      <c r="D491" s="43" t="n"/>
      <c r="E491" s="43" t="n"/>
      <c r="F491" s="42" t="n"/>
      <c r="G491" s="44" t="n"/>
      <c r="H491" s="45" t="n"/>
      <c r="I491" s="46">
        <f>IF(O491=1,SUMIFS(day_amt,day_year,A491,day_month,B491,day_item,C491),"")</f>
        <v/>
      </c>
      <c r="J491" s="47">
        <f>IF(H491&lt;&gt;"",H491,IF(N(I491)=0,"",I491))</f>
        <v/>
      </c>
      <c r="K491" s="48">
        <f>IF(OR(G491="",J491=""),"",G491-J491)</f>
        <v/>
      </c>
      <c r="L491" s="43" t="n"/>
      <c r="M491" s="43" t="n"/>
      <c r="N491" s="49">
        <f>IF(IFERROR(INDEX(lst_cat_wish,MATCH(D491,lst_cats,0))="Да",FALSE),MAX($N$4:N490)+1,"")</f>
        <v/>
      </c>
      <c r="O491" s="49">
        <f>IF(OR(A491="",B491="",C491="",L491="❌ Отменено"),0,IF(COUNTIFS($A$4:A490,A491,$B$4:B490,B491,$C$4:C490,C491,$L$4:L490,"&lt;&gt;❌ Отменено")=0,1,0))</f>
        <v/>
      </c>
    </row>
    <row r="492">
      <c r="A492" s="42" t="n"/>
      <c r="B492" s="42" t="n"/>
      <c r="C492" s="43" t="n"/>
      <c r="D492" s="43" t="n"/>
      <c r="E492" s="43" t="n"/>
      <c r="F492" s="42" t="n"/>
      <c r="G492" s="44" t="n"/>
      <c r="H492" s="45" t="n"/>
      <c r="I492" s="46">
        <f>IF(O492=1,SUMIFS(day_amt,day_year,A492,day_month,B492,day_item,C492),"")</f>
        <v/>
      </c>
      <c r="J492" s="47">
        <f>IF(H492&lt;&gt;"",H492,IF(N(I492)=0,"",I492))</f>
        <v/>
      </c>
      <c r="K492" s="48">
        <f>IF(OR(G492="",J492=""),"",G492-J492)</f>
        <v/>
      </c>
      <c r="L492" s="43" t="n"/>
      <c r="M492" s="43" t="n"/>
      <c r="N492" s="49">
        <f>IF(IFERROR(INDEX(lst_cat_wish,MATCH(D492,lst_cats,0))="Да",FALSE),MAX($N$4:N491)+1,"")</f>
        <v/>
      </c>
      <c r="O492" s="49">
        <f>IF(OR(A492="",B492="",C492="",L492="❌ Отменено"),0,IF(COUNTIFS($A$4:A491,A492,$B$4:B491,B492,$C$4:C491,C492,$L$4:L491,"&lt;&gt;❌ Отменено")=0,1,0))</f>
        <v/>
      </c>
    </row>
    <row r="493">
      <c r="A493" s="42" t="n"/>
      <c r="B493" s="42" t="n"/>
      <c r="C493" s="43" t="n"/>
      <c r="D493" s="43" t="n"/>
      <c r="E493" s="43" t="n"/>
      <c r="F493" s="42" t="n"/>
      <c r="G493" s="44" t="n"/>
      <c r="H493" s="45" t="n"/>
      <c r="I493" s="46">
        <f>IF(O493=1,SUMIFS(day_amt,day_year,A493,day_month,B493,day_item,C493),"")</f>
        <v/>
      </c>
      <c r="J493" s="47">
        <f>IF(H493&lt;&gt;"",H493,IF(N(I493)=0,"",I493))</f>
        <v/>
      </c>
      <c r="K493" s="48">
        <f>IF(OR(G493="",J493=""),"",G493-J493)</f>
        <v/>
      </c>
      <c r="L493" s="43" t="n"/>
      <c r="M493" s="43" t="n"/>
      <c r="N493" s="49">
        <f>IF(IFERROR(INDEX(lst_cat_wish,MATCH(D493,lst_cats,0))="Да",FALSE),MAX($N$4:N492)+1,"")</f>
        <v/>
      </c>
      <c r="O493" s="49">
        <f>IF(OR(A493="",B493="",C493="",L493="❌ Отменено"),0,IF(COUNTIFS($A$4:A492,A493,$B$4:B492,B493,$C$4:C492,C493,$L$4:L492,"&lt;&gt;❌ Отменено")=0,1,0))</f>
        <v/>
      </c>
    </row>
    <row r="494">
      <c r="A494" s="42" t="n"/>
      <c r="B494" s="42" t="n"/>
      <c r="C494" s="43" t="n"/>
      <c r="D494" s="43" t="n"/>
      <c r="E494" s="43" t="n"/>
      <c r="F494" s="42" t="n"/>
      <c r="G494" s="44" t="n"/>
      <c r="H494" s="45" t="n"/>
      <c r="I494" s="46">
        <f>IF(O494=1,SUMIFS(day_amt,day_year,A494,day_month,B494,day_item,C494),"")</f>
        <v/>
      </c>
      <c r="J494" s="47">
        <f>IF(H494&lt;&gt;"",H494,IF(N(I494)=0,"",I494))</f>
        <v/>
      </c>
      <c r="K494" s="48">
        <f>IF(OR(G494="",J494=""),"",G494-J494)</f>
        <v/>
      </c>
      <c r="L494" s="43" t="n"/>
      <c r="M494" s="43" t="n"/>
      <c r="N494" s="49">
        <f>IF(IFERROR(INDEX(lst_cat_wish,MATCH(D494,lst_cats,0))="Да",FALSE),MAX($N$4:N493)+1,"")</f>
        <v/>
      </c>
      <c r="O494" s="49">
        <f>IF(OR(A494="",B494="",C494="",L494="❌ Отменено"),0,IF(COUNTIFS($A$4:A493,A494,$B$4:B493,B494,$C$4:C493,C494,$L$4:L493,"&lt;&gt;❌ Отменено")=0,1,0))</f>
        <v/>
      </c>
    </row>
    <row r="495">
      <c r="A495" s="42" t="n"/>
      <c r="B495" s="42" t="n"/>
      <c r="C495" s="43" t="n"/>
      <c r="D495" s="43" t="n"/>
      <c r="E495" s="43" t="n"/>
      <c r="F495" s="42" t="n"/>
      <c r="G495" s="44" t="n"/>
      <c r="H495" s="45" t="n"/>
      <c r="I495" s="46">
        <f>IF(O495=1,SUMIFS(day_amt,day_year,A495,day_month,B495,day_item,C495),"")</f>
        <v/>
      </c>
      <c r="J495" s="47">
        <f>IF(H495&lt;&gt;"",H495,IF(N(I495)=0,"",I495))</f>
        <v/>
      </c>
      <c r="K495" s="48">
        <f>IF(OR(G495="",J495=""),"",G495-J495)</f>
        <v/>
      </c>
      <c r="L495" s="43" t="n"/>
      <c r="M495" s="43" t="n"/>
      <c r="N495" s="49">
        <f>IF(IFERROR(INDEX(lst_cat_wish,MATCH(D495,lst_cats,0))="Да",FALSE),MAX($N$4:N494)+1,"")</f>
        <v/>
      </c>
      <c r="O495" s="49">
        <f>IF(OR(A495="",B495="",C495="",L495="❌ Отменено"),0,IF(COUNTIFS($A$4:A494,A495,$B$4:B494,B495,$C$4:C494,C495,$L$4:L494,"&lt;&gt;❌ Отменено")=0,1,0))</f>
        <v/>
      </c>
    </row>
    <row r="496">
      <c r="A496" s="42" t="n"/>
      <c r="B496" s="42" t="n"/>
      <c r="C496" s="43" t="n"/>
      <c r="D496" s="43" t="n"/>
      <c r="E496" s="43" t="n"/>
      <c r="F496" s="42" t="n"/>
      <c r="G496" s="44" t="n"/>
      <c r="H496" s="45" t="n"/>
      <c r="I496" s="46">
        <f>IF(O496=1,SUMIFS(day_amt,day_year,A496,day_month,B496,day_item,C496),"")</f>
        <v/>
      </c>
      <c r="J496" s="47">
        <f>IF(H496&lt;&gt;"",H496,IF(N(I496)=0,"",I496))</f>
        <v/>
      </c>
      <c r="K496" s="48">
        <f>IF(OR(G496="",J496=""),"",G496-J496)</f>
        <v/>
      </c>
      <c r="L496" s="43" t="n"/>
      <c r="M496" s="43" t="n"/>
      <c r="N496" s="49">
        <f>IF(IFERROR(INDEX(lst_cat_wish,MATCH(D496,lst_cats,0))="Да",FALSE),MAX($N$4:N495)+1,"")</f>
        <v/>
      </c>
      <c r="O496" s="49">
        <f>IF(OR(A496="",B496="",C496="",L496="❌ Отменено"),0,IF(COUNTIFS($A$4:A495,A496,$B$4:B495,B496,$C$4:C495,C496,$L$4:L495,"&lt;&gt;❌ Отменено")=0,1,0))</f>
        <v/>
      </c>
    </row>
    <row r="497">
      <c r="A497" s="42" t="n"/>
      <c r="B497" s="42" t="n"/>
      <c r="C497" s="43" t="n"/>
      <c r="D497" s="43" t="n"/>
      <c r="E497" s="43" t="n"/>
      <c r="F497" s="42" t="n"/>
      <c r="G497" s="44" t="n"/>
      <c r="H497" s="45" t="n"/>
      <c r="I497" s="46">
        <f>IF(O497=1,SUMIFS(day_amt,day_year,A497,day_month,B497,day_item,C497),"")</f>
        <v/>
      </c>
      <c r="J497" s="47">
        <f>IF(H497&lt;&gt;"",H497,IF(N(I497)=0,"",I497))</f>
        <v/>
      </c>
      <c r="K497" s="48">
        <f>IF(OR(G497="",J497=""),"",G497-J497)</f>
        <v/>
      </c>
      <c r="L497" s="43" t="n"/>
      <c r="M497" s="43" t="n"/>
      <c r="N497" s="49">
        <f>IF(IFERROR(INDEX(lst_cat_wish,MATCH(D497,lst_cats,0))="Да",FALSE),MAX($N$4:N496)+1,"")</f>
        <v/>
      </c>
      <c r="O497" s="49">
        <f>IF(OR(A497="",B497="",C497="",L497="❌ Отменено"),0,IF(COUNTIFS($A$4:A496,A497,$B$4:B496,B497,$C$4:C496,C497,$L$4:L496,"&lt;&gt;❌ Отменено")=0,1,0))</f>
        <v/>
      </c>
    </row>
    <row r="498">
      <c r="A498" s="42" t="n"/>
      <c r="B498" s="42" t="n"/>
      <c r="C498" s="43" t="n"/>
      <c r="D498" s="43" t="n"/>
      <c r="E498" s="43" t="n"/>
      <c r="F498" s="42" t="n"/>
      <c r="G498" s="44" t="n"/>
      <c r="H498" s="45" t="n"/>
      <c r="I498" s="46">
        <f>IF(O498=1,SUMIFS(day_amt,day_year,A498,day_month,B498,day_item,C498),"")</f>
        <v/>
      </c>
      <c r="J498" s="47">
        <f>IF(H498&lt;&gt;"",H498,IF(N(I498)=0,"",I498))</f>
        <v/>
      </c>
      <c r="K498" s="48">
        <f>IF(OR(G498="",J498=""),"",G498-J498)</f>
        <v/>
      </c>
      <c r="L498" s="43" t="n"/>
      <c r="M498" s="43" t="n"/>
      <c r="N498" s="49">
        <f>IF(IFERROR(INDEX(lst_cat_wish,MATCH(D498,lst_cats,0))="Да",FALSE),MAX($N$4:N497)+1,"")</f>
        <v/>
      </c>
      <c r="O498" s="49">
        <f>IF(OR(A498="",B498="",C498="",L498="❌ Отменено"),0,IF(COUNTIFS($A$4:A497,A498,$B$4:B497,B498,$C$4:C497,C498,$L$4:L497,"&lt;&gt;❌ Отменено")=0,1,0))</f>
        <v/>
      </c>
    </row>
    <row r="499">
      <c r="A499" s="42" t="n"/>
      <c r="B499" s="42" t="n"/>
      <c r="C499" s="43" t="n"/>
      <c r="D499" s="43" t="n"/>
      <c r="E499" s="43" t="n"/>
      <c r="F499" s="42" t="n"/>
      <c r="G499" s="44" t="n"/>
      <c r="H499" s="45" t="n"/>
      <c r="I499" s="46">
        <f>IF(O499=1,SUMIFS(day_amt,day_year,A499,day_month,B499,day_item,C499),"")</f>
        <v/>
      </c>
      <c r="J499" s="47">
        <f>IF(H499&lt;&gt;"",H499,IF(N(I499)=0,"",I499))</f>
        <v/>
      </c>
      <c r="K499" s="48">
        <f>IF(OR(G499="",J499=""),"",G499-J499)</f>
        <v/>
      </c>
      <c r="L499" s="43" t="n"/>
      <c r="M499" s="43" t="n"/>
      <c r="N499" s="49">
        <f>IF(IFERROR(INDEX(lst_cat_wish,MATCH(D499,lst_cats,0))="Да",FALSE),MAX($N$4:N498)+1,"")</f>
        <v/>
      </c>
      <c r="O499" s="49">
        <f>IF(OR(A499="",B499="",C499="",L499="❌ Отменено"),0,IF(COUNTIFS($A$4:A498,A499,$B$4:B498,B499,$C$4:C498,C499,$L$4:L498,"&lt;&gt;❌ Отменено")=0,1,0))</f>
        <v/>
      </c>
    </row>
    <row r="500">
      <c r="A500" s="42" t="n"/>
      <c r="B500" s="42" t="n"/>
      <c r="C500" s="43" t="n"/>
      <c r="D500" s="43" t="n"/>
      <c r="E500" s="43" t="n"/>
      <c r="F500" s="42" t="n"/>
      <c r="G500" s="44" t="n"/>
      <c r="H500" s="45" t="n"/>
      <c r="I500" s="46">
        <f>IF(O500=1,SUMIFS(day_amt,day_year,A500,day_month,B500,day_item,C500),"")</f>
        <v/>
      </c>
      <c r="J500" s="47">
        <f>IF(H500&lt;&gt;"",H500,IF(N(I500)=0,"",I500))</f>
        <v/>
      </c>
      <c r="K500" s="48">
        <f>IF(OR(G500="",J500=""),"",G500-J500)</f>
        <v/>
      </c>
      <c r="L500" s="43" t="n"/>
      <c r="M500" s="43" t="n"/>
      <c r="N500" s="49">
        <f>IF(IFERROR(INDEX(lst_cat_wish,MATCH(D500,lst_cats,0))="Да",FALSE),MAX($N$4:N499)+1,"")</f>
        <v/>
      </c>
      <c r="O500" s="49">
        <f>IF(OR(A500="",B500="",C500="",L500="❌ Отменено"),0,IF(COUNTIFS($A$4:A499,A500,$B$4:B499,B500,$C$4:C499,C500,$L$4:L499,"&lt;&gt;❌ Отменено")=0,1,0))</f>
        <v/>
      </c>
    </row>
    <row r="501">
      <c r="A501" s="42" t="n"/>
      <c r="B501" s="42" t="n"/>
      <c r="C501" s="43" t="n"/>
      <c r="D501" s="43" t="n"/>
      <c r="E501" s="43" t="n"/>
      <c r="F501" s="42" t="n"/>
      <c r="G501" s="44" t="n"/>
      <c r="H501" s="45" t="n"/>
      <c r="I501" s="46">
        <f>IF(O501=1,SUMIFS(day_amt,day_year,A501,day_month,B501,day_item,C501),"")</f>
        <v/>
      </c>
      <c r="J501" s="47">
        <f>IF(H501&lt;&gt;"",H501,IF(N(I501)=0,"",I501))</f>
        <v/>
      </c>
      <c r="K501" s="48">
        <f>IF(OR(G501="",J501=""),"",G501-J501)</f>
        <v/>
      </c>
      <c r="L501" s="43" t="n"/>
      <c r="M501" s="43" t="n"/>
      <c r="N501" s="49">
        <f>IF(IFERROR(INDEX(lst_cat_wish,MATCH(D501,lst_cats,0))="Да",FALSE),MAX($N$4:N500)+1,"")</f>
        <v/>
      </c>
      <c r="O501" s="49">
        <f>IF(OR(A501="",B501="",C501="",L501="❌ Отменено"),0,IF(COUNTIFS($A$4:A500,A501,$B$4:B500,B501,$C$4:C500,C501,$L$4:L500,"&lt;&gt;❌ Отменено")=0,1,0))</f>
        <v/>
      </c>
    </row>
    <row r="502">
      <c r="A502" s="42" t="n"/>
      <c r="B502" s="42" t="n"/>
      <c r="C502" s="43" t="n"/>
      <c r="D502" s="43" t="n"/>
      <c r="E502" s="43" t="n"/>
      <c r="F502" s="42" t="n"/>
      <c r="G502" s="44" t="n"/>
      <c r="H502" s="45" t="n"/>
      <c r="I502" s="46">
        <f>IF(O502=1,SUMIFS(day_amt,day_year,A502,day_month,B502,day_item,C502),"")</f>
        <v/>
      </c>
      <c r="J502" s="47">
        <f>IF(H502&lt;&gt;"",H502,IF(N(I502)=0,"",I502))</f>
        <v/>
      </c>
      <c r="K502" s="48">
        <f>IF(OR(G502="",J502=""),"",G502-J502)</f>
        <v/>
      </c>
      <c r="L502" s="43" t="n"/>
      <c r="M502" s="43" t="n"/>
      <c r="N502" s="49">
        <f>IF(IFERROR(INDEX(lst_cat_wish,MATCH(D502,lst_cats,0))="Да",FALSE),MAX($N$4:N501)+1,"")</f>
        <v/>
      </c>
      <c r="O502" s="49">
        <f>IF(OR(A502="",B502="",C502="",L502="❌ Отменено"),0,IF(COUNTIFS($A$4:A501,A502,$B$4:B501,B502,$C$4:C501,C502,$L$4:L501,"&lt;&gt;❌ Отменено")=0,1,0))</f>
        <v/>
      </c>
    </row>
    <row r="503">
      <c r="A503" s="42" t="n"/>
      <c r="B503" s="42" t="n"/>
      <c r="C503" s="43" t="n"/>
      <c r="D503" s="43" t="n"/>
      <c r="E503" s="43" t="n"/>
      <c r="F503" s="42" t="n"/>
      <c r="G503" s="44" t="n"/>
      <c r="H503" s="45" t="n"/>
      <c r="I503" s="46">
        <f>IF(O503=1,SUMIFS(day_amt,day_year,A503,day_month,B503,day_item,C503),"")</f>
        <v/>
      </c>
      <c r="J503" s="47">
        <f>IF(H503&lt;&gt;"",H503,IF(N(I503)=0,"",I503))</f>
        <v/>
      </c>
      <c r="K503" s="48">
        <f>IF(OR(G503="",J503=""),"",G503-J503)</f>
        <v/>
      </c>
      <c r="L503" s="43" t="n"/>
      <c r="M503" s="43" t="n"/>
      <c r="N503" s="49">
        <f>IF(IFERROR(INDEX(lst_cat_wish,MATCH(D503,lst_cats,0))="Да",FALSE),MAX($N$4:N502)+1,"")</f>
        <v/>
      </c>
      <c r="O503" s="49">
        <f>IF(OR(A503="",B503="",C503="",L503="❌ Отменено"),0,IF(COUNTIFS($A$4:A502,A503,$B$4:B502,B503,$C$4:C502,C503,$L$4:L502,"&lt;&gt;❌ Отменено")=0,1,0))</f>
        <v/>
      </c>
    </row>
    <row r="504">
      <c r="A504" s="42" t="n"/>
      <c r="B504" s="42" t="n"/>
      <c r="C504" s="43" t="n"/>
      <c r="D504" s="43" t="n"/>
      <c r="E504" s="43" t="n"/>
      <c r="F504" s="42" t="n"/>
      <c r="G504" s="44" t="n"/>
      <c r="H504" s="45" t="n"/>
      <c r="I504" s="46">
        <f>IF(O504=1,SUMIFS(day_amt,day_year,A504,day_month,B504,day_item,C504),"")</f>
        <v/>
      </c>
      <c r="J504" s="47">
        <f>IF(H504&lt;&gt;"",H504,IF(N(I504)=0,"",I504))</f>
        <v/>
      </c>
      <c r="K504" s="48">
        <f>IF(OR(G504="",J504=""),"",G504-J504)</f>
        <v/>
      </c>
      <c r="L504" s="43" t="n"/>
      <c r="M504" s="43" t="n"/>
      <c r="N504" s="49">
        <f>IF(IFERROR(INDEX(lst_cat_wish,MATCH(D504,lst_cats,0))="Да",FALSE),MAX($N$4:N503)+1,"")</f>
        <v/>
      </c>
      <c r="O504" s="49">
        <f>IF(OR(A504="",B504="",C504="",L504="❌ Отменено"),0,IF(COUNTIFS($A$4:A503,A504,$B$4:B503,B504,$C$4:C503,C504,$L$4:L503,"&lt;&gt;❌ Отменено")=0,1,0))</f>
        <v/>
      </c>
    </row>
  </sheetData>
  <autoFilter ref="A4:M504"/>
  <mergeCells count="2">
    <mergeCell ref="A2:M2"/>
    <mergeCell ref="A1:M1"/>
  </mergeCells>
  <conditionalFormatting sqref="A5:M504">
    <cfRule type="expression" priority="1" dxfId="1" stopIfTrue="1">
      <formula>$L5="✅ Выполнено"</formula>
    </cfRule>
    <cfRule type="expression" priority="2" dxfId="2" stopIfTrue="1">
      <formula>$L5="❌ Отменено"</formula>
    </cfRule>
  </conditionalFormatting>
  <conditionalFormatting sqref="J5:J504">
    <cfRule type="expression" priority="3" dxfId="0">
      <formula>AND($J5&lt;&gt;"",$G5&lt;&gt;"",$J5&gt;$G5)</formula>
    </cfRule>
  </conditionalFormatting>
  <conditionalFormatting sqref="I5:I504">
    <cfRule type="expression" priority="4" dxfId="3">
      <formula>AND($H5&lt;&gt;"",N($I5)&gt;0)</formula>
    </cfRule>
  </conditionalFormatting>
  <conditionalFormatting sqref="K5:K504">
    <cfRule type="cellIs" priority="5" operator="lessThan" dxfId="0">
      <formula>0</formula>
    </cfRule>
    <cfRule type="cellIs" priority="6" operator="greaterThan" dxfId="4">
      <formula>0</formula>
    </cfRule>
  </conditionalFormatting>
  <conditionalFormatting sqref="F5:F504">
    <cfRule type="expression" priority="7" dxfId="5">
      <formula>$F5="🔥 Высокий"</formula>
    </cfRule>
  </conditionalFormatting>
  <dataValidations count="6">
    <dataValidation sqref="A5:A504" showDropDown="0" showInputMessage="0" showErrorMessage="1" allowBlank="1" errorTitle="Значение не из справочника" error="Выберите значение из списка (его можно дополнить в листе «📚 Справочник»)" type="list">
      <formula1>'📚 Справочник'!$A$5:$A$9</formula1>
    </dataValidation>
    <dataValidation sqref="B5:B504" showDropDown="0" showInputMessage="0" showErrorMessage="1" allowBlank="1" errorTitle="Значение не из справочника" error="Выберите значение из списка (его можно дополнить в листе «📚 Справочник»)" type="list">
      <formula1>'📚 Справочник'!$B$5:$B$16</formula1>
    </dataValidation>
    <dataValidation sqref="C5:C504" showDropDown="0" showInputMessage="0" showErrorMessage="1" allowBlank="1" errorTitle="Значение не из справочника" error="Выберите значение из списка (его можно дополнить в листе «📚 Справочник»)" type="list">
      <formula1>'📚 Справочник'!$H$5:$H$104</formula1>
    </dataValidation>
    <dataValidation sqref="D5:D504" showDropDown="0" showInputMessage="0" showErrorMessage="1" allowBlank="1" errorTitle="Значение не из справочника" error="Выберите значение из списка (его можно дополнить в листе «📚 Справочник»)" type="list">
      <formula1>'📚 Справочник'!$D$5:$D$29</formula1>
    </dataValidation>
    <dataValidation sqref="F5:F504" showDropDown="0" showInputMessage="0" showErrorMessage="1" allowBlank="1" errorTitle="Значение не из справочника" error="Выберите значение из списка (его можно дополнить в листе «📚 Справочник»)" type="list">
      <formula1>'📚 Справочник'!$R$5:$R$7</formula1>
    </dataValidation>
    <dataValidation sqref="L5:L504" showDropDown="0" showInputMessage="0" showErrorMessage="1" allowBlank="1" errorTitle="Значение не из справочника" error="Выберите значение из списка (его можно дополнить в листе «📚 Справочник»)" type="list">
      <formula1>'📚 Справочник'!$O$5:$O$8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D62839"/>
    <outlinePr summaryBelow="1" summaryRight="1"/>
    <pageSetUpPr/>
  </sheetPr>
  <dimension ref="A1:M50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8" customWidth="1" min="3" max="3"/>
    <col width="11" customWidth="1" min="4" max="4"/>
    <col width="22" customWidth="1" min="5" max="5"/>
    <col width="22" customWidth="1" min="6" max="6"/>
    <col width="30" customWidth="1" min="7" max="7"/>
    <col width="14" customWidth="1" min="8" max="8"/>
    <col width="14" customWidth="1" min="9" max="9"/>
    <col width="13" customWidth="1" min="10" max="10"/>
    <col width="3" customWidth="1" min="11" max="11"/>
    <col width="26" customWidth="1" min="12" max="12"/>
    <col width="16" customWidth="1" min="13" max="13"/>
    <col width="3" customWidth="1" min="14" max="14"/>
  </cols>
  <sheetData>
    <row r="1" ht="36" customHeight="1">
      <c r="A1" s="33" t="inlineStr">
        <is>
          <t>🧾 Дневник трат — записывайте каждую покупку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  <c r="J1" s="34" t="n"/>
    </row>
    <row r="2" ht="30" customHeight="1">
      <c r="A2" s="3" t="inlineStr">
        <is>
          <t>Вводите только 4 поля: ДАТА, СТАТЬЯ, СУММА (и по желанию — что купили и способ оплаты). Год, месяц, категория подставятся сами. Траты по статьям из плана попадут в ФАКТ листа «Расходы», остальные — в сводки как «⚡ вне плана».</t>
        </is>
      </c>
    </row>
    <row r="3">
      <c r="G3" s="35" t="inlineStr">
        <is>
          <t>Σ видимых →</t>
        </is>
      </c>
      <c r="H3" s="37">
        <f>SUBTOTAL(9,H5:H5004)</f>
        <v/>
      </c>
    </row>
    <row r="4" ht="34" customHeight="1">
      <c r="A4" s="39" t="inlineStr">
        <is>
          <t>📅 Дата</t>
        </is>
      </c>
      <c r="B4" s="39" t="inlineStr">
        <is>
          <t>День</t>
        </is>
      </c>
      <c r="C4" s="39" t="inlineStr">
        <is>
          <t>📆 Год</t>
        </is>
      </c>
      <c r="D4" s="39" t="inlineStr">
        <is>
          <t>🗓 Месяц</t>
        </is>
      </c>
      <c r="E4" s="39" t="inlineStr">
        <is>
          <t>📝 Статья</t>
        </is>
      </c>
      <c r="F4" s="39" t="inlineStr">
        <is>
          <t>🏷 Категория
(авто)</t>
        </is>
      </c>
      <c r="G4" s="39" t="inlineStr">
        <is>
          <t>✏️ Что купили</t>
        </is>
      </c>
      <c r="H4" s="41" t="inlineStr">
        <is>
          <t>💸 Сумма, ₸</t>
        </is>
      </c>
      <c r="I4" s="39" t="inlineStr">
        <is>
          <t>💳 Оплата</t>
        </is>
      </c>
      <c r="J4" s="39" t="inlineStr">
        <is>
          <t>📌 В плане?</t>
        </is>
      </c>
      <c r="L4" s="50" t="inlineStr">
        <is>
          <t>📊 Этот месяц</t>
        </is>
      </c>
      <c r="M4" s="51">
        <f>INDEX(lst_months,MONTH(TODAY()))&amp;" "&amp;YEAR(TODAY())</f>
        <v/>
      </c>
    </row>
    <row r="5">
      <c r="A5" s="52" t="n">
        <v>46296</v>
      </c>
      <c r="B5" s="53">
        <f>IF(A5="","",CHOOSE(WEEKDAY(A5,2),"Пн","Вт","Ср","Чт","Пт","Сб","Вс"))</f>
        <v/>
      </c>
      <c r="C5" s="53">
        <f>IF(A5="","",YEAR(A5))</f>
        <v/>
      </c>
      <c r="D5" s="54">
        <f>IF(A5="","",INDEX(lst_months,MONTH(A5)))</f>
        <v/>
      </c>
      <c r="E5" s="55" t="inlineStr">
        <is>
          <t>Продукты</t>
        </is>
      </c>
      <c r="F5" s="54">
        <f>IF(E5="","",IFERROR(IF(INDEX(lst_exp_item_cat,MATCH(E5,lst_exp_items,0))="","❔ Без категории",INDEX(lst_exp_item_cat,MATCH(E5,lst_exp_items,0))),"❔ Без категории"))</f>
        <v/>
      </c>
      <c r="G5" s="43" t="inlineStr">
        <is>
          <t>Супермаркет</t>
        </is>
      </c>
      <c r="H5" s="56" t="n">
        <v>12400</v>
      </c>
      <c r="I5" s="43" t="inlineStr">
        <is>
          <t>💳 Карта</t>
        </is>
      </c>
      <c r="J5" s="57">
        <f>IF(OR(A5="",H5=""),"",IF(COUNTIFS(exp_year,C5,exp_month,D5,exp_item,E5,exp_status,"&lt;&gt;❌ Отменено")&gt;0,1,0))</f>
        <v/>
      </c>
      <c r="L5" s="58" t="inlineStr">
        <is>
          <t>📅 Сегодня</t>
        </is>
      </c>
      <c r="M5" s="14">
        <f>SUMIFS(day_amt,day_date,TODAY())</f>
        <v/>
      </c>
    </row>
    <row r="6">
      <c r="A6" s="52" t="n">
        <v>46297</v>
      </c>
      <c r="B6" s="53">
        <f>IF(A6="","",CHOOSE(WEEKDAY(A6,2),"Пн","Вт","Ср","Чт","Пт","Сб","Вс"))</f>
        <v/>
      </c>
      <c r="C6" s="53">
        <f>IF(A6="","",YEAR(A6))</f>
        <v/>
      </c>
      <c r="D6" s="54">
        <f>IF(A6="","",INDEX(lst_months,MONTH(A6)))</f>
        <v/>
      </c>
      <c r="E6" s="55" t="inlineStr">
        <is>
          <t>Транспорт / такси</t>
        </is>
      </c>
      <c r="F6" s="54">
        <f>IF(E6="","",IFERROR(IF(INDEX(lst_exp_item_cat,MATCH(E6,lst_exp_items,0))="","❔ Без категории",INDEX(lst_exp_item_cat,MATCH(E6,lst_exp_items,0))),"❔ Без категории"))</f>
        <v/>
      </c>
      <c r="G6" s="43" t="inlineStr">
        <is>
          <t>Такси на работу</t>
        </is>
      </c>
      <c r="H6" s="56" t="n">
        <v>1800</v>
      </c>
      <c r="I6" s="43" t="inlineStr">
        <is>
          <t>💳 Карта</t>
        </is>
      </c>
      <c r="J6" s="57">
        <f>IF(OR(A6="",H6=""),"",IF(COUNTIFS(exp_year,C6,exp_month,D6,exp_item,E6,exp_status,"&lt;&gt;❌ Отменено")&gt;0,1,0))</f>
        <v/>
      </c>
      <c r="L6" s="58" t="inlineStr">
        <is>
          <t>🗓 С начала месяца</t>
        </is>
      </c>
      <c r="M6" s="14">
        <f>SUMIFS(day_amt,day_year,YEAR(TODAY()),day_month,INDEX(lst_months,MONTH(TODAY())))</f>
        <v/>
      </c>
    </row>
    <row r="7">
      <c r="A7" s="52" t="n">
        <v>46298</v>
      </c>
      <c r="B7" s="53">
        <f>IF(A7="","",CHOOSE(WEEKDAY(A7,2),"Пн","Вт","Ср","Чт","Пт","Сб","Вс"))</f>
        <v/>
      </c>
      <c r="C7" s="53">
        <f>IF(A7="","",YEAR(A7))</f>
        <v/>
      </c>
      <c r="D7" s="54">
        <f>IF(A7="","",INDEX(lst_months,MONTH(A7)))</f>
        <v/>
      </c>
      <c r="E7" s="55" t="inlineStr">
        <is>
          <t>Кафе и рестораны</t>
        </is>
      </c>
      <c r="F7" s="54">
        <f>IF(E7="","",IFERROR(IF(INDEX(lst_exp_item_cat,MATCH(E7,lst_exp_items,0))="","❔ Без категории",INDEX(lst_exp_item_cat,MATCH(E7,lst_exp_items,0))),"❔ Без категории"))</f>
        <v/>
      </c>
      <c r="G7" s="43" t="inlineStr">
        <is>
          <t>Кофе с коллегами</t>
        </is>
      </c>
      <c r="H7" s="56" t="n">
        <v>3500</v>
      </c>
      <c r="I7" s="43" t="inlineStr">
        <is>
          <t>📱 Перевод</t>
        </is>
      </c>
      <c r="J7" s="57">
        <f>IF(OR(A7="",H7=""),"",IF(COUNTIFS(exp_year,C7,exp_month,D7,exp_item,E7,exp_status,"&lt;&gt;❌ Отменено")&gt;0,1,0))</f>
        <v/>
      </c>
      <c r="L7" s="58" t="inlineStr">
        <is>
          <t>📊 В среднем за день</t>
        </is>
      </c>
      <c r="M7" s="14">
        <f>M6/DAY(TODAY())</f>
        <v/>
      </c>
    </row>
    <row r="8">
      <c r="A8" s="52" t="n">
        <v>46298</v>
      </c>
      <c r="B8" s="53">
        <f>IF(A8="","",CHOOSE(WEEKDAY(A8,2),"Пн","Вт","Ср","Чт","Пт","Сб","Вс"))</f>
        <v/>
      </c>
      <c r="C8" s="53">
        <f>IF(A8="","",YEAR(A8))</f>
        <v/>
      </c>
      <c r="D8" s="54">
        <f>IF(A8="","",INDEX(lst_months,MONTH(A8)))</f>
        <v/>
      </c>
      <c r="E8" s="55" t="inlineStr">
        <is>
          <t>Продукты</t>
        </is>
      </c>
      <c r="F8" s="54">
        <f>IF(E8="","",IFERROR(IF(INDEX(lst_exp_item_cat,MATCH(E8,lst_exp_items,0))="","❔ Без категории",INDEX(lst_exp_item_cat,MATCH(E8,lst_exp_items,0))),"❔ Без категории"))</f>
        <v/>
      </c>
      <c r="G8" s="43" t="inlineStr">
        <is>
          <t>Рынок</t>
        </is>
      </c>
      <c r="H8" s="56" t="n">
        <v>8900</v>
      </c>
      <c r="I8" s="43" t="inlineStr">
        <is>
          <t>💵 Наличные</t>
        </is>
      </c>
      <c r="J8" s="57">
        <f>IF(OR(A8="",H8=""),"",IF(COUNTIFS(exp_year,C8,exp_month,D8,exp_item,E8,exp_status,"&lt;&gt;❌ Отменено")&gt;0,1,0))</f>
        <v/>
      </c>
      <c r="L8" s="58" t="inlineStr">
        <is>
          <t>🔮 Прогноз на месяц</t>
        </is>
      </c>
      <c r="M8" s="14">
        <f>M7*DAY(EOMONTH(TODAY(),0))</f>
        <v/>
      </c>
    </row>
    <row r="9">
      <c r="A9" s="52" t="n">
        <v>46299</v>
      </c>
      <c r="B9" s="53">
        <f>IF(A9="","",CHOOSE(WEEKDAY(A9,2),"Пн","Вт","Ср","Чт","Пт","Сб","Вс"))</f>
        <v/>
      </c>
      <c r="C9" s="53">
        <f>IF(A9="","",YEAR(A9))</f>
        <v/>
      </c>
      <c r="D9" s="54">
        <f>IF(A9="","",INDEX(lst_months,MONTH(A9)))</f>
        <v/>
      </c>
      <c r="E9" s="55" t="inlineStr">
        <is>
          <t>Продукты</t>
        </is>
      </c>
      <c r="F9" s="54">
        <f>IF(E9="","",IFERROR(IF(INDEX(lst_exp_item_cat,MATCH(E9,lst_exp_items,0))="","❔ Без категории",INDEX(lst_exp_item_cat,MATCH(E9,lst_exp_items,0))),"❔ Без категории"))</f>
        <v/>
      </c>
      <c r="G9" s="43" t="inlineStr">
        <is>
          <t>Хлеб, молоко</t>
        </is>
      </c>
      <c r="H9" s="56" t="n">
        <v>4300</v>
      </c>
      <c r="I9" s="43" t="inlineStr">
        <is>
          <t>💳 Карта</t>
        </is>
      </c>
      <c r="J9" s="57">
        <f>IF(OR(A9="",H9=""),"",IF(COUNTIFS(exp_year,C9,exp_month,D9,exp_item,E9,exp_status,"&lt;&gt;❌ Отменено")&gt;0,1,0))</f>
        <v/>
      </c>
      <c r="L9" s="58" t="inlineStr">
        <is>
          <t>⚡ Из них вне плана</t>
        </is>
      </c>
      <c r="M9" s="14">
        <f>SUMIFS(day_amt,day_year,YEAR(TODAY()),day_month,INDEX(lst_months,MONTH(TODAY())),day_inplan,0)</f>
        <v/>
      </c>
    </row>
    <row r="10">
      <c r="A10" s="52" t="n">
        <v>46299</v>
      </c>
      <c r="B10" s="53">
        <f>IF(A10="","",CHOOSE(WEEKDAY(A10,2),"Пн","Вт","Ср","Чт","Пт","Сб","Вс"))</f>
        <v/>
      </c>
      <c r="C10" s="53">
        <f>IF(A10="","",YEAR(A10))</f>
        <v/>
      </c>
      <c r="D10" s="54">
        <f>IF(A10="","",INDEX(lst_months,MONTH(A10)))</f>
        <v/>
      </c>
      <c r="E10" s="55" t="inlineStr">
        <is>
          <t>Связь и интернет</t>
        </is>
      </c>
      <c r="F10" s="54">
        <f>IF(E10="","",IFERROR(IF(INDEX(lst_exp_item_cat,MATCH(E10,lst_exp_items,0))="","❔ Без категории",INDEX(lst_exp_item_cat,MATCH(E10,lst_exp_items,0))),"❔ Без категории"))</f>
        <v/>
      </c>
      <c r="G10" s="43" t="inlineStr">
        <is>
          <t>Мобильная связь</t>
        </is>
      </c>
      <c r="H10" s="56" t="n">
        <v>5990</v>
      </c>
      <c r="I10" s="43" t="inlineStr">
        <is>
          <t>🔁 Автоплатёж</t>
        </is>
      </c>
      <c r="J10" s="57">
        <f>IF(OR(A10="",H10=""),"",IF(COUNTIFS(exp_year,C10,exp_month,D10,exp_item,E10,exp_status,"&lt;&gt;❌ Отменено")&gt;0,1,0))</f>
        <v/>
      </c>
      <c r="L10" s="58" t="inlineStr">
        <is>
          <t>📝 План расходов</t>
        </is>
      </c>
      <c r="M10" s="13">
        <f>IFERROR(INDEX('📅 По месяцам'!$G$5:$G$64,((YEAR(TODAY())-2026)*12+MONTH(TODAY()))),0)</f>
        <v/>
      </c>
    </row>
    <row r="11">
      <c r="A11" s="52" t="n"/>
      <c r="B11" s="53">
        <f>IF(A11="","",CHOOSE(WEEKDAY(A11,2),"Пн","Вт","Ср","Чт","Пт","Сб","Вс"))</f>
        <v/>
      </c>
      <c r="C11" s="53">
        <f>IF(A11="","",YEAR(A11))</f>
        <v/>
      </c>
      <c r="D11" s="54">
        <f>IF(A11="","",INDEX(lst_months,MONTH(A11)))</f>
        <v/>
      </c>
      <c r="E11" s="55" t="n"/>
      <c r="F11" s="54">
        <f>IF(E11="","",IFERROR(IF(INDEX(lst_exp_item_cat,MATCH(E11,lst_exp_items,0))="","❔ Без категории",INDEX(lst_exp_item_cat,MATCH(E11,lst_exp_items,0))),"❔ Без категории"))</f>
        <v/>
      </c>
      <c r="G11" s="43" t="n"/>
      <c r="H11" s="56" t="n"/>
      <c r="I11" s="43" t="n"/>
      <c r="J11" s="57">
        <f>IF(OR(A11="",H11=""),"",IF(COUNTIFS(exp_year,C11,exp_month,D11,exp_item,E11,exp_status,"&lt;&gt;❌ Отменено")&gt;0,1,0))</f>
        <v/>
      </c>
      <c r="L11" s="58" t="inlineStr">
        <is>
          <t>✅ Факт расходов (всего)</t>
        </is>
      </c>
      <c r="M11" s="14">
        <f>IFERROR(INDEX('📅 По месяцам'!$H$5:$H$64,((YEAR(TODAY())-2026)*12+MONTH(TODAY()))),0)</f>
        <v/>
      </c>
    </row>
    <row r="12">
      <c r="A12" s="52" t="n"/>
      <c r="B12" s="53">
        <f>IF(A12="","",CHOOSE(WEEKDAY(A12,2),"Пн","Вт","Ср","Чт","Пт","Сб","Вс"))</f>
        <v/>
      </c>
      <c r="C12" s="53">
        <f>IF(A12="","",YEAR(A12))</f>
        <v/>
      </c>
      <c r="D12" s="54">
        <f>IF(A12="","",INDEX(lst_months,MONTH(A12)))</f>
        <v/>
      </c>
      <c r="E12" s="55" t="n"/>
      <c r="F12" s="54">
        <f>IF(E12="","",IFERROR(IF(INDEX(lst_exp_item_cat,MATCH(E12,lst_exp_items,0))="","❔ Без категории",INDEX(lst_exp_item_cat,MATCH(E12,lst_exp_items,0))),"❔ Без категории"))</f>
        <v/>
      </c>
      <c r="G12" s="43" t="n"/>
      <c r="H12" s="56" t="n"/>
      <c r="I12" s="43" t="n"/>
      <c r="J12" s="57">
        <f>IF(OR(A12="",H12=""),"",IF(COUNTIFS(exp_year,C12,exp_month,D12,exp_item,E12,exp_status,"&lt;&gt;❌ Отменено")&gt;0,1,0))</f>
        <v/>
      </c>
      <c r="L12" s="58" t="inlineStr">
        <is>
          <t>💰 Осталось по бюджету</t>
        </is>
      </c>
      <c r="M12" s="14">
        <f>M10-M11</f>
        <v/>
      </c>
    </row>
    <row r="13">
      <c r="A13" s="52" t="n"/>
      <c r="B13" s="53">
        <f>IF(A13="","",CHOOSE(WEEKDAY(A13,2),"Пн","Вт","Ср","Чт","Пт","Сб","Вс"))</f>
        <v/>
      </c>
      <c r="C13" s="53">
        <f>IF(A13="","",YEAR(A13))</f>
        <v/>
      </c>
      <c r="D13" s="54">
        <f>IF(A13="","",INDEX(lst_months,MONTH(A13)))</f>
        <v/>
      </c>
      <c r="E13" s="55" t="n"/>
      <c r="F13" s="54">
        <f>IF(E13="","",IFERROR(IF(INDEX(lst_exp_item_cat,MATCH(E13,lst_exp_items,0))="","❔ Без категории",INDEX(lst_exp_item_cat,MATCH(E13,lst_exp_items,0))),"❔ Без категории"))</f>
        <v/>
      </c>
      <c r="G13" s="43" t="n"/>
      <c r="H13" s="56" t="n"/>
      <c r="I13" s="43" t="n"/>
      <c r="J13" s="57">
        <f>IF(OR(A13="",H13=""),"",IF(COUNTIFS(exp_year,C13,exp_month,D13,exp_item,E13,exp_status,"&lt;&gt;❌ Отменено")&gt;0,1,0))</f>
        <v/>
      </c>
      <c r="L13" s="59" t="inlineStr">
        <is>
          <t>M: «Факт расходов» включает и дневник, и ручной факт из «Расходов»</t>
        </is>
      </c>
    </row>
    <row r="14">
      <c r="A14" s="52" t="n"/>
      <c r="B14" s="53">
        <f>IF(A14="","",CHOOSE(WEEKDAY(A14,2),"Пн","Вт","Ср","Чт","Пт","Сб","Вс"))</f>
        <v/>
      </c>
      <c r="C14" s="53">
        <f>IF(A14="","",YEAR(A14))</f>
        <v/>
      </c>
      <c r="D14" s="54">
        <f>IF(A14="","",INDEX(lst_months,MONTH(A14)))</f>
        <v/>
      </c>
      <c r="E14" s="55" t="n"/>
      <c r="F14" s="54">
        <f>IF(E14="","",IFERROR(IF(INDEX(lst_exp_item_cat,MATCH(E14,lst_exp_items,0))="","❔ Без категории",INDEX(lst_exp_item_cat,MATCH(E14,lst_exp_items,0))),"❔ Без категории"))</f>
        <v/>
      </c>
      <c r="G14" s="43" t="n"/>
      <c r="H14" s="56" t="n"/>
      <c r="I14" s="43" t="n"/>
      <c r="J14" s="57">
        <f>IF(OR(A14="",H14=""),"",IF(COUNTIFS(exp_year,C14,exp_month,D14,exp_item,E14,exp_status,"&lt;&gt;❌ Отменено")&gt;0,1,0))</f>
        <v/>
      </c>
    </row>
    <row r="15">
      <c r="A15" s="52" t="n"/>
      <c r="B15" s="53">
        <f>IF(A15="","",CHOOSE(WEEKDAY(A15,2),"Пн","Вт","Ср","Чт","Пт","Сб","Вс"))</f>
        <v/>
      </c>
      <c r="C15" s="53">
        <f>IF(A15="","",YEAR(A15))</f>
        <v/>
      </c>
      <c r="D15" s="54">
        <f>IF(A15="","",INDEX(lst_months,MONTH(A15)))</f>
        <v/>
      </c>
      <c r="E15" s="55" t="n"/>
      <c r="F15" s="54">
        <f>IF(E15="","",IFERROR(IF(INDEX(lst_exp_item_cat,MATCH(E15,lst_exp_items,0))="","❔ Без категории",INDEX(lst_exp_item_cat,MATCH(E15,lst_exp_items,0))),"❔ Без категории"))</f>
        <v/>
      </c>
      <c r="G15" s="43" t="n"/>
      <c r="H15" s="56" t="n"/>
      <c r="I15" s="43" t="n"/>
      <c r="J15" s="57">
        <f>IF(OR(A15="",H15=""),"",IF(COUNTIFS(exp_year,C15,exp_month,D15,exp_item,E15,exp_status,"&lt;&gt;❌ Отменено")&gt;0,1,0))</f>
        <v/>
      </c>
      <c r="L15" s="60" t="inlineStr">
        <is>
          <t>🏷 По категориям (этот месяц)</t>
        </is>
      </c>
      <c r="M15" s="51" t="inlineStr">
        <is>
          <t>₸</t>
        </is>
      </c>
    </row>
    <row r="16">
      <c r="A16" s="52" t="n"/>
      <c r="B16" s="53">
        <f>IF(A16="","",CHOOSE(WEEKDAY(A16,2),"Пн","Вт","Ср","Чт","Пт","Сб","Вс"))</f>
        <v/>
      </c>
      <c r="C16" s="53">
        <f>IF(A16="","",YEAR(A16))</f>
        <v/>
      </c>
      <c r="D16" s="54">
        <f>IF(A16="","",INDEX(lst_months,MONTH(A16)))</f>
        <v/>
      </c>
      <c r="E16" s="55" t="n"/>
      <c r="F16" s="54">
        <f>IF(E16="","",IFERROR(IF(INDEX(lst_exp_item_cat,MATCH(E16,lst_exp_items,0))="","❔ Без категории",INDEX(lst_exp_item_cat,MATCH(E16,lst_exp_items,0))),"❔ Без категории"))</f>
        <v/>
      </c>
      <c r="G16" s="43" t="n"/>
      <c r="H16" s="56" t="n"/>
      <c r="I16" s="43" t="n"/>
      <c r="J16" s="57">
        <f>IF(OR(A16="",H16=""),"",IF(COUNTIFS(exp_year,C16,exp_month,D16,exp_item,E16,exp_status,"&lt;&gt;❌ Отменено")&gt;0,1,0))</f>
        <v/>
      </c>
      <c r="L16" s="61">
        <f>IF('📚 Справочник'!D5="","",'📚 Справочник'!D5)</f>
        <v/>
      </c>
      <c r="M16" s="62">
        <f>IF(L16="","",SUMIFS(day_amt,day_cat,L16,day_year,YEAR(TODAY()),day_month,INDEX(lst_months,MONTH(TODAY()))))</f>
        <v/>
      </c>
    </row>
    <row r="17">
      <c r="A17" s="52" t="n"/>
      <c r="B17" s="53">
        <f>IF(A17="","",CHOOSE(WEEKDAY(A17,2),"Пн","Вт","Ср","Чт","Пт","Сб","Вс"))</f>
        <v/>
      </c>
      <c r="C17" s="53">
        <f>IF(A17="","",YEAR(A17))</f>
        <v/>
      </c>
      <c r="D17" s="54">
        <f>IF(A17="","",INDEX(lst_months,MONTH(A17)))</f>
        <v/>
      </c>
      <c r="E17" s="55" t="n"/>
      <c r="F17" s="54">
        <f>IF(E17="","",IFERROR(IF(INDEX(lst_exp_item_cat,MATCH(E17,lst_exp_items,0))="","❔ Без категории",INDEX(lst_exp_item_cat,MATCH(E17,lst_exp_items,0))),"❔ Без категории"))</f>
        <v/>
      </c>
      <c r="G17" s="43" t="n"/>
      <c r="H17" s="56" t="n"/>
      <c r="I17" s="43" t="n"/>
      <c r="J17" s="57">
        <f>IF(OR(A17="",H17=""),"",IF(COUNTIFS(exp_year,C17,exp_month,D17,exp_item,E17,exp_status,"&lt;&gt;❌ Отменено")&gt;0,1,0))</f>
        <v/>
      </c>
      <c r="L17" s="61">
        <f>IF('📚 Справочник'!D6="","",'📚 Справочник'!D6)</f>
        <v/>
      </c>
      <c r="M17" s="62">
        <f>IF(L17="","",SUMIFS(day_amt,day_cat,L17,day_year,YEAR(TODAY()),day_month,INDEX(lst_months,MONTH(TODAY()))))</f>
        <v/>
      </c>
    </row>
    <row r="18">
      <c r="A18" s="52" t="n"/>
      <c r="B18" s="53">
        <f>IF(A18="","",CHOOSE(WEEKDAY(A18,2),"Пн","Вт","Ср","Чт","Пт","Сб","Вс"))</f>
        <v/>
      </c>
      <c r="C18" s="53">
        <f>IF(A18="","",YEAR(A18))</f>
        <v/>
      </c>
      <c r="D18" s="54">
        <f>IF(A18="","",INDEX(lst_months,MONTH(A18)))</f>
        <v/>
      </c>
      <c r="E18" s="55" t="n"/>
      <c r="F18" s="54">
        <f>IF(E18="","",IFERROR(IF(INDEX(lst_exp_item_cat,MATCH(E18,lst_exp_items,0))="","❔ Без категории",INDEX(lst_exp_item_cat,MATCH(E18,lst_exp_items,0))),"❔ Без категории"))</f>
        <v/>
      </c>
      <c r="G18" s="43" t="n"/>
      <c r="H18" s="56" t="n"/>
      <c r="I18" s="43" t="n"/>
      <c r="J18" s="57">
        <f>IF(OR(A18="",H18=""),"",IF(COUNTIFS(exp_year,C18,exp_month,D18,exp_item,E18,exp_status,"&lt;&gt;❌ Отменено")&gt;0,1,0))</f>
        <v/>
      </c>
      <c r="L18" s="61">
        <f>IF('📚 Справочник'!D7="","",'📚 Справочник'!D7)</f>
        <v/>
      </c>
      <c r="M18" s="62">
        <f>IF(L18="","",SUMIFS(day_amt,day_cat,L18,day_year,YEAR(TODAY()),day_month,INDEX(lst_months,MONTH(TODAY()))))</f>
        <v/>
      </c>
    </row>
    <row r="19">
      <c r="A19" s="52" t="n"/>
      <c r="B19" s="53">
        <f>IF(A19="","",CHOOSE(WEEKDAY(A19,2),"Пн","Вт","Ср","Чт","Пт","Сб","Вс"))</f>
        <v/>
      </c>
      <c r="C19" s="53">
        <f>IF(A19="","",YEAR(A19))</f>
        <v/>
      </c>
      <c r="D19" s="54">
        <f>IF(A19="","",INDEX(lst_months,MONTH(A19)))</f>
        <v/>
      </c>
      <c r="E19" s="55" t="n"/>
      <c r="F19" s="54">
        <f>IF(E19="","",IFERROR(IF(INDEX(lst_exp_item_cat,MATCH(E19,lst_exp_items,0))="","❔ Без категории",INDEX(lst_exp_item_cat,MATCH(E19,lst_exp_items,0))),"❔ Без категории"))</f>
        <v/>
      </c>
      <c r="G19" s="43" t="n"/>
      <c r="H19" s="56" t="n"/>
      <c r="I19" s="43" t="n"/>
      <c r="J19" s="57">
        <f>IF(OR(A19="",H19=""),"",IF(COUNTIFS(exp_year,C19,exp_month,D19,exp_item,E19,exp_status,"&lt;&gt;❌ Отменено")&gt;0,1,0))</f>
        <v/>
      </c>
      <c r="L19" s="61">
        <f>IF('📚 Справочник'!D8="","",'📚 Справочник'!D8)</f>
        <v/>
      </c>
      <c r="M19" s="62">
        <f>IF(L19="","",SUMIFS(day_amt,day_cat,L19,day_year,YEAR(TODAY()),day_month,INDEX(lst_months,MONTH(TODAY()))))</f>
        <v/>
      </c>
    </row>
    <row r="20">
      <c r="A20" s="52" t="n"/>
      <c r="B20" s="53">
        <f>IF(A20="","",CHOOSE(WEEKDAY(A20,2),"Пн","Вт","Ср","Чт","Пт","Сб","Вс"))</f>
        <v/>
      </c>
      <c r="C20" s="53">
        <f>IF(A20="","",YEAR(A20))</f>
        <v/>
      </c>
      <c r="D20" s="54">
        <f>IF(A20="","",INDEX(lst_months,MONTH(A20)))</f>
        <v/>
      </c>
      <c r="E20" s="55" t="n"/>
      <c r="F20" s="54">
        <f>IF(E20="","",IFERROR(IF(INDEX(lst_exp_item_cat,MATCH(E20,lst_exp_items,0))="","❔ Без категории",INDEX(lst_exp_item_cat,MATCH(E20,lst_exp_items,0))),"❔ Без категории"))</f>
        <v/>
      </c>
      <c r="G20" s="43" t="n"/>
      <c r="H20" s="56" t="n"/>
      <c r="I20" s="43" t="n"/>
      <c r="J20" s="57">
        <f>IF(OR(A20="",H20=""),"",IF(COUNTIFS(exp_year,C20,exp_month,D20,exp_item,E20,exp_status,"&lt;&gt;❌ Отменено")&gt;0,1,0))</f>
        <v/>
      </c>
      <c r="L20" s="61">
        <f>IF('📚 Справочник'!D9="","",'📚 Справочник'!D9)</f>
        <v/>
      </c>
      <c r="M20" s="62">
        <f>IF(L20="","",SUMIFS(day_amt,day_cat,L20,day_year,YEAR(TODAY()),day_month,INDEX(lst_months,MONTH(TODAY()))))</f>
        <v/>
      </c>
    </row>
    <row r="21">
      <c r="A21" s="52" t="n"/>
      <c r="B21" s="53">
        <f>IF(A21="","",CHOOSE(WEEKDAY(A21,2),"Пн","Вт","Ср","Чт","Пт","Сб","Вс"))</f>
        <v/>
      </c>
      <c r="C21" s="53">
        <f>IF(A21="","",YEAR(A21))</f>
        <v/>
      </c>
      <c r="D21" s="54">
        <f>IF(A21="","",INDEX(lst_months,MONTH(A21)))</f>
        <v/>
      </c>
      <c r="E21" s="55" t="n"/>
      <c r="F21" s="54">
        <f>IF(E21="","",IFERROR(IF(INDEX(lst_exp_item_cat,MATCH(E21,lst_exp_items,0))="","❔ Без категории",INDEX(lst_exp_item_cat,MATCH(E21,lst_exp_items,0))),"❔ Без категории"))</f>
        <v/>
      </c>
      <c r="G21" s="43" t="n"/>
      <c r="H21" s="56" t="n"/>
      <c r="I21" s="43" t="n"/>
      <c r="J21" s="57">
        <f>IF(OR(A21="",H21=""),"",IF(COUNTIFS(exp_year,C21,exp_month,D21,exp_item,E21,exp_status,"&lt;&gt;❌ Отменено")&gt;0,1,0))</f>
        <v/>
      </c>
      <c r="L21" s="61">
        <f>IF('📚 Справочник'!D10="","",'📚 Справочник'!D10)</f>
        <v/>
      </c>
      <c r="M21" s="62">
        <f>IF(L21="","",SUMIFS(day_amt,day_cat,L21,day_year,YEAR(TODAY()),day_month,INDEX(lst_months,MONTH(TODAY()))))</f>
        <v/>
      </c>
    </row>
    <row r="22">
      <c r="A22" s="52" t="n"/>
      <c r="B22" s="53">
        <f>IF(A22="","",CHOOSE(WEEKDAY(A22,2),"Пн","Вт","Ср","Чт","Пт","Сб","Вс"))</f>
        <v/>
      </c>
      <c r="C22" s="53">
        <f>IF(A22="","",YEAR(A22))</f>
        <v/>
      </c>
      <c r="D22" s="54">
        <f>IF(A22="","",INDEX(lst_months,MONTH(A22)))</f>
        <v/>
      </c>
      <c r="E22" s="55" t="n"/>
      <c r="F22" s="54">
        <f>IF(E22="","",IFERROR(IF(INDEX(lst_exp_item_cat,MATCH(E22,lst_exp_items,0))="","❔ Без категории",INDEX(lst_exp_item_cat,MATCH(E22,lst_exp_items,0))),"❔ Без категории"))</f>
        <v/>
      </c>
      <c r="G22" s="43" t="n"/>
      <c r="H22" s="56" t="n"/>
      <c r="I22" s="43" t="n"/>
      <c r="J22" s="57">
        <f>IF(OR(A22="",H22=""),"",IF(COUNTIFS(exp_year,C22,exp_month,D22,exp_item,E22,exp_status,"&lt;&gt;❌ Отменено")&gt;0,1,0))</f>
        <v/>
      </c>
      <c r="L22" s="61">
        <f>IF('📚 Справочник'!D11="","",'📚 Справочник'!D11)</f>
        <v/>
      </c>
      <c r="M22" s="62">
        <f>IF(L22="","",SUMIFS(day_amt,day_cat,L22,day_year,YEAR(TODAY()),day_month,INDEX(lst_months,MONTH(TODAY()))))</f>
        <v/>
      </c>
    </row>
    <row r="23">
      <c r="A23" s="52" t="n"/>
      <c r="B23" s="53">
        <f>IF(A23="","",CHOOSE(WEEKDAY(A23,2),"Пн","Вт","Ср","Чт","Пт","Сб","Вс"))</f>
        <v/>
      </c>
      <c r="C23" s="53">
        <f>IF(A23="","",YEAR(A23))</f>
        <v/>
      </c>
      <c r="D23" s="54">
        <f>IF(A23="","",INDEX(lst_months,MONTH(A23)))</f>
        <v/>
      </c>
      <c r="E23" s="55" t="n"/>
      <c r="F23" s="54">
        <f>IF(E23="","",IFERROR(IF(INDEX(lst_exp_item_cat,MATCH(E23,lst_exp_items,0))="","❔ Без категории",INDEX(lst_exp_item_cat,MATCH(E23,lst_exp_items,0))),"❔ Без категории"))</f>
        <v/>
      </c>
      <c r="G23" s="43" t="n"/>
      <c r="H23" s="56" t="n"/>
      <c r="I23" s="43" t="n"/>
      <c r="J23" s="57">
        <f>IF(OR(A23="",H23=""),"",IF(COUNTIFS(exp_year,C23,exp_month,D23,exp_item,E23,exp_status,"&lt;&gt;❌ Отменено")&gt;0,1,0))</f>
        <v/>
      </c>
      <c r="L23" s="61">
        <f>IF('📚 Справочник'!D12="","",'📚 Справочник'!D12)</f>
        <v/>
      </c>
      <c r="M23" s="62">
        <f>IF(L23="","",SUMIFS(day_amt,day_cat,L23,day_year,YEAR(TODAY()),day_month,INDEX(lst_months,MONTH(TODAY()))))</f>
        <v/>
      </c>
    </row>
    <row r="24">
      <c r="A24" s="52" t="n"/>
      <c r="B24" s="53">
        <f>IF(A24="","",CHOOSE(WEEKDAY(A24,2),"Пн","Вт","Ср","Чт","Пт","Сб","Вс"))</f>
        <v/>
      </c>
      <c r="C24" s="53">
        <f>IF(A24="","",YEAR(A24))</f>
        <v/>
      </c>
      <c r="D24" s="54">
        <f>IF(A24="","",INDEX(lst_months,MONTH(A24)))</f>
        <v/>
      </c>
      <c r="E24" s="55" t="n"/>
      <c r="F24" s="54">
        <f>IF(E24="","",IFERROR(IF(INDEX(lst_exp_item_cat,MATCH(E24,lst_exp_items,0))="","❔ Без категории",INDEX(lst_exp_item_cat,MATCH(E24,lst_exp_items,0))),"❔ Без категории"))</f>
        <v/>
      </c>
      <c r="G24" s="43" t="n"/>
      <c r="H24" s="56" t="n"/>
      <c r="I24" s="43" t="n"/>
      <c r="J24" s="57">
        <f>IF(OR(A24="",H24=""),"",IF(COUNTIFS(exp_year,C24,exp_month,D24,exp_item,E24,exp_status,"&lt;&gt;❌ Отменено")&gt;0,1,0))</f>
        <v/>
      </c>
      <c r="L24" s="61">
        <f>IF('📚 Справочник'!D13="","",'📚 Справочник'!D13)</f>
        <v/>
      </c>
      <c r="M24" s="62">
        <f>IF(L24="","",SUMIFS(day_amt,day_cat,L24,day_year,YEAR(TODAY()),day_month,INDEX(lst_months,MONTH(TODAY()))))</f>
        <v/>
      </c>
    </row>
    <row r="25">
      <c r="A25" s="52" t="n"/>
      <c r="B25" s="53">
        <f>IF(A25="","",CHOOSE(WEEKDAY(A25,2),"Пн","Вт","Ср","Чт","Пт","Сб","Вс"))</f>
        <v/>
      </c>
      <c r="C25" s="53">
        <f>IF(A25="","",YEAR(A25))</f>
        <v/>
      </c>
      <c r="D25" s="54">
        <f>IF(A25="","",INDEX(lst_months,MONTH(A25)))</f>
        <v/>
      </c>
      <c r="E25" s="55" t="n"/>
      <c r="F25" s="54">
        <f>IF(E25="","",IFERROR(IF(INDEX(lst_exp_item_cat,MATCH(E25,lst_exp_items,0))="","❔ Без категории",INDEX(lst_exp_item_cat,MATCH(E25,lst_exp_items,0))),"❔ Без категории"))</f>
        <v/>
      </c>
      <c r="G25" s="43" t="n"/>
      <c r="H25" s="56" t="n"/>
      <c r="I25" s="43" t="n"/>
      <c r="J25" s="57">
        <f>IF(OR(A25="",H25=""),"",IF(COUNTIFS(exp_year,C25,exp_month,D25,exp_item,E25,exp_status,"&lt;&gt;❌ Отменено")&gt;0,1,0))</f>
        <v/>
      </c>
      <c r="L25" s="61">
        <f>IF('📚 Справочник'!D14="","",'📚 Справочник'!D14)</f>
        <v/>
      </c>
      <c r="M25" s="62">
        <f>IF(L25="","",SUMIFS(day_amt,day_cat,L25,day_year,YEAR(TODAY()),day_month,INDEX(lst_months,MONTH(TODAY()))))</f>
        <v/>
      </c>
    </row>
    <row r="26">
      <c r="A26" s="52" t="n"/>
      <c r="B26" s="53">
        <f>IF(A26="","",CHOOSE(WEEKDAY(A26,2),"Пн","Вт","Ср","Чт","Пт","Сб","Вс"))</f>
        <v/>
      </c>
      <c r="C26" s="53">
        <f>IF(A26="","",YEAR(A26))</f>
        <v/>
      </c>
      <c r="D26" s="54">
        <f>IF(A26="","",INDEX(lst_months,MONTH(A26)))</f>
        <v/>
      </c>
      <c r="E26" s="55" t="n"/>
      <c r="F26" s="54">
        <f>IF(E26="","",IFERROR(IF(INDEX(lst_exp_item_cat,MATCH(E26,lst_exp_items,0))="","❔ Без категории",INDEX(lst_exp_item_cat,MATCH(E26,lst_exp_items,0))),"❔ Без категории"))</f>
        <v/>
      </c>
      <c r="G26" s="43" t="n"/>
      <c r="H26" s="56" t="n"/>
      <c r="I26" s="43" t="n"/>
      <c r="J26" s="57">
        <f>IF(OR(A26="",H26=""),"",IF(COUNTIFS(exp_year,C26,exp_month,D26,exp_item,E26,exp_status,"&lt;&gt;❌ Отменено")&gt;0,1,0))</f>
        <v/>
      </c>
      <c r="L26" s="61">
        <f>IF('📚 Справочник'!D15="","",'📚 Справочник'!D15)</f>
        <v/>
      </c>
      <c r="M26" s="62">
        <f>IF(L26="","",SUMIFS(day_amt,day_cat,L26,day_year,YEAR(TODAY()),day_month,INDEX(lst_months,MONTH(TODAY()))))</f>
        <v/>
      </c>
    </row>
    <row r="27">
      <c r="A27" s="52" t="n"/>
      <c r="B27" s="53">
        <f>IF(A27="","",CHOOSE(WEEKDAY(A27,2),"Пн","Вт","Ср","Чт","Пт","Сб","Вс"))</f>
        <v/>
      </c>
      <c r="C27" s="53">
        <f>IF(A27="","",YEAR(A27))</f>
        <v/>
      </c>
      <c r="D27" s="54">
        <f>IF(A27="","",INDEX(lst_months,MONTH(A27)))</f>
        <v/>
      </c>
      <c r="E27" s="55" t="n"/>
      <c r="F27" s="54">
        <f>IF(E27="","",IFERROR(IF(INDEX(lst_exp_item_cat,MATCH(E27,lst_exp_items,0))="","❔ Без категории",INDEX(lst_exp_item_cat,MATCH(E27,lst_exp_items,0))),"❔ Без категории"))</f>
        <v/>
      </c>
      <c r="G27" s="43" t="n"/>
      <c r="H27" s="56" t="n"/>
      <c r="I27" s="43" t="n"/>
      <c r="J27" s="57">
        <f>IF(OR(A27="",H27=""),"",IF(COUNTIFS(exp_year,C27,exp_month,D27,exp_item,E27,exp_status,"&lt;&gt;❌ Отменено")&gt;0,1,0))</f>
        <v/>
      </c>
      <c r="L27" s="61">
        <f>IF('📚 Справочник'!D16="","",'📚 Справочник'!D16)</f>
        <v/>
      </c>
      <c r="M27" s="62">
        <f>IF(L27="","",SUMIFS(day_amt,day_cat,L27,day_year,YEAR(TODAY()),day_month,INDEX(lst_months,MONTH(TODAY()))))</f>
        <v/>
      </c>
    </row>
    <row r="28">
      <c r="A28" s="52" t="n"/>
      <c r="B28" s="53">
        <f>IF(A28="","",CHOOSE(WEEKDAY(A28,2),"Пн","Вт","Ср","Чт","Пт","Сб","Вс"))</f>
        <v/>
      </c>
      <c r="C28" s="53">
        <f>IF(A28="","",YEAR(A28))</f>
        <v/>
      </c>
      <c r="D28" s="54">
        <f>IF(A28="","",INDEX(lst_months,MONTH(A28)))</f>
        <v/>
      </c>
      <c r="E28" s="55" t="n"/>
      <c r="F28" s="54">
        <f>IF(E28="","",IFERROR(IF(INDEX(lst_exp_item_cat,MATCH(E28,lst_exp_items,0))="","❔ Без категории",INDEX(lst_exp_item_cat,MATCH(E28,lst_exp_items,0))),"❔ Без категории"))</f>
        <v/>
      </c>
      <c r="G28" s="43" t="n"/>
      <c r="H28" s="56" t="n"/>
      <c r="I28" s="43" t="n"/>
      <c r="J28" s="57">
        <f>IF(OR(A28="",H28=""),"",IF(COUNTIFS(exp_year,C28,exp_month,D28,exp_item,E28,exp_status,"&lt;&gt;❌ Отменено")&gt;0,1,0))</f>
        <v/>
      </c>
      <c r="L28" s="61">
        <f>IF('📚 Справочник'!D17="","",'📚 Справочник'!D17)</f>
        <v/>
      </c>
      <c r="M28" s="62">
        <f>IF(L28="","",SUMIFS(day_amt,day_cat,L28,day_year,YEAR(TODAY()),day_month,INDEX(lst_months,MONTH(TODAY()))))</f>
        <v/>
      </c>
    </row>
    <row r="29">
      <c r="A29" s="52" t="n"/>
      <c r="B29" s="53">
        <f>IF(A29="","",CHOOSE(WEEKDAY(A29,2),"Пн","Вт","Ср","Чт","Пт","Сб","Вс"))</f>
        <v/>
      </c>
      <c r="C29" s="53">
        <f>IF(A29="","",YEAR(A29))</f>
        <v/>
      </c>
      <c r="D29" s="54">
        <f>IF(A29="","",INDEX(lst_months,MONTH(A29)))</f>
        <v/>
      </c>
      <c r="E29" s="55" t="n"/>
      <c r="F29" s="54">
        <f>IF(E29="","",IFERROR(IF(INDEX(lst_exp_item_cat,MATCH(E29,lst_exp_items,0))="","❔ Без категории",INDEX(lst_exp_item_cat,MATCH(E29,lst_exp_items,0))),"❔ Без категории"))</f>
        <v/>
      </c>
      <c r="G29" s="43" t="n"/>
      <c r="H29" s="56" t="n"/>
      <c r="I29" s="43" t="n"/>
      <c r="J29" s="57">
        <f>IF(OR(A29="",H29=""),"",IF(COUNTIFS(exp_year,C29,exp_month,D29,exp_item,E29,exp_status,"&lt;&gt;❌ Отменено")&gt;0,1,0))</f>
        <v/>
      </c>
      <c r="L29" s="61">
        <f>IF('📚 Справочник'!D18="","",'📚 Справочник'!D18)</f>
        <v/>
      </c>
      <c r="M29" s="62">
        <f>IF(L29="","",SUMIFS(day_amt,day_cat,L29,day_year,YEAR(TODAY()),day_month,INDEX(lst_months,MONTH(TODAY()))))</f>
        <v/>
      </c>
    </row>
    <row r="30">
      <c r="A30" s="52" t="n"/>
      <c r="B30" s="53">
        <f>IF(A30="","",CHOOSE(WEEKDAY(A30,2),"Пн","Вт","Ср","Чт","Пт","Сб","Вс"))</f>
        <v/>
      </c>
      <c r="C30" s="53">
        <f>IF(A30="","",YEAR(A30))</f>
        <v/>
      </c>
      <c r="D30" s="54">
        <f>IF(A30="","",INDEX(lst_months,MONTH(A30)))</f>
        <v/>
      </c>
      <c r="E30" s="55" t="n"/>
      <c r="F30" s="54">
        <f>IF(E30="","",IFERROR(IF(INDEX(lst_exp_item_cat,MATCH(E30,lst_exp_items,0))="","❔ Без категории",INDEX(lst_exp_item_cat,MATCH(E30,lst_exp_items,0))),"❔ Без категории"))</f>
        <v/>
      </c>
      <c r="G30" s="43" t="n"/>
      <c r="H30" s="56" t="n"/>
      <c r="I30" s="43" t="n"/>
      <c r="J30" s="57">
        <f>IF(OR(A30="",H30=""),"",IF(COUNTIFS(exp_year,C30,exp_month,D30,exp_item,E30,exp_status,"&lt;&gt;❌ Отменено")&gt;0,1,0))</f>
        <v/>
      </c>
      <c r="L30" s="61">
        <f>IF('📚 Справочник'!D19="","",'📚 Справочник'!D19)</f>
        <v/>
      </c>
      <c r="M30" s="62">
        <f>IF(L30="","",SUMIFS(day_amt,day_cat,L30,day_year,YEAR(TODAY()),day_month,INDEX(lst_months,MONTH(TODAY()))))</f>
        <v/>
      </c>
    </row>
    <row r="31">
      <c r="A31" s="52" t="n"/>
      <c r="B31" s="53">
        <f>IF(A31="","",CHOOSE(WEEKDAY(A31,2),"Пн","Вт","Ср","Чт","Пт","Сб","Вс"))</f>
        <v/>
      </c>
      <c r="C31" s="53">
        <f>IF(A31="","",YEAR(A31))</f>
        <v/>
      </c>
      <c r="D31" s="54">
        <f>IF(A31="","",INDEX(lst_months,MONTH(A31)))</f>
        <v/>
      </c>
      <c r="E31" s="55" t="n"/>
      <c r="F31" s="54">
        <f>IF(E31="","",IFERROR(IF(INDEX(lst_exp_item_cat,MATCH(E31,lst_exp_items,0))="","❔ Без категории",INDEX(lst_exp_item_cat,MATCH(E31,lst_exp_items,0))),"❔ Без категории"))</f>
        <v/>
      </c>
      <c r="G31" s="43" t="n"/>
      <c r="H31" s="56" t="n"/>
      <c r="I31" s="43" t="n"/>
      <c r="J31" s="57">
        <f>IF(OR(A31="",H31=""),"",IF(COUNTIFS(exp_year,C31,exp_month,D31,exp_item,E31,exp_status,"&lt;&gt;❌ Отменено")&gt;0,1,0))</f>
        <v/>
      </c>
      <c r="L31" s="61" t="inlineStr">
        <is>
          <t>❔ Без категории</t>
        </is>
      </c>
      <c r="M31" s="62">
        <f>IF(L31="","",SUMIFS(day_amt,day_cat,L31,day_year,YEAR(TODAY()),day_month,INDEX(lst_months,MONTH(TODAY()))))</f>
        <v/>
      </c>
    </row>
    <row r="32">
      <c r="A32" s="52" t="n"/>
      <c r="B32" s="53">
        <f>IF(A32="","",CHOOSE(WEEKDAY(A32,2),"Пн","Вт","Ср","Чт","Пт","Сб","Вс"))</f>
        <v/>
      </c>
      <c r="C32" s="53">
        <f>IF(A32="","",YEAR(A32))</f>
        <v/>
      </c>
      <c r="D32" s="54">
        <f>IF(A32="","",INDEX(lst_months,MONTH(A32)))</f>
        <v/>
      </c>
      <c r="E32" s="55" t="n"/>
      <c r="F32" s="54">
        <f>IF(E32="","",IFERROR(IF(INDEX(lst_exp_item_cat,MATCH(E32,lst_exp_items,0))="","❔ Без категории",INDEX(lst_exp_item_cat,MATCH(E32,lst_exp_items,0))),"❔ Без категории"))</f>
        <v/>
      </c>
      <c r="G32" s="43" t="n"/>
      <c r="H32" s="56" t="n"/>
      <c r="I32" s="43" t="n"/>
      <c r="J32" s="57">
        <f>IF(OR(A32="",H32=""),"",IF(COUNTIFS(exp_year,C32,exp_month,D32,exp_item,E32,exp_status,"&lt;&gt;❌ Отменено")&gt;0,1,0))</f>
        <v/>
      </c>
    </row>
    <row r="33">
      <c r="A33" s="52" t="n"/>
      <c r="B33" s="53">
        <f>IF(A33="","",CHOOSE(WEEKDAY(A33,2),"Пн","Вт","Ср","Чт","Пт","Сб","Вс"))</f>
        <v/>
      </c>
      <c r="C33" s="53">
        <f>IF(A33="","",YEAR(A33))</f>
        <v/>
      </c>
      <c r="D33" s="54">
        <f>IF(A33="","",INDEX(lst_months,MONTH(A33)))</f>
        <v/>
      </c>
      <c r="E33" s="55" t="n"/>
      <c r="F33" s="54">
        <f>IF(E33="","",IFERROR(IF(INDEX(lst_exp_item_cat,MATCH(E33,lst_exp_items,0))="","❔ Без категории",INDEX(lst_exp_item_cat,MATCH(E33,lst_exp_items,0))),"❔ Без категории"))</f>
        <v/>
      </c>
      <c r="G33" s="43" t="n"/>
      <c r="H33" s="56" t="n"/>
      <c r="I33" s="43" t="n"/>
      <c r="J33" s="57">
        <f>IF(OR(A33="",H33=""),"",IF(COUNTIFS(exp_year,C33,exp_month,D33,exp_item,E33,exp_status,"&lt;&gt;❌ Отменено")&gt;0,1,0))</f>
        <v/>
      </c>
    </row>
    <row r="34">
      <c r="A34" s="52" t="n"/>
      <c r="B34" s="53">
        <f>IF(A34="","",CHOOSE(WEEKDAY(A34,2),"Пн","Вт","Ср","Чт","Пт","Сб","Вс"))</f>
        <v/>
      </c>
      <c r="C34" s="53">
        <f>IF(A34="","",YEAR(A34))</f>
        <v/>
      </c>
      <c r="D34" s="54">
        <f>IF(A34="","",INDEX(lst_months,MONTH(A34)))</f>
        <v/>
      </c>
      <c r="E34" s="55" t="n"/>
      <c r="F34" s="54">
        <f>IF(E34="","",IFERROR(IF(INDEX(lst_exp_item_cat,MATCH(E34,lst_exp_items,0))="","❔ Без категории",INDEX(lst_exp_item_cat,MATCH(E34,lst_exp_items,0))),"❔ Без категории"))</f>
        <v/>
      </c>
      <c r="G34" s="43" t="n"/>
      <c r="H34" s="56" t="n"/>
      <c r="I34" s="43" t="n"/>
      <c r="J34" s="57">
        <f>IF(OR(A34="",H34=""),"",IF(COUNTIFS(exp_year,C34,exp_month,D34,exp_item,E34,exp_status,"&lt;&gt;❌ Отменено")&gt;0,1,0))</f>
        <v/>
      </c>
    </row>
    <row r="35">
      <c r="A35" s="52" t="n"/>
      <c r="B35" s="53">
        <f>IF(A35="","",CHOOSE(WEEKDAY(A35,2),"Пн","Вт","Ср","Чт","Пт","Сб","Вс"))</f>
        <v/>
      </c>
      <c r="C35" s="53">
        <f>IF(A35="","",YEAR(A35))</f>
        <v/>
      </c>
      <c r="D35" s="54">
        <f>IF(A35="","",INDEX(lst_months,MONTH(A35)))</f>
        <v/>
      </c>
      <c r="E35" s="55" t="n"/>
      <c r="F35" s="54">
        <f>IF(E35="","",IFERROR(IF(INDEX(lst_exp_item_cat,MATCH(E35,lst_exp_items,0))="","❔ Без категории",INDEX(lst_exp_item_cat,MATCH(E35,lst_exp_items,0))),"❔ Без категории"))</f>
        <v/>
      </c>
      <c r="G35" s="43" t="n"/>
      <c r="H35" s="56" t="n"/>
      <c r="I35" s="43" t="n"/>
      <c r="J35" s="57">
        <f>IF(OR(A35="",H35=""),"",IF(COUNTIFS(exp_year,C35,exp_month,D35,exp_item,E35,exp_status,"&lt;&gt;❌ Отменено")&gt;0,1,0))</f>
        <v/>
      </c>
    </row>
    <row r="36">
      <c r="A36" s="52" t="n"/>
      <c r="B36" s="53">
        <f>IF(A36="","",CHOOSE(WEEKDAY(A36,2),"Пн","Вт","Ср","Чт","Пт","Сб","Вс"))</f>
        <v/>
      </c>
      <c r="C36" s="53">
        <f>IF(A36="","",YEAR(A36))</f>
        <v/>
      </c>
      <c r="D36" s="54">
        <f>IF(A36="","",INDEX(lst_months,MONTH(A36)))</f>
        <v/>
      </c>
      <c r="E36" s="55" t="n"/>
      <c r="F36" s="54">
        <f>IF(E36="","",IFERROR(IF(INDEX(lst_exp_item_cat,MATCH(E36,lst_exp_items,0))="","❔ Без категории",INDEX(lst_exp_item_cat,MATCH(E36,lst_exp_items,0))),"❔ Без категории"))</f>
        <v/>
      </c>
      <c r="G36" s="43" t="n"/>
      <c r="H36" s="56" t="n"/>
      <c r="I36" s="43" t="n"/>
      <c r="J36" s="57">
        <f>IF(OR(A36="",H36=""),"",IF(COUNTIFS(exp_year,C36,exp_month,D36,exp_item,E36,exp_status,"&lt;&gt;❌ Отменено")&gt;0,1,0))</f>
        <v/>
      </c>
    </row>
    <row r="37">
      <c r="A37" s="52" t="n"/>
      <c r="B37" s="53">
        <f>IF(A37="","",CHOOSE(WEEKDAY(A37,2),"Пн","Вт","Ср","Чт","Пт","Сб","Вс"))</f>
        <v/>
      </c>
      <c r="C37" s="53">
        <f>IF(A37="","",YEAR(A37))</f>
        <v/>
      </c>
      <c r="D37" s="54">
        <f>IF(A37="","",INDEX(lst_months,MONTH(A37)))</f>
        <v/>
      </c>
      <c r="E37" s="55" t="n"/>
      <c r="F37" s="54">
        <f>IF(E37="","",IFERROR(IF(INDEX(lst_exp_item_cat,MATCH(E37,lst_exp_items,0))="","❔ Без категории",INDEX(lst_exp_item_cat,MATCH(E37,lst_exp_items,0))),"❔ Без категории"))</f>
        <v/>
      </c>
      <c r="G37" s="43" t="n"/>
      <c r="H37" s="56" t="n"/>
      <c r="I37" s="43" t="n"/>
      <c r="J37" s="57">
        <f>IF(OR(A37="",H37=""),"",IF(COUNTIFS(exp_year,C37,exp_month,D37,exp_item,E37,exp_status,"&lt;&gt;❌ Отменено")&gt;0,1,0))</f>
        <v/>
      </c>
    </row>
    <row r="38">
      <c r="A38" s="52" t="n"/>
      <c r="B38" s="53">
        <f>IF(A38="","",CHOOSE(WEEKDAY(A38,2),"Пн","Вт","Ср","Чт","Пт","Сб","Вс"))</f>
        <v/>
      </c>
      <c r="C38" s="53">
        <f>IF(A38="","",YEAR(A38))</f>
        <v/>
      </c>
      <c r="D38" s="54">
        <f>IF(A38="","",INDEX(lst_months,MONTH(A38)))</f>
        <v/>
      </c>
      <c r="E38" s="55" t="n"/>
      <c r="F38" s="54">
        <f>IF(E38="","",IFERROR(IF(INDEX(lst_exp_item_cat,MATCH(E38,lst_exp_items,0))="","❔ Без категории",INDEX(lst_exp_item_cat,MATCH(E38,lst_exp_items,0))),"❔ Без категории"))</f>
        <v/>
      </c>
      <c r="G38" s="43" t="n"/>
      <c r="H38" s="56" t="n"/>
      <c r="I38" s="43" t="n"/>
      <c r="J38" s="57">
        <f>IF(OR(A38="",H38=""),"",IF(COUNTIFS(exp_year,C38,exp_month,D38,exp_item,E38,exp_status,"&lt;&gt;❌ Отменено")&gt;0,1,0))</f>
        <v/>
      </c>
    </row>
    <row r="39">
      <c r="A39" s="52" t="n"/>
      <c r="B39" s="53">
        <f>IF(A39="","",CHOOSE(WEEKDAY(A39,2),"Пн","Вт","Ср","Чт","Пт","Сб","Вс"))</f>
        <v/>
      </c>
      <c r="C39" s="53">
        <f>IF(A39="","",YEAR(A39))</f>
        <v/>
      </c>
      <c r="D39" s="54">
        <f>IF(A39="","",INDEX(lst_months,MONTH(A39)))</f>
        <v/>
      </c>
      <c r="E39" s="55" t="n"/>
      <c r="F39" s="54">
        <f>IF(E39="","",IFERROR(IF(INDEX(lst_exp_item_cat,MATCH(E39,lst_exp_items,0))="","❔ Без категории",INDEX(lst_exp_item_cat,MATCH(E39,lst_exp_items,0))),"❔ Без категории"))</f>
        <v/>
      </c>
      <c r="G39" s="43" t="n"/>
      <c r="H39" s="56" t="n"/>
      <c r="I39" s="43" t="n"/>
      <c r="J39" s="57">
        <f>IF(OR(A39="",H39=""),"",IF(COUNTIFS(exp_year,C39,exp_month,D39,exp_item,E39,exp_status,"&lt;&gt;❌ Отменено")&gt;0,1,0))</f>
        <v/>
      </c>
    </row>
    <row r="40">
      <c r="A40" s="52" t="n"/>
      <c r="B40" s="53">
        <f>IF(A40="","",CHOOSE(WEEKDAY(A40,2),"Пн","Вт","Ср","Чт","Пт","Сб","Вс"))</f>
        <v/>
      </c>
      <c r="C40" s="53">
        <f>IF(A40="","",YEAR(A40))</f>
        <v/>
      </c>
      <c r="D40" s="54">
        <f>IF(A40="","",INDEX(lst_months,MONTH(A40)))</f>
        <v/>
      </c>
      <c r="E40" s="55" t="n"/>
      <c r="F40" s="54">
        <f>IF(E40="","",IFERROR(IF(INDEX(lst_exp_item_cat,MATCH(E40,lst_exp_items,0))="","❔ Без категории",INDEX(lst_exp_item_cat,MATCH(E40,lst_exp_items,0))),"❔ Без категории"))</f>
        <v/>
      </c>
      <c r="G40" s="43" t="n"/>
      <c r="H40" s="56" t="n"/>
      <c r="I40" s="43" t="n"/>
      <c r="J40" s="57">
        <f>IF(OR(A40="",H40=""),"",IF(COUNTIFS(exp_year,C40,exp_month,D40,exp_item,E40,exp_status,"&lt;&gt;❌ Отменено")&gt;0,1,0))</f>
        <v/>
      </c>
    </row>
    <row r="41">
      <c r="A41" s="52" t="n"/>
      <c r="B41" s="53">
        <f>IF(A41="","",CHOOSE(WEEKDAY(A41,2),"Пн","Вт","Ср","Чт","Пт","Сб","Вс"))</f>
        <v/>
      </c>
      <c r="C41" s="53">
        <f>IF(A41="","",YEAR(A41))</f>
        <v/>
      </c>
      <c r="D41" s="54">
        <f>IF(A41="","",INDEX(lst_months,MONTH(A41)))</f>
        <v/>
      </c>
      <c r="E41" s="55" t="n"/>
      <c r="F41" s="54">
        <f>IF(E41="","",IFERROR(IF(INDEX(lst_exp_item_cat,MATCH(E41,lst_exp_items,0))="","❔ Без категории",INDEX(lst_exp_item_cat,MATCH(E41,lst_exp_items,0))),"❔ Без категории"))</f>
        <v/>
      </c>
      <c r="G41" s="43" t="n"/>
      <c r="H41" s="56" t="n"/>
      <c r="I41" s="43" t="n"/>
      <c r="J41" s="57">
        <f>IF(OR(A41="",H41=""),"",IF(COUNTIFS(exp_year,C41,exp_month,D41,exp_item,E41,exp_status,"&lt;&gt;❌ Отменено")&gt;0,1,0))</f>
        <v/>
      </c>
    </row>
    <row r="42">
      <c r="A42" s="52" t="n"/>
      <c r="B42" s="53">
        <f>IF(A42="","",CHOOSE(WEEKDAY(A42,2),"Пн","Вт","Ср","Чт","Пт","Сб","Вс"))</f>
        <v/>
      </c>
      <c r="C42" s="53">
        <f>IF(A42="","",YEAR(A42))</f>
        <v/>
      </c>
      <c r="D42" s="54">
        <f>IF(A42="","",INDEX(lst_months,MONTH(A42)))</f>
        <v/>
      </c>
      <c r="E42" s="55" t="n"/>
      <c r="F42" s="54">
        <f>IF(E42="","",IFERROR(IF(INDEX(lst_exp_item_cat,MATCH(E42,lst_exp_items,0))="","❔ Без категории",INDEX(lst_exp_item_cat,MATCH(E42,lst_exp_items,0))),"❔ Без категории"))</f>
        <v/>
      </c>
      <c r="G42" s="43" t="n"/>
      <c r="H42" s="56" t="n"/>
      <c r="I42" s="43" t="n"/>
      <c r="J42" s="57">
        <f>IF(OR(A42="",H42=""),"",IF(COUNTIFS(exp_year,C42,exp_month,D42,exp_item,E42,exp_status,"&lt;&gt;❌ Отменено")&gt;0,1,0))</f>
        <v/>
      </c>
    </row>
    <row r="43">
      <c r="A43" s="52" t="n"/>
      <c r="B43" s="53">
        <f>IF(A43="","",CHOOSE(WEEKDAY(A43,2),"Пн","Вт","Ср","Чт","Пт","Сб","Вс"))</f>
        <v/>
      </c>
      <c r="C43" s="53">
        <f>IF(A43="","",YEAR(A43))</f>
        <v/>
      </c>
      <c r="D43" s="54">
        <f>IF(A43="","",INDEX(lst_months,MONTH(A43)))</f>
        <v/>
      </c>
      <c r="E43" s="55" t="n"/>
      <c r="F43" s="54">
        <f>IF(E43="","",IFERROR(IF(INDEX(lst_exp_item_cat,MATCH(E43,lst_exp_items,0))="","❔ Без категории",INDEX(lst_exp_item_cat,MATCH(E43,lst_exp_items,0))),"❔ Без категории"))</f>
        <v/>
      </c>
      <c r="G43" s="43" t="n"/>
      <c r="H43" s="56" t="n"/>
      <c r="I43" s="43" t="n"/>
      <c r="J43" s="57">
        <f>IF(OR(A43="",H43=""),"",IF(COUNTIFS(exp_year,C43,exp_month,D43,exp_item,E43,exp_status,"&lt;&gt;❌ Отменено")&gt;0,1,0))</f>
        <v/>
      </c>
    </row>
    <row r="44">
      <c r="A44" s="52" t="n"/>
      <c r="B44" s="53">
        <f>IF(A44="","",CHOOSE(WEEKDAY(A44,2),"Пн","Вт","Ср","Чт","Пт","Сб","Вс"))</f>
        <v/>
      </c>
      <c r="C44" s="53">
        <f>IF(A44="","",YEAR(A44))</f>
        <v/>
      </c>
      <c r="D44" s="54">
        <f>IF(A44="","",INDEX(lst_months,MONTH(A44)))</f>
        <v/>
      </c>
      <c r="E44" s="55" t="n"/>
      <c r="F44" s="54">
        <f>IF(E44="","",IFERROR(IF(INDEX(lst_exp_item_cat,MATCH(E44,lst_exp_items,0))="","❔ Без категории",INDEX(lst_exp_item_cat,MATCH(E44,lst_exp_items,0))),"❔ Без категории"))</f>
        <v/>
      </c>
      <c r="G44" s="43" t="n"/>
      <c r="H44" s="56" t="n"/>
      <c r="I44" s="43" t="n"/>
      <c r="J44" s="57">
        <f>IF(OR(A44="",H44=""),"",IF(COUNTIFS(exp_year,C44,exp_month,D44,exp_item,E44,exp_status,"&lt;&gt;❌ Отменено")&gt;0,1,0))</f>
        <v/>
      </c>
    </row>
    <row r="45">
      <c r="A45" s="52" t="n"/>
      <c r="B45" s="53">
        <f>IF(A45="","",CHOOSE(WEEKDAY(A45,2),"Пн","Вт","Ср","Чт","Пт","Сб","Вс"))</f>
        <v/>
      </c>
      <c r="C45" s="53">
        <f>IF(A45="","",YEAR(A45))</f>
        <v/>
      </c>
      <c r="D45" s="54">
        <f>IF(A45="","",INDEX(lst_months,MONTH(A45)))</f>
        <v/>
      </c>
      <c r="E45" s="55" t="n"/>
      <c r="F45" s="54">
        <f>IF(E45="","",IFERROR(IF(INDEX(lst_exp_item_cat,MATCH(E45,lst_exp_items,0))="","❔ Без категории",INDEX(lst_exp_item_cat,MATCH(E45,lst_exp_items,0))),"❔ Без категории"))</f>
        <v/>
      </c>
      <c r="G45" s="43" t="n"/>
      <c r="H45" s="56" t="n"/>
      <c r="I45" s="43" t="n"/>
      <c r="J45" s="57">
        <f>IF(OR(A45="",H45=""),"",IF(COUNTIFS(exp_year,C45,exp_month,D45,exp_item,E45,exp_status,"&lt;&gt;❌ Отменено")&gt;0,1,0))</f>
        <v/>
      </c>
    </row>
    <row r="46">
      <c r="A46" s="52" t="n"/>
      <c r="B46" s="53">
        <f>IF(A46="","",CHOOSE(WEEKDAY(A46,2),"Пн","Вт","Ср","Чт","Пт","Сб","Вс"))</f>
        <v/>
      </c>
      <c r="C46" s="53">
        <f>IF(A46="","",YEAR(A46))</f>
        <v/>
      </c>
      <c r="D46" s="54">
        <f>IF(A46="","",INDEX(lst_months,MONTH(A46)))</f>
        <v/>
      </c>
      <c r="E46" s="55" t="n"/>
      <c r="F46" s="54">
        <f>IF(E46="","",IFERROR(IF(INDEX(lst_exp_item_cat,MATCH(E46,lst_exp_items,0))="","❔ Без категории",INDEX(lst_exp_item_cat,MATCH(E46,lst_exp_items,0))),"❔ Без категории"))</f>
        <v/>
      </c>
      <c r="G46" s="43" t="n"/>
      <c r="H46" s="56" t="n"/>
      <c r="I46" s="43" t="n"/>
      <c r="J46" s="57">
        <f>IF(OR(A46="",H46=""),"",IF(COUNTIFS(exp_year,C46,exp_month,D46,exp_item,E46,exp_status,"&lt;&gt;❌ Отменено")&gt;0,1,0))</f>
        <v/>
      </c>
    </row>
    <row r="47">
      <c r="A47" s="52" t="n"/>
      <c r="B47" s="53">
        <f>IF(A47="","",CHOOSE(WEEKDAY(A47,2),"Пн","Вт","Ср","Чт","Пт","Сб","Вс"))</f>
        <v/>
      </c>
      <c r="C47" s="53">
        <f>IF(A47="","",YEAR(A47))</f>
        <v/>
      </c>
      <c r="D47" s="54">
        <f>IF(A47="","",INDEX(lst_months,MONTH(A47)))</f>
        <v/>
      </c>
      <c r="E47" s="55" t="n"/>
      <c r="F47" s="54">
        <f>IF(E47="","",IFERROR(IF(INDEX(lst_exp_item_cat,MATCH(E47,lst_exp_items,0))="","❔ Без категории",INDEX(lst_exp_item_cat,MATCH(E47,lst_exp_items,0))),"❔ Без категории"))</f>
        <v/>
      </c>
      <c r="G47" s="43" t="n"/>
      <c r="H47" s="56" t="n"/>
      <c r="I47" s="43" t="n"/>
      <c r="J47" s="57">
        <f>IF(OR(A47="",H47=""),"",IF(COUNTIFS(exp_year,C47,exp_month,D47,exp_item,E47,exp_status,"&lt;&gt;❌ Отменено")&gt;0,1,0))</f>
        <v/>
      </c>
    </row>
    <row r="48">
      <c r="A48" s="52" t="n"/>
      <c r="B48" s="53">
        <f>IF(A48="","",CHOOSE(WEEKDAY(A48,2),"Пн","Вт","Ср","Чт","Пт","Сб","Вс"))</f>
        <v/>
      </c>
      <c r="C48" s="53">
        <f>IF(A48="","",YEAR(A48))</f>
        <v/>
      </c>
      <c r="D48" s="54">
        <f>IF(A48="","",INDEX(lst_months,MONTH(A48)))</f>
        <v/>
      </c>
      <c r="E48" s="55" t="n"/>
      <c r="F48" s="54">
        <f>IF(E48="","",IFERROR(IF(INDEX(lst_exp_item_cat,MATCH(E48,lst_exp_items,0))="","❔ Без категории",INDEX(lst_exp_item_cat,MATCH(E48,lst_exp_items,0))),"❔ Без категории"))</f>
        <v/>
      </c>
      <c r="G48" s="43" t="n"/>
      <c r="H48" s="56" t="n"/>
      <c r="I48" s="43" t="n"/>
      <c r="J48" s="57">
        <f>IF(OR(A48="",H48=""),"",IF(COUNTIFS(exp_year,C48,exp_month,D48,exp_item,E48,exp_status,"&lt;&gt;❌ Отменено")&gt;0,1,0))</f>
        <v/>
      </c>
    </row>
    <row r="49">
      <c r="A49" s="52" t="n"/>
      <c r="B49" s="53">
        <f>IF(A49="","",CHOOSE(WEEKDAY(A49,2),"Пн","Вт","Ср","Чт","Пт","Сб","Вс"))</f>
        <v/>
      </c>
      <c r="C49" s="53">
        <f>IF(A49="","",YEAR(A49))</f>
        <v/>
      </c>
      <c r="D49" s="54">
        <f>IF(A49="","",INDEX(lst_months,MONTH(A49)))</f>
        <v/>
      </c>
      <c r="E49" s="55" t="n"/>
      <c r="F49" s="54">
        <f>IF(E49="","",IFERROR(IF(INDEX(lst_exp_item_cat,MATCH(E49,lst_exp_items,0))="","❔ Без категории",INDEX(lst_exp_item_cat,MATCH(E49,lst_exp_items,0))),"❔ Без категории"))</f>
        <v/>
      </c>
      <c r="G49" s="43" t="n"/>
      <c r="H49" s="56" t="n"/>
      <c r="I49" s="43" t="n"/>
      <c r="J49" s="57">
        <f>IF(OR(A49="",H49=""),"",IF(COUNTIFS(exp_year,C49,exp_month,D49,exp_item,E49,exp_status,"&lt;&gt;❌ Отменено")&gt;0,1,0))</f>
        <v/>
      </c>
    </row>
    <row r="50">
      <c r="A50" s="52" t="n"/>
      <c r="B50" s="53">
        <f>IF(A50="","",CHOOSE(WEEKDAY(A50,2),"Пн","Вт","Ср","Чт","Пт","Сб","Вс"))</f>
        <v/>
      </c>
      <c r="C50" s="53">
        <f>IF(A50="","",YEAR(A50))</f>
        <v/>
      </c>
      <c r="D50" s="54">
        <f>IF(A50="","",INDEX(lst_months,MONTH(A50)))</f>
        <v/>
      </c>
      <c r="E50" s="55" t="n"/>
      <c r="F50" s="54">
        <f>IF(E50="","",IFERROR(IF(INDEX(lst_exp_item_cat,MATCH(E50,lst_exp_items,0))="","❔ Без категории",INDEX(lst_exp_item_cat,MATCH(E50,lst_exp_items,0))),"❔ Без категории"))</f>
        <v/>
      </c>
      <c r="G50" s="43" t="n"/>
      <c r="H50" s="56" t="n"/>
      <c r="I50" s="43" t="n"/>
      <c r="J50" s="57">
        <f>IF(OR(A50="",H50=""),"",IF(COUNTIFS(exp_year,C50,exp_month,D50,exp_item,E50,exp_status,"&lt;&gt;❌ Отменено")&gt;0,1,0))</f>
        <v/>
      </c>
    </row>
    <row r="51">
      <c r="A51" s="52" t="n"/>
      <c r="B51" s="53">
        <f>IF(A51="","",CHOOSE(WEEKDAY(A51,2),"Пн","Вт","Ср","Чт","Пт","Сб","Вс"))</f>
        <v/>
      </c>
      <c r="C51" s="53">
        <f>IF(A51="","",YEAR(A51))</f>
        <v/>
      </c>
      <c r="D51" s="54">
        <f>IF(A51="","",INDEX(lst_months,MONTH(A51)))</f>
        <v/>
      </c>
      <c r="E51" s="55" t="n"/>
      <c r="F51" s="54">
        <f>IF(E51="","",IFERROR(IF(INDEX(lst_exp_item_cat,MATCH(E51,lst_exp_items,0))="","❔ Без категории",INDEX(lst_exp_item_cat,MATCH(E51,lst_exp_items,0))),"❔ Без категории"))</f>
        <v/>
      </c>
      <c r="G51" s="43" t="n"/>
      <c r="H51" s="56" t="n"/>
      <c r="I51" s="43" t="n"/>
      <c r="J51" s="57">
        <f>IF(OR(A51="",H51=""),"",IF(COUNTIFS(exp_year,C51,exp_month,D51,exp_item,E51,exp_status,"&lt;&gt;❌ Отменено")&gt;0,1,0))</f>
        <v/>
      </c>
    </row>
    <row r="52">
      <c r="A52" s="52" t="n"/>
      <c r="B52" s="53">
        <f>IF(A52="","",CHOOSE(WEEKDAY(A52,2),"Пн","Вт","Ср","Чт","Пт","Сб","Вс"))</f>
        <v/>
      </c>
      <c r="C52" s="53">
        <f>IF(A52="","",YEAR(A52))</f>
        <v/>
      </c>
      <c r="D52" s="54">
        <f>IF(A52="","",INDEX(lst_months,MONTH(A52)))</f>
        <v/>
      </c>
      <c r="E52" s="55" t="n"/>
      <c r="F52" s="54">
        <f>IF(E52="","",IFERROR(IF(INDEX(lst_exp_item_cat,MATCH(E52,lst_exp_items,0))="","❔ Без категории",INDEX(lst_exp_item_cat,MATCH(E52,lst_exp_items,0))),"❔ Без категории"))</f>
        <v/>
      </c>
      <c r="G52" s="43" t="n"/>
      <c r="H52" s="56" t="n"/>
      <c r="I52" s="43" t="n"/>
      <c r="J52" s="57">
        <f>IF(OR(A52="",H52=""),"",IF(COUNTIFS(exp_year,C52,exp_month,D52,exp_item,E52,exp_status,"&lt;&gt;❌ Отменено")&gt;0,1,0))</f>
        <v/>
      </c>
    </row>
    <row r="53">
      <c r="A53" s="52" t="n"/>
      <c r="B53" s="53">
        <f>IF(A53="","",CHOOSE(WEEKDAY(A53,2),"Пн","Вт","Ср","Чт","Пт","Сб","Вс"))</f>
        <v/>
      </c>
      <c r="C53" s="53">
        <f>IF(A53="","",YEAR(A53))</f>
        <v/>
      </c>
      <c r="D53" s="54">
        <f>IF(A53="","",INDEX(lst_months,MONTH(A53)))</f>
        <v/>
      </c>
      <c r="E53" s="55" t="n"/>
      <c r="F53" s="54">
        <f>IF(E53="","",IFERROR(IF(INDEX(lst_exp_item_cat,MATCH(E53,lst_exp_items,0))="","❔ Без категории",INDEX(lst_exp_item_cat,MATCH(E53,lst_exp_items,0))),"❔ Без категории"))</f>
        <v/>
      </c>
      <c r="G53" s="43" t="n"/>
      <c r="H53" s="56" t="n"/>
      <c r="I53" s="43" t="n"/>
      <c r="J53" s="57">
        <f>IF(OR(A53="",H53=""),"",IF(COUNTIFS(exp_year,C53,exp_month,D53,exp_item,E53,exp_status,"&lt;&gt;❌ Отменено")&gt;0,1,0))</f>
        <v/>
      </c>
    </row>
    <row r="54">
      <c r="A54" s="52" t="n"/>
      <c r="B54" s="53">
        <f>IF(A54="","",CHOOSE(WEEKDAY(A54,2),"Пн","Вт","Ср","Чт","Пт","Сб","Вс"))</f>
        <v/>
      </c>
      <c r="C54" s="53">
        <f>IF(A54="","",YEAR(A54))</f>
        <v/>
      </c>
      <c r="D54" s="54">
        <f>IF(A54="","",INDEX(lst_months,MONTH(A54)))</f>
        <v/>
      </c>
      <c r="E54" s="55" t="n"/>
      <c r="F54" s="54">
        <f>IF(E54="","",IFERROR(IF(INDEX(lst_exp_item_cat,MATCH(E54,lst_exp_items,0))="","❔ Без категории",INDEX(lst_exp_item_cat,MATCH(E54,lst_exp_items,0))),"❔ Без категории"))</f>
        <v/>
      </c>
      <c r="G54" s="43" t="n"/>
      <c r="H54" s="56" t="n"/>
      <c r="I54" s="43" t="n"/>
      <c r="J54" s="57">
        <f>IF(OR(A54="",H54=""),"",IF(COUNTIFS(exp_year,C54,exp_month,D54,exp_item,E54,exp_status,"&lt;&gt;❌ Отменено")&gt;0,1,0))</f>
        <v/>
      </c>
    </row>
    <row r="55">
      <c r="A55" s="52" t="n"/>
      <c r="B55" s="53">
        <f>IF(A55="","",CHOOSE(WEEKDAY(A55,2),"Пн","Вт","Ср","Чт","Пт","Сб","Вс"))</f>
        <v/>
      </c>
      <c r="C55" s="53">
        <f>IF(A55="","",YEAR(A55))</f>
        <v/>
      </c>
      <c r="D55" s="54">
        <f>IF(A55="","",INDEX(lst_months,MONTH(A55)))</f>
        <v/>
      </c>
      <c r="E55" s="55" t="n"/>
      <c r="F55" s="54">
        <f>IF(E55="","",IFERROR(IF(INDEX(lst_exp_item_cat,MATCH(E55,lst_exp_items,0))="","❔ Без категории",INDEX(lst_exp_item_cat,MATCH(E55,lst_exp_items,0))),"❔ Без категории"))</f>
        <v/>
      </c>
      <c r="G55" s="43" t="n"/>
      <c r="H55" s="56" t="n"/>
      <c r="I55" s="43" t="n"/>
      <c r="J55" s="57">
        <f>IF(OR(A55="",H55=""),"",IF(COUNTIFS(exp_year,C55,exp_month,D55,exp_item,E55,exp_status,"&lt;&gt;❌ Отменено")&gt;0,1,0))</f>
        <v/>
      </c>
    </row>
    <row r="56">
      <c r="A56" s="52" t="n"/>
      <c r="B56" s="53">
        <f>IF(A56="","",CHOOSE(WEEKDAY(A56,2),"Пн","Вт","Ср","Чт","Пт","Сб","Вс"))</f>
        <v/>
      </c>
      <c r="C56" s="53">
        <f>IF(A56="","",YEAR(A56))</f>
        <v/>
      </c>
      <c r="D56" s="54">
        <f>IF(A56="","",INDEX(lst_months,MONTH(A56)))</f>
        <v/>
      </c>
      <c r="E56" s="55" t="n"/>
      <c r="F56" s="54">
        <f>IF(E56="","",IFERROR(IF(INDEX(lst_exp_item_cat,MATCH(E56,lst_exp_items,0))="","❔ Без категории",INDEX(lst_exp_item_cat,MATCH(E56,lst_exp_items,0))),"❔ Без категории"))</f>
        <v/>
      </c>
      <c r="G56" s="43" t="n"/>
      <c r="H56" s="56" t="n"/>
      <c r="I56" s="43" t="n"/>
      <c r="J56" s="57">
        <f>IF(OR(A56="",H56=""),"",IF(COUNTIFS(exp_year,C56,exp_month,D56,exp_item,E56,exp_status,"&lt;&gt;❌ Отменено")&gt;0,1,0))</f>
        <v/>
      </c>
    </row>
    <row r="57">
      <c r="A57" s="52" t="n"/>
      <c r="B57" s="53">
        <f>IF(A57="","",CHOOSE(WEEKDAY(A57,2),"Пн","Вт","Ср","Чт","Пт","Сб","Вс"))</f>
        <v/>
      </c>
      <c r="C57" s="53">
        <f>IF(A57="","",YEAR(A57))</f>
        <v/>
      </c>
      <c r="D57" s="54">
        <f>IF(A57="","",INDEX(lst_months,MONTH(A57)))</f>
        <v/>
      </c>
      <c r="E57" s="55" t="n"/>
      <c r="F57" s="54">
        <f>IF(E57="","",IFERROR(IF(INDEX(lst_exp_item_cat,MATCH(E57,lst_exp_items,0))="","❔ Без категории",INDEX(lst_exp_item_cat,MATCH(E57,lst_exp_items,0))),"❔ Без категории"))</f>
        <v/>
      </c>
      <c r="G57" s="43" t="n"/>
      <c r="H57" s="56" t="n"/>
      <c r="I57" s="43" t="n"/>
      <c r="J57" s="57">
        <f>IF(OR(A57="",H57=""),"",IF(COUNTIFS(exp_year,C57,exp_month,D57,exp_item,E57,exp_status,"&lt;&gt;❌ Отменено")&gt;0,1,0))</f>
        <v/>
      </c>
    </row>
    <row r="58">
      <c r="A58" s="52" t="n"/>
      <c r="B58" s="53">
        <f>IF(A58="","",CHOOSE(WEEKDAY(A58,2),"Пн","Вт","Ср","Чт","Пт","Сб","Вс"))</f>
        <v/>
      </c>
      <c r="C58" s="53">
        <f>IF(A58="","",YEAR(A58))</f>
        <v/>
      </c>
      <c r="D58" s="54">
        <f>IF(A58="","",INDEX(lst_months,MONTH(A58)))</f>
        <v/>
      </c>
      <c r="E58" s="55" t="n"/>
      <c r="F58" s="54">
        <f>IF(E58="","",IFERROR(IF(INDEX(lst_exp_item_cat,MATCH(E58,lst_exp_items,0))="","❔ Без категории",INDEX(lst_exp_item_cat,MATCH(E58,lst_exp_items,0))),"❔ Без категории"))</f>
        <v/>
      </c>
      <c r="G58" s="43" t="n"/>
      <c r="H58" s="56" t="n"/>
      <c r="I58" s="43" t="n"/>
      <c r="J58" s="57">
        <f>IF(OR(A58="",H58=""),"",IF(COUNTIFS(exp_year,C58,exp_month,D58,exp_item,E58,exp_status,"&lt;&gt;❌ Отменено")&gt;0,1,0))</f>
        <v/>
      </c>
    </row>
    <row r="59">
      <c r="A59" s="52" t="n"/>
      <c r="B59" s="53">
        <f>IF(A59="","",CHOOSE(WEEKDAY(A59,2),"Пн","Вт","Ср","Чт","Пт","Сб","Вс"))</f>
        <v/>
      </c>
      <c r="C59" s="53">
        <f>IF(A59="","",YEAR(A59))</f>
        <v/>
      </c>
      <c r="D59" s="54">
        <f>IF(A59="","",INDEX(lst_months,MONTH(A59)))</f>
        <v/>
      </c>
      <c r="E59" s="55" t="n"/>
      <c r="F59" s="54">
        <f>IF(E59="","",IFERROR(IF(INDEX(lst_exp_item_cat,MATCH(E59,lst_exp_items,0))="","❔ Без категории",INDEX(lst_exp_item_cat,MATCH(E59,lst_exp_items,0))),"❔ Без категории"))</f>
        <v/>
      </c>
      <c r="G59" s="43" t="n"/>
      <c r="H59" s="56" t="n"/>
      <c r="I59" s="43" t="n"/>
      <c r="J59" s="57">
        <f>IF(OR(A59="",H59=""),"",IF(COUNTIFS(exp_year,C59,exp_month,D59,exp_item,E59,exp_status,"&lt;&gt;❌ Отменено")&gt;0,1,0))</f>
        <v/>
      </c>
    </row>
    <row r="60">
      <c r="A60" s="52" t="n"/>
      <c r="B60" s="53">
        <f>IF(A60="","",CHOOSE(WEEKDAY(A60,2),"Пн","Вт","Ср","Чт","Пт","Сб","Вс"))</f>
        <v/>
      </c>
      <c r="C60" s="53">
        <f>IF(A60="","",YEAR(A60))</f>
        <v/>
      </c>
      <c r="D60" s="54">
        <f>IF(A60="","",INDEX(lst_months,MONTH(A60)))</f>
        <v/>
      </c>
      <c r="E60" s="55" t="n"/>
      <c r="F60" s="54">
        <f>IF(E60="","",IFERROR(IF(INDEX(lst_exp_item_cat,MATCH(E60,lst_exp_items,0))="","❔ Без категории",INDEX(lst_exp_item_cat,MATCH(E60,lst_exp_items,0))),"❔ Без категории"))</f>
        <v/>
      </c>
      <c r="G60" s="43" t="n"/>
      <c r="H60" s="56" t="n"/>
      <c r="I60" s="43" t="n"/>
      <c r="J60" s="57">
        <f>IF(OR(A60="",H60=""),"",IF(COUNTIFS(exp_year,C60,exp_month,D60,exp_item,E60,exp_status,"&lt;&gt;❌ Отменено")&gt;0,1,0))</f>
        <v/>
      </c>
    </row>
    <row r="61">
      <c r="A61" s="52" t="n"/>
      <c r="B61" s="53">
        <f>IF(A61="","",CHOOSE(WEEKDAY(A61,2),"Пн","Вт","Ср","Чт","Пт","Сб","Вс"))</f>
        <v/>
      </c>
      <c r="C61" s="53">
        <f>IF(A61="","",YEAR(A61))</f>
        <v/>
      </c>
      <c r="D61" s="54">
        <f>IF(A61="","",INDEX(lst_months,MONTH(A61)))</f>
        <v/>
      </c>
      <c r="E61" s="55" t="n"/>
      <c r="F61" s="54">
        <f>IF(E61="","",IFERROR(IF(INDEX(lst_exp_item_cat,MATCH(E61,lst_exp_items,0))="","❔ Без категории",INDEX(lst_exp_item_cat,MATCH(E61,lst_exp_items,0))),"❔ Без категории"))</f>
        <v/>
      </c>
      <c r="G61" s="43" t="n"/>
      <c r="H61" s="56" t="n"/>
      <c r="I61" s="43" t="n"/>
      <c r="J61" s="57">
        <f>IF(OR(A61="",H61=""),"",IF(COUNTIFS(exp_year,C61,exp_month,D61,exp_item,E61,exp_status,"&lt;&gt;❌ Отменено")&gt;0,1,0))</f>
        <v/>
      </c>
    </row>
    <row r="62">
      <c r="A62" s="52" t="n"/>
      <c r="B62" s="53">
        <f>IF(A62="","",CHOOSE(WEEKDAY(A62,2),"Пн","Вт","Ср","Чт","Пт","Сб","Вс"))</f>
        <v/>
      </c>
      <c r="C62" s="53">
        <f>IF(A62="","",YEAR(A62))</f>
        <v/>
      </c>
      <c r="D62" s="54">
        <f>IF(A62="","",INDEX(lst_months,MONTH(A62)))</f>
        <v/>
      </c>
      <c r="E62" s="55" t="n"/>
      <c r="F62" s="54">
        <f>IF(E62="","",IFERROR(IF(INDEX(lst_exp_item_cat,MATCH(E62,lst_exp_items,0))="","❔ Без категории",INDEX(lst_exp_item_cat,MATCH(E62,lst_exp_items,0))),"❔ Без категории"))</f>
        <v/>
      </c>
      <c r="G62" s="43" t="n"/>
      <c r="H62" s="56" t="n"/>
      <c r="I62" s="43" t="n"/>
      <c r="J62" s="57">
        <f>IF(OR(A62="",H62=""),"",IF(COUNTIFS(exp_year,C62,exp_month,D62,exp_item,E62,exp_status,"&lt;&gt;❌ Отменено")&gt;0,1,0))</f>
        <v/>
      </c>
    </row>
    <row r="63">
      <c r="A63" s="52" t="n"/>
      <c r="B63" s="53">
        <f>IF(A63="","",CHOOSE(WEEKDAY(A63,2),"Пн","Вт","Ср","Чт","Пт","Сб","Вс"))</f>
        <v/>
      </c>
      <c r="C63" s="53">
        <f>IF(A63="","",YEAR(A63))</f>
        <v/>
      </c>
      <c r="D63" s="54">
        <f>IF(A63="","",INDEX(lst_months,MONTH(A63)))</f>
        <v/>
      </c>
      <c r="E63" s="55" t="n"/>
      <c r="F63" s="54">
        <f>IF(E63="","",IFERROR(IF(INDEX(lst_exp_item_cat,MATCH(E63,lst_exp_items,0))="","❔ Без категории",INDEX(lst_exp_item_cat,MATCH(E63,lst_exp_items,0))),"❔ Без категории"))</f>
        <v/>
      </c>
      <c r="G63" s="43" t="n"/>
      <c r="H63" s="56" t="n"/>
      <c r="I63" s="43" t="n"/>
      <c r="J63" s="57">
        <f>IF(OR(A63="",H63=""),"",IF(COUNTIFS(exp_year,C63,exp_month,D63,exp_item,E63,exp_status,"&lt;&gt;❌ Отменено")&gt;0,1,0))</f>
        <v/>
      </c>
    </row>
    <row r="64">
      <c r="A64" s="52" t="n"/>
      <c r="B64" s="53">
        <f>IF(A64="","",CHOOSE(WEEKDAY(A64,2),"Пн","Вт","Ср","Чт","Пт","Сб","Вс"))</f>
        <v/>
      </c>
      <c r="C64" s="53">
        <f>IF(A64="","",YEAR(A64))</f>
        <v/>
      </c>
      <c r="D64" s="54">
        <f>IF(A64="","",INDEX(lst_months,MONTH(A64)))</f>
        <v/>
      </c>
      <c r="E64" s="55" t="n"/>
      <c r="F64" s="54">
        <f>IF(E64="","",IFERROR(IF(INDEX(lst_exp_item_cat,MATCH(E64,lst_exp_items,0))="","❔ Без категории",INDEX(lst_exp_item_cat,MATCH(E64,lst_exp_items,0))),"❔ Без категории"))</f>
        <v/>
      </c>
      <c r="G64" s="43" t="n"/>
      <c r="H64" s="56" t="n"/>
      <c r="I64" s="43" t="n"/>
      <c r="J64" s="57">
        <f>IF(OR(A64="",H64=""),"",IF(COUNTIFS(exp_year,C64,exp_month,D64,exp_item,E64,exp_status,"&lt;&gt;❌ Отменено")&gt;0,1,0))</f>
        <v/>
      </c>
    </row>
    <row r="65">
      <c r="A65" s="52" t="n"/>
      <c r="B65" s="53">
        <f>IF(A65="","",CHOOSE(WEEKDAY(A65,2),"Пн","Вт","Ср","Чт","Пт","Сб","Вс"))</f>
        <v/>
      </c>
      <c r="C65" s="53">
        <f>IF(A65="","",YEAR(A65))</f>
        <v/>
      </c>
      <c r="D65" s="54">
        <f>IF(A65="","",INDEX(lst_months,MONTH(A65)))</f>
        <v/>
      </c>
      <c r="E65" s="55" t="n"/>
      <c r="F65" s="54">
        <f>IF(E65="","",IFERROR(IF(INDEX(lst_exp_item_cat,MATCH(E65,lst_exp_items,0))="","❔ Без категории",INDEX(lst_exp_item_cat,MATCH(E65,lst_exp_items,0))),"❔ Без категории"))</f>
        <v/>
      </c>
      <c r="G65" s="43" t="n"/>
      <c r="H65" s="56" t="n"/>
      <c r="I65" s="43" t="n"/>
      <c r="J65" s="57">
        <f>IF(OR(A65="",H65=""),"",IF(COUNTIFS(exp_year,C65,exp_month,D65,exp_item,E65,exp_status,"&lt;&gt;❌ Отменено")&gt;0,1,0))</f>
        <v/>
      </c>
    </row>
    <row r="66">
      <c r="A66" s="52" t="n"/>
      <c r="B66" s="53">
        <f>IF(A66="","",CHOOSE(WEEKDAY(A66,2),"Пн","Вт","Ср","Чт","Пт","Сб","Вс"))</f>
        <v/>
      </c>
      <c r="C66" s="53">
        <f>IF(A66="","",YEAR(A66))</f>
        <v/>
      </c>
      <c r="D66" s="54">
        <f>IF(A66="","",INDEX(lst_months,MONTH(A66)))</f>
        <v/>
      </c>
      <c r="E66" s="55" t="n"/>
      <c r="F66" s="54">
        <f>IF(E66="","",IFERROR(IF(INDEX(lst_exp_item_cat,MATCH(E66,lst_exp_items,0))="","❔ Без категории",INDEX(lst_exp_item_cat,MATCH(E66,lst_exp_items,0))),"❔ Без категории"))</f>
        <v/>
      </c>
      <c r="G66" s="43" t="n"/>
      <c r="H66" s="56" t="n"/>
      <c r="I66" s="43" t="n"/>
      <c r="J66" s="57">
        <f>IF(OR(A66="",H66=""),"",IF(COUNTIFS(exp_year,C66,exp_month,D66,exp_item,E66,exp_status,"&lt;&gt;❌ Отменено")&gt;0,1,0))</f>
        <v/>
      </c>
    </row>
    <row r="67">
      <c r="A67" s="52" t="n"/>
      <c r="B67" s="53">
        <f>IF(A67="","",CHOOSE(WEEKDAY(A67,2),"Пн","Вт","Ср","Чт","Пт","Сб","Вс"))</f>
        <v/>
      </c>
      <c r="C67" s="53">
        <f>IF(A67="","",YEAR(A67))</f>
        <v/>
      </c>
      <c r="D67" s="54">
        <f>IF(A67="","",INDEX(lst_months,MONTH(A67)))</f>
        <v/>
      </c>
      <c r="E67" s="55" t="n"/>
      <c r="F67" s="54">
        <f>IF(E67="","",IFERROR(IF(INDEX(lst_exp_item_cat,MATCH(E67,lst_exp_items,0))="","❔ Без категории",INDEX(lst_exp_item_cat,MATCH(E67,lst_exp_items,0))),"❔ Без категории"))</f>
        <v/>
      </c>
      <c r="G67" s="43" t="n"/>
      <c r="H67" s="56" t="n"/>
      <c r="I67" s="43" t="n"/>
      <c r="J67" s="57">
        <f>IF(OR(A67="",H67=""),"",IF(COUNTIFS(exp_year,C67,exp_month,D67,exp_item,E67,exp_status,"&lt;&gt;❌ Отменено")&gt;0,1,0))</f>
        <v/>
      </c>
    </row>
    <row r="68">
      <c r="A68" s="52" t="n"/>
      <c r="B68" s="53">
        <f>IF(A68="","",CHOOSE(WEEKDAY(A68,2),"Пн","Вт","Ср","Чт","Пт","Сб","Вс"))</f>
        <v/>
      </c>
      <c r="C68" s="53">
        <f>IF(A68="","",YEAR(A68))</f>
        <v/>
      </c>
      <c r="D68" s="54">
        <f>IF(A68="","",INDEX(lst_months,MONTH(A68)))</f>
        <v/>
      </c>
      <c r="E68" s="55" t="n"/>
      <c r="F68" s="54">
        <f>IF(E68="","",IFERROR(IF(INDEX(lst_exp_item_cat,MATCH(E68,lst_exp_items,0))="","❔ Без категории",INDEX(lst_exp_item_cat,MATCH(E68,lst_exp_items,0))),"❔ Без категории"))</f>
        <v/>
      </c>
      <c r="G68" s="43" t="n"/>
      <c r="H68" s="56" t="n"/>
      <c r="I68" s="43" t="n"/>
      <c r="J68" s="57">
        <f>IF(OR(A68="",H68=""),"",IF(COUNTIFS(exp_year,C68,exp_month,D68,exp_item,E68,exp_status,"&lt;&gt;❌ Отменено")&gt;0,1,0))</f>
        <v/>
      </c>
    </row>
    <row r="69">
      <c r="A69" s="52" t="n"/>
      <c r="B69" s="53">
        <f>IF(A69="","",CHOOSE(WEEKDAY(A69,2),"Пн","Вт","Ср","Чт","Пт","Сб","Вс"))</f>
        <v/>
      </c>
      <c r="C69" s="53">
        <f>IF(A69="","",YEAR(A69))</f>
        <v/>
      </c>
      <c r="D69" s="54">
        <f>IF(A69="","",INDEX(lst_months,MONTH(A69)))</f>
        <v/>
      </c>
      <c r="E69" s="55" t="n"/>
      <c r="F69" s="54">
        <f>IF(E69="","",IFERROR(IF(INDEX(lst_exp_item_cat,MATCH(E69,lst_exp_items,0))="","❔ Без категории",INDEX(lst_exp_item_cat,MATCH(E69,lst_exp_items,0))),"❔ Без категории"))</f>
        <v/>
      </c>
      <c r="G69" s="43" t="n"/>
      <c r="H69" s="56" t="n"/>
      <c r="I69" s="43" t="n"/>
      <c r="J69" s="57">
        <f>IF(OR(A69="",H69=""),"",IF(COUNTIFS(exp_year,C69,exp_month,D69,exp_item,E69,exp_status,"&lt;&gt;❌ Отменено")&gt;0,1,0))</f>
        <v/>
      </c>
    </row>
    <row r="70">
      <c r="A70" s="52" t="n"/>
      <c r="B70" s="53">
        <f>IF(A70="","",CHOOSE(WEEKDAY(A70,2),"Пн","Вт","Ср","Чт","Пт","Сб","Вс"))</f>
        <v/>
      </c>
      <c r="C70" s="53">
        <f>IF(A70="","",YEAR(A70))</f>
        <v/>
      </c>
      <c r="D70" s="54">
        <f>IF(A70="","",INDEX(lst_months,MONTH(A70)))</f>
        <v/>
      </c>
      <c r="E70" s="55" t="n"/>
      <c r="F70" s="54">
        <f>IF(E70="","",IFERROR(IF(INDEX(lst_exp_item_cat,MATCH(E70,lst_exp_items,0))="","❔ Без категории",INDEX(lst_exp_item_cat,MATCH(E70,lst_exp_items,0))),"❔ Без категории"))</f>
        <v/>
      </c>
      <c r="G70" s="43" t="n"/>
      <c r="H70" s="56" t="n"/>
      <c r="I70" s="43" t="n"/>
      <c r="J70" s="57">
        <f>IF(OR(A70="",H70=""),"",IF(COUNTIFS(exp_year,C70,exp_month,D70,exp_item,E70,exp_status,"&lt;&gt;❌ Отменено")&gt;0,1,0))</f>
        <v/>
      </c>
    </row>
    <row r="71">
      <c r="A71" s="52" t="n"/>
      <c r="B71" s="53">
        <f>IF(A71="","",CHOOSE(WEEKDAY(A71,2),"Пн","Вт","Ср","Чт","Пт","Сб","Вс"))</f>
        <v/>
      </c>
      <c r="C71" s="53">
        <f>IF(A71="","",YEAR(A71))</f>
        <v/>
      </c>
      <c r="D71" s="54">
        <f>IF(A71="","",INDEX(lst_months,MONTH(A71)))</f>
        <v/>
      </c>
      <c r="E71" s="55" t="n"/>
      <c r="F71" s="54">
        <f>IF(E71="","",IFERROR(IF(INDEX(lst_exp_item_cat,MATCH(E71,lst_exp_items,0))="","❔ Без категории",INDEX(lst_exp_item_cat,MATCH(E71,lst_exp_items,0))),"❔ Без категории"))</f>
        <v/>
      </c>
      <c r="G71" s="43" t="n"/>
      <c r="H71" s="56" t="n"/>
      <c r="I71" s="43" t="n"/>
      <c r="J71" s="57">
        <f>IF(OR(A71="",H71=""),"",IF(COUNTIFS(exp_year,C71,exp_month,D71,exp_item,E71,exp_status,"&lt;&gt;❌ Отменено")&gt;0,1,0))</f>
        <v/>
      </c>
    </row>
    <row r="72">
      <c r="A72" s="52" t="n"/>
      <c r="B72" s="53">
        <f>IF(A72="","",CHOOSE(WEEKDAY(A72,2),"Пн","Вт","Ср","Чт","Пт","Сб","Вс"))</f>
        <v/>
      </c>
      <c r="C72" s="53">
        <f>IF(A72="","",YEAR(A72))</f>
        <v/>
      </c>
      <c r="D72" s="54">
        <f>IF(A72="","",INDEX(lst_months,MONTH(A72)))</f>
        <v/>
      </c>
      <c r="E72" s="55" t="n"/>
      <c r="F72" s="54">
        <f>IF(E72="","",IFERROR(IF(INDEX(lst_exp_item_cat,MATCH(E72,lst_exp_items,0))="","❔ Без категории",INDEX(lst_exp_item_cat,MATCH(E72,lst_exp_items,0))),"❔ Без категории"))</f>
        <v/>
      </c>
      <c r="G72" s="43" t="n"/>
      <c r="H72" s="56" t="n"/>
      <c r="I72" s="43" t="n"/>
      <c r="J72" s="57">
        <f>IF(OR(A72="",H72=""),"",IF(COUNTIFS(exp_year,C72,exp_month,D72,exp_item,E72,exp_status,"&lt;&gt;❌ Отменено")&gt;0,1,0))</f>
        <v/>
      </c>
    </row>
    <row r="73">
      <c r="A73" s="52" t="n"/>
      <c r="B73" s="53">
        <f>IF(A73="","",CHOOSE(WEEKDAY(A73,2),"Пн","Вт","Ср","Чт","Пт","Сб","Вс"))</f>
        <v/>
      </c>
      <c r="C73" s="53">
        <f>IF(A73="","",YEAR(A73))</f>
        <v/>
      </c>
      <c r="D73" s="54">
        <f>IF(A73="","",INDEX(lst_months,MONTH(A73)))</f>
        <v/>
      </c>
      <c r="E73" s="55" t="n"/>
      <c r="F73" s="54">
        <f>IF(E73="","",IFERROR(IF(INDEX(lst_exp_item_cat,MATCH(E73,lst_exp_items,0))="","❔ Без категории",INDEX(lst_exp_item_cat,MATCH(E73,lst_exp_items,0))),"❔ Без категории"))</f>
        <v/>
      </c>
      <c r="G73" s="43" t="n"/>
      <c r="H73" s="56" t="n"/>
      <c r="I73" s="43" t="n"/>
      <c r="J73" s="57">
        <f>IF(OR(A73="",H73=""),"",IF(COUNTIFS(exp_year,C73,exp_month,D73,exp_item,E73,exp_status,"&lt;&gt;❌ Отменено")&gt;0,1,0))</f>
        <v/>
      </c>
    </row>
    <row r="74">
      <c r="A74" s="52" t="n"/>
      <c r="B74" s="53">
        <f>IF(A74="","",CHOOSE(WEEKDAY(A74,2),"Пн","Вт","Ср","Чт","Пт","Сб","Вс"))</f>
        <v/>
      </c>
      <c r="C74" s="53">
        <f>IF(A74="","",YEAR(A74))</f>
        <v/>
      </c>
      <c r="D74" s="54">
        <f>IF(A74="","",INDEX(lst_months,MONTH(A74)))</f>
        <v/>
      </c>
      <c r="E74" s="55" t="n"/>
      <c r="F74" s="54">
        <f>IF(E74="","",IFERROR(IF(INDEX(lst_exp_item_cat,MATCH(E74,lst_exp_items,0))="","❔ Без категории",INDEX(lst_exp_item_cat,MATCH(E74,lst_exp_items,0))),"❔ Без категории"))</f>
        <v/>
      </c>
      <c r="G74" s="43" t="n"/>
      <c r="H74" s="56" t="n"/>
      <c r="I74" s="43" t="n"/>
      <c r="J74" s="57">
        <f>IF(OR(A74="",H74=""),"",IF(COUNTIFS(exp_year,C74,exp_month,D74,exp_item,E74,exp_status,"&lt;&gt;❌ Отменено")&gt;0,1,0))</f>
        <v/>
      </c>
    </row>
    <row r="75">
      <c r="A75" s="52" t="n"/>
      <c r="B75" s="53">
        <f>IF(A75="","",CHOOSE(WEEKDAY(A75,2),"Пн","Вт","Ср","Чт","Пт","Сб","Вс"))</f>
        <v/>
      </c>
      <c r="C75" s="53">
        <f>IF(A75="","",YEAR(A75))</f>
        <v/>
      </c>
      <c r="D75" s="54">
        <f>IF(A75="","",INDEX(lst_months,MONTH(A75)))</f>
        <v/>
      </c>
      <c r="E75" s="55" t="n"/>
      <c r="F75" s="54">
        <f>IF(E75="","",IFERROR(IF(INDEX(lst_exp_item_cat,MATCH(E75,lst_exp_items,0))="","❔ Без категории",INDEX(lst_exp_item_cat,MATCH(E75,lst_exp_items,0))),"❔ Без категории"))</f>
        <v/>
      </c>
      <c r="G75" s="43" t="n"/>
      <c r="H75" s="56" t="n"/>
      <c r="I75" s="43" t="n"/>
      <c r="J75" s="57">
        <f>IF(OR(A75="",H75=""),"",IF(COUNTIFS(exp_year,C75,exp_month,D75,exp_item,E75,exp_status,"&lt;&gt;❌ Отменено")&gt;0,1,0))</f>
        <v/>
      </c>
    </row>
    <row r="76">
      <c r="A76" s="52" t="n"/>
      <c r="B76" s="53">
        <f>IF(A76="","",CHOOSE(WEEKDAY(A76,2),"Пн","Вт","Ср","Чт","Пт","Сб","Вс"))</f>
        <v/>
      </c>
      <c r="C76" s="53">
        <f>IF(A76="","",YEAR(A76))</f>
        <v/>
      </c>
      <c r="D76" s="54">
        <f>IF(A76="","",INDEX(lst_months,MONTH(A76)))</f>
        <v/>
      </c>
      <c r="E76" s="55" t="n"/>
      <c r="F76" s="54">
        <f>IF(E76="","",IFERROR(IF(INDEX(lst_exp_item_cat,MATCH(E76,lst_exp_items,0))="","❔ Без категории",INDEX(lst_exp_item_cat,MATCH(E76,lst_exp_items,0))),"❔ Без категории"))</f>
        <v/>
      </c>
      <c r="G76" s="43" t="n"/>
      <c r="H76" s="56" t="n"/>
      <c r="I76" s="43" t="n"/>
      <c r="J76" s="57">
        <f>IF(OR(A76="",H76=""),"",IF(COUNTIFS(exp_year,C76,exp_month,D76,exp_item,E76,exp_status,"&lt;&gt;❌ Отменено")&gt;0,1,0))</f>
        <v/>
      </c>
    </row>
    <row r="77">
      <c r="A77" s="52" t="n"/>
      <c r="B77" s="53">
        <f>IF(A77="","",CHOOSE(WEEKDAY(A77,2),"Пн","Вт","Ср","Чт","Пт","Сб","Вс"))</f>
        <v/>
      </c>
      <c r="C77" s="53">
        <f>IF(A77="","",YEAR(A77))</f>
        <v/>
      </c>
      <c r="D77" s="54">
        <f>IF(A77="","",INDEX(lst_months,MONTH(A77)))</f>
        <v/>
      </c>
      <c r="E77" s="55" t="n"/>
      <c r="F77" s="54">
        <f>IF(E77="","",IFERROR(IF(INDEX(lst_exp_item_cat,MATCH(E77,lst_exp_items,0))="","❔ Без категории",INDEX(lst_exp_item_cat,MATCH(E77,lst_exp_items,0))),"❔ Без категории"))</f>
        <v/>
      </c>
      <c r="G77" s="43" t="n"/>
      <c r="H77" s="56" t="n"/>
      <c r="I77" s="43" t="n"/>
      <c r="J77" s="57">
        <f>IF(OR(A77="",H77=""),"",IF(COUNTIFS(exp_year,C77,exp_month,D77,exp_item,E77,exp_status,"&lt;&gt;❌ Отменено")&gt;0,1,0))</f>
        <v/>
      </c>
    </row>
    <row r="78">
      <c r="A78" s="52" t="n"/>
      <c r="B78" s="53">
        <f>IF(A78="","",CHOOSE(WEEKDAY(A78,2),"Пн","Вт","Ср","Чт","Пт","Сб","Вс"))</f>
        <v/>
      </c>
      <c r="C78" s="53">
        <f>IF(A78="","",YEAR(A78))</f>
        <v/>
      </c>
      <c r="D78" s="54">
        <f>IF(A78="","",INDEX(lst_months,MONTH(A78)))</f>
        <v/>
      </c>
      <c r="E78" s="55" t="n"/>
      <c r="F78" s="54">
        <f>IF(E78="","",IFERROR(IF(INDEX(lst_exp_item_cat,MATCH(E78,lst_exp_items,0))="","❔ Без категории",INDEX(lst_exp_item_cat,MATCH(E78,lst_exp_items,0))),"❔ Без категории"))</f>
        <v/>
      </c>
      <c r="G78" s="43" t="n"/>
      <c r="H78" s="56" t="n"/>
      <c r="I78" s="43" t="n"/>
      <c r="J78" s="57">
        <f>IF(OR(A78="",H78=""),"",IF(COUNTIFS(exp_year,C78,exp_month,D78,exp_item,E78,exp_status,"&lt;&gt;❌ Отменено")&gt;0,1,0))</f>
        <v/>
      </c>
    </row>
    <row r="79">
      <c r="A79" s="52" t="n"/>
      <c r="B79" s="53">
        <f>IF(A79="","",CHOOSE(WEEKDAY(A79,2),"Пн","Вт","Ср","Чт","Пт","Сб","Вс"))</f>
        <v/>
      </c>
      <c r="C79" s="53">
        <f>IF(A79="","",YEAR(A79))</f>
        <v/>
      </c>
      <c r="D79" s="54">
        <f>IF(A79="","",INDEX(lst_months,MONTH(A79)))</f>
        <v/>
      </c>
      <c r="E79" s="55" t="n"/>
      <c r="F79" s="54">
        <f>IF(E79="","",IFERROR(IF(INDEX(lst_exp_item_cat,MATCH(E79,lst_exp_items,0))="","❔ Без категории",INDEX(lst_exp_item_cat,MATCH(E79,lst_exp_items,0))),"❔ Без категории"))</f>
        <v/>
      </c>
      <c r="G79" s="43" t="n"/>
      <c r="H79" s="56" t="n"/>
      <c r="I79" s="43" t="n"/>
      <c r="J79" s="57">
        <f>IF(OR(A79="",H79=""),"",IF(COUNTIFS(exp_year,C79,exp_month,D79,exp_item,E79,exp_status,"&lt;&gt;❌ Отменено")&gt;0,1,0))</f>
        <v/>
      </c>
    </row>
    <row r="80">
      <c r="A80" s="52" t="n"/>
      <c r="B80" s="53">
        <f>IF(A80="","",CHOOSE(WEEKDAY(A80,2),"Пн","Вт","Ср","Чт","Пт","Сб","Вс"))</f>
        <v/>
      </c>
      <c r="C80" s="53">
        <f>IF(A80="","",YEAR(A80))</f>
        <v/>
      </c>
      <c r="D80" s="54">
        <f>IF(A80="","",INDEX(lst_months,MONTH(A80)))</f>
        <v/>
      </c>
      <c r="E80" s="55" t="n"/>
      <c r="F80" s="54">
        <f>IF(E80="","",IFERROR(IF(INDEX(lst_exp_item_cat,MATCH(E80,lst_exp_items,0))="","❔ Без категории",INDEX(lst_exp_item_cat,MATCH(E80,lst_exp_items,0))),"❔ Без категории"))</f>
        <v/>
      </c>
      <c r="G80" s="43" t="n"/>
      <c r="H80" s="56" t="n"/>
      <c r="I80" s="43" t="n"/>
      <c r="J80" s="57">
        <f>IF(OR(A80="",H80=""),"",IF(COUNTIFS(exp_year,C80,exp_month,D80,exp_item,E80,exp_status,"&lt;&gt;❌ Отменено")&gt;0,1,0))</f>
        <v/>
      </c>
    </row>
    <row r="81">
      <c r="A81" s="52" t="n"/>
      <c r="B81" s="53">
        <f>IF(A81="","",CHOOSE(WEEKDAY(A81,2),"Пн","Вт","Ср","Чт","Пт","Сб","Вс"))</f>
        <v/>
      </c>
      <c r="C81" s="53">
        <f>IF(A81="","",YEAR(A81))</f>
        <v/>
      </c>
      <c r="D81" s="54">
        <f>IF(A81="","",INDEX(lst_months,MONTH(A81)))</f>
        <v/>
      </c>
      <c r="E81" s="55" t="n"/>
      <c r="F81" s="54">
        <f>IF(E81="","",IFERROR(IF(INDEX(lst_exp_item_cat,MATCH(E81,lst_exp_items,0))="","❔ Без категории",INDEX(lst_exp_item_cat,MATCH(E81,lst_exp_items,0))),"❔ Без категории"))</f>
        <v/>
      </c>
      <c r="G81" s="43" t="n"/>
      <c r="H81" s="56" t="n"/>
      <c r="I81" s="43" t="n"/>
      <c r="J81" s="57">
        <f>IF(OR(A81="",H81=""),"",IF(COUNTIFS(exp_year,C81,exp_month,D81,exp_item,E81,exp_status,"&lt;&gt;❌ Отменено")&gt;0,1,0))</f>
        <v/>
      </c>
    </row>
    <row r="82">
      <c r="A82" s="52" t="n"/>
      <c r="B82" s="53">
        <f>IF(A82="","",CHOOSE(WEEKDAY(A82,2),"Пн","Вт","Ср","Чт","Пт","Сб","Вс"))</f>
        <v/>
      </c>
      <c r="C82" s="53">
        <f>IF(A82="","",YEAR(A82))</f>
        <v/>
      </c>
      <c r="D82" s="54">
        <f>IF(A82="","",INDEX(lst_months,MONTH(A82)))</f>
        <v/>
      </c>
      <c r="E82" s="55" t="n"/>
      <c r="F82" s="54">
        <f>IF(E82="","",IFERROR(IF(INDEX(lst_exp_item_cat,MATCH(E82,lst_exp_items,0))="","❔ Без категории",INDEX(lst_exp_item_cat,MATCH(E82,lst_exp_items,0))),"❔ Без категории"))</f>
        <v/>
      </c>
      <c r="G82" s="43" t="n"/>
      <c r="H82" s="56" t="n"/>
      <c r="I82" s="43" t="n"/>
      <c r="J82" s="57">
        <f>IF(OR(A82="",H82=""),"",IF(COUNTIFS(exp_year,C82,exp_month,D82,exp_item,E82,exp_status,"&lt;&gt;❌ Отменено")&gt;0,1,0))</f>
        <v/>
      </c>
    </row>
    <row r="83">
      <c r="A83" s="52" t="n"/>
      <c r="B83" s="53">
        <f>IF(A83="","",CHOOSE(WEEKDAY(A83,2),"Пн","Вт","Ср","Чт","Пт","Сб","Вс"))</f>
        <v/>
      </c>
      <c r="C83" s="53">
        <f>IF(A83="","",YEAR(A83))</f>
        <v/>
      </c>
      <c r="D83" s="54">
        <f>IF(A83="","",INDEX(lst_months,MONTH(A83)))</f>
        <v/>
      </c>
      <c r="E83" s="55" t="n"/>
      <c r="F83" s="54">
        <f>IF(E83="","",IFERROR(IF(INDEX(lst_exp_item_cat,MATCH(E83,lst_exp_items,0))="","❔ Без категории",INDEX(lst_exp_item_cat,MATCH(E83,lst_exp_items,0))),"❔ Без категории"))</f>
        <v/>
      </c>
      <c r="G83" s="43" t="n"/>
      <c r="H83" s="56" t="n"/>
      <c r="I83" s="43" t="n"/>
      <c r="J83" s="57">
        <f>IF(OR(A83="",H83=""),"",IF(COUNTIFS(exp_year,C83,exp_month,D83,exp_item,E83,exp_status,"&lt;&gt;❌ Отменено")&gt;0,1,0))</f>
        <v/>
      </c>
    </row>
    <row r="84">
      <c r="A84" s="52" t="n"/>
      <c r="B84" s="53">
        <f>IF(A84="","",CHOOSE(WEEKDAY(A84,2),"Пн","Вт","Ср","Чт","Пт","Сб","Вс"))</f>
        <v/>
      </c>
      <c r="C84" s="53">
        <f>IF(A84="","",YEAR(A84))</f>
        <v/>
      </c>
      <c r="D84" s="54">
        <f>IF(A84="","",INDEX(lst_months,MONTH(A84)))</f>
        <v/>
      </c>
      <c r="E84" s="55" t="n"/>
      <c r="F84" s="54">
        <f>IF(E84="","",IFERROR(IF(INDEX(lst_exp_item_cat,MATCH(E84,lst_exp_items,0))="","❔ Без категории",INDEX(lst_exp_item_cat,MATCH(E84,lst_exp_items,0))),"❔ Без категории"))</f>
        <v/>
      </c>
      <c r="G84" s="43" t="n"/>
      <c r="H84" s="56" t="n"/>
      <c r="I84" s="43" t="n"/>
      <c r="J84" s="57">
        <f>IF(OR(A84="",H84=""),"",IF(COUNTIFS(exp_year,C84,exp_month,D84,exp_item,E84,exp_status,"&lt;&gt;❌ Отменено")&gt;0,1,0))</f>
        <v/>
      </c>
    </row>
    <row r="85">
      <c r="A85" s="52" t="n"/>
      <c r="B85" s="53">
        <f>IF(A85="","",CHOOSE(WEEKDAY(A85,2),"Пн","Вт","Ср","Чт","Пт","Сб","Вс"))</f>
        <v/>
      </c>
      <c r="C85" s="53">
        <f>IF(A85="","",YEAR(A85))</f>
        <v/>
      </c>
      <c r="D85" s="54">
        <f>IF(A85="","",INDEX(lst_months,MONTH(A85)))</f>
        <v/>
      </c>
      <c r="E85" s="55" t="n"/>
      <c r="F85" s="54">
        <f>IF(E85="","",IFERROR(IF(INDEX(lst_exp_item_cat,MATCH(E85,lst_exp_items,0))="","❔ Без категории",INDEX(lst_exp_item_cat,MATCH(E85,lst_exp_items,0))),"❔ Без категории"))</f>
        <v/>
      </c>
      <c r="G85" s="43" t="n"/>
      <c r="H85" s="56" t="n"/>
      <c r="I85" s="43" t="n"/>
      <c r="J85" s="57">
        <f>IF(OR(A85="",H85=""),"",IF(COUNTIFS(exp_year,C85,exp_month,D85,exp_item,E85,exp_status,"&lt;&gt;❌ Отменено")&gt;0,1,0))</f>
        <v/>
      </c>
    </row>
    <row r="86">
      <c r="A86" s="52" t="n"/>
      <c r="B86" s="53">
        <f>IF(A86="","",CHOOSE(WEEKDAY(A86,2),"Пн","Вт","Ср","Чт","Пт","Сб","Вс"))</f>
        <v/>
      </c>
      <c r="C86" s="53">
        <f>IF(A86="","",YEAR(A86))</f>
        <v/>
      </c>
      <c r="D86" s="54">
        <f>IF(A86="","",INDEX(lst_months,MONTH(A86)))</f>
        <v/>
      </c>
      <c r="E86" s="55" t="n"/>
      <c r="F86" s="54">
        <f>IF(E86="","",IFERROR(IF(INDEX(lst_exp_item_cat,MATCH(E86,lst_exp_items,0))="","❔ Без категории",INDEX(lst_exp_item_cat,MATCH(E86,lst_exp_items,0))),"❔ Без категории"))</f>
        <v/>
      </c>
      <c r="G86" s="43" t="n"/>
      <c r="H86" s="56" t="n"/>
      <c r="I86" s="43" t="n"/>
      <c r="J86" s="57">
        <f>IF(OR(A86="",H86=""),"",IF(COUNTIFS(exp_year,C86,exp_month,D86,exp_item,E86,exp_status,"&lt;&gt;❌ Отменено")&gt;0,1,0))</f>
        <v/>
      </c>
    </row>
    <row r="87">
      <c r="A87" s="52" t="n"/>
      <c r="B87" s="53">
        <f>IF(A87="","",CHOOSE(WEEKDAY(A87,2),"Пн","Вт","Ср","Чт","Пт","Сб","Вс"))</f>
        <v/>
      </c>
      <c r="C87" s="53">
        <f>IF(A87="","",YEAR(A87))</f>
        <v/>
      </c>
      <c r="D87" s="54">
        <f>IF(A87="","",INDEX(lst_months,MONTH(A87)))</f>
        <v/>
      </c>
      <c r="E87" s="55" t="n"/>
      <c r="F87" s="54">
        <f>IF(E87="","",IFERROR(IF(INDEX(lst_exp_item_cat,MATCH(E87,lst_exp_items,0))="","❔ Без категории",INDEX(lst_exp_item_cat,MATCH(E87,lst_exp_items,0))),"❔ Без категории"))</f>
        <v/>
      </c>
      <c r="G87" s="43" t="n"/>
      <c r="H87" s="56" t="n"/>
      <c r="I87" s="43" t="n"/>
      <c r="J87" s="57">
        <f>IF(OR(A87="",H87=""),"",IF(COUNTIFS(exp_year,C87,exp_month,D87,exp_item,E87,exp_status,"&lt;&gt;❌ Отменено")&gt;0,1,0))</f>
        <v/>
      </c>
    </row>
    <row r="88">
      <c r="A88" s="52" t="n"/>
      <c r="B88" s="53">
        <f>IF(A88="","",CHOOSE(WEEKDAY(A88,2),"Пн","Вт","Ср","Чт","Пт","Сб","Вс"))</f>
        <v/>
      </c>
      <c r="C88" s="53">
        <f>IF(A88="","",YEAR(A88))</f>
        <v/>
      </c>
      <c r="D88" s="54">
        <f>IF(A88="","",INDEX(lst_months,MONTH(A88)))</f>
        <v/>
      </c>
      <c r="E88" s="55" t="n"/>
      <c r="F88" s="54">
        <f>IF(E88="","",IFERROR(IF(INDEX(lst_exp_item_cat,MATCH(E88,lst_exp_items,0))="","❔ Без категории",INDEX(lst_exp_item_cat,MATCH(E88,lst_exp_items,0))),"❔ Без категории"))</f>
        <v/>
      </c>
      <c r="G88" s="43" t="n"/>
      <c r="H88" s="56" t="n"/>
      <c r="I88" s="43" t="n"/>
      <c r="J88" s="57">
        <f>IF(OR(A88="",H88=""),"",IF(COUNTIFS(exp_year,C88,exp_month,D88,exp_item,E88,exp_status,"&lt;&gt;❌ Отменено")&gt;0,1,0))</f>
        <v/>
      </c>
    </row>
    <row r="89">
      <c r="A89" s="52" t="n"/>
      <c r="B89" s="53">
        <f>IF(A89="","",CHOOSE(WEEKDAY(A89,2),"Пн","Вт","Ср","Чт","Пт","Сб","Вс"))</f>
        <v/>
      </c>
      <c r="C89" s="53">
        <f>IF(A89="","",YEAR(A89))</f>
        <v/>
      </c>
      <c r="D89" s="54">
        <f>IF(A89="","",INDEX(lst_months,MONTH(A89)))</f>
        <v/>
      </c>
      <c r="E89" s="55" t="n"/>
      <c r="F89" s="54">
        <f>IF(E89="","",IFERROR(IF(INDEX(lst_exp_item_cat,MATCH(E89,lst_exp_items,0))="","❔ Без категории",INDEX(lst_exp_item_cat,MATCH(E89,lst_exp_items,0))),"❔ Без категории"))</f>
        <v/>
      </c>
      <c r="G89" s="43" t="n"/>
      <c r="H89" s="56" t="n"/>
      <c r="I89" s="43" t="n"/>
      <c r="J89" s="57">
        <f>IF(OR(A89="",H89=""),"",IF(COUNTIFS(exp_year,C89,exp_month,D89,exp_item,E89,exp_status,"&lt;&gt;❌ Отменено")&gt;0,1,0))</f>
        <v/>
      </c>
    </row>
    <row r="90">
      <c r="A90" s="52" t="n"/>
      <c r="B90" s="53">
        <f>IF(A90="","",CHOOSE(WEEKDAY(A90,2),"Пн","Вт","Ср","Чт","Пт","Сб","Вс"))</f>
        <v/>
      </c>
      <c r="C90" s="53">
        <f>IF(A90="","",YEAR(A90))</f>
        <v/>
      </c>
      <c r="D90" s="54">
        <f>IF(A90="","",INDEX(lst_months,MONTH(A90)))</f>
        <v/>
      </c>
      <c r="E90" s="55" t="n"/>
      <c r="F90" s="54">
        <f>IF(E90="","",IFERROR(IF(INDEX(lst_exp_item_cat,MATCH(E90,lst_exp_items,0))="","❔ Без категории",INDEX(lst_exp_item_cat,MATCH(E90,lst_exp_items,0))),"❔ Без категории"))</f>
        <v/>
      </c>
      <c r="G90" s="43" t="n"/>
      <c r="H90" s="56" t="n"/>
      <c r="I90" s="43" t="n"/>
      <c r="J90" s="57">
        <f>IF(OR(A90="",H90=""),"",IF(COUNTIFS(exp_year,C90,exp_month,D90,exp_item,E90,exp_status,"&lt;&gt;❌ Отменено")&gt;0,1,0))</f>
        <v/>
      </c>
    </row>
    <row r="91">
      <c r="A91" s="52" t="n"/>
      <c r="B91" s="53">
        <f>IF(A91="","",CHOOSE(WEEKDAY(A91,2),"Пн","Вт","Ср","Чт","Пт","Сб","Вс"))</f>
        <v/>
      </c>
      <c r="C91" s="53">
        <f>IF(A91="","",YEAR(A91))</f>
        <v/>
      </c>
      <c r="D91" s="54">
        <f>IF(A91="","",INDEX(lst_months,MONTH(A91)))</f>
        <v/>
      </c>
      <c r="E91" s="55" t="n"/>
      <c r="F91" s="54">
        <f>IF(E91="","",IFERROR(IF(INDEX(lst_exp_item_cat,MATCH(E91,lst_exp_items,0))="","❔ Без категории",INDEX(lst_exp_item_cat,MATCH(E91,lst_exp_items,0))),"❔ Без категории"))</f>
        <v/>
      </c>
      <c r="G91" s="43" t="n"/>
      <c r="H91" s="56" t="n"/>
      <c r="I91" s="43" t="n"/>
      <c r="J91" s="57">
        <f>IF(OR(A91="",H91=""),"",IF(COUNTIFS(exp_year,C91,exp_month,D91,exp_item,E91,exp_status,"&lt;&gt;❌ Отменено")&gt;0,1,0))</f>
        <v/>
      </c>
    </row>
    <row r="92">
      <c r="A92" s="52" t="n"/>
      <c r="B92" s="53">
        <f>IF(A92="","",CHOOSE(WEEKDAY(A92,2),"Пн","Вт","Ср","Чт","Пт","Сб","Вс"))</f>
        <v/>
      </c>
      <c r="C92" s="53">
        <f>IF(A92="","",YEAR(A92))</f>
        <v/>
      </c>
      <c r="D92" s="54">
        <f>IF(A92="","",INDEX(lst_months,MONTH(A92)))</f>
        <v/>
      </c>
      <c r="E92" s="55" t="n"/>
      <c r="F92" s="54">
        <f>IF(E92="","",IFERROR(IF(INDEX(lst_exp_item_cat,MATCH(E92,lst_exp_items,0))="","❔ Без категории",INDEX(lst_exp_item_cat,MATCH(E92,lst_exp_items,0))),"❔ Без категории"))</f>
        <v/>
      </c>
      <c r="G92" s="43" t="n"/>
      <c r="H92" s="56" t="n"/>
      <c r="I92" s="43" t="n"/>
      <c r="J92" s="57">
        <f>IF(OR(A92="",H92=""),"",IF(COUNTIFS(exp_year,C92,exp_month,D92,exp_item,E92,exp_status,"&lt;&gt;❌ Отменено")&gt;0,1,0))</f>
        <v/>
      </c>
    </row>
    <row r="93">
      <c r="A93" s="52" t="n"/>
      <c r="B93" s="53">
        <f>IF(A93="","",CHOOSE(WEEKDAY(A93,2),"Пн","Вт","Ср","Чт","Пт","Сб","Вс"))</f>
        <v/>
      </c>
      <c r="C93" s="53">
        <f>IF(A93="","",YEAR(A93))</f>
        <v/>
      </c>
      <c r="D93" s="54">
        <f>IF(A93="","",INDEX(lst_months,MONTH(A93)))</f>
        <v/>
      </c>
      <c r="E93" s="55" t="n"/>
      <c r="F93" s="54">
        <f>IF(E93="","",IFERROR(IF(INDEX(lst_exp_item_cat,MATCH(E93,lst_exp_items,0))="","❔ Без категории",INDEX(lst_exp_item_cat,MATCH(E93,lst_exp_items,0))),"❔ Без категории"))</f>
        <v/>
      </c>
      <c r="G93" s="43" t="n"/>
      <c r="H93" s="56" t="n"/>
      <c r="I93" s="43" t="n"/>
      <c r="J93" s="57">
        <f>IF(OR(A93="",H93=""),"",IF(COUNTIFS(exp_year,C93,exp_month,D93,exp_item,E93,exp_status,"&lt;&gt;❌ Отменено")&gt;0,1,0))</f>
        <v/>
      </c>
    </row>
    <row r="94">
      <c r="A94" s="52" t="n"/>
      <c r="B94" s="53">
        <f>IF(A94="","",CHOOSE(WEEKDAY(A94,2),"Пн","Вт","Ср","Чт","Пт","Сб","Вс"))</f>
        <v/>
      </c>
      <c r="C94" s="53">
        <f>IF(A94="","",YEAR(A94))</f>
        <v/>
      </c>
      <c r="D94" s="54">
        <f>IF(A94="","",INDEX(lst_months,MONTH(A94)))</f>
        <v/>
      </c>
      <c r="E94" s="55" t="n"/>
      <c r="F94" s="54">
        <f>IF(E94="","",IFERROR(IF(INDEX(lst_exp_item_cat,MATCH(E94,lst_exp_items,0))="","❔ Без категории",INDEX(lst_exp_item_cat,MATCH(E94,lst_exp_items,0))),"❔ Без категории"))</f>
        <v/>
      </c>
      <c r="G94" s="43" t="n"/>
      <c r="H94" s="56" t="n"/>
      <c r="I94" s="43" t="n"/>
      <c r="J94" s="57">
        <f>IF(OR(A94="",H94=""),"",IF(COUNTIFS(exp_year,C94,exp_month,D94,exp_item,E94,exp_status,"&lt;&gt;❌ Отменено")&gt;0,1,0))</f>
        <v/>
      </c>
    </row>
    <row r="95">
      <c r="A95" s="52" t="n"/>
      <c r="B95" s="53">
        <f>IF(A95="","",CHOOSE(WEEKDAY(A95,2),"Пн","Вт","Ср","Чт","Пт","Сб","Вс"))</f>
        <v/>
      </c>
      <c r="C95" s="53">
        <f>IF(A95="","",YEAR(A95))</f>
        <v/>
      </c>
      <c r="D95" s="54">
        <f>IF(A95="","",INDEX(lst_months,MONTH(A95)))</f>
        <v/>
      </c>
      <c r="E95" s="55" t="n"/>
      <c r="F95" s="54">
        <f>IF(E95="","",IFERROR(IF(INDEX(lst_exp_item_cat,MATCH(E95,lst_exp_items,0))="","❔ Без категории",INDEX(lst_exp_item_cat,MATCH(E95,lst_exp_items,0))),"❔ Без категории"))</f>
        <v/>
      </c>
      <c r="G95" s="43" t="n"/>
      <c r="H95" s="56" t="n"/>
      <c r="I95" s="43" t="n"/>
      <c r="J95" s="57">
        <f>IF(OR(A95="",H95=""),"",IF(COUNTIFS(exp_year,C95,exp_month,D95,exp_item,E95,exp_status,"&lt;&gt;❌ Отменено")&gt;0,1,0))</f>
        <v/>
      </c>
    </row>
    <row r="96">
      <c r="A96" s="52" t="n"/>
      <c r="B96" s="53">
        <f>IF(A96="","",CHOOSE(WEEKDAY(A96,2),"Пн","Вт","Ср","Чт","Пт","Сб","Вс"))</f>
        <v/>
      </c>
      <c r="C96" s="53">
        <f>IF(A96="","",YEAR(A96))</f>
        <v/>
      </c>
      <c r="D96" s="54">
        <f>IF(A96="","",INDEX(lst_months,MONTH(A96)))</f>
        <v/>
      </c>
      <c r="E96" s="55" t="n"/>
      <c r="F96" s="54">
        <f>IF(E96="","",IFERROR(IF(INDEX(lst_exp_item_cat,MATCH(E96,lst_exp_items,0))="","❔ Без категории",INDEX(lst_exp_item_cat,MATCH(E96,lst_exp_items,0))),"❔ Без категории"))</f>
        <v/>
      </c>
      <c r="G96" s="43" t="n"/>
      <c r="H96" s="56" t="n"/>
      <c r="I96" s="43" t="n"/>
      <c r="J96" s="57">
        <f>IF(OR(A96="",H96=""),"",IF(COUNTIFS(exp_year,C96,exp_month,D96,exp_item,E96,exp_status,"&lt;&gt;❌ Отменено")&gt;0,1,0))</f>
        <v/>
      </c>
    </row>
    <row r="97">
      <c r="A97" s="52" t="n"/>
      <c r="B97" s="53">
        <f>IF(A97="","",CHOOSE(WEEKDAY(A97,2),"Пн","Вт","Ср","Чт","Пт","Сб","Вс"))</f>
        <v/>
      </c>
      <c r="C97" s="53">
        <f>IF(A97="","",YEAR(A97))</f>
        <v/>
      </c>
      <c r="D97" s="54">
        <f>IF(A97="","",INDEX(lst_months,MONTH(A97)))</f>
        <v/>
      </c>
      <c r="E97" s="55" t="n"/>
      <c r="F97" s="54">
        <f>IF(E97="","",IFERROR(IF(INDEX(lst_exp_item_cat,MATCH(E97,lst_exp_items,0))="","❔ Без категории",INDEX(lst_exp_item_cat,MATCH(E97,lst_exp_items,0))),"❔ Без категории"))</f>
        <v/>
      </c>
      <c r="G97" s="43" t="n"/>
      <c r="H97" s="56" t="n"/>
      <c r="I97" s="43" t="n"/>
      <c r="J97" s="57">
        <f>IF(OR(A97="",H97=""),"",IF(COUNTIFS(exp_year,C97,exp_month,D97,exp_item,E97,exp_status,"&lt;&gt;❌ Отменено")&gt;0,1,0))</f>
        <v/>
      </c>
    </row>
    <row r="98">
      <c r="A98" s="52" t="n"/>
      <c r="B98" s="53">
        <f>IF(A98="","",CHOOSE(WEEKDAY(A98,2),"Пн","Вт","Ср","Чт","Пт","Сб","Вс"))</f>
        <v/>
      </c>
      <c r="C98" s="53">
        <f>IF(A98="","",YEAR(A98))</f>
        <v/>
      </c>
      <c r="D98" s="54">
        <f>IF(A98="","",INDEX(lst_months,MONTH(A98)))</f>
        <v/>
      </c>
      <c r="E98" s="55" t="n"/>
      <c r="F98" s="54">
        <f>IF(E98="","",IFERROR(IF(INDEX(lst_exp_item_cat,MATCH(E98,lst_exp_items,0))="","❔ Без категории",INDEX(lst_exp_item_cat,MATCH(E98,lst_exp_items,0))),"❔ Без категории"))</f>
        <v/>
      </c>
      <c r="G98" s="43" t="n"/>
      <c r="H98" s="56" t="n"/>
      <c r="I98" s="43" t="n"/>
      <c r="J98" s="57">
        <f>IF(OR(A98="",H98=""),"",IF(COUNTIFS(exp_year,C98,exp_month,D98,exp_item,E98,exp_status,"&lt;&gt;❌ Отменено")&gt;0,1,0))</f>
        <v/>
      </c>
    </row>
    <row r="99">
      <c r="A99" s="52" t="n"/>
      <c r="B99" s="53">
        <f>IF(A99="","",CHOOSE(WEEKDAY(A99,2),"Пн","Вт","Ср","Чт","Пт","Сб","Вс"))</f>
        <v/>
      </c>
      <c r="C99" s="53">
        <f>IF(A99="","",YEAR(A99))</f>
        <v/>
      </c>
      <c r="D99" s="54">
        <f>IF(A99="","",INDEX(lst_months,MONTH(A99)))</f>
        <v/>
      </c>
      <c r="E99" s="55" t="n"/>
      <c r="F99" s="54">
        <f>IF(E99="","",IFERROR(IF(INDEX(lst_exp_item_cat,MATCH(E99,lst_exp_items,0))="","❔ Без категории",INDEX(lst_exp_item_cat,MATCH(E99,lst_exp_items,0))),"❔ Без категории"))</f>
        <v/>
      </c>
      <c r="G99" s="43" t="n"/>
      <c r="H99" s="56" t="n"/>
      <c r="I99" s="43" t="n"/>
      <c r="J99" s="57">
        <f>IF(OR(A99="",H99=""),"",IF(COUNTIFS(exp_year,C99,exp_month,D99,exp_item,E99,exp_status,"&lt;&gt;❌ Отменено")&gt;0,1,0))</f>
        <v/>
      </c>
    </row>
    <row r="100">
      <c r="A100" s="52" t="n"/>
      <c r="B100" s="53">
        <f>IF(A100="","",CHOOSE(WEEKDAY(A100,2),"Пн","Вт","Ср","Чт","Пт","Сб","Вс"))</f>
        <v/>
      </c>
      <c r="C100" s="53">
        <f>IF(A100="","",YEAR(A100))</f>
        <v/>
      </c>
      <c r="D100" s="54">
        <f>IF(A100="","",INDEX(lst_months,MONTH(A100)))</f>
        <v/>
      </c>
      <c r="E100" s="55" t="n"/>
      <c r="F100" s="54">
        <f>IF(E100="","",IFERROR(IF(INDEX(lst_exp_item_cat,MATCH(E100,lst_exp_items,0))="","❔ Без категории",INDEX(lst_exp_item_cat,MATCH(E100,lst_exp_items,0))),"❔ Без категории"))</f>
        <v/>
      </c>
      <c r="G100" s="43" t="n"/>
      <c r="H100" s="56" t="n"/>
      <c r="I100" s="43" t="n"/>
      <c r="J100" s="57">
        <f>IF(OR(A100="",H100=""),"",IF(COUNTIFS(exp_year,C100,exp_month,D100,exp_item,E100,exp_status,"&lt;&gt;❌ Отменено")&gt;0,1,0))</f>
        <v/>
      </c>
    </row>
    <row r="101">
      <c r="A101" s="52" t="n"/>
      <c r="B101" s="53">
        <f>IF(A101="","",CHOOSE(WEEKDAY(A101,2),"Пн","Вт","Ср","Чт","Пт","Сб","Вс"))</f>
        <v/>
      </c>
      <c r="C101" s="53">
        <f>IF(A101="","",YEAR(A101))</f>
        <v/>
      </c>
      <c r="D101" s="54">
        <f>IF(A101="","",INDEX(lst_months,MONTH(A101)))</f>
        <v/>
      </c>
      <c r="E101" s="55" t="n"/>
      <c r="F101" s="54">
        <f>IF(E101="","",IFERROR(IF(INDEX(lst_exp_item_cat,MATCH(E101,lst_exp_items,0))="","❔ Без категории",INDEX(lst_exp_item_cat,MATCH(E101,lst_exp_items,0))),"❔ Без категории"))</f>
        <v/>
      </c>
      <c r="G101" s="43" t="n"/>
      <c r="H101" s="56" t="n"/>
      <c r="I101" s="43" t="n"/>
      <c r="J101" s="57">
        <f>IF(OR(A101="",H101=""),"",IF(COUNTIFS(exp_year,C101,exp_month,D101,exp_item,E101,exp_status,"&lt;&gt;❌ Отменено")&gt;0,1,0))</f>
        <v/>
      </c>
    </row>
    <row r="102">
      <c r="A102" s="52" t="n"/>
      <c r="B102" s="53">
        <f>IF(A102="","",CHOOSE(WEEKDAY(A102,2),"Пн","Вт","Ср","Чт","Пт","Сб","Вс"))</f>
        <v/>
      </c>
      <c r="C102" s="53">
        <f>IF(A102="","",YEAR(A102))</f>
        <v/>
      </c>
      <c r="D102" s="54">
        <f>IF(A102="","",INDEX(lst_months,MONTH(A102)))</f>
        <v/>
      </c>
      <c r="E102" s="55" t="n"/>
      <c r="F102" s="54">
        <f>IF(E102="","",IFERROR(IF(INDEX(lst_exp_item_cat,MATCH(E102,lst_exp_items,0))="","❔ Без категории",INDEX(lst_exp_item_cat,MATCH(E102,lst_exp_items,0))),"❔ Без категории"))</f>
        <v/>
      </c>
      <c r="G102" s="43" t="n"/>
      <c r="H102" s="56" t="n"/>
      <c r="I102" s="43" t="n"/>
      <c r="J102" s="57">
        <f>IF(OR(A102="",H102=""),"",IF(COUNTIFS(exp_year,C102,exp_month,D102,exp_item,E102,exp_status,"&lt;&gt;❌ Отменено")&gt;0,1,0))</f>
        <v/>
      </c>
    </row>
    <row r="103">
      <c r="A103" s="52" t="n"/>
      <c r="B103" s="53">
        <f>IF(A103="","",CHOOSE(WEEKDAY(A103,2),"Пн","Вт","Ср","Чт","Пт","Сб","Вс"))</f>
        <v/>
      </c>
      <c r="C103" s="53">
        <f>IF(A103="","",YEAR(A103))</f>
        <v/>
      </c>
      <c r="D103" s="54">
        <f>IF(A103="","",INDEX(lst_months,MONTH(A103)))</f>
        <v/>
      </c>
      <c r="E103" s="55" t="n"/>
      <c r="F103" s="54">
        <f>IF(E103="","",IFERROR(IF(INDEX(lst_exp_item_cat,MATCH(E103,lst_exp_items,0))="","❔ Без категории",INDEX(lst_exp_item_cat,MATCH(E103,lst_exp_items,0))),"❔ Без категории"))</f>
        <v/>
      </c>
      <c r="G103" s="43" t="n"/>
      <c r="H103" s="56" t="n"/>
      <c r="I103" s="43" t="n"/>
      <c r="J103" s="57">
        <f>IF(OR(A103="",H103=""),"",IF(COUNTIFS(exp_year,C103,exp_month,D103,exp_item,E103,exp_status,"&lt;&gt;❌ Отменено")&gt;0,1,0))</f>
        <v/>
      </c>
    </row>
    <row r="104">
      <c r="A104" s="52" t="n"/>
      <c r="B104" s="53">
        <f>IF(A104="","",CHOOSE(WEEKDAY(A104,2),"Пн","Вт","Ср","Чт","Пт","Сб","Вс"))</f>
        <v/>
      </c>
      <c r="C104" s="53">
        <f>IF(A104="","",YEAR(A104))</f>
        <v/>
      </c>
      <c r="D104" s="54">
        <f>IF(A104="","",INDEX(lst_months,MONTH(A104)))</f>
        <v/>
      </c>
      <c r="E104" s="55" t="n"/>
      <c r="F104" s="54">
        <f>IF(E104="","",IFERROR(IF(INDEX(lst_exp_item_cat,MATCH(E104,lst_exp_items,0))="","❔ Без категории",INDEX(lst_exp_item_cat,MATCH(E104,lst_exp_items,0))),"❔ Без категории"))</f>
        <v/>
      </c>
      <c r="G104" s="43" t="n"/>
      <c r="H104" s="56" t="n"/>
      <c r="I104" s="43" t="n"/>
      <c r="J104" s="57">
        <f>IF(OR(A104="",H104=""),"",IF(COUNTIFS(exp_year,C104,exp_month,D104,exp_item,E104,exp_status,"&lt;&gt;❌ Отменено")&gt;0,1,0))</f>
        <v/>
      </c>
    </row>
    <row r="105">
      <c r="A105" s="52" t="n"/>
      <c r="B105" s="53">
        <f>IF(A105="","",CHOOSE(WEEKDAY(A105,2),"Пн","Вт","Ср","Чт","Пт","Сб","Вс"))</f>
        <v/>
      </c>
      <c r="C105" s="53">
        <f>IF(A105="","",YEAR(A105))</f>
        <v/>
      </c>
      <c r="D105" s="54">
        <f>IF(A105="","",INDEX(lst_months,MONTH(A105)))</f>
        <v/>
      </c>
      <c r="E105" s="55" t="n"/>
      <c r="F105" s="54">
        <f>IF(E105="","",IFERROR(IF(INDEX(lst_exp_item_cat,MATCH(E105,lst_exp_items,0))="","❔ Без категории",INDEX(lst_exp_item_cat,MATCH(E105,lst_exp_items,0))),"❔ Без категории"))</f>
        <v/>
      </c>
      <c r="G105" s="43" t="n"/>
      <c r="H105" s="56" t="n"/>
      <c r="I105" s="43" t="n"/>
      <c r="J105" s="57">
        <f>IF(OR(A105="",H105=""),"",IF(COUNTIFS(exp_year,C105,exp_month,D105,exp_item,E105,exp_status,"&lt;&gt;❌ Отменено")&gt;0,1,0))</f>
        <v/>
      </c>
    </row>
    <row r="106">
      <c r="A106" s="52" t="n"/>
      <c r="B106" s="53">
        <f>IF(A106="","",CHOOSE(WEEKDAY(A106,2),"Пн","Вт","Ср","Чт","Пт","Сб","Вс"))</f>
        <v/>
      </c>
      <c r="C106" s="53">
        <f>IF(A106="","",YEAR(A106))</f>
        <v/>
      </c>
      <c r="D106" s="54">
        <f>IF(A106="","",INDEX(lst_months,MONTH(A106)))</f>
        <v/>
      </c>
      <c r="E106" s="55" t="n"/>
      <c r="F106" s="54">
        <f>IF(E106="","",IFERROR(IF(INDEX(lst_exp_item_cat,MATCH(E106,lst_exp_items,0))="","❔ Без категории",INDEX(lst_exp_item_cat,MATCH(E106,lst_exp_items,0))),"❔ Без категории"))</f>
        <v/>
      </c>
      <c r="G106" s="43" t="n"/>
      <c r="H106" s="56" t="n"/>
      <c r="I106" s="43" t="n"/>
      <c r="J106" s="57">
        <f>IF(OR(A106="",H106=""),"",IF(COUNTIFS(exp_year,C106,exp_month,D106,exp_item,E106,exp_status,"&lt;&gt;❌ Отменено")&gt;0,1,0))</f>
        <v/>
      </c>
    </row>
    <row r="107">
      <c r="A107" s="52" t="n"/>
      <c r="B107" s="53">
        <f>IF(A107="","",CHOOSE(WEEKDAY(A107,2),"Пн","Вт","Ср","Чт","Пт","Сб","Вс"))</f>
        <v/>
      </c>
      <c r="C107" s="53">
        <f>IF(A107="","",YEAR(A107))</f>
        <v/>
      </c>
      <c r="D107" s="54">
        <f>IF(A107="","",INDEX(lst_months,MONTH(A107)))</f>
        <v/>
      </c>
      <c r="E107" s="55" t="n"/>
      <c r="F107" s="54">
        <f>IF(E107="","",IFERROR(IF(INDEX(lst_exp_item_cat,MATCH(E107,lst_exp_items,0))="","❔ Без категории",INDEX(lst_exp_item_cat,MATCH(E107,lst_exp_items,0))),"❔ Без категории"))</f>
        <v/>
      </c>
      <c r="G107" s="43" t="n"/>
      <c r="H107" s="56" t="n"/>
      <c r="I107" s="43" t="n"/>
      <c r="J107" s="57">
        <f>IF(OR(A107="",H107=""),"",IF(COUNTIFS(exp_year,C107,exp_month,D107,exp_item,E107,exp_status,"&lt;&gt;❌ Отменено")&gt;0,1,0))</f>
        <v/>
      </c>
    </row>
    <row r="108">
      <c r="A108" s="52" t="n"/>
      <c r="B108" s="53">
        <f>IF(A108="","",CHOOSE(WEEKDAY(A108,2),"Пн","Вт","Ср","Чт","Пт","Сб","Вс"))</f>
        <v/>
      </c>
      <c r="C108" s="53">
        <f>IF(A108="","",YEAR(A108))</f>
        <v/>
      </c>
      <c r="D108" s="54">
        <f>IF(A108="","",INDEX(lst_months,MONTH(A108)))</f>
        <v/>
      </c>
      <c r="E108" s="55" t="n"/>
      <c r="F108" s="54">
        <f>IF(E108="","",IFERROR(IF(INDEX(lst_exp_item_cat,MATCH(E108,lst_exp_items,0))="","❔ Без категории",INDEX(lst_exp_item_cat,MATCH(E108,lst_exp_items,0))),"❔ Без категории"))</f>
        <v/>
      </c>
      <c r="G108" s="43" t="n"/>
      <c r="H108" s="56" t="n"/>
      <c r="I108" s="43" t="n"/>
      <c r="J108" s="57">
        <f>IF(OR(A108="",H108=""),"",IF(COUNTIFS(exp_year,C108,exp_month,D108,exp_item,E108,exp_status,"&lt;&gt;❌ Отменено")&gt;0,1,0))</f>
        <v/>
      </c>
    </row>
    <row r="109">
      <c r="A109" s="52" t="n"/>
      <c r="B109" s="53">
        <f>IF(A109="","",CHOOSE(WEEKDAY(A109,2),"Пн","Вт","Ср","Чт","Пт","Сб","Вс"))</f>
        <v/>
      </c>
      <c r="C109" s="53">
        <f>IF(A109="","",YEAR(A109))</f>
        <v/>
      </c>
      <c r="D109" s="54">
        <f>IF(A109="","",INDEX(lst_months,MONTH(A109)))</f>
        <v/>
      </c>
      <c r="E109" s="55" t="n"/>
      <c r="F109" s="54">
        <f>IF(E109="","",IFERROR(IF(INDEX(lst_exp_item_cat,MATCH(E109,lst_exp_items,0))="","❔ Без категории",INDEX(lst_exp_item_cat,MATCH(E109,lst_exp_items,0))),"❔ Без категории"))</f>
        <v/>
      </c>
      <c r="G109" s="43" t="n"/>
      <c r="H109" s="56" t="n"/>
      <c r="I109" s="43" t="n"/>
      <c r="J109" s="57">
        <f>IF(OR(A109="",H109=""),"",IF(COUNTIFS(exp_year,C109,exp_month,D109,exp_item,E109,exp_status,"&lt;&gt;❌ Отменено")&gt;0,1,0))</f>
        <v/>
      </c>
    </row>
    <row r="110">
      <c r="A110" s="52" t="n"/>
      <c r="B110" s="53">
        <f>IF(A110="","",CHOOSE(WEEKDAY(A110,2),"Пн","Вт","Ср","Чт","Пт","Сб","Вс"))</f>
        <v/>
      </c>
      <c r="C110" s="53">
        <f>IF(A110="","",YEAR(A110))</f>
        <v/>
      </c>
      <c r="D110" s="54">
        <f>IF(A110="","",INDEX(lst_months,MONTH(A110)))</f>
        <v/>
      </c>
      <c r="E110" s="55" t="n"/>
      <c r="F110" s="54">
        <f>IF(E110="","",IFERROR(IF(INDEX(lst_exp_item_cat,MATCH(E110,lst_exp_items,0))="","❔ Без категории",INDEX(lst_exp_item_cat,MATCH(E110,lst_exp_items,0))),"❔ Без категории"))</f>
        <v/>
      </c>
      <c r="G110" s="43" t="n"/>
      <c r="H110" s="56" t="n"/>
      <c r="I110" s="43" t="n"/>
      <c r="J110" s="57">
        <f>IF(OR(A110="",H110=""),"",IF(COUNTIFS(exp_year,C110,exp_month,D110,exp_item,E110,exp_status,"&lt;&gt;❌ Отменено")&gt;0,1,0))</f>
        <v/>
      </c>
    </row>
    <row r="111">
      <c r="A111" s="52" t="n"/>
      <c r="B111" s="53">
        <f>IF(A111="","",CHOOSE(WEEKDAY(A111,2),"Пн","Вт","Ср","Чт","Пт","Сб","Вс"))</f>
        <v/>
      </c>
      <c r="C111" s="53">
        <f>IF(A111="","",YEAR(A111))</f>
        <v/>
      </c>
      <c r="D111" s="54">
        <f>IF(A111="","",INDEX(lst_months,MONTH(A111)))</f>
        <v/>
      </c>
      <c r="E111" s="55" t="n"/>
      <c r="F111" s="54">
        <f>IF(E111="","",IFERROR(IF(INDEX(lst_exp_item_cat,MATCH(E111,lst_exp_items,0))="","❔ Без категории",INDEX(lst_exp_item_cat,MATCH(E111,lst_exp_items,0))),"❔ Без категории"))</f>
        <v/>
      </c>
      <c r="G111" s="43" t="n"/>
      <c r="H111" s="56" t="n"/>
      <c r="I111" s="43" t="n"/>
      <c r="J111" s="57">
        <f>IF(OR(A111="",H111=""),"",IF(COUNTIFS(exp_year,C111,exp_month,D111,exp_item,E111,exp_status,"&lt;&gt;❌ Отменено")&gt;0,1,0))</f>
        <v/>
      </c>
    </row>
    <row r="112">
      <c r="A112" s="52" t="n"/>
      <c r="B112" s="53">
        <f>IF(A112="","",CHOOSE(WEEKDAY(A112,2),"Пн","Вт","Ср","Чт","Пт","Сб","Вс"))</f>
        <v/>
      </c>
      <c r="C112" s="53">
        <f>IF(A112="","",YEAR(A112))</f>
        <v/>
      </c>
      <c r="D112" s="54">
        <f>IF(A112="","",INDEX(lst_months,MONTH(A112)))</f>
        <v/>
      </c>
      <c r="E112" s="55" t="n"/>
      <c r="F112" s="54">
        <f>IF(E112="","",IFERROR(IF(INDEX(lst_exp_item_cat,MATCH(E112,lst_exp_items,0))="","❔ Без категории",INDEX(lst_exp_item_cat,MATCH(E112,lst_exp_items,0))),"❔ Без категории"))</f>
        <v/>
      </c>
      <c r="G112" s="43" t="n"/>
      <c r="H112" s="56" t="n"/>
      <c r="I112" s="43" t="n"/>
      <c r="J112" s="57">
        <f>IF(OR(A112="",H112=""),"",IF(COUNTIFS(exp_year,C112,exp_month,D112,exp_item,E112,exp_status,"&lt;&gt;❌ Отменено")&gt;0,1,0))</f>
        <v/>
      </c>
    </row>
    <row r="113">
      <c r="A113" s="52" t="n"/>
      <c r="B113" s="53">
        <f>IF(A113="","",CHOOSE(WEEKDAY(A113,2),"Пн","Вт","Ср","Чт","Пт","Сб","Вс"))</f>
        <v/>
      </c>
      <c r="C113" s="53">
        <f>IF(A113="","",YEAR(A113))</f>
        <v/>
      </c>
      <c r="D113" s="54">
        <f>IF(A113="","",INDEX(lst_months,MONTH(A113)))</f>
        <v/>
      </c>
      <c r="E113" s="55" t="n"/>
      <c r="F113" s="54">
        <f>IF(E113="","",IFERROR(IF(INDEX(lst_exp_item_cat,MATCH(E113,lst_exp_items,0))="","❔ Без категории",INDEX(lst_exp_item_cat,MATCH(E113,lst_exp_items,0))),"❔ Без категории"))</f>
        <v/>
      </c>
      <c r="G113" s="43" t="n"/>
      <c r="H113" s="56" t="n"/>
      <c r="I113" s="43" t="n"/>
      <c r="J113" s="57">
        <f>IF(OR(A113="",H113=""),"",IF(COUNTIFS(exp_year,C113,exp_month,D113,exp_item,E113,exp_status,"&lt;&gt;❌ Отменено")&gt;0,1,0))</f>
        <v/>
      </c>
    </row>
    <row r="114">
      <c r="A114" s="52" t="n"/>
      <c r="B114" s="53">
        <f>IF(A114="","",CHOOSE(WEEKDAY(A114,2),"Пн","Вт","Ср","Чт","Пт","Сб","Вс"))</f>
        <v/>
      </c>
      <c r="C114" s="53">
        <f>IF(A114="","",YEAR(A114))</f>
        <v/>
      </c>
      <c r="D114" s="54">
        <f>IF(A114="","",INDEX(lst_months,MONTH(A114)))</f>
        <v/>
      </c>
      <c r="E114" s="55" t="n"/>
      <c r="F114" s="54">
        <f>IF(E114="","",IFERROR(IF(INDEX(lst_exp_item_cat,MATCH(E114,lst_exp_items,0))="","❔ Без категории",INDEX(lst_exp_item_cat,MATCH(E114,lst_exp_items,0))),"❔ Без категории"))</f>
        <v/>
      </c>
      <c r="G114" s="43" t="n"/>
      <c r="H114" s="56" t="n"/>
      <c r="I114" s="43" t="n"/>
      <c r="J114" s="57">
        <f>IF(OR(A114="",H114=""),"",IF(COUNTIFS(exp_year,C114,exp_month,D114,exp_item,E114,exp_status,"&lt;&gt;❌ Отменено")&gt;0,1,0))</f>
        <v/>
      </c>
    </row>
    <row r="115">
      <c r="A115" s="52" t="n"/>
      <c r="B115" s="53">
        <f>IF(A115="","",CHOOSE(WEEKDAY(A115,2),"Пн","Вт","Ср","Чт","Пт","Сб","Вс"))</f>
        <v/>
      </c>
      <c r="C115" s="53">
        <f>IF(A115="","",YEAR(A115))</f>
        <v/>
      </c>
      <c r="D115" s="54">
        <f>IF(A115="","",INDEX(lst_months,MONTH(A115)))</f>
        <v/>
      </c>
      <c r="E115" s="55" t="n"/>
      <c r="F115" s="54">
        <f>IF(E115="","",IFERROR(IF(INDEX(lst_exp_item_cat,MATCH(E115,lst_exp_items,0))="","❔ Без категории",INDEX(lst_exp_item_cat,MATCH(E115,lst_exp_items,0))),"❔ Без категории"))</f>
        <v/>
      </c>
      <c r="G115" s="43" t="n"/>
      <c r="H115" s="56" t="n"/>
      <c r="I115" s="43" t="n"/>
      <c r="J115" s="57">
        <f>IF(OR(A115="",H115=""),"",IF(COUNTIFS(exp_year,C115,exp_month,D115,exp_item,E115,exp_status,"&lt;&gt;❌ Отменено")&gt;0,1,0))</f>
        <v/>
      </c>
    </row>
    <row r="116">
      <c r="A116" s="52" t="n"/>
      <c r="B116" s="53">
        <f>IF(A116="","",CHOOSE(WEEKDAY(A116,2),"Пн","Вт","Ср","Чт","Пт","Сб","Вс"))</f>
        <v/>
      </c>
      <c r="C116" s="53">
        <f>IF(A116="","",YEAR(A116))</f>
        <v/>
      </c>
      <c r="D116" s="54">
        <f>IF(A116="","",INDEX(lst_months,MONTH(A116)))</f>
        <v/>
      </c>
      <c r="E116" s="55" t="n"/>
      <c r="F116" s="54">
        <f>IF(E116="","",IFERROR(IF(INDEX(lst_exp_item_cat,MATCH(E116,lst_exp_items,0))="","❔ Без категории",INDEX(lst_exp_item_cat,MATCH(E116,lst_exp_items,0))),"❔ Без категории"))</f>
        <v/>
      </c>
      <c r="G116" s="43" t="n"/>
      <c r="H116" s="56" t="n"/>
      <c r="I116" s="43" t="n"/>
      <c r="J116" s="57">
        <f>IF(OR(A116="",H116=""),"",IF(COUNTIFS(exp_year,C116,exp_month,D116,exp_item,E116,exp_status,"&lt;&gt;❌ Отменено")&gt;0,1,0))</f>
        <v/>
      </c>
    </row>
    <row r="117">
      <c r="A117" s="52" t="n"/>
      <c r="B117" s="53">
        <f>IF(A117="","",CHOOSE(WEEKDAY(A117,2),"Пн","Вт","Ср","Чт","Пт","Сб","Вс"))</f>
        <v/>
      </c>
      <c r="C117" s="53">
        <f>IF(A117="","",YEAR(A117))</f>
        <v/>
      </c>
      <c r="D117" s="54">
        <f>IF(A117="","",INDEX(lst_months,MONTH(A117)))</f>
        <v/>
      </c>
      <c r="E117" s="55" t="n"/>
      <c r="F117" s="54">
        <f>IF(E117="","",IFERROR(IF(INDEX(lst_exp_item_cat,MATCH(E117,lst_exp_items,0))="","❔ Без категории",INDEX(lst_exp_item_cat,MATCH(E117,lst_exp_items,0))),"❔ Без категории"))</f>
        <v/>
      </c>
      <c r="G117" s="43" t="n"/>
      <c r="H117" s="56" t="n"/>
      <c r="I117" s="43" t="n"/>
      <c r="J117" s="57">
        <f>IF(OR(A117="",H117=""),"",IF(COUNTIFS(exp_year,C117,exp_month,D117,exp_item,E117,exp_status,"&lt;&gt;❌ Отменено")&gt;0,1,0))</f>
        <v/>
      </c>
    </row>
    <row r="118">
      <c r="A118" s="52" t="n"/>
      <c r="B118" s="53">
        <f>IF(A118="","",CHOOSE(WEEKDAY(A118,2),"Пн","Вт","Ср","Чт","Пт","Сб","Вс"))</f>
        <v/>
      </c>
      <c r="C118" s="53">
        <f>IF(A118="","",YEAR(A118))</f>
        <v/>
      </c>
      <c r="D118" s="54">
        <f>IF(A118="","",INDEX(lst_months,MONTH(A118)))</f>
        <v/>
      </c>
      <c r="E118" s="55" t="n"/>
      <c r="F118" s="54">
        <f>IF(E118="","",IFERROR(IF(INDEX(lst_exp_item_cat,MATCH(E118,lst_exp_items,0))="","❔ Без категории",INDEX(lst_exp_item_cat,MATCH(E118,lst_exp_items,0))),"❔ Без категории"))</f>
        <v/>
      </c>
      <c r="G118" s="43" t="n"/>
      <c r="H118" s="56" t="n"/>
      <c r="I118" s="43" t="n"/>
      <c r="J118" s="57">
        <f>IF(OR(A118="",H118=""),"",IF(COUNTIFS(exp_year,C118,exp_month,D118,exp_item,E118,exp_status,"&lt;&gt;❌ Отменено")&gt;0,1,0))</f>
        <v/>
      </c>
    </row>
    <row r="119">
      <c r="A119" s="52" t="n"/>
      <c r="B119" s="53">
        <f>IF(A119="","",CHOOSE(WEEKDAY(A119,2),"Пн","Вт","Ср","Чт","Пт","Сб","Вс"))</f>
        <v/>
      </c>
      <c r="C119" s="53">
        <f>IF(A119="","",YEAR(A119))</f>
        <v/>
      </c>
      <c r="D119" s="54">
        <f>IF(A119="","",INDEX(lst_months,MONTH(A119)))</f>
        <v/>
      </c>
      <c r="E119" s="55" t="n"/>
      <c r="F119" s="54">
        <f>IF(E119="","",IFERROR(IF(INDEX(lst_exp_item_cat,MATCH(E119,lst_exp_items,0))="","❔ Без категории",INDEX(lst_exp_item_cat,MATCH(E119,lst_exp_items,0))),"❔ Без категории"))</f>
        <v/>
      </c>
      <c r="G119" s="43" t="n"/>
      <c r="H119" s="56" t="n"/>
      <c r="I119" s="43" t="n"/>
      <c r="J119" s="57">
        <f>IF(OR(A119="",H119=""),"",IF(COUNTIFS(exp_year,C119,exp_month,D119,exp_item,E119,exp_status,"&lt;&gt;❌ Отменено")&gt;0,1,0))</f>
        <v/>
      </c>
    </row>
    <row r="120">
      <c r="A120" s="52" t="n"/>
      <c r="B120" s="53">
        <f>IF(A120="","",CHOOSE(WEEKDAY(A120,2),"Пн","Вт","Ср","Чт","Пт","Сб","Вс"))</f>
        <v/>
      </c>
      <c r="C120" s="53">
        <f>IF(A120="","",YEAR(A120))</f>
        <v/>
      </c>
      <c r="D120" s="54">
        <f>IF(A120="","",INDEX(lst_months,MONTH(A120)))</f>
        <v/>
      </c>
      <c r="E120" s="55" t="n"/>
      <c r="F120" s="54">
        <f>IF(E120="","",IFERROR(IF(INDEX(lst_exp_item_cat,MATCH(E120,lst_exp_items,0))="","❔ Без категории",INDEX(lst_exp_item_cat,MATCH(E120,lst_exp_items,0))),"❔ Без категории"))</f>
        <v/>
      </c>
      <c r="G120" s="43" t="n"/>
      <c r="H120" s="56" t="n"/>
      <c r="I120" s="43" t="n"/>
      <c r="J120" s="57">
        <f>IF(OR(A120="",H120=""),"",IF(COUNTIFS(exp_year,C120,exp_month,D120,exp_item,E120,exp_status,"&lt;&gt;❌ Отменено")&gt;0,1,0))</f>
        <v/>
      </c>
    </row>
    <row r="121">
      <c r="A121" s="52" t="n"/>
      <c r="B121" s="53">
        <f>IF(A121="","",CHOOSE(WEEKDAY(A121,2),"Пн","Вт","Ср","Чт","Пт","Сб","Вс"))</f>
        <v/>
      </c>
      <c r="C121" s="53">
        <f>IF(A121="","",YEAR(A121))</f>
        <v/>
      </c>
      <c r="D121" s="54">
        <f>IF(A121="","",INDEX(lst_months,MONTH(A121)))</f>
        <v/>
      </c>
      <c r="E121" s="55" t="n"/>
      <c r="F121" s="54">
        <f>IF(E121="","",IFERROR(IF(INDEX(lst_exp_item_cat,MATCH(E121,lst_exp_items,0))="","❔ Без категории",INDEX(lst_exp_item_cat,MATCH(E121,lst_exp_items,0))),"❔ Без категории"))</f>
        <v/>
      </c>
      <c r="G121" s="43" t="n"/>
      <c r="H121" s="56" t="n"/>
      <c r="I121" s="43" t="n"/>
      <c r="J121" s="57">
        <f>IF(OR(A121="",H121=""),"",IF(COUNTIFS(exp_year,C121,exp_month,D121,exp_item,E121,exp_status,"&lt;&gt;❌ Отменено")&gt;0,1,0))</f>
        <v/>
      </c>
    </row>
    <row r="122">
      <c r="A122" s="52" t="n"/>
      <c r="B122" s="53">
        <f>IF(A122="","",CHOOSE(WEEKDAY(A122,2),"Пн","Вт","Ср","Чт","Пт","Сб","Вс"))</f>
        <v/>
      </c>
      <c r="C122" s="53">
        <f>IF(A122="","",YEAR(A122))</f>
        <v/>
      </c>
      <c r="D122" s="54">
        <f>IF(A122="","",INDEX(lst_months,MONTH(A122)))</f>
        <v/>
      </c>
      <c r="E122" s="55" t="n"/>
      <c r="F122" s="54">
        <f>IF(E122="","",IFERROR(IF(INDEX(lst_exp_item_cat,MATCH(E122,lst_exp_items,0))="","❔ Без категории",INDEX(lst_exp_item_cat,MATCH(E122,lst_exp_items,0))),"❔ Без категории"))</f>
        <v/>
      </c>
      <c r="G122" s="43" t="n"/>
      <c r="H122" s="56" t="n"/>
      <c r="I122" s="43" t="n"/>
      <c r="J122" s="57">
        <f>IF(OR(A122="",H122=""),"",IF(COUNTIFS(exp_year,C122,exp_month,D122,exp_item,E122,exp_status,"&lt;&gt;❌ Отменено")&gt;0,1,0))</f>
        <v/>
      </c>
    </row>
    <row r="123">
      <c r="A123" s="52" t="n"/>
      <c r="B123" s="53">
        <f>IF(A123="","",CHOOSE(WEEKDAY(A123,2),"Пн","Вт","Ср","Чт","Пт","Сб","Вс"))</f>
        <v/>
      </c>
      <c r="C123" s="53">
        <f>IF(A123="","",YEAR(A123))</f>
        <v/>
      </c>
      <c r="D123" s="54">
        <f>IF(A123="","",INDEX(lst_months,MONTH(A123)))</f>
        <v/>
      </c>
      <c r="E123" s="55" t="n"/>
      <c r="F123" s="54">
        <f>IF(E123="","",IFERROR(IF(INDEX(lst_exp_item_cat,MATCH(E123,lst_exp_items,0))="","❔ Без категории",INDEX(lst_exp_item_cat,MATCH(E123,lst_exp_items,0))),"❔ Без категории"))</f>
        <v/>
      </c>
      <c r="G123" s="43" t="n"/>
      <c r="H123" s="56" t="n"/>
      <c r="I123" s="43" t="n"/>
      <c r="J123" s="57">
        <f>IF(OR(A123="",H123=""),"",IF(COUNTIFS(exp_year,C123,exp_month,D123,exp_item,E123,exp_status,"&lt;&gt;❌ Отменено")&gt;0,1,0))</f>
        <v/>
      </c>
    </row>
    <row r="124">
      <c r="A124" s="52" t="n"/>
      <c r="B124" s="53">
        <f>IF(A124="","",CHOOSE(WEEKDAY(A124,2),"Пн","Вт","Ср","Чт","Пт","Сб","Вс"))</f>
        <v/>
      </c>
      <c r="C124" s="53">
        <f>IF(A124="","",YEAR(A124))</f>
        <v/>
      </c>
      <c r="D124" s="54">
        <f>IF(A124="","",INDEX(lst_months,MONTH(A124)))</f>
        <v/>
      </c>
      <c r="E124" s="55" t="n"/>
      <c r="F124" s="54">
        <f>IF(E124="","",IFERROR(IF(INDEX(lst_exp_item_cat,MATCH(E124,lst_exp_items,0))="","❔ Без категории",INDEX(lst_exp_item_cat,MATCH(E124,lst_exp_items,0))),"❔ Без категории"))</f>
        <v/>
      </c>
      <c r="G124" s="43" t="n"/>
      <c r="H124" s="56" t="n"/>
      <c r="I124" s="43" t="n"/>
      <c r="J124" s="57">
        <f>IF(OR(A124="",H124=""),"",IF(COUNTIFS(exp_year,C124,exp_month,D124,exp_item,E124,exp_status,"&lt;&gt;❌ Отменено")&gt;0,1,0))</f>
        <v/>
      </c>
    </row>
    <row r="125">
      <c r="A125" s="52" t="n"/>
      <c r="B125" s="53">
        <f>IF(A125="","",CHOOSE(WEEKDAY(A125,2),"Пн","Вт","Ср","Чт","Пт","Сб","Вс"))</f>
        <v/>
      </c>
      <c r="C125" s="53">
        <f>IF(A125="","",YEAR(A125))</f>
        <v/>
      </c>
      <c r="D125" s="54">
        <f>IF(A125="","",INDEX(lst_months,MONTH(A125)))</f>
        <v/>
      </c>
      <c r="E125" s="55" t="n"/>
      <c r="F125" s="54">
        <f>IF(E125="","",IFERROR(IF(INDEX(lst_exp_item_cat,MATCH(E125,lst_exp_items,0))="","❔ Без категории",INDEX(lst_exp_item_cat,MATCH(E125,lst_exp_items,0))),"❔ Без категории"))</f>
        <v/>
      </c>
      <c r="G125" s="43" t="n"/>
      <c r="H125" s="56" t="n"/>
      <c r="I125" s="43" t="n"/>
      <c r="J125" s="57">
        <f>IF(OR(A125="",H125=""),"",IF(COUNTIFS(exp_year,C125,exp_month,D125,exp_item,E125,exp_status,"&lt;&gt;❌ Отменено")&gt;0,1,0))</f>
        <v/>
      </c>
    </row>
    <row r="126">
      <c r="A126" s="52" t="n"/>
      <c r="B126" s="53">
        <f>IF(A126="","",CHOOSE(WEEKDAY(A126,2),"Пн","Вт","Ср","Чт","Пт","Сб","Вс"))</f>
        <v/>
      </c>
      <c r="C126" s="53">
        <f>IF(A126="","",YEAR(A126))</f>
        <v/>
      </c>
      <c r="D126" s="54">
        <f>IF(A126="","",INDEX(lst_months,MONTH(A126)))</f>
        <v/>
      </c>
      <c r="E126" s="55" t="n"/>
      <c r="F126" s="54">
        <f>IF(E126="","",IFERROR(IF(INDEX(lst_exp_item_cat,MATCH(E126,lst_exp_items,0))="","❔ Без категории",INDEX(lst_exp_item_cat,MATCH(E126,lst_exp_items,0))),"❔ Без категории"))</f>
        <v/>
      </c>
      <c r="G126" s="43" t="n"/>
      <c r="H126" s="56" t="n"/>
      <c r="I126" s="43" t="n"/>
      <c r="J126" s="57">
        <f>IF(OR(A126="",H126=""),"",IF(COUNTIFS(exp_year,C126,exp_month,D126,exp_item,E126,exp_status,"&lt;&gt;❌ Отменено")&gt;0,1,0))</f>
        <v/>
      </c>
    </row>
    <row r="127">
      <c r="A127" s="52" t="n"/>
      <c r="B127" s="53">
        <f>IF(A127="","",CHOOSE(WEEKDAY(A127,2),"Пн","Вт","Ср","Чт","Пт","Сб","Вс"))</f>
        <v/>
      </c>
      <c r="C127" s="53">
        <f>IF(A127="","",YEAR(A127))</f>
        <v/>
      </c>
      <c r="D127" s="54">
        <f>IF(A127="","",INDEX(lst_months,MONTH(A127)))</f>
        <v/>
      </c>
      <c r="E127" s="55" t="n"/>
      <c r="F127" s="54">
        <f>IF(E127="","",IFERROR(IF(INDEX(lst_exp_item_cat,MATCH(E127,lst_exp_items,0))="","❔ Без категории",INDEX(lst_exp_item_cat,MATCH(E127,lst_exp_items,0))),"❔ Без категории"))</f>
        <v/>
      </c>
      <c r="G127" s="43" t="n"/>
      <c r="H127" s="56" t="n"/>
      <c r="I127" s="43" t="n"/>
      <c r="J127" s="57">
        <f>IF(OR(A127="",H127=""),"",IF(COUNTIFS(exp_year,C127,exp_month,D127,exp_item,E127,exp_status,"&lt;&gt;❌ Отменено")&gt;0,1,0))</f>
        <v/>
      </c>
    </row>
    <row r="128">
      <c r="A128" s="52" t="n"/>
      <c r="B128" s="53">
        <f>IF(A128="","",CHOOSE(WEEKDAY(A128,2),"Пн","Вт","Ср","Чт","Пт","Сб","Вс"))</f>
        <v/>
      </c>
      <c r="C128" s="53">
        <f>IF(A128="","",YEAR(A128))</f>
        <v/>
      </c>
      <c r="D128" s="54">
        <f>IF(A128="","",INDEX(lst_months,MONTH(A128)))</f>
        <v/>
      </c>
      <c r="E128" s="55" t="n"/>
      <c r="F128" s="54">
        <f>IF(E128="","",IFERROR(IF(INDEX(lst_exp_item_cat,MATCH(E128,lst_exp_items,0))="","❔ Без категории",INDEX(lst_exp_item_cat,MATCH(E128,lst_exp_items,0))),"❔ Без категории"))</f>
        <v/>
      </c>
      <c r="G128" s="43" t="n"/>
      <c r="H128" s="56" t="n"/>
      <c r="I128" s="43" t="n"/>
      <c r="J128" s="57">
        <f>IF(OR(A128="",H128=""),"",IF(COUNTIFS(exp_year,C128,exp_month,D128,exp_item,E128,exp_status,"&lt;&gt;❌ Отменено")&gt;0,1,0))</f>
        <v/>
      </c>
    </row>
    <row r="129">
      <c r="A129" s="52" t="n"/>
      <c r="B129" s="53">
        <f>IF(A129="","",CHOOSE(WEEKDAY(A129,2),"Пн","Вт","Ср","Чт","Пт","Сб","Вс"))</f>
        <v/>
      </c>
      <c r="C129" s="53">
        <f>IF(A129="","",YEAR(A129))</f>
        <v/>
      </c>
      <c r="D129" s="54">
        <f>IF(A129="","",INDEX(lst_months,MONTH(A129)))</f>
        <v/>
      </c>
      <c r="E129" s="55" t="n"/>
      <c r="F129" s="54">
        <f>IF(E129="","",IFERROR(IF(INDEX(lst_exp_item_cat,MATCH(E129,lst_exp_items,0))="","❔ Без категории",INDEX(lst_exp_item_cat,MATCH(E129,lst_exp_items,0))),"❔ Без категории"))</f>
        <v/>
      </c>
      <c r="G129" s="43" t="n"/>
      <c r="H129" s="56" t="n"/>
      <c r="I129" s="43" t="n"/>
      <c r="J129" s="57">
        <f>IF(OR(A129="",H129=""),"",IF(COUNTIFS(exp_year,C129,exp_month,D129,exp_item,E129,exp_status,"&lt;&gt;❌ Отменено")&gt;0,1,0))</f>
        <v/>
      </c>
    </row>
    <row r="130">
      <c r="A130" s="52" t="n"/>
      <c r="B130" s="53">
        <f>IF(A130="","",CHOOSE(WEEKDAY(A130,2),"Пн","Вт","Ср","Чт","Пт","Сб","Вс"))</f>
        <v/>
      </c>
      <c r="C130" s="53">
        <f>IF(A130="","",YEAR(A130))</f>
        <v/>
      </c>
      <c r="D130" s="54">
        <f>IF(A130="","",INDEX(lst_months,MONTH(A130)))</f>
        <v/>
      </c>
      <c r="E130" s="55" t="n"/>
      <c r="F130" s="54">
        <f>IF(E130="","",IFERROR(IF(INDEX(lst_exp_item_cat,MATCH(E130,lst_exp_items,0))="","❔ Без категории",INDEX(lst_exp_item_cat,MATCH(E130,lst_exp_items,0))),"❔ Без категории"))</f>
        <v/>
      </c>
      <c r="G130" s="43" t="n"/>
      <c r="H130" s="56" t="n"/>
      <c r="I130" s="43" t="n"/>
      <c r="J130" s="57">
        <f>IF(OR(A130="",H130=""),"",IF(COUNTIFS(exp_year,C130,exp_month,D130,exp_item,E130,exp_status,"&lt;&gt;❌ Отменено")&gt;0,1,0))</f>
        <v/>
      </c>
    </row>
    <row r="131">
      <c r="A131" s="52" t="n"/>
      <c r="B131" s="53">
        <f>IF(A131="","",CHOOSE(WEEKDAY(A131,2),"Пн","Вт","Ср","Чт","Пт","Сб","Вс"))</f>
        <v/>
      </c>
      <c r="C131" s="53">
        <f>IF(A131="","",YEAR(A131))</f>
        <v/>
      </c>
      <c r="D131" s="54">
        <f>IF(A131="","",INDEX(lst_months,MONTH(A131)))</f>
        <v/>
      </c>
      <c r="E131" s="55" t="n"/>
      <c r="F131" s="54">
        <f>IF(E131="","",IFERROR(IF(INDEX(lst_exp_item_cat,MATCH(E131,lst_exp_items,0))="","❔ Без категории",INDEX(lst_exp_item_cat,MATCH(E131,lst_exp_items,0))),"❔ Без категории"))</f>
        <v/>
      </c>
      <c r="G131" s="43" t="n"/>
      <c r="H131" s="56" t="n"/>
      <c r="I131" s="43" t="n"/>
      <c r="J131" s="57">
        <f>IF(OR(A131="",H131=""),"",IF(COUNTIFS(exp_year,C131,exp_month,D131,exp_item,E131,exp_status,"&lt;&gt;❌ Отменено")&gt;0,1,0))</f>
        <v/>
      </c>
    </row>
    <row r="132">
      <c r="A132" s="52" t="n"/>
      <c r="B132" s="53">
        <f>IF(A132="","",CHOOSE(WEEKDAY(A132,2),"Пн","Вт","Ср","Чт","Пт","Сб","Вс"))</f>
        <v/>
      </c>
      <c r="C132" s="53">
        <f>IF(A132="","",YEAR(A132))</f>
        <v/>
      </c>
      <c r="D132" s="54">
        <f>IF(A132="","",INDEX(lst_months,MONTH(A132)))</f>
        <v/>
      </c>
      <c r="E132" s="55" t="n"/>
      <c r="F132" s="54">
        <f>IF(E132="","",IFERROR(IF(INDEX(lst_exp_item_cat,MATCH(E132,lst_exp_items,0))="","❔ Без категории",INDEX(lst_exp_item_cat,MATCH(E132,lst_exp_items,0))),"❔ Без категории"))</f>
        <v/>
      </c>
      <c r="G132" s="43" t="n"/>
      <c r="H132" s="56" t="n"/>
      <c r="I132" s="43" t="n"/>
      <c r="J132" s="57">
        <f>IF(OR(A132="",H132=""),"",IF(COUNTIFS(exp_year,C132,exp_month,D132,exp_item,E132,exp_status,"&lt;&gt;❌ Отменено")&gt;0,1,0))</f>
        <v/>
      </c>
    </row>
    <row r="133">
      <c r="A133" s="52" t="n"/>
      <c r="B133" s="53">
        <f>IF(A133="","",CHOOSE(WEEKDAY(A133,2),"Пн","Вт","Ср","Чт","Пт","Сб","Вс"))</f>
        <v/>
      </c>
      <c r="C133" s="53">
        <f>IF(A133="","",YEAR(A133))</f>
        <v/>
      </c>
      <c r="D133" s="54">
        <f>IF(A133="","",INDEX(lst_months,MONTH(A133)))</f>
        <v/>
      </c>
      <c r="E133" s="55" t="n"/>
      <c r="F133" s="54">
        <f>IF(E133="","",IFERROR(IF(INDEX(lst_exp_item_cat,MATCH(E133,lst_exp_items,0))="","❔ Без категории",INDEX(lst_exp_item_cat,MATCH(E133,lst_exp_items,0))),"❔ Без категории"))</f>
        <v/>
      </c>
      <c r="G133" s="43" t="n"/>
      <c r="H133" s="56" t="n"/>
      <c r="I133" s="43" t="n"/>
      <c r="J133" s="57">
        <f>IF(OR(A133="",H133=""),"",IF(COUNTIFS(exp_year,C133,exp_month,D133,exp_item,E133,exp_status,"&lt;&gt;❌ Отменено")&gt;0,1,0))</f>
        <v/>
      </c>
    </row>
    <row r="134">
      <c r="A134" s="52" t="n"/>
      <c r="B134" s="53">
        <f>IF(A134="","",CHOOSE(WEEKDAY(A134,2),"Пн","Вт","Ср","Чт","Пт","Сб","Вс"))</f>
        <v/>
      </c>
      <c r="C134" s="53">
        <f>IF(A134="","",YEAR(A134))</f>
        <v/>
      </c>
      <c r="D134" s="54">
        <f>IF(A134="","",INDEX(lst_months,MONTH(A134)))</f>
        <v/>
      </c>
      <c r="E134" s="55" t="n"/>
      <c r="F134" s="54">
        <f>IF(E134="","",IFERROR(IF(INDEX(lst_exp_item_cat,MATCH(E134,lst_exp_items,0))="","❔ Без категории",INDEX(lst_exp_item_cat,MATCH(E134,lst_exp_items,0))),"❔ Без категории"))</f>
        <v/>
      </c>
      <c r="G134" s="43" t="n"/>
      <c r="H134" s="56" t="n"/>
      <c r="I134" s="43" t="n"/>
      <c r="J134" s="57">
        <f>IF(OR(A134="",H134=""),"",IF(COUNTIFS(exp_year,C134,exp_month,D134,exp_item,E134,exp_status,"&lt;&gt;❌ Отменено")&gt;0,1,0))</f>
        <v/>
      </c>
    </row>
    <row r="135">
      <c r="A135" s="52" t="n"/>
      <c r="B135" s="53">
        <f>IF(A135="","",CHOOSE(WEEKDAY(A135,2),"Пн","Вт","Ср","Чт","Пт","Сб","Вс"))</f>
        <v/>
      </c>
      <c r="C135" s="53">
        <f>IF(A135="","",YEAR(A135))</f>
        <v/>
      </c>
      <c r="D135" s="54">
        <f>IF(A135="","",INDEX(lst_months,MONTH(A135)))</f>
        <v/>
      </c>
      <c r="E135" s="55" t="n"/>
      <c r="F135" s="54">
        <f>IF(E135="","",IFERROR(IF(INDEX(lst_exp_item_cat,MATCH(E135,lst_exp_items,0))="","❔ Без категории",INDEX(lst_exp_item_cat,MATCH(E135,lst_exp_items,0))),"❔ Без категории"))</f>
        <v/>
      </c>
      <c r="G135" s="43" t="n"/>
      <c r="H135" s="56" t="n"/>
      <c r="I135" s="43" t="n"/>
      <c r="J135" s="57">
        <f>IF(OR(A135="",H135=""),"",IF(COUNTIFS(exp_year,C135,exp_month,D135,exp_item,E135,exp_status,"&lt;&gt;❌ Отменено")&gt;0,1,0))</f>
        <v/>
      </c>
    </row>
    <row r="136">
      <c r="A136" s="52" t="n"/>
      <c r="B136" s="53">
        <f>IF(A136="","",CHOOSE(WEEKDAY(A136,2),"Пн","Вт","Ср","Чт","Пт","Сб","Вс"))</f>
        <v/>
      </c>
      <c r="C136" s="53">
        <f>IF(A136="","",YEAR(A136))</f>
        <v/>
      </c>
      <c r="D136" s="54">
        <f>IF(A136="","",INDEX(lst_months,MONTH(A136)))</f>
        <v/>
      </c>
      <c r="E136" s="55" t="n"/>
      <c r="F136" s="54">
        <f>IF(E136="","",IFERROR(IF(INDEX(lst_exp_item_cat,MATCH(E136,lst_exp_items,0))="","❔ Без категории",INDEX(lst_exp_item_cat,MATCH(E136,lst_exp_items,0))),"❔ Без категории"))</f>
        <v/>
      </c>
      <c r="G136" s="43" t="n"/>
      <c r="H136" s="56" t="n"/>
      <c r="I136" s="43" t="n"/>
      <c r="J136" s="57">
        <f>IF(OR(A136="",H136=""),"",IF(COUNTIFS(exp_year,C136,exp_month,D136,exp_item,E136,exp_status,"&lt;&gt;❌ Отменено")&gt;0,1,0))</f>
        <v/>
      </c>
    </row>
    <row r="137">
      <c r="A137" s="52" t="n"/>
      <c r="B137" s="53">
        <f>IF(A137="","",CHOOSE(WEEKDAY(A137,2),"Пн","Вт","Ср","Чт","Пт","Сб","Вс"))</f>
        <v/>
      </c>
      <c r="C137" s="53">
        <f>IF(A137="","",YEAR(A137))</f>
        <v/>
      </c>
      <c r="D137" s="54">
        <f>IF(A137="","",INDEX(lst_months,MONTH(A137)))</f>
        <v/>
      </c>
      <c r="E137" s="55" t="n"/>
      <c r="F137" s="54">
        <f>IF(E137="","",IFERROR(IF(INDEX(lst_exp_item_cat,MATCH(E137,lst_exp_items,0))="","❔ Без категории",INDEX(lst_exp_item_cat,MATCH(E137,lst_exp_items,0))),"❔ Без категории"))</f>
        <v/>
      </c>
      <c r="G137" s="43" t="n"/>
      <c r="H137" s="56" t="n"/>
      <c r="I137" s="43" t="n"/>
      <c r="J137" s="57">
        <f>IF(OR(A137="",H137=""),"",IF(COUNTIFS(exp_year,C137,exp_month,D137,exp_item,E137,exp_status,"&lt;&gt;❌ Отменено")&gt;0,1,0))</f>
        <v/>
      </c>
    </row>
    <row r="138">
      <c r="A138" s="52" t="n"/>
      <c r="B138" s="53">
        <f>IF(A138="","",CHOOSE(WEEKDAY(A138,2),"Пн","Вт","Ср","Чт","Пт","Сб","Вс"))</f>
        <v/>
      </c>
      <c r="C138" s="53">
        <f>IF(A138="","",YEAR(A138))</f>
        <v/>
      </c>
      <c r="D138" s="54">
        <f>IF(A138="","",INDEX(lst_months,MONTH(A138)))</f>
        <v/>
      </c>
      <c r="E138" s="55" t="n"/>
      <c r="F138" s="54">
        <f>IF(E138="","",IFERROR(IF(INDEX(lst_exp_item_cat,MATCH(E138,lst_exp_items,0))="","❔ Без категории",INDEX(lst_exp_item_cat,MATCH(E138,lst_exp_items,0))),"❔ Без категории"))</f>
        <v/>
      </c>
      <c r="G138" s="43" t="n"/>
      <c r="H138" s="56" t="n"/>
      <c r="I138" s="43" t="n"/>
      <c r="J138" s="57">
        <f>IF(OR(A138="",H138=""),"",IF(COUNTIFS(exp_year,C138,exp_month,D138,exp_item,E138,exp_status,"&lt;&gt;❌ Отменено")&gt;0,1,0))</f>
        <v/>
      </c>
    </row>
    <row r="139">
      <c r="A139" s="52" t="n"/>
      <c r="B139" s="53">
        <f>IF(A139="","",CHOOSE(WEEKDAY(A139,2),"Пн","Вт","Ср","Чт","Пт","Сб","Вс"))</f>
        <v/>
      </c>
      <c r="C139" s="53">
        <f>IF(A139="","",YEAR(A139))</f>
        <v/>
      </c>
      <c r="D139" s="54">
        <f>IF(A139="","",INDEX(lst_months,MONTH(A139)))</f>
        <v/>
      </c>
      <c r="E139" s="55" t="n"/>
      <c r="F139" s="54">
        <f>IF(E139="","",IFERROR(IF(INDEX(lst_exp_item_cat,MATCH(E139,lst_exp_items,0))="","❔ Без категории",INDEX(lst_exp_item_cat,MATCH(E139,lst_exp_items,0))),"❔ Без категории"))</f>
        <v/>
      </c>
      <c r="G139" s="43" t="n"/>
      <c r="H139" s="56" t="n"/>
      <c r="I139" s="43" t="n"/>
      <c r="J139" s="57">
        <f>IF(OR(A139="",H139=""),"",IF(COUNTIFS(exp_year,C139,exp_month,D139,exp_item,E139,exp_status,"&lt;&gt;❌ Отменено")&gt;0,1,0))</f>
        <v/>
      </c>
    </row>
    <row r="140">
      <c r="A140" s="52" t="n"/>
      <c r="B140" s="53">
        <f>IF(A140="","",CHOOSE(WEEKDAY(A140,2),"Пн","Вт","Ср","Чт","Пт","Сб","Вс"))</f>
        <v/>
      </c>
      <c r="C140" s="53">
        <f>IF(A140="","",YEAR(A140))</f>
        <v/>
      </c>
      <c r="D140" s="54">
        <f>IF(A140="","",INDEX(lst_months,MONTH(A140)))</f>
        <v/>
      </c>
      <c r="E140" s="55" t="n"/>
      <c r="F140" s="54">
        <f>IF(E140="","",IFERROR(IF(INDEX(lst_exp_item_cat,MATCH(E140,lst_exp_items,0))="","❔ Без категории",INDEX(lst_exp_item_cat,MATCH(E140,lst_exp_items,0))),"❔ Без категории"))</f>
        <v/>
      </c>
      <c r="G140" s="43" t="n"/>
      <c r="H140" s="56" t="n"/>
      <c r="I140" s="43" t="n"/>
      <c r="J140" s="57">
        <f>IF(OR(A140="",H140=""),"",IF(COUNTIFS(exp_year,C140,exp_month,D140,exp_item,E140,exp_status,"&lt;&gt;❌ Отменено")&gt;0,1,0))</f>
        <v/>
      </c>
    </row>
    <row r="141">
      <c r="A141" s="52" t="n"/>
      <c r="B141" s="53">
        <f>IF(A141="","",CHOOSE(WEEKDAY(A141,2),"Пн","Вт","Ср","Чт","Пт","Сб","Вс"))</f>
        <v/>
      </c>
      <c r="C141" s="53">
        <f>IF(A141="","",YEAR(A141))</f>
        <v/>
      </c>
      <c r="D141" s="54">
        <f>IF(A141="","",INDEX(lst_months,MONTH(A141)))</f>
        <v/>
      </c>
      <c r="E141" s="55" t="n"/>
      <c r="F141" s="54">
        <f>IF(E141="","",IFERROR(IF(INDEX(lst_exp_item_cat,MATCH(E141,lst_exp_items,0))="","❔ Без категории",INDEX(lst_exp_item_cat,MATCH(E141,lst_exp_items,0))),"❔ Без категории"))</f>
        <v/>
      </c>
      <c r="G141" s="43" t="n"/>
      <c r="H141" s="56" t="n"/>
      <c r="I141" s="43" t="n"/>
      <c r="J141" s="57">
        <f>IF(OR(A141="",H141=""),"",IF(COUNTIFS(exp_year,C141,exp_month,D141,exp_item,E141,exp_status,"&lt;&gt;❌ Отменено")&gt;0,1,0))</f>
        <v/>
      </c>
    </row>
    <row r="142">
      <c r="A142" s="52" t="n"/>
      <c r="B142" s="53">
        <f>IF(A142="","",CHOOSE(WEEKDAY(A142,2),"Пн","Вт","Ср","Чт","Пт","Сб","Вс"))</f>
        <v/>
      </c>
      <c r="C142" s="53">
        <f>IF(A142="","",YEAR(A142))</f>
        <v/>
      </c>
      <c r="D142" s="54">
        <f>IF(A142="","",INDEX(lst_months,MONTH(A142)))</f>
        <v/>
      </c>
      <c r="E142" s="55" t="n"/>
      <c r="F142" s="54">
        <f>IF(E142="","",IFERROR(IF(INDEX(lst_exp_item_cat,MATCH(E142,lst_exp_items,0))="","❔ Без категории",INDEX(lst_exp_item_cat,MATCH(E142,lst_exp_items,0))),"❔ Без категории"))</f>
        <v/>
      </c>
      <c r="G142" s="43" t="n"/>
      <c r="H142" s="56" t="n"/>
      <c r="I142" s="43" t="n"/>
      <c r="J142" s="57">
        <f>IF(OR(A142="",H142=""),"",IF(COUNTIFS(exp_year,C142,exp_month,D142,exp_item,E142,exp_status,"&lt;&gt;❌ Отменено")&gt;0,1,0))</f>
        <v/>
      </c>
    </row>
    <row r="143">
      <c r="A143" s="52" t="n"/>
      <c r="B143" s="53">
        <f>IF(A143="","",CHOOSE(WEEKDAY(A143,2),"Пн","Вт","Ср","Чт","Пт","Сб","Вс"))</f>
        <v/>
      </c>
      <c r="C143" s="53">
        <f>IF(A143="","",YEAR(A143))</f>
        <v/>
      </c>
      <c r="D143" s="54">
        <f>IF(A143="","",INDEX(lst_months,MONTH(A143)))</f>
        <v/>
      </c>
      <c r="E143" s="55" t="n"/>
      <c r="F143" s="54">
        <f>IF(E143="","",IFERROR(IF(INDEX(lst_exp_item_cat,MATCH(E143,lst_exp_items,0))="","❔ Без категории",INDEX(lst_exp_item_cat,MATCH(E143,lst_exp_items,0))),"❔ Без категории"))</f>
        <v/>
      </c>
      <c r="G143" s="43" t="n"/>
      <c r="H143" s="56" t="n"/>
      <c r="I143" s="43" t="n"/>
      <c r="J143" s="57">
        <f>IF(OR(A143="",H143=""),"",IF(COUNTIFS(exp_year,C143,exp_month,D143,exp_item,E143,exp_status,"&lt;&gt;❌ Отменено")&gt;0,1,0))</f>
        <v/>
      </c>
    </row>
    <row r="144">
      <c r="A144" s="52" t="n"/>
      <c r="B144" s="53">
        <f>IF(A144="","",CHOOSE(WEEKDAY(A144,2),"Пн","Вт","Ср","Чт","Пт","Сб","Вс"))</f>
        <v/>
      </c>
      <c r="C144" s="53">
        <f>IF(A144="","",YEAR(A144))</f>
        <v/>
      </c>
      <c r="D144" s="54">
        <f>IF(A144="","",INDEX(lst_months,MONTH(A144)))</f>
        <v/>
      </c>
      <c r="E144" s="55" t="n"/>
      <c r="F144" s="54">
        <f>IF(E144="","",IFERROR(IF(INDEX(lst_exp_item_cat,MATCH(E144,lst_exp_items,0))="","❔ Без категории",INDEX(lst_exp_item_cat,MATCH(E144,lst_exp_items,0))),"❔ Без категории"))</f>
        <v/>
      </c>
      <c r="G144" s="43" t="n"/>
      <c r="H144" s="56" t="n"/>
      <c r="I144" s="43" t="n"/>
      <c r="J144" s="57">
        <f>IF(OR(A144="",H144=""),"",IF(COUNTIFS(exp_year,C144,exp_month,D144,exp_item,E144,exp_status,"&lt;&gt;❌ Отменено")&gt;0,1,0))</f>
        <v/>
      </c>
    </row>
    <row r="145">
      <c r="A145" s="52" t="n"/>
      <c r="B145" s="53">
        <f>IF(A145="","",CHOOSE(WEEKDAY(A145,2),"Пн","Вт","Ср","Чт","Пт","Сб","Вс"))</f>
        <v/>
      </c>
      <c r="C145" s="53">
        <f>IF(A145="","",YEAR(A145))</f>
        <v/>
      </c>
      <c r="D145" s="54">
        <f>IF(A145="","",INDEX(lst_months,MONTH(A145)))</f>
        <v/>
      </c>
      <c r="E145" s="55" t="n"/>
      <c r="F145" s="54">
        <f>IF(E145="","",IFERROR(IF(INDEX(lst_exp_item_cat,MATCH(E145,lst_exp_items,0))="","❔ Без категории",INDEX(lst_exp_item_cat,MATCH(E145,lst_exp_items,0))),"❔ Без категории"))</f>
        <v/>
      </c>
      <c r="G145" s="43" t="n"/>
      <c r="H145" s="56" t="n"/>
      <c r="I145" s="43" t="n"/>
      <c r="J145" s="57">
        <f>IF(OR(A145="",H145=""),"",IF(COUNTIFS(exp_year,C145,exp_month,D145,exp_item,E145,exp_status,"&lt;&gt;❌ Отменено")&gt;0,1,0))</f>
        <v/>
      </c>
    </row>
    <row r="146">
      <c r="A146" s="52" t="n"/>
      <c r="B146" s="53">
        <f>IF(A146="","",CHOOSE(WEEKDAY(A146,2),"Пн","Вт","Ср","Чт","Пт","Сб","Вс"))</f>
        <v/>
      </c>
      <c r="C146" s="53">
        <f>IF(A146="","",YEAR(A146))</f>
        <v/>
      </c>
      <c r="D146" s="54">
        <f>IF(A146="","",INDEX(lst_months,MONTH(A146)))</f>
        <v/>
      </c>
      <c r="E146" s="55" t="n"/>
      <c r="F146" s="54">
        <f>IF(E146="","",IFERROR(IF(INDEX(lst_exp_item_cat,MATCH(E146,lst_exp_items,0))="","❔ Без категории",INDEX(lst_exp_item_cat,MATCH(E146,lst_exp_items,0))),"❔ Без категории"))</f>
        <v/>
      </c>
      <c r="G146" s="43" t="n"/>
      <c r="H146" s="56" t="n"/>
      <c r="I146" s="43" t="n"/>
      <c r="J146" s="57">
        <f>IF(OR(A146="",H146=""),"",IF(COUNTIFS(exp_year,C146,exp_month,D146,exp_item,E146,exp_status,"&lt;&gt;❌ Отменено")&gt;0,1,0))</f>
        <v/>
      </c>
    </row>
    <row r="147">
      <c r="A147" s="52" t="n"/>
      <c r="B147" s="53">
        <f>IF(A147="","",CHOOSE(WEEKDAY(A147,2),"Пн","Вт","Ср","Чт","Пт","Сб","Вс"))</f>
        <v/>
      </c>
      <c r="C147" s="53">
        <f>IF(A147="","",YEAR(A147))</f>
        <v/>
      </c>
      <c r="D147" s="54">
        <f>IF(A147="","",INDEX(lst_months,MONTH(A147)))</f>
        <v/>
      </c>
      <c r="E147" s="55" t="n"/>
      <c r="F147" s="54">
        <f>IF(E147="","",IFERROR(IF(INDEX(lst_exp_item_cat,MATCH(E147,lst_exp_items,0))="","❔ Без категории",INDEX(lst_exp_item_cat,MATCH(E147,lst_exp_items,0))),"❔ Без категории"))</f>
        <v/>
      </c>
      <c r="G147" s="43" t="n"/>
      <c r="H147" s="56" t="n"/>
      <c r="I147" s="43" t="n"/>
      <c r="J147" s="57">
        <f>IF(OR(A147="",H147=""),"",IF(COUNTIFS(exp_year,C147,exp_month,D147,exp_item,E147,exp_status,"&lt;&gt;❌ Отменено")&gt;0,1,0))</f>
        <v/>
      </c>
    </row>
    <row r="148">
      <c r="A148" s="52" t="n"/>
      <c r="B148" s="53">
        <f>IF(A148="","",CHOOSE(WEEKDAY(A148,2),"Пн","Вт","Ср","Чт","Пт","Сб","Вс"))</f>
        <v/>
      </c>
      <c r="C148" s="53">
        <f>IF(A148="","",YEAR(A148))</f>
        <v/>
      </c>
      <c r="D148" s="54">
        <f>IF(A148="","",INDEX(lst_months,MONTH(A148)))</f>
        <v/>
      </c>
      <c r="E148" s="55" t="n"/>
      <c r="F148" s="54">
        <f>IF(E148="","",IFERROR(IF(INDEX(lst_exp_item_cat,MATCH(E148,lst_exp_items,0))="","❔ Без категории",INDEX(lst_exp_item_cat,MATCH(E148,lst_exp_items,0))),"❔ Без категории"))</f>
        <v/>
      </c>
      <c r="G148" s="43" t="n"/>
      <c r="H148" s="56" t="n"/>
      <c r="I148" s="43" t="n"/>
      <c r="J148" s="57">
        <f>IF(OR(A148="",H148=""),"",IF(COUNTIFS(exp_year,C148,exp_month,D148,exp_item,E148,exp_status,"&lt;&gt;❌ Отменено")&gt;0,1,0))</f>
        <v/>
      </c>
    </row>
    <row r="149">
      <c r="A149" s="52" t="n"/>
      <c r="B149" s="53">
        <f>IF(A149="","",CHOOSE(WEEKDAY(A149,2),"Пн","Вт","Ср","Чт","Пт","Сб","Вс"))</f>
        <v/>
      </c>
      <c r="C149" s="53">
        <f>IF(A149="","",YEAR(A149))</f>
        <v/>
      </c>
      <c r="D149" s="54">
        <f>IF(A149="","",INDEX(lst_months,MONTH(A149)))</f>
        <v/>
      </c>
      <c r="E149" s="55" t="n"/>
      <c r="F149" s="54">
        <f>IF(E149="","",IFERROR(IF(INDEX(lst_exp_item_cat,MATCH(E149,lst_exp_items,0))="","❔ Без категории",INDEX(lst_exp_item_cat,MATCH(E149,lst_exp_items,0))),"❔ Без категории"))</f>
        <v/>
      </c>
      <c r="G149" s="43" t="n"/>
      <c r="H149" s="56" t="n"/>
      <c r="I149" s="43" t="n"/>
      <c r="J149" s="57">
        <f>IF(OR(A149="",H149=""),"",IF(COUNTIFS(exp_year,C149,exp_month,D149,exp_item,E149,exp_status,"&lt;&gt;❌ Отменено")&gt;0,1,0))</f>
        <v/>
      </c>
    </row>
    <row r="150">
      <c r="A150" s="52" t="n"/>
      <c r="B150" s="53">
        <f>IF(A150="","",CHOOSE(WEEKDAY(A150,2),"Пн","Вт","Ср","Чт","Пт","Сб","Вс"))</f>
        <v/>
      </c>
      <c r="C150" s="53">
        <f>IF(A150="","",YEAR(A150))</f>
        <v/>
      </c>
      <c r="D150" s="54">
        <f>IF(A150="","",INDEX(lst_months,MONTH(A150)))</f>
        <v/>
      </c>
      <c r="E150" s="55" t="n"/>
      <c r="F150" s="54">
        <f>IF(E150="","",IFERROR(IF(INDEX(lst_exp_item_cat,MATCH(E150,lst_exp_items,0))="","❔ Без категории",INDEX(lst_exp_item_cat,MATCH(E150,lst_exp_items,0))),"❔ Без категории"))</f>
        <v/>
      </c>
      <c r="G150" s="43" t="n"/>
      <c r="H150" s="56" t="n"/>
      <c r="I150" s="43" t="n"/>
      <c r="J150" s="57">
        <f>IF(OR(A150="",H150=""),"",IF(COUNTIFS(exp_year,C150,exp_month,D150,exp_item,E150,exp_status,"&lt;&gt;❌ Отменено")&gt;0,1,0))</f>
        <v/>
      </c>
    </row>
    <row r="151">
      <c r="A151" s="52" t="n"/>
      <c r="B151" s="53">
        <f>IF(A151="","",CHOOSE(WEEKDAY(A151,2),"Пн","Вт","Ср","Чт","Пт","Сб","Вс"))</f>
        <v/>
      </c>
      <c r="C151" s="53">
        <f>IF(A151="","",YEAR(A151))</f>
        <v/>
      </c>
      <c r="D151" s="54">
        <f>IF(A151="","",INDEX(lst_months,MONTH(A151)))</f>
        <v/>
      </c>
      <c r="E151" s="55" t="n"/>
      <c r="F151" s="54">
        <f>IF(E151="","",IFERROR(IF(INDEX(lst_exp_item_cat,MATCH(E151,lst_exp_items,0))="","❔ Без категории",INDEX(lst_exp_item_cat,MATCH(E151,lst_exp_items,0))),"❔ Без категории"))</f>
        <v/>
      </c>
      <c r="G151" s="43" t="n"/>
      <c r="H151" s="56" t="n"/>
      <c r="I151" s="43" t="n"/>
      <c r="J151" s="57">
        <f>IF(OR(A151="",H151=""),"",IF(COUNTIFS(exp_year,C151,exp_month,D151,exp_item,E151,exp_status,"&lt;&gt;❌ Отменено")&gt;0,1,0))</f>
        <v/>
      </c>
    </row>
    <row r="152">
      <c r="A152" s="52" t="n"/>
      <c r="B152" s="53">
        <f>IF(A152="","",CHOOSE(WEEKDAY(A152,2),"Пн","Вт","Ср","Чт","Пт","Сб","Вс"))</f>
        <v/>
      </c>
      <c r="C152" s="53">
        <f>IF(A152="","",YEAR(A152))</f>
        <v/>
      </c>
      <c r="D152" s="54">
        <f>IF(A152="","",INDEX(lst_months,MONTH(A152)))</f>
        <v/>
      </c>
      <c r="E152" s="55" t="n"/>
      <c r="F152" s="54">
        <f>IF(E152="","",IFERROR(IF(INDEX(lst_exp_item_cat,MATCH(E152,lst_exp_items,0))="","❔ Без категории",INDEX(lst_exp_item_cat,MATCH(E152,lst_exp_items,0))),"❔ Без категории"))</f>
        <v/>
      </c>
      <c r="G152" s="43" t="n"/>
      <c r="H152" s="56" t="n"/>
      <c r="I152" s="43" t="n"/>
      <c r="J152" s="57">
        <f>IF(OR(A152="",H152=""),"",IF(COUNTIFS(exp_year,C152,exp_month,D152,exp_item,E152,exp_status,"&lt;&gt;❌ Отменено")&gt;0,1,0))</f>
        <v/>
      </c>
    </row>
    <row r="153">
      <c r="A153" s="52" t="n"/>
      <c r="B153" s="53">
        <f>IF(A153="","",CHOOSE(WEEKDAY(A153,2),"Пн","Вт","Ср","Чт","Пт","Сб","Вс"))</f>
        <v/>
      </c>
      <c r="C153" s="53">
        <f>IF(A153="","",YEAR(A153))</f>
        <v/>
      </c>
      <c r="D153" s="54">
        <f>IF(A153="","",INDEX(lst_months,MONTH(A153)))</f>
        <v/>
      </c>
      <c r="E153" s="55" t="n"/>
      <c r="F153" s="54">
        <f>IF(E153="","",IFERROR(IF(INDEX(lst_exp_item_cat,MATCH(E153,lst_exp_items,0))="","❔ Без категории",INDEX(lst_exp_item_cat,MATCH(E153,lst_exp_items,0))),"❔ Без категории"))</f>
        <v/>
      </c>
      <c r="G153" s="43" t="n"/>
      <c r="H153" s="56" t="n"/>
      <c r="I153" s="43" t="n"/>
      <c r="J153" s="57">
        <f>IF(OR(A153="",H153=""),"",IF(COUNTIFS(exp_year,C153,exp_month,D153,exp_item,E153,exp_status,"&lt;&gt;❌ Отменено")&gt;0,1,0))</f>
        <v/>
      </c>
    </row>
    <row r="154">
      <c r="A154" s="52" t="n"/>
      <c r="B154" s="53">
        <f>IF(A154="","",CHOOSE(WEEKDAY(A154,2),"Пн","Вт","Ср","Чт","Пт","Сб","Вс"))</f>
        <v/>
      </c>
      <c r="C154" s="53">
        <f>IF(A154="","",YEAR(A154))</f>
        <v/>
      </c>
      <c r="D154" s="54">
        <f>IF(A154="","",INDEX(lst_months,MONTH(A154)))</f>
        <v/>
      </c>
      <c r="E154" s="55" t="n"/>
      <c r="F154" s="54">
        <f>IF(E154="","",IFERROR(IF(INDEX(lst_exp_item_cat,MATCH(E154,lst_exp_items,0))="","❔ Без категории",INDEX(lst_exp_item_cat,MATCH(E154,lst_exp_items,0))),"❔ Без категории"))</f>
        <v/>
      </c>
      <c r="G154" s="43" t="n"/>
      <c r="H154" s="56" t="n"/>
      <c r="I154" s="43" t="n"/>
      <c r="J154" s="57">
        <f>IF(OR(A154="",H154=""),"",IF(COUNTIFS(exp_year,C154,exp_month,D154,exp_item,E154,exp_status,"&lt;&gt;❌ Отменено")&gt;0,1,0))</f>
        <v/>
      </c>
    </row>
    <row r="155">
      <c r="A155" s="52" t="n"/>
      <c r="B155" s="53">
        <f>IF(A155="","",CHOOSE(WEEKDAY(A155,2),"Пн","Вт","Ср","Чт","Пт","Сб","Вс"))</f>
        <v/>
      </c>
      <c r="C155" s="53">
        <f>IF(A155="","",YEAR(A155))</f>
        <v/>
      </c>
      <c r="D155" s="54">
        <f>IF(A155="","",INDEX(lst_months,MONTH(A155)))</f>
        <v/>
      </c>
      <c r="E155" s="55" t="n"/>
      <c r="F155" s="54">
        <f>IF(E155="","",IFERROR(IF(INDEX(lst_exp_item_cat,MATCH(E155,lst_exp_items,0))="","❔ Без категории",INDEX(lst_exp_item_cat,MATCH(E155,lst_exp_items,0))),"❔ Без категории"))</f>
        <v/>
      </c>
      <c r="G155" s="43" t="n"/>
      <c r="H155" s="56" t="n"/>
      <c r="I155" s="43" t="n"/>
      <c r="J155" s="57">
        <f>IF(OR(A155="",H155=""),"",IF(COUNTIFS(exp_year,C155,exp_month,D155,exp_item,E155,exp_status,"&lt;&gt;❌ Отменено")&gt;0,1,0))</f>
        <v/>
      </c>
    </row>
    <row r="156">
      <c r="A156" s="52" t="n"/>
      <c r="B156" s="53">
        <f>IF(A156="","",CHOOSE(WEEKDAY(A156,2),"Пн","Вт","Ср","Чт","Пт","Сб","Вс"))</f>
        <v/>
      </c>
      <c r="C156" s="53">
        <f>IF(A156="","",YEAR(A156))</f>
        <v/>
      </c>
      <c r="D156" s="54">
        <f>IF(A156="","",INDEX(lst_months,MONTH(A156)))</f>
        <v/>
      </c>
      <c r="E156" s="55" t="n"/>
      <c r="F156" s="54">
        <f>IF(E156="","",IFERROR(IF(INDEX(lst_exp_item_cat,MATCH(E156,lst_exp_items,0))="","❔ Без категории",INDEX(lst_exp_item_cat,MATCH(E156,lst_exp_items,0))),"❔ Без категории"))</f>
        <v/>
      </c>
      <c r="G156" s="43" t="n"/>
      <c r="H156" s="56" t="n"/>
      <c r="I156" s="43" t="n"/>
      <c r="J156" s="57">
        <f>IF(OR(A156="",H156=""),"",IF(COUNTIFS(exp_year,C156,exp_month,D156,exp_item,E156,exp_status,"&lt;&gt;❌ Отменено")&gt;0,1,0))</f>
        <v/>
      </c>
    </row>
    <row r="157">
      <c r="A157" s="52" t="n"/>
      <c r="B157" s="53">
        <f>IF(A157="","",CHOOSE(WEEKDAY(A157,2),"Пн","Вт","Ср","Чт","Пт","Сб","Вс"))</f>
        <v/>
      </c>
      <c r="C157" s="53">
        <f>IF(A157="","",YEAR(A157))</f>
        <v/>
      </c>
      <c r="D157" s="54">
        <f>IF(A157="","",INDEX(lst_months,MONTH(A157)))</f>
        <v/>
      </c>
      <c r="E157" s="55" t="n"/>
      <c r="F157" s="54">
        <f>IF(E157="","",IFERROR(IF(INDEX(lst_exp_item_cat,MATCH(E157,lst_exp_items,0))="","❔ Без категории",INDEX(lst_exp_item_cat,MATCH(E157,lst_exp_items,0))),"❔ Без категории"))</f>
        <v/>
      </c>
      <c r="G157" s="43" t="n"/>
      <c r="H157" s="56" t="n"/>
      <c r="I157" s="43" t="n"/>
      <c r="J157" s="57">
        <f>IF(OR(A157="",H157=""),"",IF(COUNTIFS(exp_year,C157,exp_month,D157,exp_item,E157,exp_status,"&lt;&gt;❌ Отменено")&gt;0,1,0))</f>
        <v/>
      </c>
    </row>
    <row r="158">
      <c r="A158" s="52" t="n"/>
      <c r="B158" s="53">
        <f>IF(A158="","",CHOOSE(WEEKDAY(A158,2),"Пн","Вт","Ср","Чт","Пт","Сб","Вс"))</f>
        <v/>
      </c>
      <c r="C158" s="53">
        <f>IF(A158="","",YEAR(A158))</f>
        <v/>
      </c>
      <c r="D158" s="54">
        <f>IF(A158="","",INDEX(lst_months,MONTH(A158)))</f>
        <v/>
      </c>
      <c r="E158" s="55" t="n"/>
      <c r="F158" s="54">
        <f>IF(E158="","",IFERROR(IF(INDEX(lst_exp_item_cat,MATCH(E158,lst_exp_items,0))="","❔ Без категории",INDEX(lst_exp_item_cat,MATCH(E158,lst_exp_items,0))),"❔ Без категории"))</f>
        <v/>
      </c>
      <c r="G158" s="43" t="n"/>
      <c r="H158" s="56" t="n"/>
      <c r="I158" s="43" t="n"/>
      <c r="J158" s="57">
        <f>IF(OR(A158="",H158=""),"",IF(COUNTIFS(exp_year,C158,exp_month,D158,exp_item,E158,exp_status,"&lt;&gt;❌ Отменено")&gt;0,1,0))</f>
        <v/>
      </c>
    </row>
    <row r="159">
      <c r="A159" s="52" t="n"/>
      <c r="B159" s="53">
        <f>IF(A159="","",CHOOSE(WEEKDAY(A159,2),"Пн","Вт","Ср","Чт","Пт","Сб","Вс"))</f>
        <v/>
      </c>
      <c r="C159" s="53">
        <f>IF(A159="","",YEAR(A159))</f>
        <v/>
      </c>
      <c r="D159" s="54">
        <f>IF(A159="","",INDEX(lst_months,MONTH(A159)))</f>
        <v/>
      </c>
      <c r="E159" s="55" t="n"/>
      <c r="F159" s="54">
        <f>IF(E159="","",IFERROR(IF(INDEX(lst_exp_item_cat,MATCH(E159,lst_exp_items,0))="","❔ Без категории",INDEX(lst_exp_item_cat,MATCH(E159,lst_exp_items,0))),"❔ Без категории"))</f>
        <v/>
      </c>
      <c r="G159" s="43" t="n"/>
      <c r="H159" s="56" t="n"/>
      <c r="I159" s="43" t="n"/>
      <c r="J159" s="57">
        <f>IF(OR(A159="",H159=""),"",IF(COUNTIFS(exp_year,C159,exp_month,D159,exp_item,E159,exp_status,"&lt;&gt;❌ Отменено")&gt;0,1,0))</f>
        <v/>
      </c>
    </row>
    <row r="160">
      <c r="A160" s="52" t="n"/>
      <c r="B160" s="53">
        <f>IF(A160="","",CHOOSE(WEEKDAY(A160,2),"Пн","Вт","Ср","Чт","Пт","Сб","Вс"))</f>
        <v/>
      </c>
      <c r="C160" s="53">
        <f>IF(A160="","",YEAR(A160))</f>
        <v/>
      </c>
      <c r="D160" s="54">
        <f>IF(A160="","",INDEX(lst_months,MONTH(A160)))</f>
        <v/>
      </c>
      <c r="E160" s="55" t="n"/>
      <c r="F160" s="54">
        <f>IF(E160="","",IFERROR(IF(INDEX(lst_exp_item_cat,MATCH(E160,lst_exp_items,0))="","❔ Без категории",INDEX(lst_exp_item_cat,MATCH(E160,lst_exp_items,0))),"❔ Без категории"))</f>
        <v/>
      </c>
      <c r="G160" s="43" t="n"/>
      <c r="H160" s="56" t="n"/>
      <c r="I160" s="43" t="n"/>
      <c r="J160" s="57">
        <f>IF(OR(A160="",H160=""),"",IF(COUNTIFS(exp_year,C160,exp_month,D160,exp_item,E160,exp_status,"&lt;&gt;❌ Отменено")&gt;0,1,0))</f>
        <v/>
      </c>
    </row>
    <row r="161">
      <c r="A161" s="52" t="n"/>
      <c r="B161" s="53">
        <f>IF(A161="","",CHOOSE(WEEKDAY(A161,2),"Пн","Вт","Ср","Чт","Пт","Сб","Вс"))</f>
        <v/>
      </c>
      <c r="C161" s="53">
        <f>IF(A161="","",YEAR(A161))</f>
        <v/>
      </c>
      <c r="D161" s="54">
        <f>IF(A161="","",INDEX(lst_months,MONTH(A161)))</f>
        <v/>
      </c>
      <c r="E161" s="55" t="n"/>
      <c r="F161" s="54">
        <f>IF(E161="","",IFERROR(IF(INDEX(lst_exp_item_cat,MATCH(E161,lst_exp_items,0))="","❔ Без категории",INDEX(lst_exp_item_cat,MATCH(E161,lst_exp_items,0))),"❔ Без категории"))</f>
        <v/>
      </c>
      <c r="G161" s="43" t="n"/>
      <c r="H161" s="56" t="n"/>
      <c r="I161" s="43" t="n"/>
      <c r="J161" s="57">
        <f>IF(OR(A161="",H161=""),"",IF(COUNTIFS(exp_year,C161,exp_month,D161,exp_item,E161,exp_status,"&lt;&gt;❌ Отменено")&gt;0,1,0))</f>
        <v/>
      </c>
    </row>
    <row r="162">
      <c r="A162" s="52" t="n"/>
      <c r="B162" s="53">
        <f>IF(A162="","",CHOOSE(WEEKDAY(A162,2),"Пн","Вт","Ср","Чт","Пт","Сб","Вс"))</f>
        <v/>
      </c>
      <c r="C162" s="53">
        <f>IF(A162="","",YEAR(A162))</f>
        <v/>
      </c>
      <c r="D162" s="54">
        <f>IF(A162="","",INDEX(lst_months,MONTH(A162)))</f>
        <v/>
      </c>
      <c r="E162" s="55" t="n"/>
      <c r="F162" s="54">
        <f>IF(E162="","",IFERROR(IF(INDEX(lst_exp_item_cat,MATCH(E162,lst_exp_items,0))="","❔ Без категории",INDEX(lst_exp_item_cat,MATCH(E162,lst_exp_items,0))),"❔ Без категории"))</f>
        <v/>
      </c>
      <c r="G162" s="43" t="n"/>
      <c r="H162" s="56" t="n"/>
      <c r="I162" s="43" t="n"/>
      <c r="J162" s="57">
        <f>IF(OR(A162="",H162=""),"",IF(COUNTIFS(exp_year,C162,exp_month,D162,exp_item,E162,exp_status,"&lt;&gt;❌ Отменено")&gt;0,1,0))</f>
        <v/>
      </c>
    </row>
    <row r="163">
      <c r="A163" s="52" t="n"/>
      <c r="B163" s="53">
        <f>IF(A163="","",CHOOSE(WEEKDAY(A163,2),"Пн","Вт","Ср","Чт","Пт","Сб","Вс"))</f>
        <v/>
      </c>
      <c r="C163" s="53">
        <f>IF(A163="","",YEAR(A163))</f>
        <v/>
      </c>
      <c r="D163" s="54">
        <f>IF(A163="","",INDEX(lst_months,MONTH(A163)))</f>
        <v/>
      </c>
      <c r="E163" s="55" t="n"/>
      <c r="F163" s="54">
        <f>IF(E163="","",IFERROR(IF(INDEX(lst_exp_item_cat,MATCH(E163,lst_exp_items,0))="","❔ Без категории",INDEX(lst_exp_item_cat,MATCH(E163,lst_exp_items,0))),"❔ Без категории"))</f>
        <v/>
      </c>
      <c r="G163" s="43" t="n"/>
      <c r="H163" s="56" t="n"/>
      <c r="I163" s="43" t="n"/>
      <c r="J163" s="57">
        <f>IF(OR(A163="",H163=""),"",IF(COUNTIFS(exp_year,C163,exp_month,D163,exp_item,E163,exp_status,"&lt;&gt;❌ Отменено")&gt;0,1,0))</f>
        <v/>
      </c>
    </row>
    <row r="164">
      <c r="A164" s="52" t="n"/>
      <c r="B164" s="53">
        <f>IF(A164="","",CHOOSE(WEEKDAY(A164,2),"Пн","Вт","Ср","Чт","Пт","Сб","Вс"))</f>
        <v/>
      </c>
      <c r="C164" s="53">
        <f>IF(A164="","",YEAR(A164))</f>
        <v/>
      </c>
      <c r="D164" s="54">
        <f>IF(A164="","",INDEX(lst_months,MONTH(A164)))</f>
        <v/>
      </c>
      <c r="E164" s="55" t="n"/>
      <c r="F164" s="54">
        <f>IF(E164="","",IFERROR(IF(INDEX(lst_exp_item_cat,MATCH(E164,lst_exp_items,0))="","❔ Без категории",INDEX(lst_exp_item_cat,MATCH(E164,lst_exp_items,0))),"❔ Без категории"))</f>
        <v/>
      </c>
      <c r="G164" s="43" t="n"/>
      <c r="H164" s="56" t="n"/>
      <c r="I164" s="43" t="n"/>
      <c r="J164" s="57">
        <f>IF(OR(A164="",H164=""),"",IF(COUNTIFS(exp_year,C164,exp_month,D164,exp_item,E164,exp_status,"&lt;&gt;❌ Отменено")&gt;0,1,0))</f>
        <v/>
      </c>
    </row>
    <row r="165">
      <c r="A165" s="52" t="n"/>
      <c r="B165" s="53">
        <f>IF(A165="","",CHOOSE(WEEKDAY(A165,2),"Пн","Вт","Ср","Чт","Пт","Сб","Вс"))</f>
        <v/>
      </c>
      <c r="C165" s="53">
        <f>IF(A165="","",YEAR(A165))</f>
        <v/>
      </c>
      <c r="D165" s="54">
        <f>IF(A165="","",INDEX(lst_months,MONTH(A165)))</f>
        <v/>
      </c>
      <c r="E165" s="55" t="n"/>
      <c r="F165" s="54">
        <f>IF(E165="","",IFERROR(IF(INDEX(lst_exp_item_cat,MATCH(E165,lst_exp_items,0))="","❔ Без категории",INDEX(lst_exp_item_cat,MATCH(E165,lst_exp_items,0))),"❔ Без категории"))</f>
        <v/>
      </c>
      <c r="G165" s="43" t="n"/>
      <c r="H165" s="56" t="n"/>
      <c r="I165" s="43" t="n"/>
      <c r="J165" s="57">
        <f>IF(OR(A165="",H165=""),"",IF(COUNTIFS(exp_year,C165,exp_month,D165,exp_item,E165,exp_status,"&lt;&gt;❌ Отменено")&gt;0,1,0))</f>
        <v/>
      </c>
    </row>
    <row r="166">
      <c r="A166" s="52" t="n"/>
      <c r="B166" s="53">
        <f>IF(A166="","",CHOOSE(WEEKDAY(A166,2),"Пн","Вт","Ср","Чт","Пт","Сб","Вс"))</f>
        <v/>
      </c>
      <c r="C166" s="53">
        <f>IF(A166="","",YEAR(A166))</f>
        <v/>
      </c>
      <c r="D166" s="54">
        <f>IF(A166="","",INDEX(lst_months,MONTH(A166)))</f>
        <v/>
      </c>
      <c r="E166" s="55" t="n"/>
      <c r="F166" s="54">
        <f>IF(E166="","",IFERROR(IF(INDEX(lst_exp_item_cat,MATCH(E166,lst_exp_items,0))="","❔ Без категории",INDEX(lst_exp_item_cat,MATCH(E166,lst_exp_items,0))),"❔ Без категории"))</f>
        <v/>
      </c>
      <c r="G166" s="43" t="n"/>
      <c r="H166" s="56" t="n"/>
      <c r="I166" s="43" t="n"/>
      <c r="J166" s="57">
        <f>IF(OR(A166="",H166=""),"",IF(COUNTIFS(exp_year,C166,exp_month,D166,exp_item,E166,exp_status,"&lt;&gt;❌ Отменено")&gt;0,1,0))</f>
        <v/>
      </c>
    </row>
    <row r="167">
      <c r="A167" s="52" t="n"/>
      <c r="B167" s="53">
        <f>IF(A167="","",CHOOSE(WEEKDAY(A167,2),"Пн","Вт","Ср","Чт","Пт","Сб","Вс"))</f>
        <v/>
      </c>
      <c r="C167" s="53">
        <f>IF(A167="","",YEAR(A167))</f>
        <v/>
      </c>
      <c r="D167" s="54">
        <f>IF(A167="","",INDEX(lst_months,MONTH(A167)))</f>
        <v/>
      </c>
      <c r="E167" s="55" t="n"/>
      <c r="F167" s="54">
        <f>IF(E167="","",IFERROR(IF(INDEX(lst_exp_item_cat,MATCH(E167,lst_exp_items,0))="","❔ Без категории",INDEX(lst_exp_item_cat,MATCH(E167,lst_exp_items,0))),"❔ Без категории"))</f>
        <v/>
      </c>
      <c r="G167" s="43" t="n"/>
      <c r="H167" s="56" t="n"/>
      <c r="I167" s="43" t="n"/>
      <c r="J167" s="57">
        <f>IF(OR(A167="",H167=""),"",IF(COUNTIFS(exp_year,C167,exp_month,D167,exp_item,E167,exp_status,"&lt;&gt;❌ Отменено")&gt;0,1,0))</f>
        <v/>
      </c>
    </row>
    <row r="168">
      <c r="A168" s="52" t="n"/>
      <c r="B168" s="53">
        <f>IF(A168="","",CHOOSE(WEEKDAY(A168,2),"Пн","Вт","Ср","Чт","Пт","Сб","Вс"))</f>
        <v/>
      </c>
      <c r="C168" s="53">
        <f>IF(A168="","",YEAR(A168))</f>
        <v/>
      </c>
      <c r="D168" s="54">
        <f>IF(A168="","",INDEX(lst_months,MONTH(A168)))</f>
        <v/>
      </c>
      <c r="E168" s="55" t="n"/>
      <c r="F168" s="54">
        <f>IF(E168="","",IFERROR(IF(INDEX(lst_exp_item_cat,MATCH(E168,lst_exp_items,0))="","❔ Без категории",INDEX(lst_exp_item_cat,MATCH(E168,lst_exp_items,0))),"❔ Без категории"))</f>
        <v/>
      </c>
      <c r="G168" s="43" t="n"/>
      <c r="H168" s="56" t="n"/>
      <c r="I168" s="43" t="n"/>
      <c r="J168" s="57">
        <f>IF(OR(A168="",H168=""),"",IF(COUNTIFS(exp_year,C168,exp_month,D168,exp_item,E168,exp_status,"&lt;&gt;❌ Отменено")&gt;0,1,0))</f>
        <v/>
      </c>
    </row>
    <row r="169">
      <c r="A169" s="52" t="n"/>
      <c r="B169" s="53">
        <f>IF(A169="","",CHOOSE(WEEKDAY(A169,2),"Пн","Вт","Ср","Чт","Пт","Сб","Вс"))</f>
        <v/>
      </c>
      <c r="C169" s="53">
        <f>IF(A169="","",YEAR(A169))</f>
        <v/>
      </c>
      <c r="D169" s="54">
        <f>IF(A169="","",INDEX(lst_months,MONTH(A169)))</f>
        <v/>
      </c>
      <c r="E169" s="55" t="n"/>
      <c r="F169" s="54">
        <f>IF(E169="","",IFERROR(IF(INDEX(lst_exp_item_cat,MATCH(E169,lst_exp_items,0))="","❔ Без категории",INDEX(lst_exp_item_cat,MATCH(E169,lst_exp_items,0))),"❔ Без категории"))</f>
        <v/>
      </c>
      <c r="G169" s="43" t="n"/>
      <c r="H169" s="56" t="n"/>
      <c r="I169" s="43" t="n"/>
      <c r="J169" s="57">
        <f>IF(OR(A169="",H169=""),"",IF(COUNTIFS(exp_year,C169,exp_month,D169,exp_item,E169,exp_status,"&lt;&gt;❌ Отменено")&gt;0,1,0))</f>
        <v/>
      </c>
    </row>
    <row r="170">
      <c r="A170" s="52" t="n"/>
      <c r="B170" s="53">
        <f>IF(A170="","",CHOOSE(WEEKDAY(A170,2),"Пн","Вт","Ср","Чт","Пт","Сб","Вс"))</f>
        <v/>
      </c>
      <c r="C170" s="53">
        <f>IF(A170="","",YEAR(A170))</f>
        <v/>
      </c>
      <c r="D170" s="54">
        <f>IF(A170="","",INDEX(lst_months,MONTH(A170)))</f>
        <v/>
      </c>
      <c r="E170" s="55" t="n"/>
      <c r="F170" s="54">
        <f>IF(E170="","",IFERROR(IF(INDEX(lst_exp_item_cat,MATCH(E170,lst_exp_items,0))="","❔ Без категории",INDEX(lst_exp_item_cat,MATCH(E170,lst_exp_items,0))),"❔ Без категории"))</f>
        <v/>
      </c>
      <c r="G170" s="43" t="n"/>
      <c r="H170" s="56" t="n"/>
      <c r="I170" s="43" t="n"/>
      <c r="J170" s="57">
        <f>IF(OR(A170="",H170=""),"",IF(COUNTIFS(exp_year,C170,exp_month,D170,exp_item,E170,exp_status,"&lt;&gt;❌ Отменено")&gt;0,1,0))</f>
        <v/>
      </c>
    </row>
    <row r="171">
      <c r="A171" s="52" t="n"/>
      <c r="B171" s="53">
        <f>IF(A171="","",CHOOSE(WEEKDAY(A171,2),"Пн","Вт","Ср","Чт","Пт","Сб","Вс"))</f>
        <v/>
      </c>
      <c r="C171" s="53">
        <f>IF(A171="","",YEAR(A171))</f>
        <v/>
      </c>
      <c r="D171" s="54">
        <f>IF(A171="","",INDEX(lst_months,MONTH(A171)))</f>
        <v/>
      </c>
      <c r="E171" s="55" t="n"/>
      <c r="F171" s="54">
        <f>IF(E171="","",IFERROR(IF(INDEX(lst_exp_item_cat,MATCH(E171,lst_exp_items,0))="","❔ Без категории",INDEX(lst_exp_item_cat,MATCH(E171,lst_exp_items,0))),"❔ Без категории"))</f>
        <v/>
      </c>
      <c r="G171" s="43" t="n"/>
      <c r="H171" s="56" t="n"/>
      <c r="I171" s="43" t="n"/>
      <c r="J171" s="57">
        <f>IF(OR(A171="",H171=""),"",IF(COUNTIFS(exp_year,C171,exp_month,D171,exp_item,E171,exp_status,"&lt;&gt;❌ Отменено")&gt;0,1,0))</f>
        <v/>
      </c>
    </row>
    <row r="172">
      <c r="A172" s="52" t="n"/>
      <c r="B172" s="53">
        <f>IF(A172="","",CHOOSE(WEEKDAY(A172,2),"Пн","Вт","Ср","Чт","Пт","Сб","Вс"))</f>
        <v/>
      </c>
      <c r="C172" s="53">
        <f>IF(A172="","",YEAR(A172))</f>
        <v/>
      </c>
      <c r="D172" s="54">
        <f>IF(A172="","",INDEX(lst_months,MONTH(A172)))</f>
        <v/>
      </c>
      <c r="E172" s="55" t="n"/>
      <c r="F172" s="54">
        <f>IF(E172="","",IFERROR(IF(INDEX(lst_exp_item_cat,MATCH(E172,lst_exp_items,0))="","❔ Без категории",INDEX(lst_exp_item_cat,MATCH(E172,lst_exp_items,0))),"❔ Без категории"))</f>
        <v/>
      </c>
      <c r="G172" s="43" t="n"/>
      <c r="H172" s="56" t="n"/>
      <c r="I172" s="43" t="n"/>
      <c r="J172" s="57">
        <f>IF(OR(A172="",H172=""),"",IF(COUNTIFS(exp_year,C172,exp_month,D172,exp_item,E172,exp_status,"&lt;&gt;❌ Отменено")&gt;0,1,0))</f>
        <v/>
      </c>
    </row>
    <row r="173">
      <c r="A173" s="52" t="n"/>
      <c r="B173" s="53">
        <f>IF(A173="","",CHOOSE(WEEKDAY(A173,2),"Пн","Вт","Ср","Чт","Пт","Сб","Вс"))</f>
        <v/>
      </c>
      <c r="C173" s="53">
        <f>IF(A173="","",YEAR(A173))</f>
        <v/>
      </c>
      <c r="D173" s="54">
        <f>IF(A173="","",INDEX(lst_months,MONTH(A173)))</f>
        <v/>
      </c>
      <c r="E173" s="55" t="n"/>
      <c r="F173" s="54">
        <f>IF(E173="","",IFERROR(IF(INDEX(lst_exp_item_cat,MATCH(E173,lst_exp_items,0))="","❔ Без категории",INDEX(lst_exp_item_cat,MATCH(E173,lst_exp_items,0))),"❔ Без категории"))</f>
        <v/>
      </c>
      <c r="G173" s="43" t="n"/>
      <c r="H173" s="56" t="n"/>
      <c r="I173" s="43" t="n"/>
      <c r="J173" s="57">
        <f>IF(OR(A173="",H173=""),"",IF(COUNTIFS(exp_year,C173,exp_month,D173,exp_item,E173,exp_status,"&lt;&gt;❌ Отменено")&gt;0,1,0))</f>
        <v/>
      </c>
    </row>
    <row r="174">
      <c r="A174" s="52" t="n"/>
      <c r="B174" s="53">
        <f>IF(A174="","",CHOOSE(WEEKDAY(A174,2),"Пн","Вт","Ср","Чт","Пт","Сб","Вс"))</f>
        <v/>
      </c>
      <c r="C174" s="53">
        <f>IF(A174="","",YEAR(A174))</f>
        <v/>
      </c>
      <c r="D174" s="54">
        <f>IF(A174="","",INDEX(lst_months,MONTH(A174)))</f>
        <v/>
      </c>
      <c r="E174" s="55" t="n"/>
      <c r="F174" s="54">
        <f>IF(E174="","",IFERROR(IF(INDEX(lst_exp_item_cat,MATCH(E174,lst_exp_items,0))="","❔ Без категории",INDEX(lst_exp_item_cat,MATCH(E174,lst_exp_items,0))),"❔ Без категории"))</f>
        <v/>
      </c>
      <c r="G174" s="43" t="n"/>
      <c r="H174" s="56" t="n"/>
      <c r="I174" s="43" t="n"/>
      <c r="J174" s="57">
        <f>IF(OR(A174="",H174=""),"",IF(COUNTIFS(exp_year,C174,exp_month,D174,exp_item,E174,exp_status,"&lt;&gt;❌ Отменено")&gt;0,1,0))</f>
        <v/>
      </c>
    </row>
    <row r="175">
      <c r="A175" s="52" t="n"/>
      <c r="B175" s="53">
        <f>IF(A175="","",CHOOSE(WEEKDAY(A175,2),"Пн","Вт","Ср","Чт","Пт","Сб","Вс"))</f>
        <v/>
      </c>
      <c r="C175" s="53">
        <f>IF(A175="","",YEAR(A175))</f>
        <v/>
      </c>
      <c r="D175" s="54">
        <f>IF(A175="","",INDEX(lst_months,MONTH(A175)))</f>
        <v/>
      </c>
      <c r="E175" s="55" t="n"/>
      <c r="F175" s="54">
        <f>IF(E175="","",IFERROR(IF(INDEX(lst_exp_item_cat,MATCH(E175,lst_exp_items,0))="","❔ Без категории",INDEX(lst_exp_item_cat,MATCH(E175,lst_exp_items,0))),"❔ Без категории"))</f>
        <v/>
      </c>
      <c r="G175" s="43" t="n"/>
      <c r="H175" s="56" t="n"/>
      <c r="I175" s="43" t="n"/>
      <c r="J175" s="57">
        <f>IF(OR(A175="",H175=""),"",IF(COUNTIFS(exp_year,C175,exp_month,D175,exp_item,E175,exp_status,"&lt;&gt;❌ Отменено")&gt;0,1,0))</f>
        <v/>
      </c>
    </row>
    <row r="176">
      <c r="A176" s="52" t="n"/>
      <c r="B176" s="53">
        <f>IF(A176="","",CHOOSE(WEEKDAY(A176,2),"Пн","Вт","Ср","Чт","Пт","Сб","Вс"))</f>
        <v/>
      </c>
      <c r="C176" s="53">
        <f>IF(A176="","",YEAR(A176))</f>
        <v/>
      </c>
      <c r="D176" s="54">
        <f>IF(A176="","",INDEX(lst_months,MONTH(A176)))</f>
        <v/>
      </c>
      <c r="E176" s="55" t="n"/>
      <c r="F176" s="54">
        <f>IF(E176="","",IFERROR(IF(INDEX(lst_exp_item_cat,MATCH(E176,lst_exp_items,0))="","❔ Без категории",INDEX(lst_exp_item_cat,MATCH(E176,lst_exp_items,0))),"❔ Без категории"))</f>
        <v/>
      </c>
      <c r="G176" s="43" t="n"/>
      <c r="H176" s="56" t="n"/>
      <c r="I176" s="43" t="n"/>
      <c r="J176" s="57">
        <f>IF(OR(A176="",H176=""),"",IF(COUNTIFS(exp_year,C176,exp_month,D176,exp_item,E176,exp_status,"&lt;&gt;❌ Отменено")&gt;0,1,0))</f>
        <v/>
      </c>
    </row>
    <row r="177">
      <c r="A177" s="52" t="n"/>
      <c r="B177" s="53">
        <f>IF(A177="","",CHOOSE(WEEKDAY(A177,2),"Пн","Вт","Ср","Чт","Пт","Сб","Вс"))</f>
        <v/>
      </c>
      <c r="C177" s="53">
        <f>IF(A177="","",YEAR(A177))</f>
        <v/>
      </c>
      <c r="D177" s="54">
        <f>IF(A177="","",INDEX(lst_months,MONTH(A177)))</f>
        <v/>
      </c>
      <c r="E177" s="55" t="n"/>
      <c r="F177" s="54">
        <f>IF(E177="","",IFERROR(IF(INDEX(lst_exp_item_cat,MATCH(E177,lst_exp_items,0))="","❔ Без категории",INDEX(lst_exp_item_cat,MATCH(E177,lst_exp_items,0))),"❔ Без категории"))</f>
        <v/>
      </c>
      <c r="G177" s="43" t="n"/>
      <c r="H177" s="56" t="n"/>
      <c r="I177" s="43" t="n"/>
      <c r="J177" s="57">
        <f>IF(OR(A177="",H177=""),"",IF(COUNTIFS(exp_year,C177,exp_month,D177,exp_item,E177,exp_status,"&lt;&gt;❌ Отменено")&gt;0,1,0))</f>
        <v/>
      </c>
    </row>
    <row r="178">
      <c r="A178" s="52" t="n"/>
      <c r="B178" s="53">
        <f>IF(A178="","",CHOOSE(WEEKDAY(A178,2),"Пн","Вт","Ср","Чт","Пт","Сб","Вс"))</f>
        <v/>
      </c>
      <c r="C178" s="53">
        <f>IF(A178="","",YEAR(A178))</f>
        <v/>
      </c>
      <c r="D178" s="54">
        <f>IF(A178="","",INDEX(lst_months,MONTH(A178)))</f>
        <v/>
      </c>
      <c r="E178" s="55" t="n"/>
      <c r="F178" s="54">
        <f>IF(E178="","",IFERROR(IF(INDEX(lst_exp_item_cat,MATCH(E178,lst_exp_items,0))="","❔ Без категории",INDEX(lst_exp_item_cat,MATCH(E178,lst_exp_items,0))),"❔ Без категории"))</f>
        <v/>
      </c>
      <c r="G178" s="43" t="n"/>
      <c r="H178" s="56" t="n"/>
      <c r="I178" s="43" t="n"/>
      <c r="J178" s="57">
        <f>IF(OR(A178="",H178=""),"",IF(COUNTIFS(exp_year,C178,exp_month,D178,exp_item,E178,exp_status,"&lt;&gt;❌ Отменено")&gt;0,1,0))</f>
        <v/>
      </c>
    </row>
    <row r="179">
      <c r="A179" s="52" t="n"/>
      <c r="B179" s="53">
        <f>IF(A179="","",CHOOSE(WEEKDAY(A179,2),"Пн","Вт","Ср","Чт","Пт","Сб","Вс"))</f>
        <v/>
      </c>
      <c r="C179" s="53">
        <f>IF(A179="","",YEAR(A179))</f>
        <v/>
      </c>
      <c r="D179" s="54">
        <f>IF(A179="","",INDEX(lst_months,MONTH(A179)))</f>
        <v/>
      </c>
      <c r="E179" s="55" t="n"/>
      <c r="F179" s="54">
        <f>IF(E179="","",IFERROR(IF(INDEX(lst_exp_item_cat,MATCH(E179,lst_exp_items,0))="","❔ Без категории",INDEX(lst_exp_item_cat,MATCH(E179,lst_exp_items,0))),"❔ Без категории"))</f>
        <v/>
      </c>
      <c r="G179" s="43" t="n"/>
      <c r="H179" s="56" t="n"/>
      <c r="I179" s="43" t="n"/>
      <c r="J179" s="57">
        <f>IF(OR(A179="",H179=""),"",IF(COUNTIFS(exp_year,C179,exp_month,D179,exp_item,E179,exp_status,"&lt;&gt;❌ Отменено")&gt;0,1,0))</f>
        <v/>
      </c>
    </row>
    <row r="180">
      <c r="A180" s="52" t="n"/>
      <c r="B180" s="53">
        <f>IF(A180="","",CHOOSE(WEEKDAY(A180,2),"Пн","Вт","Ср","Чт","Пт","Сб","Вс"))</f>
        <v/>
      </c>
      <c r="C180" s="53">
        <f>IF(A180="","",YEAR(A180))</f>
        <v/>
      </c>
      <c r="D180" s="54">
        <f>IF(A180="","",INDEX(lst_months,MONTH(A180)))</f>
        <v/>
      </c>
      <c r="E180" s="55" t="n"/>
      <c r="F180" s="54">
        <f>IF(E180="","",IFERROR(IF(INDEX(lst_exp_item_cat,MATCH(E180,lst_exp_items,0))="","❔ Без категории",INDEX(lst_exp_item_cat,MATCH(E180,lst_exp_items,0))),"❔ Без категории"))</f>
        <v/>
      </c>
      <c r="G180" s="43" t="n"/>
      <c r="H180" s="56" t="n"/>
      <c r="I180" s="43" t="n"/>
      <c r="J180" s="57">
        <f>IF(OR(A180="",H180=""),"",IF(COUNTIFS(exp_year,C180,exp_month,D180,exp_item,E180,exp_status,"&lt;&gt;❌ Отменено")&gt;0,1,0))</f>
        <v/>
      </c>
    </row>
    <row r="181">
      <c r="A181" s="52" t="n"/>
      <c r="B181" s="53">
        <f>IF(A181="","",CHOOSE(WEEKDAY(A181,2),"Пн","Вт","Ср","Чт","Пт","Сб","Вс"))</f>
        <v/>
      </c>
      <c r="C181" s="53">
        <f>IF(A181="","",YEAR(A181))</f>
        <v/>
      </c>
      <c r="D181" s="54">
        <f>IF(A181="","",INDEX(lst_months,MONTH(A181)))</f>
        <v/>
      </c>
      <c r="E181" s="55" t="n"/>
      <c r="F181" s="54">
        <f>IF(E181="","",IFERROR(IF(INDEX(lst_exp_item_cat,MATCH(E181,lst_exp_items,0))="","❔ Без категории",INDEX(lst_exp_item_cat,MATCH(E181,lst_exp_items,0))),"❔ Без категории"))</f>
        <v/>
      </c>
      <c r="G181" s="43" t="n"/>
      <c r="H181" s="56" t="n"/>
      <c r="I181" s="43" t="n"/>
      <c r="J181" s="57">
        <f>IF(OR(A181="",H181=""),"",IF(COUNTIFS(exp_year,C181,exp_month,D181,exp_item,E181,exp_status,"&lt;&gt;❌ Отменено")&gt;0,1,0))</f>
        <v/>
      </c>
    </row>
    <row r="182">
      <c r="A182" s="52" t="n"/>
      <c r="B182" s="53">
        <f>IF(A182="","",CHOOSE(WEEKDAY(A182,2),"Пн","Вт","Ср","Чт","Пт","Сб","Вс"))</f>
        <v/>
      </c>
      <c r="C182" s="53">
        <f>IF(A182="","",YEAR(A182))</f>
        <v/>
      </c>
      <c r="D182" s="54">
        <f>IF(A182="","",INDEX(lst_months,MONTH(A182)))</f>
        <v/>
      </c>
      <c r="E182" s="55" t="n"/>
      <c r="F182" s="54">
        <f>IF(E182="","",IFERROR(IF(INDEX(lst_exp_item_cat,MATCH(E182,lst_exp_items,0))="","❔ Без категории",INDEX(lst_exp_item_cat,MATCH(E182,lst_exp_items,0))),"❔ Без категории"))</f>
        <v/>
      </c>
      <c r="G182" s="43" t="n"/>
      <c r="H182" s="56" t="n"/>
      <c r="I182" s="43" t="n"/>
      <c r="J182" s="57">
        <f>IF(OR(A182="",H182=""),"",IF(COUNTIFS(exp_year,C182,exp_month,D182,exp_item,E182,exp_status,"&lt;&gt;❌ Отменено")&gt;0,1,0))</f>
        <v/>
      </c>
    </row>
    <row r="183">
      <c r="A183" s="52" t="n"/>
      <c r="B183" s="53">
        <f>IF(A183="","",CHOOSE(WEEKDAY(A183,2),"Пн","Вт","Ср","Чт","Пт","Сб","Вс"))</f>
        <v/>
      </c>
      <c r="C183" s="53">
        <f>IF(A183="","",YEAR(A183))</f>
        <v/>
      </c>
      <c r="D183" s="54">
        <f>IF(A183="","",INDEX(lst_months,MONTH(A183)))</f>
        <v/>
      </c>
      <c r="E183" s="55" t="n"/>
      <c r="F183" s="54">
        <f>IF(E183="","",IFERROR(IF(INDEX(lst_exp_item_cat,MATCH(E183,lst_exp_items,0))="","❔ Без категории",INDEX(lst_exp_item_cat,MATCH(E183,lst_exp_items,0))),"❔ Без категории"))</f>
        <v/>
      </c>
      <c r="G183" s="43" t="n"/>
      <c r="H183" s="56" t="n"/>
      <c r="I183" s="43" t="n"/>
      <c r="J183" s="57">
        <f>IF(OR(A183="",H183=""),"",IF(COUNTIFS(exp_year,C183,exp_month,D183,exp_item,E183,exp_status,"&lt;&gt;❌ Отменено")&gt;0,1,0))</f>
        <v/>
      </c>
    </row>
    <row r="184">
      <c r="A184" s="52" t="n"/>
      <c r="B184" s="53">
        <f>IF(A184="","",CHOOSE(WEEKDAY(A184,2),"Пн","Вт","Ср","Чт","Пт","Сб","Вс"))</f>
        <v/>
      </c>
      <c r="C184" s="53">
        <f>IF(A184="","",YEAR(A184))</f>
        <v/>
      </c>
      <c r="D184" s="54">
        <f>IF(A184="","",INDEX(lst_months,MONTH(A184)))</f>
        <v/>
      </c>
      <c r="E184" s="55" t="n"/>
      <c r="F184" s="54">
        <f>IF(E184="","",IFERROR(IF(INDEX(lst_exp_item_cat,MATCH(E184,lst_exp_items,0))="","❔ Без категории",INDEX(lst_exp_item_cat,MATCH(E184,lst_exp_items,0))),"❔ Без категории"))</f>
        <v/>
      </c>
      <c r="G184" s="43" t="n"/>
      <c r="H184" s="56" t="n"/>
      <c r="I184" s="43" t="n"/>
      <c r="J184" s="57">
        <f>IF(OR(A184="",H184=""),"",IF(COUNTIFS(exp_year,C184,exp_month,D184,exp_item,E184,exp_status,"&lt;&gt;❌ Отменено")&gt;0,1,0))</f>
        <v/>
      </c>
    </row>
    <row r="185">
      <c r="A185" s="52" t="n"/>
      <c r="B185" s="53">
        <f>IF(A185="","",CHOOSE(WEEKDAY(A185,2),"Пн","Вт","Ср","Чт","Пт","Сб","Вс"))</f>
        <v/>
      </c>
      <c r="C185" s="53">
        <f>IF(A185="","",YEAR(A185))</f>
        <v/>
      </c>
      <c r="D185" s="54">
        <f>IF(A185="","",INDEX(lst_months,MONTH(A185)))</f>
        <v/>
      </c>
      <c r="E185" s="55" t="n"/>
      <c r="F185" s="54">
        <f>IF(E185="","",IFERROR(IF(INDEX(lst_exp_item_cat,MATCH(E185,lst_exp_items,0))="","❔ Без категории",INDEX(lst_exp_item_cat,MATCH(E185,lst_exp_items,0))),"❔ Без категории"))</f>
        <v/>
      </c>
      <c r="G185" s="43" t="n"/>
      <c r="H185" s="56" t="n"/>
      <c r="I185" s="43" t="n"/>
      <c r="J185" s="57">
        <f>IF(OR(A185="",H185=""),"",IF(COUNTIFS(exp_year,C185,exp_month,D185,exp_item,E185,exp_status,"&lt;&gt;❌ Отменено")&gt;0,1,0))</f>
        <v/>
      </c>
    </row>
    <row r="186">
      <c r="A186" s="52" t="n"/>
      <c r="B186" s="53">
        <f>IF(A186="","",CHOOSE(WEEKDAY(A186,2),"Пн","Вт","Ср","Чт","Пт","Сб","Вс"))</f>
        <v/>
      </c>
      <c r="C186" s="53">
        <f>IF(A186="","",YEAR(A186))</f>
        <v/>
      </c>
      <c r="D186" s="54">
        <f>IF(A186="","",INDEX(lst_months,MONTH(A186)))</f>
        <v/>
      </c>
      <c r="E186" s="55" t="n"/>
      <c r="F186" s="54">
        <f>IF(E186="","",IFERROR(IF(INDEX(lst_exp_item_cat,MATCH(E186,lst_exp_items,0))="","❔ Без категории",INDEX(lst_exp_item_cat,MATCH(E186,lst_exp_items,0))),"❔ Без категории"))</f>
        <v/>
      </c>
      <c r="G186" s="43" t="n"/>
      <c r="H186" s="56" t="n"/>
      <c r="I186" s="43" t="n"/>
      <c r="J186" s="57">
        <f>IF(OR(A186="",H186=""),"",IF(COUNTIFS(exp_year,C186,exp_month,D186,exp_item,E186,exp_status,"&lt;&gt;❌ Отменено")&gt;0,1,0))</f>
        <v/>
      </c>
    </row>
    <row r="187">
      <c r="A187" s="52" t="n"/>
      <c r="B187" s="53">
        <f>IF(A187="","",CHOOSE(WEEKDAY(A187,2),"Пн","Вт","Ср","Чт","Пт","Сб","Вс"))</f>
        <v/>
      </c>
      <c r="C187" s="53">
        <f>IF(A187="","",YEAR(A187))</f>
        <v/>
      </c>
      <c r="D187" s="54">
        <f>IF(A187="","",INDEX(lst_months,MONTH(A187)))</f>
        <v/>
      </c>
      <c r="E187" s="55" t="n"/>
      <c r="F187" s="54">
        <f>IF(E187="","",IFERROR(IF(INDEX(lst_exp_item_cat,MATCH(E187,lst_exp_items,0))="","❔ Без категории",INDEX(lst_exp_item_cat,MATCH(E187,lst_exp_items,0))),"❔ Без категории"))</f>
        <v/>
      </c>
      <c r="G187" s="43" t="n"/>
      <c r="H187" s="56" t="n"/>
      <c r="I187" s="43" t="n"/>
      <c r="J187" s="57">
        <f>IF(OR(A187="",H187=""),"",IF(COUNTIFS(exp_year,C187,exp_month,D187,exp_item,E187,exp_status,"&lt;&gt;❌ Отменено")&gt;0,1,0))</f>
        <v/>
      </c>
    </row>
    <row r="188">
      <c r="A188" s="52" t="n"/>
      <c r="B188" s="53">
        <f>IF(A188="","",CHOOSE(WEEKDAY(A188,2),"Пн","Вт","Ср","Чт","Пт","Сб","Вс"))</f>
        <v/>
      </c>
      <c r="C188" s="53">
        <f>IF(A188="","",YEAR(A188))</f>
        <v/>
      </c>
      <c r="D188" s="54">
        <f>IF(A188="","",INDEX(lst_months,MONTH(A188)))</f>
        <v/>
      </c>
      <c r="E188" s="55" t="n"/>
      <c r="F188" s="54">
        <f>IF(E188="","",IFERROR(IF(INDEX(lst_exp_item_cat,MATCH(E188,lst_exp_items,0))="","❔ Без категории",INDEX(lst_exp_item_cat,MATCH(E188,lst_exp_items,0))),"❔ Без категории"))</f>
        <v/>
      </c>
      <c r="G188" s="43" t="n"/>
      <c r="H188" s="56" t="n"/>
      <c r="I188" s="43" t="n"/>
      <c r="J188" s="57">
        <f>IF(OR(A188="",H188=""),"",IF(COUNTIFS(exp_year,C188,exp_month,D188,exp_item,E188,exp_status,"&lt;&gt;❌ Отменено")&gt;0,1,0))</f>
        <v/>
      </c>
    </row>
    <row r="189">
      <c r="A189" s="52" t="n"/>
      <c r="B189" s="53">
        <f>IF(A189="","",CHOOSE(WEEKDAY(A189,2),"Пн","Вт","Ср","Чт","Пт","Сб","Вс"))</f>
        <v/>
      </c>
      <c r="C189" s="53">
        <f>IF(A189="","",YEAR(A189))</f>
        <v/>
      </c>
      <c r="D189" s="54">
        <f>IF(A189="","",INDEX(lst_months,MONTH(A189)))</f>
        <v/>
      </c>
      <c r="E189" s="55" t="n"/>
      <c r="F189" s="54">
        <f>IF(E189="","",IFERROR(IF(INDEX(lst_exp_item_cat,MATCH(E189,lst_exp_items,0))="","❔ Без категории",INDEX(lst_exp_item_cat,MATCH(E189,lst_exp_items,0))),"❔ Без категории"))</f>
        <v/>
      </c>
      <c r="G189" s="43" t="n"/>
      <c r="H189" s="56" t="n"/>
      <c r="I189" s="43" t="n"/>
      <c r="J189" s="57">
        <f>IF(OR(A189="",H189=""),"",IF(COUNTIFS(exp_year,C189,exp_month,D189,exp_item,E189,exp_status,"&lt;&gt;❌ Отменено")&gt;0,1,0))</f>
        <v/>
      </c>
    </row>
    <row r="190">
      <c r="A190" s="52" t="n"/>
      <c r="B190" s="53">
        <f>IF(A190="","",CHOOSE(WEEKDAY(A190,2),"Пн","Вт","Ср","Чт","Пт","Сб","Вс"))</f>
        <v/>
      </c>
      <c r="C190" s="53">
        <f>IF(A190="","",YEAR(A190))</f>
        <v/>
      </c>
      <c r="D190" s="54">
        <f>IF(A190="","",INDEX(lst_months,MONTH(A190)))</f>
        <v/>
      </c>
      <c r="E190" s="55" t="n"/>
      <c r="F190" s="54">
        <f>IF(E190="","",IFERROR(IF(INDEX(lst_exp_item_cat,MATCH(E190,lst_exp_items,0))="","❔ Без категории",INDEX(lst_exp_item_cat,MATCH(E190,lst_exp_items,0))),"❔ Без категории"))</f>
        <v/>
      </c>
      <c r="G190" s="43" t="n"/>
      <c r="H190" s="56" t="n"/>
      <c r="I190" s="43" t="n"/>
      <c r="J190" s="57">
        <f>IF(OR(A190="",H190=""),"",IF(COUNTIFS(exp_year,C190,exp_month,D190,exp_item,E190,exp_status,"&lt;&gt;❌ Отменено")&gt;0,1,0))</f>
        <v/>
      </c>
    </row>
    <row r="191">
      <c r="A191" s="52" t="n"/>
      <c r="B191" s="53">
        <f>IF(A191="","",CHOOSE(WEEKDAY(A191,2),"Пн","Вт","Ср","Чт","Пт","Сб","Вс"))</f>
        <v/>
      </c>
      <c r="C191" s="53">
        <f>IF(A191="","",YEAR(A191))</f>
        <v/>
      </c>
      <c r="D191" s="54">
        <f>IF(A191="","",INDEX(lst_months,MONTH(A191)))</f>
        <v/>
      </c>
      <c r="E191" s="55" t="n"/>
      <c r="F191" s="54">
        <f>IF(E191="","",IFERROR(IF(INDEX(lst_exp_item_cat,MATCH(E191,lst_exp_items,0))="","❔ Без категории",INDEX(lst_exp_item_cat,MATCH(E191,lst_exp_items,0))),"❔ Без категории"))</f>
        <v/>
      </c>
      <c r="G191" s="43" t="n"/>
      <c r="H191" s="56" t="n"/>
      <c r="I191" s="43" t="n"/>
      <c r="J191" s="57">
        <f>IF(OR(A191="",H191=""),"",IF(COUNTIFS(exp_year,C191,exp_month,D191,exp_item,E191,exp_status,"&lt;&gt;❌ Отменено")&gt;0,1,0))</f>
        <v/>
      </c>
    </row>
    <row r="192">
      <c r="A192" s="52" t="n"/>
      <c r="B192" s="53">
        <f>IF(A192="","",CHOOSE(WEEKDAY(A192,2),"Пн","Вт","Ср","Чт","Пт","Сб","Вс"))</f>
        <v/>
      </c>
      <c r="C192" s="53">
        <f>IF(A192="","",YEAR(A192))</f>
        <v/>
      </c>
      <c r="D192" s="54">
        <f>IF(A192="","",INDEX(lst_months,MONTH(A192)))</f>
        <v/>
      </c>
      <c r="E192" s="55" t="n"/>
      <c r="F192" s="54">
        <f>IF(E192="","",IFERROR(IF(INDEX(lst_exp_item_cat,MATCH(E192,lst_exp_items,0))="","❔ Без категории",INDEX(lst_exp_item_cat,MATCH(E192,lst_exp_items,0))),"❔ Без категории"))</f>
        <v/>
      </c>
      <c r="G192" s="43" t="n"/>
      <c r="H192" s="56" t="n"/>
      <c r="I192" s="43" t="n"/>
      <c r="J192" s="57">
        <f>IF(OR(A192="",H192=""),"",IF(COUNTIFS(exp_year,C192,exp_month,D192,exp_item,E192,exp_status,"&lt;&gt;❌ Отменено")&gt;0,1,0))</f>
        <v/>
      </c>
    </row>
    <row r="193">
      <c r="A193" s="52" t="n"/>
      <c r="B193" s="53">
        <f>IF(A193="","",CHOOSE(WEEKDAY(A193,2),"Пн","Вт","Ср","Чт","Пт","Сб","Вс"))</f>
        <v/>
      </c>
      <c r="C193" s="53">
        <f>IF(A193="","",YEAR(A193))</f>
        <v/>
      </c>
      <c r="D193" s="54">
        <f>IF(A193="","",INDEX(lst_months,MONTH(A193)))</f>
        <v/>
      </c>
      <c r="E193" s="55" t="n"/>
      <c r="F193" s="54">
        <f>IF(E193="","",IFERROR(IF(INDEX(lst_exp_item_cat,MATCH(E193,lst_exp_items,0))="","❔ Без категории",INDEX(lst_exp_item_cat,MATCH(E193,lst_exp_items,0))),"❔ Без категории"))</f>
        <v/>
      </c>
      <c r="G193" s="43" t="n"/>
      <c r="H193" s="56" t="n"/>
      <c r="I193" s="43" t="n"/>
      <c r="J193" s="57">
        <f>IF(OR(A193="",H193=""),"",IF(COUNTIFS(exp_year,C193,exp_month,D193,exp_item,E193,exp_status,"&lt;&gt;❌ Отменено")&gt;0,1,0))</f>
        <v/>
      </c>
    </row>
    <row r="194">
      <c r="A194" s="52" t="n"/>
      <c r="B194" s="53">
        <f>IF(A194="","",CHOOSE(WEEKDAY(A194,2),"Пн","Вт","Ср","Чт","Пт","Сб","Вс"))</f>
        <v/>
      </c>
      <c r="C194" s="53">
        <f>IF(A194="","",YEAR(A194))</f>
        <v/>
      </c>
      <c r="D194" s="54">
        <f>IF(A194="","",INDEX(lst_months,MONTH(A194)))</f>
        <v/>
      </c>
      <c r="E194" s="55" t="n"/>
      <c r="F194" s="54">
        <f>IF(E194="","",IFERROR(IF(INDEX(lst_exp_item_cat,MATCH(E194,lst_exp_items,0))="","❔ Без категории",INDEX(lst_exp_item_cat,MATCH(E194,lst_exp_items,0))),"❔ Без категории"))</f>
        <v/>
      </c>
      <c r="G194" s="43" t="n"/>
      <c r="H194" s="56" t="n"/>
      <c r="I194" s="43" t="n"/>
      <c r="J194" s="57">
        <f>IF(OR(A194="",H194=""),"",IF(COUNTIFS(exp_year,C194,exp_month,D194,exp_item,E194,exp_status,"&lt;&gt;❌ Отменено")&gt;0,1,0))</f>
        <v/>
      </c>
    </row>
    <row r="195">
      <c r="A195" s="52" t="n"/>
      <c r="B195" s="53">
        <f>IF(A195="","",CHOOSE(WEEKDAY(A195,2),"Пн","Вт","Ср","Чт","Пт","Сб","Вс"))</f>
        <v/>
      </c>
      <c r="C195" s="53">
        <f>IF(A195="","",YEAR(A195))</f>
        <v/>
      </c>
      <c r="D195" s="54">
        <f>IF(A195="","",INDEX(lst_months,MONTH(A195)))</f>
        <v/>
      </c>
      <c r="E195" s="55" t="n"/>
      <c r="F195" s="54">
        <f>IF(E195="","",IFERROR(IF(INDEX(lst_exp_item_cat,MATCH(E195,lst_exp_items,0))="","❔ Без категории",INDEX(lst_exp_item_cat,MATCH(E195,lst_exp_items,0))),"❔ Без категории"))</f>
        <v/>
      </c>
      <c r="G195" s="43" t="n"/>
      <c r="H195" s="56" t="n"/>
      <c r="I195" s="43" t="n"/>
      <c r="J195" s="57">
        <f>IF(OR(A195="",H195=""),"",IF(COUNTIFS(exp_year,C195,exp_month,D195,exp_item,E195,exp_status,"&lt;&gt;❌ Отменено")&gt;0,1,0))</f>
        <v/>
      </c>
    </row>
    <row r="196">
      <c r="A196" s="52" t="n"/>
      <c r="B196" s="53">
        <f>IF(A196="","",CHOOSE(WEEKDAY(A196,2),"Пн","Вт","Ср","Чт","Пт","Сб","Вс"))</f>
        <v/>
      </c>
      <c r="C196" s="53">
        <f>IF(A196="","",YEAR(A196))</f>
        <v/>
      </c>
      <c r="D196" s="54">
        <f>IF(A196="","",INDEX(lst_months,MONTH(A196)))</f>
        <v/>
      </c>
      <c r="E196" s="55" t="n"/>
      <c r="F196" s="54">
        <f>IF(E196="","",IFERROR(IF(INDEX(lst_exp_item_cat,MATCH(E196,lst_exp_items,0))="","❔ Без категории",INDEX(lst_exp_item_cat,MATCH(E196,lst_exp_items,0))),"❔ Без категории"))</f>
        <v/>
      </c>
      <c r="G196" s="43" t="n"/>
      <c r="H196" s="56" t="n"/>
      <c r="I196" s="43" t="n"/>
      <c r="J196" s="57">
        <f>IF(OR(A196="",H196=""),"",IF(COUNTIFS(exp_year,C196,exp_month,D196,exp_item,E196,exp_status,"&lt;&gt;❌ Отменено")&gt;0,1,0))</f>
        <v/>
      </c>
    </row>
    <row r="197">
      <c r="A197" s="52" t="n"/>
      <c r="B197" s="53">
        <f>IF(A197="","",CHOOSE(WEEKDAY(A197,2),"Пн","Вт","Ср","Чт","Пт","Сб","Вс"))</f>
        <v/>
      </c>
      <c r="C197" s="53">
        <f>IF(A197="","",YEAR(A197))</f>
        <v/>
      </c>
      <c r="D197" s="54">
        <f>IF(A197="","",INDEX(lst_months,MONTH(A197)))</f>
        <v/>
      </c>
      <c r="E197" s="55" t="n"/>
      <c r="F197" s="54">
        <f>IF(E197="","",IFERROR(IF(INDEX(lst_exp_item_cat,MATCH(E197,lst_exp_items,0))="","❔ Без категории",INDEX(lst_exp_item_cat,MATCH(E197,lst_exp_items,0))),"❔ Без категории"))</f>
        <v/>
      </c>
      <c r="G197" s="43" t="n"/>
      <c r="H197" s="56" t="n"/>
      <c r="I197" s="43" t="n"/>
      <c r="J197" s="57">
        <f>IF(OR(A197="",H197=""),"",IF(COUNTIFS(exp_year,C197,exp_month,D197,exp_item,E197,exp_status,"&lt;&gt;❌ Отменено")&gt;0,1,0))</f>
        <v/>
      </c>
    </row>
    <row r="198">
      <c r="A198" s="52" t="n"/>
      <c r="B198" s="53">
        <f>IF(A198="","",CHOOSE(WEEKDAY(A198,2),"Пн","Вт","Ср","Чт","Пт","Сб","Вс"))</f>
        <v/>
      </c>
      <c r="C198" s="53">
        <f>IF(A198="","",YEAR(A198))</f>
        <v/>
      </c>
      <c r="D198" s="54">
        <f>IF(A198="","",INDEX(lst_months,MONTH(A198)))</f>
        <v/>
      </c>
      <c r="E198" s="55" t="n"/>
      <c r="F198" s="54">
        <f>IF(E198="","",IFERROR(IF(INDEX(lst_exp_item_cat,MATCH(E198,lst_exp_items,0))="","❔ Без категории",INDEX(lst_exp_item_cat,MATCH(E198,lst_exp_items,0))),"❔ Без категории"))</f>
        <v/>
      </c>
      <c r="G198" s="43" t="n"/>
      <c r="H198" s="56" t="n"/>
      <c r="I198" s="43" t="n"/>
      <c r="J198" s="57">
        <f>IF(OR(A198="",H198=""),"",IF(COUNTIFS(exp_year,C198,exp_month,D198,exp_item,E198,exp_status,"&lt;&gt;❌ Отменено")&gt;0,1,0))</f>
        <v/>
      </c>
    </row>
    <row r="199">
      <c r="A199" s="52" t="n"/>
      <c r="B199" s="53">
        <f>IF(A199="","",CHOOSE(WEEKDAY(A199,2),"Пн","Вт","Ср","Чт","Пт","Сб","Вс"))</f>
        <v/>
      </c>
      <c r="C199" s="53">
        <f>IF(A199="","",YEAR(A199))</f>
        <v/>
      </c>
      <c r="D199" s="54">
        <f>IF(A199="","",INDEX(lst_months,MONTH(A199)))</f>
        <v/>
      </c>
      <c r="E199" s="55" t="n"/>
      <c r="F199" s="54">
        <f>IF(E199="","",IFERROR(IF(INDEX(lst_exp_item_cat,MATCH(E199,lst_exp_items,0))="","❔ Без категории",INDEX(lst_exp_item_cat,MATCH(E199,lst_exp_items,0))),"❔ Без категории"))</f>
        <v/>
      </c>
      <c r="G199" s="43" t="n"/>
      <c r="H199" s="56" t="n"/>
      <c r="I199" s="43" t="n"/>
      <c r="J199" s="57">
        <f>IF(OR(A199="",H199=""),"",IF(COUNTIFS(exp_year,C199,exp_month,D199,exp_item,E199,exp_status,"&lt;&gt;❌ Отменено")&gt;0,1,0))</f>
        <v/>
      </c>
    </row>
    <row r="200">
      <c r="A200" s="52" t="n"/>
      <c r="B200" s="53">
        <f>IF(A200="","",CHOOSE(WEEKDAY(A200,2),"Пн","Вт","Ср","Чт","Пт","Сб","Вс"))</f>
        <v/>
      </c>
      <c r="C200" s="53">
        <f>IF(A200="","",YEAR(A200))</f>
        <v/>
      </c>
      <c r="D200" s="54">
        <f>IF(A200="","",INDEX(lst_months,MONTH(A200)))</f>
        <v/>
      </c>
      <c r="E200" s="55" t="n"/>
      <c r="F200" s="54">
        <f>IF(E200="","",IFERROR(IF(INDEX(lst_exp_item_cat,MATCH(E200,lst_exp_items,0))="","❔ Без категории",INDEX(lst_exp_item_cat,MATCH(E200,lst_exp_items,0))),"❔ Без категории"))</f>
        <v/>
      </c>
      <c r="G200" s="43" t="n"/>
      <c r="H200" s="56" t="n"/>
      <c r="I200" s="43" t="n"/>
      <c r="J200" s="57">
        <f>IF(OR(A200="",H200=""),"",IF(COUNTIFS(exp_year,C200,exp_month,D200,exp_item,E200,exp_status,"&lt;&gt;❌ Отменено")&gt;0,1,0))</f>
        <v/>
      </c>
    </row>
    <row r="201">
      <c r="A201" s="52" t="n"/>
      <c r="B201" s="53">
        <f>IF(A201="","",CHOOSE(WEEKDAY(A201,2),"Пн","Вт","Ср","Чт","Пт","Сб","Вс"))</f>
        <v/>
      </c>
      <c r="C201" s="53">
        <f>IF(A201="","",YEAR(A201))</f>
        <v/>
      </c>
      <c r="D201" s="54">
        <f>IF(A201="","",INDEX(lst_months,MONTH(A201)))</f>
        <v/>
      </c>
      <c r="E201" s="55" t="n"/>
      <c r="F201" s="54">
        <f>IF(E201="","",IFERROR(IF(INDEX(lst_exp_item_cat,MATCH(E201,lst_exp_items,0))="","❔ Без категории",INDEX(lst_exp_item_cat,MATCH(E201,lst_exp_items,0))),"❔ Без категории"))</f>
        <v/>
      </c>
      <c r="G201" s="43" t="n"/>
      <c r="H201" s="56" t="n"/>
      <c r="I201" s="43" t="n"/>
      <c r="J201" s="57">
        <f>IF(OR(A201="",H201=""),"",IF(COUNTIFS(exp_year,C201,exp_month,D201,exp_item,E201,exp_status,"&lt;&gt;❌ Отменено")&gt;0,1,0))</f>
        <v/>
      </c>
    </row>
    <row r="202">
      <c r="A202" s="52" t="n"/>
      <c r="B202" s="53">
        <f>IF(A202="","",CHOOSE(WEEKDAY(A202,2),"Пн","Вт","Ср","Чт","Пт","Сб","Вс"))</f>
        <v/>
      </c>
      <c r="C202" s="53">
        <f>IF(A202="","",YEAR(A202))</f>
        <v/>
      </c>
      <c r="D202" s="54">
        <f>IF(A202="","",INDEX(lst_months,MONTH(A202)))</f>
        <v/>
      </c>
      <c r="E202" s="55" t="n"/>
      <c r="F202" s="54">
        <f>IF(E202="","",IFERROR(IF(INDEX(lst_exp_item_cat,MATCH(E202,lst_exp_items,0))="","❔ Без категории",INDEX(lst_exp_item_cat,MATCH(E202,lst_exp_items,0))),"❔ Без категории"))</f>
        <v/>
      </c>
      <c r="G202" s="43" t="n"/>
      <c r="H202" s="56" t="n"/>
      <c r="I202" s="43" t="n"/>
      <c r="J202" s="57">
        <f>IF(OR(A202="",H202=""),"",IF(COUNTIFS(exp_year,C202,exp_month,D202,exp_item,E202,exp_status,"&lt;&gt;❌ Отменено")&gt;0,1,0))</f>
        <v/>
      </c>
    </row>
    <row r="203">
      <c r="A203" s="52" t="n"/>
      <c r="B203" s="53">
        <f>IF(A203="","",CHOOSE(WEEKDAY(A203,2),"Пн","Вт","Ср","Чт","Пт","Сб","Вс"))</f>
        <v/>
      </c>
      <c r="C203" s="53">
        <f>IF(A203="","",YEAR(A203))</f>
        <v/>
      </c>
      <c r="D203" s="54">
        <f>IF(A203="","",INDEX(lst_months,MONTH(A203)))</f>
        <v/>
      </c>
      <c r="E203" s="55" t="n"/>
      <c r="F203" s="54">
        <f>IF(E203="","",IFERROR(IF(INDEX(lst_exp_item_cat,MATCH(E203,lst_exp_items,0))="","❔ Без категории",INDEX(lst_exp_item_cat,MATCH(E203,lst_exp_items,0))),"❔ Без категории"))</f>
        <v/>
      </c>
      <c r="G203" s="43" t="n"/>
      <c r="H203" s="56" t="n"/>
      <c r="I203" s="43" t="n"/>
      <c r="J203" s="57">
        <f>IF(OR(A203="",H203=""),"",IF(COUNTIFS(exp_year,C203,exp_month,D203,exp_item,E203,exp_status,"&lt;&gt;❌ Отменено")&gt;0,1,0))</f>
        <v/>
      </c>
    </row>
    <row r="204">
      <c r="A204" s="52" t="n"/>
      <c r="B204" s="53">
        <f>IF(A204="","",CHOOSE(WEEKDAY(A204,2),"Пн","Вт","Ср","Чт","Пт","Сб","Вс"))</f>
        <v/>
      </c>
      <c r="C204" s="53">
        <f>IF(A204="","",YEAR(A204))</f>
        <v/>
      </c>
      <c r="D204" s="54">
        <f>IF(A204="","",INDEX(lst_months,MONTH(A204)))</f>
        <v/>
      </c>
      <c r="E204" s="55" t="n"/>
      <c r="F204" s="54">
        <f>IF(E204="","",IFERROR(IF(INDEX(lst_exp_item_cat,MATCH(E204,lst_exp_items,0))="","❔ Без категории",INDEX(lst_exp_item_cat,MATCH(E204,lst_exp_items,0))),"❔ Без категории"))</f>
        <v/>
      </c>
      <c r="G204" s="43" t="n"/>
      <c r="H204" s="56" t="n"/>
      <c r="I204" s="43" t="n"/>
      <c r="J204" s="57">
        <f>IF(OR(A204="",H204=""),"",IF(COUNTIFS(exp_year,C204,exp_month,D204,exp_item,E204,exp_status,"&lt;&gt;❌ Отменено")&gt;0,1,0))</f>
        <v/>
      </c>
    </row>
    <row r="205">
      <c r="A205" s="52" t="n"/>
      <c r="B205" s="53">
        <f>IF(A205="","",CHOOSE(WEEKDAY(A205,2),"Пн","Вт","Ср","Чт","Пт","Сб","Вс"))</f>
        <v/>
      </c>
      <c r="C205" s="53">
        <f>IF(A205="","",YEAR(A205))</f>
        <v/>
      </c>
      <c r="D205" s="54">
        <f>IF(A205="","",INDEX(lst_months,MONTH(A205)))</f>
        <v/>
      </c>
      <c r="E205" s="55" t="n"/>
      <c r="F205" s="54">
        <f>IF(E205="","",IFERROR(IF(INDEX(lst_exp_item_cat,MATCH(E205,lst_exp_items,0))="","❔ Без категории",INDEX(lst_exp_item_cat,MATCH(E205,lst_exp_items,0))),"❔ Без категории"))</f>
        <v/>
      </c>
      <c r="G205" s="43" t="n"/>
      <c r="H205" s="56" t="n"/>
      <c r="I205" s="43" t="n"/>
      <c r="J205" s="57">
        <f>IF(OR(A205="",H205=""),"",IF(COUNTIFS(exp_year,C205,exp_month,D205,exp_item,E205,exp_status,"&lt;&gt;❌ Отменено")&gt;0,1,0))</f>
        <v/>
      </c>
    </row>
    <row r="206">
      <c r="A206" s="52" t="n"/>
      <c r="B206" s="53">
        <f>IF(A206="","",CHOOSE(WEEKDAY(A206,2),"Пн","Вт","Ср","Чт","Пт","Сб","Вс"))</f>
        <v/>
      </c>
      <c r="C206" s="53">
        <f>IF(A206="","",YEAR(A206))</f>
        <v/>
      </c>
      <c r="D206" s="54">
        <f>IF(A206="","",INDEX(lst_months,MONTH(A206)))</f>
        <v/>
      </c>
      <c r="E206" s="55" t="n"/>
      <c r="F206" s="54">
        <f>IF(E206="","",IFERROR(IF(INDEX(lst_exp_item_cat,MATCH(E206,lst_exp_items,0))="","❔ Без категории",INDEX(lst_exp_item_cat,MATCH(E206,lst_exp_items,0))),"❔ Без категории"))</f>
        <v/>
      </c>
      <c r="G206" s="43" t="n"/>
      <c r="H206" s="56" t="n"/>
      <c r="I206" s="43" t="n"/>
      <c r="J206" s="57">
        <f>IF(OR(A206="",H206=""),"",IF(COUNTIFS(exp_year,C206,exp_month,D206,exp_item,E206,exp_status,"&lt;&gt;❌ Отменено")&gt;0,1,0))</f>
        <v/>
      </c>
    </row>
    <row r="207">
      <c r="A207" s="52" t="n"/>
      <c r="B207" s="53">
        <f>IF(A207="","",CHOOSE(WEEKDAY(A207,2),"Пн","Вт","Ср","Чт","Пт","Сб","Вс"))</f>
        <v/>
      </c>
      <c r="C207" s="53">
        <f>IF(A207="","",YEAR(A207))</f>
        <v/>
      </c>
      <c r="D207" s="54">
        <f>IF(A207="","",INDEX(lst_months,MONTH(A207)))</f>
        <v/>
      </c>
      <c r="E207" s="55" t="n"/>
      <c r="F207" s="54">
        <f>IF(E207="","",IFERROR(IF(INDEX(lst_exp_item_cat,MATCH(E207,lst_exp_items,0))="","❔ Без категории",INDEX(lst_exp_item_cat,MATCH(E207,lst_exp_items,0))),"❔ Без категории"))</f>
        <v/>
      </c>
      <c r="G207" s="43" t="n"/>
      <c r="H207" s="56" t="n"/>
      <c r="I207" s="43" t="n"/>
      <c r="J207" s="57">
        <f>IF(OR(A207="",H207=""),"",IF(COUNTIFS(exp_year,C207,exp_month,D207,exp_item,E207,exp_status,"&lt;&gt;❌ Отменено")&gt;0,1,0))</f>
        <v/>
      </c>
    </row>
    <row r="208">
      <c r="A208" s="52" t="n"/>
      <c r="B208" s="53">
        <f>IF(A208="","",CHOOSE(WEEKDAY(A208,2),"Пн","Вт","Ср","Чт","Пт","Сб","Вс"))</f>
        <v/>
      </c>
      <c r="C208" s="53">
        <f>IF(A208="","",YEAR(A208))</f>
        <v/>
      </c>
      <c r="D208" s="54">
        <f>IF(A208="","",INDEX(lst_months,MONTH(A208)))</f>
        <v/>
      </c>
      <c r="E208" s="55" t="n"/>
      <c r="F208" s="54">
        <f>IF(E208="","",IFERROR(IF(INDEX(lst_exp_item_cat,MATCH(E208,lst_exp_items,0))="","❔ Без категории",INDEX(lst_exp_item_cat,MATCH(E208,lst_exp_items,0))),"❔ Без категории"))</f>
        <v/>
      </c>
      <c r="G208" s="43" t="n"/>
      <c r="H208" s="56" t="n"/>
      <c r="I208" s="43" t="n"/>
      <c r="J208" s="57">
        <f>IF(OR(A208="",H208=""),"",IF(COUNTIFS(exp_year,C208,exp_month,D208,exp_item,E208,exp_status,"&lt;&gt;❌ Отменено")&gt;0,1,0))</f>
        <v/>
      </c>
    </row>
    <row r="209">
      <c r="A209" s="52" t="n"/>
      <c r="B209" s="53">
        <f>IF(A209="","",CHOOSE(WEEKDAY(A209,2),"Пн","Вт","Ср","Чт","Пт","Сб","Вс"))</f>
        <v/>
      </c>
      <c r="C209" s="53">
        <f>IF(A209="","",YEAR(A209))</f>
        <v/>
      </c>
      <c r="D209" s="54">
        <f>IF(A209="","",INDEX(lst_months,MONTH(A209)))</f>
        <v/>
      </c>
      <c r="E209" s="55" t="n"/>
      <c r="F209" s="54">
        <f>IF(E209="","",IFERROR(IF(INDEX(lst_exp_item_cat,MATCH(E209,lst_exp_items,0))="","❔ Без категории",INDEX(lst_exp_item_cat,MATCH(E209,lst_exp_items,0))),"❔ Без категории"))</f>
        <v/>
      </c>
      <c r="G209" s="43" t="n"/>
      <c r="H209" s="56" t="n"/>
      <c r="I209" s="43" t="n"/>
      <c r="J209" s="57">
        <f>IF(OR(A209="",H209=""),"",IF(COUNTIFS(exp_year,C209,exp_month,D209,exp_item,E209,exp_status,"&lt;&gt;❌ Отменено")&gt;0,1,0))</f>
        <v/>
      </c>
    </row>
    <row r="210">
      <c r="A210" s="52" t="n"/>
      <c r="B210" s="53">
        <f>IF(A210="","",CHOOSE(WEEKDAY(A210,2),"Пн","Вт","Ср","Чт","Пт","Сб","Вс"))</f>
        <v/>
      </c>
      <c r="C210" s="53">
        <f>IF(A210="","",YEAR(A210))</f>
        <v/>
      </c>
      <c r="D210" s="54">
        <f>IF(A210="","",INDEX(lst_months,MONTH(A210)))</f>
        <v/>
      </c>
      <c r="E210" s="55" t="n"/>
      <c r="F210" s="54">
        <f>IF(E210="","",IFERROR(IF(INDEX(lst_exp_item_cat,MATCH(E210,lst_exp_items,0))="","❔ Без категории",INDEX(lst_exp_item_cat,MATCH(E210,lst_exp_items,0))),"❔ Без категории"))</f>
        <v/>
      </c>
      <c r="G210" s="43" t="n"/>
      <c r="H210" s="56" t="n"/>
      <c r="I210" s="43" t="n"/>
      <c r="J210" s="57">
        <f>IF(OR(A210="",H210=""),"",IF(COUNTIFS(exp_year,C210,exp_month,D210,exp_item,E210,exp_status,"&lt;&gt;❌ Отменено")&gt;0,1,0))</f>
        <v/>
      </c>
    </row>
    <row r="211">
      <c r="A211" s="52" t="n"/>
      <c r="B211" s="53">
        <f>IF(A211="","",CHOOSE(WEEKDAY(A211,2),"Пн","Вт","Ср","Чт","Пт","Сб","Вс"))</f>
        <v/>
      </c>
      <c r="C211" s="53">
        <f>IF(A211="","",YEAR(A211))</f>
        <v/>
      </c>
      <c r="D211" s="54">
        <f>IF(A211="","",INDEX(lst_months,MONTH(A211)))</f>
        <v/>
      </c>
      <c r="E211" s="55" t="n"/>
      <c r="F211" s="54">
        <f>IF(E211="","",IFERROR(IF(INDEX(lst_exp_item_cat,MATCH(E211,lst_exp_items,0))="","❔ Без категории",INDEX(lst_exp_item_cat,MATCH(E211,lst_exp_items,0))),"❔ Без категории"))</f>
        <v/>
      </c>
      <c r="G211" s="43" t="n"/>
      <c r="H211" s="56" t="n"/>
      <c r="I211" s="43" t="n"/>
      <c r="J211" s="57">
        <f>IF(OR(A211="",H211=""),"",IF(COUNTIFS(exp_year,C211,exp_month,D211,exp_item,E211,exp_status,"&lt;&gt;❌ Отменено")&gt;0,1,0))</f>
        <v/>
      </c>
    </row>
    <row r="212">
      <c r="A212" s="52" t="n"/>
      <c r="B212" s="53">
        <f>IF(A212="","",CHOOSE(WEEKDAY(A212,2),"Пн","Вт","Ср","Чт","Пт","Сб","Вс"))</f>
        <v/>
      </c>
      <c r="C212" s="53">
        <f>IF(A212="","",YEAR(A212))</f>
        <v/>
      </c>
      <c r="D212" s="54">
        <f>IF(A212="","",INDEX(lst_months,MONTH(A212)))</f>
        <v/>
      </c>
      <c r="E212" s="55" t="n"/>
      <c r="F212" s="54">
        <f>IF(E212="","",IFERROR(IF(INDEX(lst_exp_item_cat,MATCH(E212,lst_exp_items,0))="","❔ Без категории",INDEX(lst_exp_item_cat,MATCH(E212,lst_exp_items,0))),"❔ Без категории"))</f>
        <v/>
      </c>
      <c r="G212" s="43" t="n"/>
      <c r="H212" s="56" t="n"/>
      <c r="I212" s="43" t="n"/>
      <c r="J212" s="57">
        <f>IF(OR(A212="",H212=""),"",IF(COUNTIFS(exp_year,C212,exp_month,D212,exp_item,E212,exp_status,"&lt;&gt;❌ Отменено")&gt;0,1,0))</f>
        <v/>
      </c>
    </row>
    <row r="213">
      <c r="A213" s="52" t="n"/>
      <c r="B213" s="53">
        <f>IF(A213="","",CHOOSE(WEEKDAY(A213,2),"Пн","Вт","Ср","Чт","Пт","Сб","Вс"))</f>
        <v/>
      </c>
      <c r="C213" s="53">
        <f>IF(A213="","",YEAR(A213))</f>
        <v/>
      </c>
      <c r="D213" s="54">
        <f>IF(A213="","",INDEX(lst_months,MONTH(A213)))</f>
        <v/>
      </c>
      <c r="E213" s="55" t="n"/>
      <c r="F213" s="54">
        <f>IF(E213="","",IFERROR(IF(INDEX(lst_exp_item_cat,MATCH(E213,lst_exp_items,0))="","❔ Без категории",INDEX(lst_exp_item_cat,MATCH(E213,lst_exp_items,0))),"❔ Без категории"))</f>
        <v/>
      </c>
      <c r="G213" s="43" t="n"/>
      <c r="H213" s="56" t="n"/>
      <c r="I213" s="43" t="n"/>
      <c r="J213" s="57">
        <f>IF(OR(A213="",H213=""),"",IF(COUNTIFS(exp_year,C213,exp_month,D213,exp_item,E213,exp_status,"&lt;&gt;❌ Отменено")&gt;0,1,0))</f>
        <v/>
      </c>
    </row>
    <row r="214">
      <c r="A214" s="52" t="n"/>
      <c r="B214" s="53">
        <f>IF(A214="","",CHOOSE(WEEKDAY(A214,2),"Пн","Вт","Ср","Чт","Пт","Сб","Вс"))</f>
        <v/>
      </c>
      <c r="C214" s="53">
        <f>IF(A214="","",YEAR(A214))</f>
        <v/>
      </c>
      <c r="D214" s="54">
        <f>IF(A214="","",INDEX(lst_months,MONTH(A214)))</f>
        <v/>
      </c>
      <c r="E214" s="55" t="n"/>
      <c r="F214" s="54">
        <f>IF(E214="","",IFERROR(IF(INDEX(lst_exp_item_cat,MATCH(E214,lst_exp_items,0))="","❔ Без категории",INDEX(lst_exp_item_cat,MATCH(E214,lst_exp_items,0))),"❔ Без категории"))</f>
        <v/>
      </c>
      <c r="G214" s="43" t="n"/>
      <c r="H214" s="56" t="n"/>
      <c r="I214" s="43" t="n"/>
      <c r="J214" s="57">
        <f>IF(OR(A214="",H214=""),"",IF(COUNTIFS(exp_year,C214,exp_month,D214,exp_item,E214,exp_status,"&lt;&gt;❌ Отменено")&gt;0,1,0))</f>
        <v/>
      </c>
    </row>
    <row r="215">
      <c r="A215" s="52" t="n"/>
      <c r="B215" s="53">
        <f>IF(A215="","",CHOOSE(WEEKDAY(A215,2),"Пн","Вт","Ср","Чт","Пт","Сб","Вс"))</f>
        <v/>
      </c>
      <c r="C215" s="53">
        <f>IF(A215="","",YEAR(A215))</f>
        <v/>
      </c>
      <c r="D215" s="54">
        <f>IF(A215="","",INDEX(lst_months,MONTH(A215)))</f>
        <v/>
      </c>
      <c r="E215" s="55" t="n"/>
      <c r="F215" s="54">
        <f>IF(E215="","",IFERROR(IF(INDEX(lst_exp_item_cat,MATCH(E215,lst_exp_items,0))="","❔ Без категории",INDEX(lst_exp_item_cat,MATCH(E215,lst_exp_items,0))),"❔ Без категории"))</f>
        <v/>
      </c>
      <c r="G215" s="43" t="n"/>
      <c r="H215" s="56" t="n"/>
      <c r="I215" s="43" t="n"/>
      <c r="J215" s="57">
        <f>IF(OR(A215="",H215=""),"",IF(COUNTIFS(exp_year,C215,exp_month,D215,exp_item,E215,exp_status,"&lt;&gt;❌ Отменено")&gt;0,1,0))</f>
        <v/>
      </c>
    </row>
    <row r="216">
      <c r="A216" s="52" t="n"/>
      <c r="B216" s="53">
        <f>IF(A216="","",CHOOSE(WEEKDAY(A216,2),"Пн","Вт","Ср","Чт","Пт","Сб","Вс"))</f>
        <v/>
      </c>
      <c r="C216" s="53">
        <f>IF(A216="","",YEAR(A216))</f>
        <v/>
      </c>
      <c r="D216" s="54">
        <f>IF(A216="","",INDEX(lst_months,MONTH(A216)))</f>
        <v/>
      </c>
      <c r="E216" s="55" t="n"/>
      <c r="F216" s="54">
        <f>IF(E216="","",IFERROR(IF(INDEX(lst_exp_item_cat,MATCH(E216,lst_exp_items,0))="","❔ Без категории",INDEX(lst_exp_item_cat,MATCH(E216,lst_exp_items,0))),"❔ Без категории"))</f>
        <v/>
      </c>
      <c r="G216" s="43" t="n"/>
      <c r="H216" s="56" t="n"/>
      <c r="I216" s="43" t="n"/>
      <c r="J216" s="57">
        <f>IF(OR(A216="",H216=""),"",IF(COUNTIFS(exp_year,C216,exp_month,D216,exp_item,E216,exp_status,"&lt;&gt;❌ Отменено")&gt;0,1,0))</f>
        <v/>
      </c>
    </row>
    <row r="217">
      <c r="A217" s="52" t="n"/>
      <c r="B217" s="53">
        <f>IF(A217="","",CHOOSE(WEEKDAY(A217,2),"Пн","Вт","Ср","Чт","Пт","Сб","Вс"))</f>
        <v/>
      </c>
      <c r="C217" s="53">
        <f>IF(A217="","",YEAR(A217))</f>
        <v/>
      </c>
      <c r="D217" s="54">
        <f>IF(A217="","",INDEX(lst_months,MONTH(A217)))</f>
        <v/>
      </c>
      <c r="E217" s="55" t="n"/>
      <c r="F217" s="54">
        <f>IF(E217="","",IFERROR(IF(INDEX(lst_exp_item_cat,MATCH(E217,lst_exp_items,0))="","❔ Без категории",INDEX(lst_exp_item_cat,MATCH(E217,lst_exp_items,0))),"❔ Без категории"))</f>
        <v/>
      </c>
      <c r="G217" s="43" t="n"/>
      <c r="H217" s="56" t="n"/>
      <c r="I217" s="43" t="n"/>
      <c r="J217" s="57">
        <f>IF(OR(A217="",H217=""),"",IF(COUNTIFS(exp_year,C217,exp_month,D217,exp_item,E217,exp_status,"&lt;&gt;❌ Отменено")&gt;0,1,0))</f>
        <v/>
      </c>
    </row>
    <row r="218">
      <c r="A218" s="52" t="n"/>
      <c r="B218" s="53">
        <f>IF(A218="","",CHOOSE(WEEKDAY(A218,2),"Пн","Вт","Ср","Чт","Пт","Сб","Вс"))</f>
        <v/>
      </c>
      <c r="C218" s="53">
        <f>IF(A218="","",YEAR(A218))</f>
        <v/>
      </c>
      <c r="D218" s="54">
        <f>IF(A218="","",INDEX(lst_months,MONTH(A218)))</f>
        <v/>
      </c>
      <c r="E218" s="55" t="n"/>
      <c r="F218" s="54">
        <f>IF(E218="","",IFERROR(IF(INDEX(lst_exp_item_cat,MATCH(E218,lst_exp_items,0))="","❔ Без категории",INDEX(lst_exp_item_cat,MATCH(E218,lst_exp_items,0))),"❔ Без категории"))</f>
        <v/>
      </c>
      <c r="G218" s="43" t="n"/>
      <c r="H218" s="56" t="n"/>
      <c r="I218" s="43" t="n"/>
      <c r="J218" s="57">
        <f>IF(OR(A218="",H218=""),"",IF(COUNTIFS(exp_year,C218,exp_month,D218,exp_item,E218,exp_status,"&lt;&gt;❌ Отменено")&gt;0,1,0))</f>
        <v/>
      </c>
    </row>
    <row r="219">
      <c r="A219" s="52" t="n"/>
      <c r="B219" s="53">
        <f>IF(A219="","",CHOOSE(WEEKDAY(A219,2),"Пн","Вт","Ср","Чт","Пт","Сб","Вс"))</f>
        <v/>
      </c>
      <c r="C219" s="53">
        <f>IF(A219="","",YEAR(A219))</f>
        <v/>
      </c>
      <c r="D219" s="54">
        <f>IF(A219="","",INDEX(lst_months,MONTH(A219)))</f>
        <v/>
      </c>
      <c r="E219" s="55" t="n"/>
      <c r="F219" s="54">
        <f>IF(E219="","",IFERROR(IF(INDEX(lst_exp_item_cat,MATCH(E219,lst_exp_items,0))="","❔ Без категории",INDEX(lst_exp_item_cat,MATCH(E219,lst_exp_items,0))),"❔ Без категории"))</f>
        <v/>
      </c>
      <c r="G219" s="43" t="n"/>
      <c r="H219" s="56" t="n"/>
      <c r="I219" s="43" t="n"/>
      <c r="J219" s="57">
        <f>IF(OR(A219="",H219=""),"",IF(COUNTIFS(exp_year,C219,exp_month,D219,exp_item,E219,exp_status,"&lt;&gt;❌ Отменено")&gt;0,1,0))</f>
        <v/>
      </c>
    </row>
    <row r="220">
      <c r="A220" s="52" t="n"/>
      <c r="B220" s="53">
        <f>IF(A220="","",CHOOSE(WEEKDAY(A220,2),"Пн","Вт","Ср","Чт","Пт","Сб","Вс"))</f>
        <v/>
      </c>
      <c r="C220" s="53">
        <f>IF(A220="","",YEAR(A220))</f>
        <v/>
      </c>
      <c r="D220" s="54">
        <f>IF(A220="","",INDEX(lst_months,MONTH(A220)))</f>
        <v/>
      </c>
      <c r="E220" s="55" t="n"/>
      <c r="F220" s="54">
        <f>IF(E220="","",IFERROR(IF(INDEX(lst_exp_item_cat,MATCH(E220,lst_exp_items,0))="","❔ Без категории",INDEX(lst_exp_item_cat,MATCH(E220,lst_exp_items,0))),"❔ Без категории"))</f>
        <v/>
      </c>
      <c r="G220" s="43" t="n"/>
      <c r="H220" s="56" t="n"/>
      <c r="I220" s="43" t="n"/>
      <c r="J220" s="57">
        <f>IF(OR(A220="",H220=""),"",IF(COUNTIFS(exp_year,C220,exp_month,D220,exp_item,E220,exp_status,"&lt;&gt;❌ Отменено")&gt;0,1,0))</f>
        <v/>
      </c>
    </row>
    <row r="221">
      <c r="A221" s="52" t="n"/>
      <c r="B221" s="53">
        <f>IF(A221="","",CHOOSE(WEEKDAY(A221,2),"Пн","Вт","Ср","Чт","Пт","Сб","Вс"))</f>
        <v/>
      </c>
      <c r="C221" s="53">
        <f>IF(A221="","",YEAR(A221))</f>
        <v/>
      </c>
      <c r="D221" s="54">
        <f>IF(A221="","",INDEX(lst_months,MONTH(A221)))</f>
        <v/>
      </c>
      <c r="E221" s="55" t="n"/>
      <c r="F221" s="54">
        <f>IF(E221="","",IFERROR(IF(INDEX(lst_exp_item_cat,MATCH(E221,lst_exp_items,0))="","❔ Без категории",INDEX(lst_exp_item_cat,MATCH(E221,lst_exp_items,0))),"❔ Без категории"))</f>
        <v/>
      </c>
      <c r="G221" s="43" t="n"/>
      <c r="H221" s="56" t="n"/>
      <c r="I221" s="43" t="n"/>
      <c r="J221" s="57">
        <f>IF(OR(A221="",H221=""),"",IF(COUNTIFS(exp_year,C221,exp_month,D221,exp_item,E221,exp_status,"&lt;&gt;❌ Отменено")&gt;0,1,0))</f>
        <v/>
      </c>
    </row>
    <row r="222">
      <c r="A222" s="52" t="n"/>
      <c r="B222" s="53">
        <f>IF(A222="","",CHOOSE(WEEKDAY(A222,2),"Пн","Вт","Ср","Чт","Пт","Сб","Вс"))</f>
        <v/>
      </c>
      <c r="C222" s="53">
        <f>IF(A222="","",YEAR(A222))</f>
        <v/>
      </c>
      <c r="D222" s="54">
        <f>IF(A222="","",INDEX(lst_months,MONTH(A222)))</f>
        <v/>
      </c>
      <c r="E222" s="55" t="n"/>
      <c r="F222" s="54">
        <f>IF(E222="","",IFERROR(IF(INDEX(lst_exp_item_cat,MATCH(E222,lst_exp_items,0))="","❔ Без категории",INDEX(lst_exp_item_cat,MATCH(E222,lst_exp_items,0))),"❔ Без категории"))</f>
        <v/>
      </c>
      <c r="G222" s="43" t="n"/>
      <c r="H222" s="56" t="n"/>
      <c r="I222" s="43" t="n"/>
      <c r="J222" s="57">
        <f>IF(OR(A222="",H222=""),"",IF(COUNTIFS(exp_year,C222,exp_month,D222,exp_item,E222,exp_status,"&lt;&gt;❌ Отменено")&gt;0,1,0))</f>
        <v/>
      </c>
    </row>
    <row r="223">
      <c r="A223" s="52" t="n"/>
      <c r="B223" s="53">
        <f>IF(A223="","",CHOOSE(WEEKDAY(A223,2),"Пн","Вт","Ср","Чт","Пт","Сб","Вс"))</f>
        <v/>
      </c>
      <c r="C223" s="53">
        <f>IF(A223="","",YEAR(A223))</f>
        <v/>
      </c>
      <c r="D223" s="54">
        <f>IF(A223="","",INDEX(lst_months,MONTH(A223)))</f>
        <v/>
      </c>
      <c r="E223" s="55" t="n"/>
      <c r="F223" s="54">
        <f>IF(E223="","",IFERROR(IF(INDEX(lst_exp_item_cat,MATCH(E223,lst_exp_items,0))="","❔ Без категории",INDEX(lst_exp_item_cat,MATCH(E223,lst_exp_items,0))),"❔ Без категории"))</f>
        <v/>
      </c>
      <c r="G223" s="43" t="n"/>
      <c r="H223" s="56" t="n"/>
      <c r="I223" s="43" t="n"/>
      <c r="J223" s="57">
        <f>IF(OR(A223="",H223=""),"",IF(COUNTIFS(exp_year,C223,exp_month,D223,exp_item,E223,exp_status,"&lt;&gt;❌ Отменено")&gt;0,1,0))</f>
        <v/>
      </c>
    </row>
    <row r="224">
      <c r="A224" s="52" t="n"/>
      <c r="B224" s="53">
        <f>IF(A224="","",CHOOSE(WEEKDAY(A224,2),"Пн","Вт","Ср","Чт","Пт","Сб","Вс"))</f>
        <v/>
      </c>
      <c r="C224" s="53">
        <f>IF(A224="","",YEAR(A224))</f>
        <v/>
      </c>
      <c r="D224" s="54">
        <f>IF(A224="","",INDEX(lst_months,MONTH(A224)))</f>
        <v/>
      </c>
      <c r="E224" s="55" t="n"/>
      <c r="F224" s="54">
        <f>IF(E224="","",IFERROR(IF(INDEX(lst_exp_item_cat,MATCH(E224,lst_exp_items,0))="","❔ Без категории",INDEX(lst_exp_item_cat,MATCH(E224,lst_exp_items,0))),"❔ Без категории"))</f>
        <v/>
      </c>
      <c r="G224" s="43" t="n"/>
      <c r="H224" s="56" t="n"/>
      <c r="I224" s="43" t="n"/>
      <c r="J224" s="57">
        <f>IF(OR(A224="",H224=""),"",IF(COUNTIFS(exp_year,C224,exp_month,D224,exp_item,E224,exp_status,"&lt;&gt;❌ Отменено")&gt;0,1,0))</f>
        <v/>
      </c>
    </row>
    <row r="225">
      <c r="A225" s="52" t="n"/>
      <c r="B225" s="53">
        <f>IF(A225="","",CHOOSE(WEEKDAY(A225,2),"Пн","Вт","Ср","Чт","Пт","Сб","Вс"))</f>
        <v/>
      </c>
      <c r="C225" s="53">
        <f>IF(A225="","",YEAR(A225))</f>
        <v/>
      </c>
      <c r="D225" s="54">
        <f>IF(A225="","",INDEX(lst_months,MONTH(A225)))</f>
        <v/>
      </c>
      <c r="E225" s="55" t="n"/>
      <c r="F225" s="54">
        <f>IF(E225="","",IFERROR(IF(INDEX(lst_exp_item_cat,MATCH(E225,lst_exp_items,0))="","❔ Без категории",INDEX(lst_exp_item_cat,MATCH(E225,lst_exp_items,0))),"❔ Без категории"))</f>
        <v/>
      </c>
      <c r="G225" s="43" t="n"/>
      <c r="H225" s="56" t="n"/>
      <c r="I225" s="43" t="n"/>
      <c r="J225" s="57">
        <f>IF(OR(A225="",H225=""),"",IF(COUNTIFS(exp_year,C225,exp_month,D225,exp_item,E225,exp_status,"&lt;&gt;❌ Отменено")&gt;0,1,0))</f>
        <v/>
      </c>
    </row>
    <row r="226">
      <c r="A226" s="52" t="n"/>
      <c r="B226" s="53">
        <f>IF(A226="","",CHOOSE(WEEKDAY(A226,2),"Пн","Вт","Ср","Чт","Пт","Сб","Вс"))</f>
        <v/>
      </c>
      <c r="C226" s="53">
        <f>IF(A226="","",YEAR(A226))</f>
        <v/>
      </c>
      <c r="D226" s="54">
        <f>IF(A226="","",INDEX(lst_months,MONTH(A226)))</f>
        <v/>
      </c>
      <c r="E226" s="55" t="n"/>
      <c r="F226" s="54">
        <f>IF(E226="","",IFERROR(IF(INDEX(lst_exp_item_cat,MATCH(E226,lst_exp_items,0))="","❔ Без категории",INDEX(lst_exp_item_cat,MATCH(E226,lst_exp_items,0))),"❔ Без категории"))</f>
        <v/>
      </c>
      <c r="G226" s="43" t="n"/>
      <c r="H226" s="56" t="n"/>
      <c r="I226" s="43" t="n"/>
      <c r="J226" s="57">
        <f>IF(OR(A226="",H226=""),"",IF(COUNTIFS(exp_year,C226,exp_month,D226,exp_item,E226,exp_status,"&lt;&gt;❌ Отменено")&gt;0,1,0))</f>
        <v/>
      </c>
    </row>
    <row r="227">
      <c r="A227" s="52" t="n"/>
      <c r="B227" s="53">
        <f>IF(A227="","",CHOOSE(WEEKDAY(A227,2),"Пн","Вт","Ср","Чт","Пт","Сб","Вс"))</f>
        <v/>
      </c>
      <c r="C227" s="53">
        <f>IF(A227="","",YEAR(A227))</f>
        <v/>
      </c>
      <c r="D227" s="54">
        <f>IF(A227="","",INDEX(lst_months,MONTH(A227)))</f>
        <v/>
      </c>
      <c r="E227" s="55" t="n"/>
      <c r="F227" s="54">
        <f>IF(E227="","",IFERROR(IF(INDEX(lst_exp_item_cat,MATCH(E227,lst_exp_items,0))="","❔ Без категории",INDEX(lst_exp_item_cat,MATCH(E227,lst_exp_items,0))),"❔ Без категории"))</f>
        <v/>
      </c>
      <c r="G227" s="43" t="n"/>
      <c r="H227" s="56" t="n"/>
      <c r="I227" s="43" t="n"/>
      <c r="J227" s="57">
        <f>IF(OR(A227="",H227=""),"",IF(COUNTIFS(exp_year,C227,exp_month,D227,exp_item,E227,exp_status,"&lt;&gt;❌ Отменено")&gt;0,1,0))</f>
        <v/>
      </c>
    </row>
    <row r="228">
      <c r="A228" s="52" t="n"/>
      <c r="B228" s="53">
        <f>IF(A228="","",CHOOSE(WEEKDAY(A228,2),"Пн","Вт","Ср","Чт","Пт","Сб","Вс"))</f>
        <v/>
      </c>
      <c r="C228" s="53">
        <f>IF(A228="","",YEAR(A228))</f>
        <v/>
      </c>
      <c r="D228" s="54">
        <f>IF(A228="","",INDEX(lst_months,MONTH(A228)))</f>
        <v/>
      </c>
      <c r="E228" s="55" t="n"/>
      <c r="F228" s="54">
        <f>IF(E228="","",IFERROR(IF(INDEX(lst_exp_item_cat,MATCH(E228,lst_exp_items,0))="","❔ Без категории",INDEX(lst_exp_item_cat,MATCH(E228,lst_exp_items,0))),"❔ Без категории"))</f>
        <v/>
      </c>
      <c r="G228" s="43" t="n"/>
      <c r="H228" s="56" t="n"/>
      <c r="I228" s="43" t="n"/>
      <c r="J228" s="57">
        <f>IF(OR(A228="",H228=""),"",IF(COUNTIFS(exp_year,C228,exp_month,D228,exp_item,E228,exp_status,"&lt;&gt;❌ Отменено")&gt;0,1,0))</f>
        <v/>
      </c>
    </row>
    <row r="229">
      <c r="A229" s="52" t="n"/>
      <c r="B229" s="53">
        <f>IF(A229="","",CHOOSE(WEEKDAY(A229,2),"Пн","Вт","Ср","Чт","Пт","Сб","Вс"))</f>
        <v/>
      </c>
      <c r="C229" s="53">
        <f>IF(A229="","",YEAR(A229))</f>
        <v/>
      </c>
      <c r="D229" s="54">
        <f>IF(A229="","",INDEX(lst_months,MONTH(A229)))</f>
        <v/>
      </c>
      <c r="E229" s="55" t="n"/>
      <c r="F229" s="54">
        <f>IF(E229="","",IFERROR(IF(INDEX(lst_exp_item_cat,MATCH(E229,lst_exp_items,0))="","❔ Без категории",INDEX(lst_exp_item_cat,MATCH(E229,lst_exp_items,0))),"❔ Без категории"))</f>
        <v/>
      </c>
      <c r="G229" s="43" t="n"/>
      <c r="H229" s="56" t="n"/>
      <c r="I229" s="43" t="n"/>
      <c r="J229" s="57">
        <f>IF(OR(A229="",H229=""),"",IF(COUNTIFS(exp_year,C229,exp_month,D229,exp_item,E229,exp_status,"&lt;&gt;❌ Отменено")&gt;0,1,0))</f>
        <v/>
      </c>
    </row>
    <row r="230">
      <c r="A230" s="52" t="n"/>
      <c r="B230" s="53">
        <f>IF(A230="","",CHOOSE(WEEKDAY(A230,2),"Пн","Вт","Ср","Чт","Пт","Сб","Вс"))</f>
        <v/>
      </c>
      <c r="C230" s="53">
        <f>IF(A230="","",YEAR(A230))</f>
        <v/>
      </c>
      <c r="D230" s="54">
        <f>IF(A230="","",INDEX(lst_months,MONTH(A230)))</f>
        <v/>
      </c>
      <c r="E230" s="55" t="n"/>
      <c r="F230" s="54">
        <f>IF(E230="","",IFERROR(IF(INDEX(lst_exp_item_cat,MATCH(E230,lst_exp_items,0))="","❔ Без категории",INDEX(lst_exp_item_cat,MATCH(E230,lst_exp_items,0))),"❔ Без категории"))</f>
        <v/>
      </c>
      <c r="G230" s="43" t="n"/>
      <c r="H230" s="56" t="n"/>
      <c r="I230" s="43" t="n"/>
      <c r="J230" s="57">
        <f>IF(OR(A230="",H230=""),"",IF(COUNTIFS(exp_year,C230,exp_month,D230,exp_item,E230,exp_status,"&lt;&gt;❌ Отменено")&gt;0,1,0))</f>
        <v/>
      </c>
    </row>
    <row r="231">
      <c r="A231" s="52" t="n"/>
      <c r="B231" s="53">
        <f>IF(A231="","",CHOOSE(WEEKDAY(A231,2),"Пн","Вт","Ср","Чт","Пт","Сб","Вс"))</f>
        <v/>
      </c>
      <c r="C231" s="53">
        <f>IF(A231="","",YEAR(A231))</f>
        <v/>
      </c>
      <c r="D231" s="54">
        <f>IF(A231="","",INDEX(lst_months,MONTH(A231)))</f>
        <v/>
      </c>
      <c r="E231" s="55" t="n"/>
      <c r="F231" s="54">
        <f>IF(E231="","",IFERROR(IF(INDEX(lst_exp_item_cat,MATCH(E231,lst_exp_items,0))="","❔ Без категории",INDEX(lst_exp_item_cat,MATCH(E231,lst_exp_items,0))),"❔ Без категории"))</f>
        <v/>
      </c>
      <c r="G231" s="43" t="n"/>
      <c r="H231" s="56" t="n"/>
      <c r="I231" s="43" t="n"/>
      <c r="J231" s="57">
        <f>IF(OR(A231="",H231=""),"",IF(COUNTIFS(exp_year,C231,exp_month,D231,exp_item,E231,exp_status,"&lt;&gt;❌ Отменено")&gt;0,1,0))</f>
        <v/>
      </c>
    </row>
    <row r="232">
      <c r="A232" s="52" t="n"/>
      <c r="B232" s="53">
        <f>IF(A232="","",CHOOSE(WEEKDAY(A232,2),"Пн","Вт","Ср","Чт","Пт","Сб","Вс"))</f>
        <v/>
      </c>
      <c r="C232" s="53">
        <f>IF(A232="","",YEAR(A232))</f>
        <v/>
      </c>
      <c r="D232" s="54">
        <f>IF(A232="","",INDEX(lst_months,MONTH(A232)))</f>
        <v/>
      </c>
      <c r="E232" s="55" t="n"/>
      <c r="F232" s="54">
        <f>IF(E232="","",IFERROR(IF(INDEX(lst_exp_item_cat,MATCH(E232,lst_exp_items,0))="","❔ Без категории",INDEX(lst_exp_item_cat,MATCH(E232,lst_exp_items,0))),"❔ Без категории"))</f>
        <v/>
      </c>
      <c r="G232" s="43" t="n"/>
      <c r="H232" s="56" t="n"/>
      <c r="I232" s="43" t="n"/>
      <c r="J232" s="57">
        <f>IF(OR(A232="",H232=""),"",IF(COUNTIFS(exp_year,C232,exp_month,D232,exp_item,E232,exp_status,"&lt;&gt;❌ Отменено")&gt;0,1,0))</f>
        <v/>
      </c>
    </row>
    <row r="233">
      <c r="A233" s="52" t="n"/>
      <c r="B233" s="53">
        <f>IF(A233="","",CHOOSE(WEEKDAY(A233,2),"Пн","Вт","Ср","Чт","Пт","Сб","Вс"))</f>
        <v/>
      </c>
      <c r="C233" s="53">
        <f>IF(A233="","",YEAR(A233))</f>
        <v/>
      </c>
      <c r="D233" s="54">
        <f>IF(A233="","",INDEX(lst_months,MONTH(A233)))</f>
        <v/>
      </c>
      <c r="E233" s="55" t="n"/>
      <c r="F233" s="54">
        <f>IF(E233="","",IFERROR(IF(INDEX(lst_exp_item_cat,MATCH(E233,lst_exp_items,0))="","❔ Без категории",INDEX(lst_exp_item_cat,MATCH(E233,lst_exp_items,0))),"❔ Без категории"))</f>
        <v/>
      </c>
      <c r="G233" s="43" t="n"/>
      <c r="H233" s="56" t="n"/>
      <c r="I233" s="43" t="n"/>
      <c r="J233" s="57">
        <f>IF(OR(A233="",H233=""),"",IF(COUNTIFS(exp_year,C233,exp_month,D233,exp_item,E233,exp_status,"&lt;&gt;❌ Отменено")&gt;0,1,0))</f>
        <v/>
      </c>
    </row>
    <row r="234">
      <c r="A234" s="52" t="n"/>
      <c r="B234" s="53">
        <f>IF(A234="","",CHOOSE(WEEKDAY(A234,2),"Пн","Вт","Ср","Чт","Пт","Сб","Вс"))</f>
        <v/>
      </c>
      <c r="C234" s="53">
        <f>IF(A234="","",YEAR(A234))</f>
        <v/>
      </c>
      <c r="D234" s="54">
        <f>IF(A234="","",INDEX(lst_months,MONTH(A234)))</f>
        <v/>
      </c>
      <c r="E234" s="55" t="n"/>
      <c r="F234" s="54">
        <f>IF(E234="","",IFERROR(IF(INDEX(lst_exp_item_cat,MATCH(E234,lst_exp_items,0))="","❔ Без категории",INDEX(lst_exp_item_cat,MATCH(E234,lst_exp_items,0))),"❔ Без категории"))</f>
        <v/>
      </c>
      <c r="G234" s="43" t="n"/>
      <c r="H234" s="56" t="n"/>
      <c r="I234" s="43" t="n"/>
      <c r="J234" s="57">
        <f>IF(OR(A234="",H234=""),"",IF(COUNTIFS(exp_year,C234,exp_month,D234,exp_item,E234,exp_status,"&lt;&gt;❌ Отменено")&gt;0,1,0))</f>
        <v/>
      </c>
    </row>
    <row r="235">
      <c r="A235" s="52" t="n"/>
      <c r="B235" s="53">
        <f>IF(A235="","",CHOOSE(WEEKDAY(A235,2),"Пн","Вт","Ср","Чт","Пт","Сб","Вс"))</f>
        <v/>
      </c>
      <c r="C235" s="53">
        <f>IF(A235="","",YEAR(A235))</f>
        <v/>
      </c>
      <c r="D235" s="54">
        <f>IF(A235="","",INDEX(lst_months,MONTH(A235)))</f>
        <v/>
      </c>
      <c r="E235" s="55" t="n"/>
      <c r="F235" s="54">
        <f>IF(E235="","",IFERROR(IF(INDEX(lst_exp_item_cat,MATCH(E235,lst_exp_items,0))="","❔ Без категории",INDEX(lst_exp_item_cat,MATCH(E235,lst_exp_items,0))),"❔ Без категории"))</f>
        <v/>
      </c>
      <c r="G235" s="43" t="n"/>
      <c r="H235" s="56" t="n"/>
      <c r="I235" s="43" t="n"/>
      <c r="J235" s="57">
        <f>IF(OR(A235="",H235=""),"",IF(COUNTIFS(exp_year,C235,exp_month,D235,exp_item,E235,exp_status,"&lt;&gt;❌ Отменено")&gt;0,1,0))</f>
        <v/>
      </c>
    </row>
    <row r="236">
      <c r="A236" s="52" t="n"/>
      <c r="B236" s="53">
        <f>IF(A236="","",CHOOSE(WEEKDAY(A236,2),"Пн","Вт","Ср","Чт","Пт","Сб","Вс"))</f>
        <v/>
      </c>
      <c r="C236" s="53">
        <f>IF(A236="","",YEAR(A236))</f>
        <v/>
      </c>
      <c r="D236" s="54">
        <f>IF(A236="","",INDEX(lst_months,MONTH(A236)))</f>
        <v/>
      </c>
      <c r="E236" s="55" t="n"/>
      <c r="F236" s="54">
        <f>IF(E236="","",IFERROR(IF(INDEX(lst_exp_item_cat,MATCH(E236,lst_exp_items,0))="","❔ Без категории",INDEX(lst_exp_item_cat,MATCH(E236,lst_exp_items,0))),"❔ Без категории"))</f>
        <v/>
      </c>
      <c r="G236" s="43" t="n"/>
      <c r="H236" s="56" t="n"/>
      <c r="I236" s="43" t="n"/>
      <c r="J236" s="57">
        <f>IF(OR(A236="",H236=""),"",IF(COUNTIFS(exp_year,C236,exp_month,D236,exp_item,E236,exp_status,"&lt;&gt;❌ Отменено")&gt;0,1,0))</f>
        <v/>
      </c>
    </row>
    <row r="237">
      <c r="A237" s="52" t="n"/>
      <c r="B237" s="53">
        <f>IF(A237="","",CHOOSE(WEEKDAY(A237,2),"Пн","Вт","Ср","Чт","Пт","Сб","Вс"))</f>
        <v/>
      </c>
      <c r="C237" s="53">
        <f>IF(A237="","",YEAR(A237))</f>
        <v/>
      </c>
      <c r="D237" s="54">
        <f>IF(A237="","",INDEX(lst_months,MONTH(A237)))</f>
        <v/>
      </c>
      <c r="E237" s="55" t="n"/>
      <c r="F237" s="54">
        <f>IF(E237="","",IFERROR(IF(INDEX(lst_exp_item_cat,MATCH(E237,lst_exp_items,0))="","❔ Без категории",INDEX(lst_exp_item_cat,MATCH(E237,lst_exp_items,0))),"❔ Без категории"))</f>
        <v/>
      </c>
      <c r="G237" s="43" t="n"/>
      <c r="H237" s="56" t="n"/>
      <c r="I237" s="43" t="n"/>
      <c r="J237" s="57">
        <f>IF(OR(A237="",H237=""),"",IF(COUNTIFS(exp_year,C237,exp_month,D237,exp_item,E237,exp_status,"&lt;&gt;❌ Отменено")&gt;0,1,0))</f>
        <v/>
      </c>
    </row>
    <row r="238">
      <c r="A238" s="52" t="n"/>
      <c r="B238" s="53">
        <f>IF(A238="","",CHOOSE(WEEKDAY(A238,2),"Пн","Вт","Ср","Чт","Пт","Сб","Вс"))</f>
        <v/>
      </c>
      <c r="C238" s="53">
        <f>IF(A238="","",YEAR(A238))</f>
        <v/>
      </c>
      <c r="D238" s="54">
        <f>IF(A238="","",INDEX(lst_months,MONTH(A238)))</f>
        <v/>
      </c>
      <c r="E238" s="55" t="n"/>
      <c r="F238" s="54">
        <f>IF(E238="","",IFERROR(IF(INDEX(lst_exp_item_cat,MATCH(E238,lst_exp_items,0))="","❔ Без категории",INDEX(lst_exp_item_cat,MATCH(E238,lst_exp_items,0))),"❔ Без категории"))</f>
        <v/>
      </c>
      <c r="G238" s="43" t="n"/>
      <c r="H238" s="56" t="n"/>
      <c r="I238" s="43" t="n"/>
      <c r="J238" s="57">
        <f>IF(OR(A238="",H238=""),"",IF(COUNTIFS(exp_year,C238,exp_month,D238,exp_item,E238,exp_status,"&lt;&gt;❌ Отменено")&gt;0,1,0))</f>
        <v/>
      </c>
    </row>
    <row r="239">
      <c r="A239" s="52" t="n"/>
      <c r="B239" s="53">
        <f>IF(A239="","",CHOOSE(WEEKDAY(A239,2),"Пн","Вт","Ср","Чт","Пт","Сб","Вс"))</f>
        <v/>
      </c>
      <c r="C239" s="53">
        <f>IF(A239="","",YEAR(A239))</f>
        <v/>
      </c>
      <c r="D239" s="54">
        <f>IF(A239="","",INDEX(lst_months,MONTH(A239)))</f>
        <v/>
      </c>
      <c r="E239" s="55" t="n"/>
      <c r="F239" s="54">
        <f>IF(E239="","",IFERROR(IF(INDEX(lst_exp_item_cat,MATCH(E239,lst_exp_items,0))="","❔ Без категории",INDEX(lst_exp_item_cat,MATCH(E239,lst_exp_items,0))),"❔ Без категории"))</f>
        <v/>
      </c>
      <c r="G239" s="43" t="n"/>
      <c r="H239" s="56" t="n"/>
      <c r="I239" s="43" t="n"/>
      <c r="J239" s="57">
        <f>IF(OR(A239="",H239=""),"",IF(COUNTIFS(exp_year,C239,exp_month,D239,exp_item,E239,exp_status,"&lt;&gt;❌ Отменено")&gt;0,1,0))</f>
        <v/>
      </c>
    </row>
    <row r="240">
      <c r="A240" s="52" t="n"/>
      <c r="B240" s="53">
        <f>IF(A240="","",CHOOSE(WEEKDAY(A240,2),"Пн","Вт","Ср","Чт","Пт","Сб","Вс"))</f>
        <v/>
      </c>
      <c r="C240" s="53">
        <f>IF(A240="","",YEAR(A240))</f>
        <v/>
      </c>
      <c r="D240" s="54">
        <f>IF(A240="","",INDEX(lst_months,MONTH(A240)))</f>
        <v/>
      </c>
      <c r="E240" s="55" t="n"/>
      <c r="F240" s="54">
        <f>IF(E240="","",IFERROR(IF(INDEX(lst_exp_item_cat,MATCH(E240,lst_exp_items,0))="","❔ Без категории",INDEX(lst_exp_item_cat,MATCH(E240,lst_exp_items,0))),"❔ Без категории"))</f>
        <v/>
      </c>
      <c r="G240" s="43" t="n"/>
      <c r="H240" s="56" t="n"/>
      <c r="I240" s="43" t="n"/>
      <c r="J240" s="57">
        <f>IF(OR(A240="",H240=""),"",IF(COUNTIFS(exp_year,C240,exp_month,D240,exp_item,E240,exp_status,"&lt;&gt;❌ Отменено")&gt;0,1,0))</f>
        <v/>
      </c>
    </row>
    <row r="241">
      <c r="A241" s="52" t="n"/>
      <c r="B241" s="53">
        <f>IF(A241="","",CHOOSE(WEEKDAY(A241,2),"Пн","Вт","Ср","Чт","Пт","Сб","Вс"))</f>
        <v/>
      </c>
      <c r="C241" s="53">
        <f>IF(A241="","",YEAR(A241))</f>
        <v/>
      </c>
      <c r="D241" s="54">
        <f>IF(A241="","",INDEX(lst_months,MONTH(A241)))</f>
        <v/>
      </c>
      <c r="E241" s="55" t="n"/>
      <c r="F241" s="54">
        <f>IF(E241="","",IFERROR(IF(INDEX(lst_exp_item_cat,MATCH(E241,lst_exp_items,0))="","❔ Без категории",INDEX(lst_exp_item_cat,MATCH(E241,lst_exp_items,0))),"❔ Без категории"))</f>
        <v/>
      </c>
      <c r="G241" s="43" t="n"/>
      <c r="H241" s="56" t="n"/>
      <c r="I241" s="43" t="n"/>
      <c r="J241" s="57">
        <f>IF(OR(A241="",H241=""),"",IF(COUNTIFS(exp_year,C241,exp_month,D241,exp_item,E241,exp_status,"&lt;&gt;❌ Отменено")&gt;0,1,0))</f>
        <v/>
      </c>
    </row>
    <row r="242">
      <c r="A242" s="52" t="n"/>
      <c r="B242" s="53">
        <f>IF(A242="","",CHOOSE(WEEKDAY(A242,2),"Пн","Вт","Ср","Чт","Пт","Сб","Вс"))</f>
        <v/>
      </c>
      <c r="C242" s="53">
        <f>IF(A242="","",YEAR(A242))</f>
        <v/>
      </c>
      <c r="D242" s="54">
        <f>IF(A242="","",INDEX(lst_months,MONTH(A242)))</f>
        <v/>
      </c>
      <c r="E242" s="55" t="n"/>
      <c r="F242" s="54">
        <f>IF(E242="","",IFERROR(IF(INDEX(lst_exp_item_cat,MATCH(E242,lst_exp_items,0))="","❔ Без категории",INDEX(lst_exp_item_cat,MATCH(E242,lst_exp_items,0))),"❔ Без категории"))</f>
        <v/>
      </c>
      <c r="G242" s="43" t="n"/>
      <c r="H242" s="56" t="n"/>
      <c r="I242" s="43" t="n"/>
      <c r="J242" s="57">
        <f>IF(OR(A242="",H242=""),"",IF(COUNTIFS(exp_year,C242,exp_month,D242,exp_item,E242,exp_status,"&lt;&gt;❌ Отменено")&gt;0,1,0))</f>
        <v/>
      </c>
    </row>
    <row r="243">
      <c r="A243" s="52" t="n"/>
      <c r="B243" s="53">
        <f>IF(A243="","",CHOOSE(WEEKDAY(A243,2),"Пн","Вт","Ср","Чт","Пт","Сб","Вс"))</f>
        <v/>
      </c>
      <c r="C243" s="53">
        <f>IF(A243="","",YEAR(A243))</f>
        <v/>
      </c>
      <c r="D243" s="54">
        <f>IF(A243="","",INDEX(lst_months,MONTH(A243)))</f>
        <v/>
      </c>
      <c r="E243" s="55" t="n"/>
      <c r="F243" s="54">
        <f>IF(E243="","",IFERROR(IF(INDEX(lst_exp_item_cat,MATCH(E243,lst_exp_items,0))="","❔ Без категории",INDEX(lst_exp_item_cat,MATCH(E243,lst_exp_items,0))),"❔ Без категории"))</f>
        <v/>
      </c>
      <c r="G243" s="43" t="n"/>
      <c r="H243" s="56" t="n"/>
      <c r="I243" s="43" t="n"/>
      <c r="J243" s="57">
        <f>IF(OR(A243="",H243=""),"",IF(COUNTIFS(exp_year,C243,exp_month,D243,exp_item,E243,exp_status,"&lt;&gt;❌ Отменено")&gt;0,1,0))</f>
        <v/>
      </c>
    </row>
    <row r="244">
      <c r="A244" s="52" t="n"/>
      <c r="B244" s="53">
        <f>IF(A244="","",CHOOSE(WEEKDAY(A244,2),"Пн","Вт","Ср","Чт","Пт","Сб","Вс"))</f>
        <v/>
      </c>
      <c r="C244" s="53">
        <f>IF(A244="","",YEAR(A244))</f>
        <v/>
      </c>
      <c r="D244" s="54">
        <f>IF(A244="","",INDEX(lst_months,MONTH(A244)))</f>
        <v/>
      </c>
      <c r="E244" s="55" t="n"/>
      <c r="F244" s="54">
        <f>IF(E244="","",IFERROR(IF(INDEX(lst_exp_item_cat,MATCH(E244,lst_exp_items,0))="","❔ Без категории",INDEX(lst_exp_item_cat,MATCH(E244,lst_exp_items,0))),"❔ Без категории"))</f>
        <v/>
      </c>
      <c r="G244" s="43" t="n"/>
      <c r="H244" s="56" t="n"/>
      <c r="I244" s="43" t="n"/>
      <c r="J244" s="57">
        <f>IF(OR(A244="",H244=""),"",IF(COUNTIFS(exp_year,C244,exp_month,D244,exp_item,E244,exp_status,"&lt;&gt;❌ Отменено")&gt;0,1,0))</f>
        <v/>
      </c>
    </row>
    <row r="245">
      <c r="A245" s="52" t="n"/>
      <c r="B245" s="53">
        <f>IF(A245="","",CHOOSE(WEEKDAY(A245,2),"Пн","Вт","Ср","Чт","Пт","Сб","Вс"))</f>
        <v/>
      </c>
      <c r="C245" s="53">
        <f>IF(A245="","",YEAR(A245))</f>
        <v/>
      </c>
      <c r="D245" s="54">
        <f>IF(A245="","",INDEX(lst_months,MONTH(A245)))</f>
        <v/>
      </c>
      <c r="E245" s="55" t="n"/>
      <c r="F245" s="54">
        <f>IF(E245="","",IFERROR(IF(INDEX(lst_exp_item_cat,MATCH(E245,lst_exp_items,0))="","❔ Без категории",INDEX(lst_exp_item_cat,MATCH(E245,lst_exp_items,0))),"❔ Без категории"))</f>
        <v/>
      </c>
      <c r="G245" s="43" t="n"/>
      <c r="H245" s="56" t="n"/>
      <c r="I245" s="43" t="n"/>
      <c r="J245" s="57">
        <f>IF(OR(A245="",H245=""),"",IF(COUNTIFS(exp_year,C245,exp_month,D245,exp_item,E245,exp_status,"&lt;&gt;❌ Отменено")&gt;0,1,0))</f>
        <v/>
      </c>
    </row>
    <row r="246">
      <c r="A246" s="52" t="n"/>
      <c r="B246" s="53">
        <f>IF(A246="","",CHOOSE(WEEKDAY(A246,2),"Пн","Вт","Ср","Чт","Пт","Сб","Вс"))</f>
        <v/>
      </c>
      <c r="C246" s="53">
        <f>IF(A246="","",YEAR(A246))</f>
        <v/>
      </c>
      <c r="D246" s="54">
        <f>IF(A246="","",INDEX(lst_months,MONTH(A246)))</f>
        <v/>
      </c>
      <c r="E246" s="55" t="n"/>
      <c r="F246" s="54">
        <f>IF(E246="","",IFERROR(IF(INDEX(lst_exp_item_cat,MATCH(E246,lst_exp_items,0))="","❔ Без категории",INDEX(lst_exp_item_cat,MATCH(E246,lst_exp_items,0))),"❔ Без категории"))</f>
        <v/>
      </c>
      <c r="G246" s="43" t="n"/>
      <c r="H246" s="56" t="n"/>
      <c r="I246" s="43" t="n"/>
      <c r="J246" s="57">
        <f>IF(OR(A246="",H246=""),"",IF(COUNTIFS(exp_year,C246,exp_month,D246,exp_item,E246,exp_status,"&lt;&gt;❌ Отменено")&gt;0,1,0))</f>
        <v/>
      </c>
    </row>
    <row r="247">
      <c r="A247" s="52" t="n"/>
      <c r="B247" s="53">
        <f>IF(A247="","",CHOOSE(WEEKDAY(A247,2),"Пн","Вт","Ср","Чт","Пт","Сб","Вс"))</f>
        <v/>
      </c>
      <c r="C247" s="53">
        <f>IF(A247="","",YEAR(A247))</f>
        <v/>
      </c>
      <c r="D247" s="54">
        <f>IF(A247="","",INDEX(lst_months,MONTH(A247)))</f>
        <v/>
      </c>
      <c r="E247" s="55" t="n"/>
      <c r="F247" s="54">
        <f>IF(E247="","",IFERROR(IF(INDEX(lst_exp_item_cat,MATCH(E247,lst_exp_items,0))="","❔ Без категории",INDEX(lst_exp_item_cat,MATCH(E247,lst_exp_items,0))),"❔ Без категории"))</f>
        <v/>
      </c>
      <c r="G247" s="43" t="n"/>
      <c r="H247" s="56" t="n"/>
      <c r="I247" s="43" t="n"/>
      <c r="J247" s="57">
        <f>IF(OR(A247="",H247=""),"",IF(COUNTIFS(exp_year,C247,exp_month,D247,exp_item,E247,exp_status,"&lt;&gt;❌ Отменено")&gt;0,1,0))</f>
        <v/>
      </c>
    </row>
    <row r="248">
      <c r="A248" s="52" t="n"/>
      <c r="B248" s="53">
        <f>IF(A248="","",CHOOSE(WEEKDAY(A248,2),"Пн","Вт","Ср","Чт","Пт","Сб","Вс"))</f>
        <v/>
      </c>
      <c r="C248" s="53">
        <f>IF(A248="","",YEAR(A248))</f>
        <v/>
      </c>
      <c r="D248" s="54">
        <f>IF(A248="","",INDEX(lst_months,MONTH(A248)))</f>
        <v/>
      </c>
      <c r="E248" s="55" t="n"/>
      <c r="F248" s="54">
        <f>IF(E248="","",IFERROR(IF(INDEX(lst_exp_item_cat,MATCH(E248,lst_exp_items,0))="","❔ Без категории",INDEX(lst_exp_item_cat,MATCH(E248,lst_exp_items,0))),"❔ Без категории"))</f>
        <v/>
      </c>
      <c r="G248" s="43" t="n"/>
      <c r="H248" s="56" t="n"/>
      <c r="I248" s="43" t="n"/>
      <c r="J248" s="57">
        <f>IF(OR(A248="",H248=""),"",IF(COUNTIFS(exp_year,C248,exp_month,D248,exp_item,E248,exp_status,"&lt;&gt;❌ Отменено")&gt;0,1,0))</f>
        <v/>
      </c>
    </row>
    <row r="249">
      <c r="A249" s="52" t="n"/>
      <c r="B249" s="53">
        <f>IF(A249="","",CHOOSE(WEEKDAY(A249,2),"Пн","Вт","Ср","Чт","Пт","Сб","Вс"))</f>
        <v/>
      </c>
      <c r="C249" s="53">
        <f>IF(A249="","",YEAR(A249))</f>
        <v/>
      </c>
      <c r="D249" s="54">
        <f>IF(A249="","",INDEX(lst_months,MONTH(A249)))</f>
        <v/>
      </c>
      <c r="E249" s="55" t="n"/>
      <c r="F249" s="54">
        <f>IF(E249="","",IFERROR(IF(INDEX(lst_exp_item_cat,MATCH(E249,lst_exp_items,0))="","❔ Без категории",INDEX(lst_exp_item_cat,MATCH(E249,lst_exp_items,0))),"❔ Без категории"))</f>
        <v/>
      </c>
      <c r="G249" s="43" t="n"/>
      <c r="H249" s="56" t="n"/>
      <c r="I249" s="43" t="n"/>
      <c r="J249" s="57">
        <f>IF(OR(A249="",H249=""),"",IF(COUNTIFS(exp_year,C249,exp_month,D249,exp_item,E249,exp_status,"&lt;&gt;❌ Отменено")&gt;0,1,0))</f>
        <v/>
      </c>
    </row>
    <row r="250">
      <c r="A250" s="52" t="n"/>
      <c r="B250" s="53">
        <f>IF(A250="","",CHOOSE(WEEKDAY(A250,2),"Пн","Вт","Ср","Чт","Пт","Сб","Вс"))</f>
        <v/>
      </c>
      <c r="C250" s="53">
        <f>IF(A250="","",YEAR(A250))</f>
        <v/>
      </c>
      <c r="D250" s="54">
        <f>IF(A250="","",INDEX(lst_months,MONTH(A250)))</f>
        <v/>
      </c>
      <c r="E250" s="55" t="n"/>
      <c r="F250" s="54">
        <f>IF(E250="","",IFERROR(IF(INDEX(lst_exp_item_cat,MATCH(E250,lst_exp_items,0))="","❔ Без категории",INDEX(lst_exp_item_cat,MATCH(E250,lst_exp_items,0))),"❔ Без категории"))</f>
        <v/>
      </c>
      <c r="G250" s="43" t="n"/>
      <c r="H250" s="56" t="n"/>
      <c r="I250" s="43" t="n"/>
      <c r="J250" s="57">
        <f>IF(OR(A250="",H250=""),"",IF(COUNTIFS(exp_year,C250,exp_month,D250,exp_item,E250,exp_status,"&lt;&gt;❌ Отменено")&gt;0,1,0))</f>
        <v/>
      </c>
    </row>
    <row r="251">
      <c r="A251" s="52" t="n"/>
      <c r="B251" s="53">
        <f>IF(A251="","",CHOOSE(WEEKDAY(A251,2),"Пн","Вт","Ср","Чт","Пт","Сб","Вс"))</f>
        <v/>
      </c>
      <c r="C251" s="53">
        <f>IF(A251="","",YEAR(A251))</f>
        <v/>
      </c>
      <c r="D251" s="54">
        <f>IF(A251="","",INDEX(lst_months,MONTH(A251)))</f>
        <v/>
      </c>
      <c r="E251" s="55" t="n"/>
      <c r="F251" s="54">
        <f>IF(E251="","",IFERROR(IF(INDEX(lst_exp_item_cat,MATCH(E251,lst_exp_items,0))="","❔ Без категории",INDEX(lst_exp_item_cat,MATCH(E251,lst_exp_items,0))),"❔ Без категории"))</f>
        <v/>
      </c>
      <c r="G251" s="43" t="n"/>
      <c r="H251" s="56" t="n"/>
      <c r="I251" s="43" t="n"/>
      <c r="J251" s="57">
        <f>IF(OR(A251="",H251=""),"",IF(COUNTIFS(exp_year,C251,exp_month,D251,exp_item,E251,exp_status,"&lt;&gt;❌ Отменено")&gt;0,1,0))</f>
        <v/>
      </c>
    </row>
    <row r="252">
      <c r="A252" s="52" t="n"/>
      <c r="B252" s="53">
        <f>IF(A252="","",CHOOSE(WEEKDAY(A252,2),"Пн","Вт","Ср","Чт","Пт","Сб","Вс"))</f>
        <v/>
      </c>
      <c r="C252" s="53">
        <f>IF(A252="","",YEAR(A252))</f>
        <v/>
      </c>
      <c r="D252" s="54">
        <f>IF(A252="","",INDEX(lst_months,MONTH(A252)))</f>
        <v/>
      </c>
      <c r="E252" s="55" t="n"/>
      <c r="F252" s="54">
        <f>IF(E252="","",IFERROR(IF(INDEX(lst_exp_item_cat,MATCH(E252,lst_exp_items,0))="","❔ Без категории",INDEX(lst_exp_item_cat,MATCH(E252,lst_exp_items,0))),"❔ Без категории"))</f>
        <v/>
      </c>
      <c r="G252" s="43" t="n"/>
      <c r="H252" s="56" t="n"/>
      <c r="I252" s="43" t="n"/>
      <c r="J252" s="57">
        <f>IF(OR(A252="",H252=""),"",IF(COUNTIFS(exp_year,C252,exp_month,D252,exp_item,E252,exp_status,"&lt;&gt;❌ Отменено")&gt;0,1,0))</f>
        <v/>
      </c>
    </row>
    <row r="253">
      <c r="A253" s="52" t="n"/>
      <c r="B253" s="53">
        <f>IF(A253="","",CHOOSE(WEEKDAY(A253,2),"Пн","Вт","Ср","Чт","Пт","Сб","Вс"))</f>
        <v/>
      </c>
      <c r="C253" s="53">
        <f>IF(A253="","",YEAR(A253))</f>
        <v/>
      </c>
      <c r="D253" s="54">
        <f>IF(A253="","",INDEX(lst_months,MONTH(A253)))</f>
        <v/>
      </c>
      <c r="E253" s="55" t="n"/>
      <c r="F253" s="54">
        <f>IF(E253="","",IFERROR(IF(INDEX(lst_exp_item_cat,MATCH(E253,lst_exp_items,0))="","❔ Без категории",INDEX(lst_exp_item_cat,MATCH(E253,lst_exp_items,0))),"❔ Без категории"))</f>
        <v/>
      </c>
      <c r="G253" s="43" t="n"/>
      <c r="H253" s="56" t="n"/>
      <c r="I253" s="43" t="n"/>
      <c r="J253" s="57">
        <f>IF(OR(A253="",H253=""),"",IF(COUNTIFS(exp_year,C253,exp_month,D253,exp_item,E253,exp_status,"&lt;&gt;❌ Отменено")&gt;0,1,0))</f>
        <v/>
      </c>
    </row>
    <row r="254">
      <c r="A254" s="52" t="n"/>
      <c r="B254" s="53">
        <f>IF(A254="","",CHOOSE(WEEKDAY(A254,2),"Пн","Вт","Ср","Чт","Пт","Сб","Вс"))</f>
        <v/>
      </c>
      <c r="C254" s="53">
        <f>IF(A254="","",YEAR(A254))</f>
        <v/>
      </c>
      <c r="D254" s="54">
        <f>IF(A254="","",INDEX(lst_months,MONTH(A254)))</f>
        <v/>
      </c>
      <c r="E254" s="55" t="n"/>
      <c r="F254" s="54">
        <f>IF(E254="","",IFERROR(IF(INDEX(lst_exp_item_cat,MATCH(E254,lst_exp_items,0))="","❔ Без категории",INDEX(lst_exp_item_cat,MATCH(E254,lst_exp_items,0))),"❔ Без категории"))</f>
        <v/>
      </c>
      <c r="G254" s="43" t="n"/>
      <c r="H254" s="56" t="n"/>
      <c r="I254" s="43" t="n"/>
      <c r="J254" s="57">
        <f>IF(OR(A254="",H254=""),"",IF(COUNTIFS(exp_year,C254,exp_month,D254,exp_item,E254,exp_status,"&lt;&gt;❌ Отменено")&gt;0,1,0))</f>
        <v/>
      </c>
    </row>
    <row r="255">
      <c r="A255" s="52" t="n"/>
      <c r="B255" s="53">
        <f>IF(A255="","",CHOOSE(WEEKDAY(A255,2),"Пн","Вт","Ср","Чт","Пт","Сб","Вс"))</f>
        <v/>
      </c>
      <c r="C255" s="53">
        <f>IF(A255="","",YEAR(A255))</f>
        <v/>
      </c>
      <c r="D255" s="54">
        <f>IF(A255="","",INDEX(lst_months,MONTH(A255)))</f>
        <v/>
      </c>
      <c r="E255" s="55" t="n"/>
      <c r="F255" s="54">
        <f>IF(E255="","",IFERROR(IF(INDEX(lst_exp_item_cat,MATCH(E255,lst_exp_items,0))="","❔ Без категории",INDEX(lst_exp_item_cat,MATCH(E255,lst_exp_items,0))),"❔ Без категории"))</f>
        <v/>
      </c>
      <c r="G255" s="43" t="n"/>
      <c r="H255" s="56" t="n"/>
      <c r="I255" s="43" t="n"/>
      <c r="J255" s="57">
        <f>IF(OR(A255="",H255=""),"",IF(COUNTIFS(exp_year,C255,exp_month,D255,exp_item,E255,exp_status,"&lt;&gt;❌ Отменено")&gt;0,1,0))</f>
        <v/>
      </c>
    </row>
    <row r="256">
      <c r="A256" s="52" t="n"/>
      <c r="B256" s="53">
        <f>IF(A256="","",CHOOSE(WEEKDAY(A256,2),"Пн","Вт","Ср","Чт","Пт","Сб","Вс"))</f>
        <v/>
      </c>
      <c r="C256" s="53">
        <f>IF(A256="","",YEAR(A256))</f>
        <v/>
      </c>
      <c r="D256" s="54">
        <f>IF(A256="","",INDEX(lst_months,MONTH(A256)))</f>
        <v/>
      </c>
      <c r="E256" s="55" t="n"/>
      <c r="F256" s="54">
        <f>IF(E256="","",IFERROR(IF(INDEX(lst_exp_item_cat,MATCH(E256,lst_exp_items,0))="","❔ Без категории",INDEX(lst_exp_item_cat,MATCH(E256,lst_exp_items,0))),"❔ Без категории"))</f>
        <v/>
      </c>
      <c r="G256" s="43" t="n"/>
      <c r="H256" s="56" t="n"/>
      <c r="I256" s="43" t="n"/>
      <c r="J256" s="57">
        <f>IF(OR(A256="",H256=""),"",IF(COUNTIFS(exp_year,C256,exp_month,D256,exp_item,E256,exp_status,"&lt;&gt;❌ Отменено")&gt;0,1,0))</f>
        <v/>
      </c>
    </row>
    <row r="257">
      <c r="A257" s="52" t="n"/>
      <c r="B257" s="53">
        <f>IF(A257="","",CHOOSE(WEEKDAY(A257,2),"Пн","Вт","Ср","Чт","Пт","Сб","Вс"))</f>
        <v/>
      </c>
      <c r="C257" s="53">
        <f>IF(A257="","",YEAR(A257))</f>
        <v/>
      </c>
      <c r="D257" s="54">
        <f>IF(A257="","",INDEX(lst_months,MONTH(A257)))</f>
        <v/>
      </c>
      <c r="E257" s="55" t="n"/>
      <c r="F257" s="54">
        <f>IF(E257="","",IFERROR(IF(INDEX(lst_exp_item_cat,MATCH(E257,lst_exp_items,0))="","❔ Без категории",INDEX(lst_exp_item_cat,MATCH(E257,lst_exp_items,0))),"❔ Без категории"))</f>
        <v/>
      </c>
      <c r="G257" s="43" t="n"/>
      <c r="H257" s="56" t="n"/>
      <c r="I257" s="43" t="n"/>
      <c r="J257" s="57">
        <f>IF(OR(A257="",H257=""),"",IF(COUNTIFS(exp_year,C257,exp_month,D257,exp_item,E257,exp_status,"&lt;&gt;❌ Отменено")&gt;0,1,0))</f>
        <v/>
      </c>
    </row>
    <row r="258">
      <c r="A258" s="52" t="n"/>
      <c r="B258" s="53">
        <f>IF(A258="","",CHOOSE(WEEKDAY(A258,2),"Пн","Вт","Ср","Чт","Пт","Сб","Вс"))</f>
        <v/>
      </c>
      <c r="C258" s="53">
        <f>IF(A258="","",YEAR(A258))</f>
        <v/>
      </c>
      <c r="D258" s="54">
        <f>IF(A258="","",INDEX(lst_months,MONTH(A258)))</f>
        <v/>
      </c>
      <c r="E258" s="55" t="n"/>
      <c r="F258" s="54">
        <f>IF(E258="","",IFERROR(IF(INDEX(lst_exp_item_cat,MATCH(E258,lst_exp_items,0))="","❔ Без категории",INDEX(lst_exp_item_cat,MATCH(E258,lst_exp_items,0))),"❔ Без категории"))</f>
        <v/>
      </c>
      <c r="G258" s="43" t="n"/>
      <c r="H258" s="56" t="n"/>
      <c r="I258" s="43" t="n"/>
      <c r="J258" s="57">
        <f>IF(OR(A258="",H258=""),"",IF(COUNTIFS(exp_year,C258,exp_month,D258,exp_item,E258,exp_status,"&lt;&gt;❌ Отменено")&gt;0,1,0))</f>
        <v/>
      </c>
    </row>
    <row r="259">
      <c r="A259" s="52" t="n"/>
      <c r="B259" s="53">
        <f>IF(A259="","",CHOOSE(WEEKDAY(A259,2),"Пн","Вт","Ср","Чт","Пт","Сб","Вс"))</f>
        <v/>
      </c>
      <c r="C259" s="53">
        <f>IF(A259="","",YEAR(A259))</f>
        <v/>
      </c>
      <c r="D259" s="54">
        <f>IF(A259="","",INDEX(lst_months,MONTH(A259)))</f>
        <v/>
      </c>
      <c r="E259" s="55" t="n"/>
      <c r="F259" s="54">
        <f>IF(E259="","",IFERROR(IF(INDEX(lst_exp_item_cat,MATCH(E259,lst_exp_items,0))="","❔ Без категории",INDEX(lst_exp_item_cat,MATCH(E259,lst_exp_items,0))),"❔ Без категории"))</f>
        <v/>
      </c>
      <c r="G259" s="43" t="n"/>
      <c r="H259" s="56" t="n"/>
      <c r="I259" s="43" t="n"/>
      <c r="J259" s="57">
        <f>IF(OR(A259="",H259=""),"",IF(COUNTIFS(exp_year,C259,exp_month,D259,exp_item,E259,exp_status,"&lt;&gt;❌ Отменено")&gt;0,1,0))</f>
        <v/>
      </c>
    </row>
    <row r="260">
      <c r="A260" s="52" t="n"/>
      <c r="B260" s="53">
        <f>IF(A260="","",CHOOSE(WEEKDAY(A260,2),"Пн","Вт","Ср","Чт","Пт","Сб","Вс"))</f>
        <v/>
      </c>
      <c r="C260" s="53">
        <f>IF(A260="","",YEAR(A260))</f>
        <v/>
      </c>
      <c r="D260" s="54">
        <f>IF(A260="","",INDEX(lst_months,MONTH(A260)))</f>
        <v/>
      </c>
      <c r="E260" s="55" t="n"/>
      <c r="F260" s="54">
        <f>IF(E260="","",IFERROR(IF(INDEX(lst_exp_item_cat,MATCH(E260,lst_exp_items,0))="","❔ Без категории",INDEX(lst_exp_item_cat,MATCH(E260,lst_exp_items,0))),"❔ Без категории"))</f>
        <v/>
      </c>
      <c r="G260" s="43" t="n"/>
      <c r="H260" s="56" t="n"/>
      <c r="I260" s="43" t="n"/>
      <c r="J260" s="57">
        <f>IF(OR(A260="",H260=""),"",IF(COUNTIFS(exp_year,C260,exp_month,D260,exp_item,E260,exp_status,"&lt;&gt;❌ Отменено")&gt;0,1,0))</f>
        <v/>
      </c>
    </row>
    <row r="261">
      <c r="A261" s="52" t="n"/>
      <c r="B261" s="53">
        <f>IF(A261="","",CHOOSE(WEEKDAY(A261,2),"Пн","Вт","Ср","Чт","Пт","Сб","Вс"))</f>
        <v/>
      </c>
      <c r="C261" s="53">
        <f>IF(A261="","",YEAR(A261))</f>
        <v/>
      </c>
      <c r="D261" s="54">
        <f>IF(A261="","",INDEX(lst_months,MONTH(A261)))</f>
        <v/>
      </c>
      <c r="E261" s="55" t="n"/>
      <c r="F261" s="54">
        <f>IF(E261="","",IFERROR(IF(INDEX(lst_exp_item_cat,MATCH(E261,lst_exp_items,0))="","❔ Без категории",INDEX(lst_exp_item_cat,MATCH(E261,lst_exp_items,0))),"❔ Без категории"))</f>
        <v/>
      </c>
      <c r="G261" s="43" t="n"/>
      <c r="H261" s="56" t="n"/>
      <c r="I261" s="43" t="n"/>
      <c r="J261" s="57">
        <f>IF(OR(A261="",H261=""),"",IF(COUNTIFS(exp_year,C261,exp_month,D261,exp_item,E261,exp_status,"&lt;&gt;❌ Отменено")&gt;0,1,0))</f>
        <v/>
      </c>
    </row>
    <row r="262">
      <c r="A262" s="52" t="n"/>
      <c r="B262" s="53">
        <f>IF(A262="","",CHOOSE(WEEKDAY(A262,2),"Пн","Вт","Ср","Чт","Пт","Сб","Вс"))</f>
        <v/>
      </c>
      <c r="C262" s="53">
        <f>IF(A262="","",YEAR(A262))</f>
        <v/>
      </c>
      <c r="D262" s="54">
        <f>IF(A262="","",INDEX(lst_months,MONTH(A262)))</f>
        <v/>
      </c>
      <c r="E262" s="55" t="n"/>
      <c r="F262" s="54">
        <f>IF(E262="","",IFERROR(IF(INDEX(lst_exp_item_cat,MATCH(E262,lst_exp_items,0))="","❔ Без категории",INDEX(lst_exp_item_cat,MATCH(E262,lst_exp_items,0))),"❔ Без категории"))</f>
        <v/>
      </c>
      <c r="G262" s="43" t="n"/>
      <c r="H262" s="56" t="n"/>
      <c r="I262" s="43" t="n"/>
      <c r="J262" s="57">
        <f>IF(OR(A262="",H262=""),"",IF(COUNTIFS(exp_year,C262,exp_month,D262,exp_item,E262,exp_status,"&lt;&gt;❌ Отменено")&gt;0,1,0))</f>
        <v/>
      </c>
    </row>
    <row r="263">
      <c r="A263" s="52" t="n"/>
      <c r="B263" s="53">
        <f>IF(A263="","",CHOOSE(WEEKDAY(A263,2),"Пн","Вт","Ср","Чт","Пт","Сб","Вс"))</f>
        <v/>
      </c>
      <c r="C263" s="53">
        <f>IF(A263="","",YEAR(A263))</f>
        <v/>
      </c>
      <c r="D263" s="54">
        <f>IF(A263="","",INDEX(lst_months,MONTH(A263)))</f>
        <v/>
      </c>
      <c r="E263" s="55" t="n"/>
      <c r="F263" s="54">
        <f>IF(E263="","",IFERROR(IF(INDEX(lst_exp_item_cat,MATCH(E263,lst_exp_items,0))="","❔ Без категории",INDEX(lst_exp_item_cat,MATCH(E263,lst_exp_items,0))),"❔ Без категории"))</f>
        <v/>
      </c>
      <c r="G263" s="43" t="n"/>
      <c r="H263" s="56" t="n"/>
      <c r="I263" s="43" t="n"/>
      <c r="J263" s="57">
        <f>IF(OR(A263="",H263=""),"",IF(COUNTIFS(exp_year,C263,exp_month,D263,exp_item,E263,exp_status,"&lt;&gt;❌ Отменено")&gt;0,1,0))</f>
        <v/>
      </c>
    </row>
    <row r="264">
      <c r="A264" s="52" t="n"/>
      <c r="B264" s="53">
        <f>IF(A264="","",CHOOSE(WEEKDAY(A264,2),"Пн","Вт","Ср","Чт","Пт","Сб","Вс"))</f>
        <v/>
      </c>
      <c r="C264" s="53">
        <f>IF(A264="","",YEAR(A264))</f>
        <v/>
      </c>
      <c r="D264" s="54">
        <f>IF(A264="","",INDEX(lst_months,MONTH(A264)))</f>
        <v/>
      </c>
      <c r="E264" s="55" t="n"/>
      <c r="F264" s="54">
        <f>IF(E264="","",IFERROR(IF(INDEX(lst_exp_item_cat,MATCH(E264,lst_exp_items,0))="","❔ Без категории",INDEX(lst_exp_item_cat,MATCH(E264,lst_exp_items,0))),"❔ Без категории"))</f>
        <v/>
      </c>
      <c r="G264" s="43" t="n"/>
      <c r="H264" s="56" t="n"/>
      <c r="I264" s="43" t="n"/>
      <c r="J264" s="57">
        <f>IF(OR(A264="",H264=""),"",IF(COUNTIFS(exp_year,C264,exp_month,D264,exp_item,E264,exp_status,"&lt;&gt;❌ Отменено")&gt;0,1,0))</f>
        <v/>
      </c>
    </row>
    <row r="265">
      <c r="A265" s="52" t="n"/>
      <c r="B265" s="53">
        <f>IF(A265="","",CHOOSE(WEEKDAY(A265,2),"Пн","Вт","Ср","Чт","Пт","Сб","Вс"))</f>
        <v/>
      </c>
      <c r="C265" s="53">
        <f>IF(A265="","",YEAR(A265))</f>
        <v/>
      </c>
      <c r="D265" s="54">
        <f>IF(A265="","",INDEX(lst_months,MONTH(A265)))</f>
        <v/>
      </c>
      <c r="E265" s="55" t="n"/>
      <c r="F265" s="54">
        <f>IF(E265="","",IFERROR(IF(INDEX(lst_exp_item_cat,MATCH(E265,lst_exp_items,0))="","❔ Без категории",INDEX(lst_exp_item_cat,MATCH(E265,lst_exp_items,0))),"❔ Без категории"))</f>
        <v/>
      </c>
      <c r="G265" s="43" t="n"/>
      <c r="H265" s="56" t="n"/>
      <c r="I265" s="43" t="n"/>
      <c r="J265" s="57">
        <f>IF(OR(A265="",H265=""),"",IF(COUNTIFS(exp_year,C265,exp_month,D265,exp_item,E265,exp_status,"&lt;&gt;❌ Отменено")&gt;0,1,0))</f>
        <v/>
      </c>
    </row>
    <row r="266">
      <c r="A266" s="52" t="n"/>
      <c r="B266" s="53">
        <f>IF(A266="","",CHOOSE(WEEKDAY(A266,2),"Пн","Вт","Ср","Чт","Пт","Сб","Вс"))</f>
        <v/>
      </c>
      <c r="C266" s="53">
        <f>IF(A266="","",YEAR(A266))</f>
        <v/>
      </c>
      <c r="D266" s="54">
        <f>IF(A266="","",INDEX(lst_months,MONTH(A266)))</f>
        <v/>
      </c>
      <c r="E266" s="55" t="n"/>
      <c r="F266" s="54">
        <f>IF(E266="","",IFERROR(IF(INDEX(lst_exp_item_cat,MATCH(E266,lst_exp_items,0))="","❔ Без категории",INDEX(lst_exp_item_cat,MATCH(E266,lst_exp_items,0))),"❔ Без категории"))</f>
        <v/>
      </c>
      <c r="G266" s="43" t="n"/>
      <c r="H266" s="56" t="n"/>
      <c r="I266" s="43" t="n"/>
      <c r="J266" s="57">
        <f>IF(OR(A266="",H266=""),"",IF(COUNTIFS(exp_year,C266,exp_month,D266,exp_item,E266,exp_status,"&lt;&gt;❌ Отменено")&gt;0,1,0))</f>
        <v/>
      </c>
    </row>
    <row r="267">
      <c r="A267" s="52" t="n"/>
      <c r="B267" s="53">
        <f>IF(A267="","",CHOOSE(WEEKDAY(A267,2),"Пн","Вт","Ср","Чт","Пт","Сб","Вс"))</f>
        <v/>
      </c>
      <c r="C267" s="53">
        <f>IF(A267="","",YEAR(A267))</f>
        <v/>
      </c>
      <c r="D267" s="54">
        <f>IF(A267="","",INDEX(lst_months,MONTH(A267)))</f>
        <v/>
      </c>
      <c r="E267" s="55" t="n"/>
      <c r="F267" s="54">
        <f>IF(E267="","",IFERROR(IF(INDEX(lst_exp_item_cat,MATCH(E267,lst_exp_items,0))="","❔ Без категории",INDEX(lst_exp_item_cat,MATCH(E267,lst_exp_items,0))),"❔ Без категории"))</f>
        <v/>
      </c>
      <c r="G267" s="43" t="n"/>
      <c r="H267" s="56" t="n"/>
      <c r="I267" s="43" t="n"/>
      <c r="J267" s="57">
        <f>IF(OR(A267="",H267=""),"",IF(COUNTIFS(exp_year,C267,exp_month,D267,exp_item,E267,exp_status,"&lt;&gt;❌ Отменено")&gt;0,1,0))</f>
        <v/>
      </c>
    </row>
    <row r="268">
      <c r="A268" s="52" t="n"/>
      <c r="B268" s="53">
        <f>IF(A268="","",CHOOSE(WEEKDAY(A268,2),"Пн","Вт","Ср","Чт","Пт","Сб","Вс"))</f>
        <v/>
      </c>
      <c r="C268" s="53">
        <f>IF(A268="","",YEAR(A268))</f>
        <v/>
      </c>
      <c r="D268" s="54">
        <f>IF(A268="","",INDEX(lst_months,MONTH(A268)))</f>
        <v/>
      </c>
      <c r="E268" s="55" t="n"/>
      <c r="F268" s="54">
        <f>IF(E268="","",IFERROR(IF(INDEX(lst_exp_item_cat,MATCH(E268,lst_exp_items,0))="","❔ Без категории",INDEX(lst_exp_item_cat,MATCH(E268,lst_exp_items,0))),"❔ Без категории"))</f>
        <v/>
      </c>
      <c r="G268" s="43" t="n"/>
      <c r="H268" s="56" t="n"/>
      <c r="I268" s="43" t="n"/>
      <c r="J268" s="57">
        <f>IF(OR(A268="",H268=""),"",IF(COUNTIFS(exp_year,C268,exp_month,D268,exp_item,E268,exp_status,"&lt;&gt;❌ Отменено")&gt;0,1,0))</f>
        <v/>
      </c>
    </row>
    <row r="269">
      <c r="A269" s="52" t="n"/>
      <c r="B269" s="53">
        <f>IF(A269="","",CHOOSE(WEEKDAY(A269,2),"Пн","Вт","Ср","Чт","Пт","Сб","Вс"))</f>
        <v/>
      </c>
      <c r="C269" s="53">
        <f>IF(A269="","",YEAR(A269))</f>
        <v/>
      </c>
      <c r="D269" s="54">
        <f>IF(A269="","",INDEX(lst_months,MONTH(A269)))</f>
        <v/>
      </c>
      <c r="E269" s="55" t="n"/>
      <c r="F269" s="54">
        <f>IF(E269="","",IFERROR(IF(INDEX(lst_exp_item_cat,MATCH(E269,lst_exp_items,0))="","❔ Без категории",INDEX(lst_exp_item_cat,MATCH(E269,lst_exp_items,0))),"❔ Без категории"))</f>
        <v/>
      </c>
      <c r="G269" s="43" t="n"/>
      <c r="H269" s="56" t="n"/>
      <c r="I269" s="43" t="n"/>
      <c r="J269" s="57">
        <f>IF(OR(A269="",H269=""),"",IF(COUNTIFS(exp_year,C269,exp_month,D269,exp_item,E269,exp_status,"&lt;&gt;❌ Отменено")&gt;0,1,0))</f>
        <v/>
      </c>
    </row>
    <row r="270">
      <c r="A270" s="52" t="n"/>
      <c r="B270" s="53">
        <f>IF(A270="","",CHOOSE(WEEKDAY(A270,2),"Пн","Вт","Ср","Чт","Пт","Сб","Вс"))</f>
        <v/>
      </c>
      <c r="C270" s="53">
        <f>IF(A270="","",YEAR(A270))</f>
        <v/>
      </c>
      <c r="D270" s="54">
        <f>IF(A270="","",INDEX(lst_months,MONTH(A270)))</f>
        <v/>
      </c>
      <c r="E270" s="55" t="n"/>
      <c r="F270" s="54">
        <f>IF(E270="","",IFERROR(IF(INDEX(lst_exp_item_cat,MATCH(E270,lst_exp_items,0))="","❔ Без категории",INDEX(lst_exp_item_cat,MATCH(E270,lst_exp_items,0))),"❔ Без категории"))</f>
        <v/>
      </c>
      <c r="G270" s="43" t="n"/>
      <c r="H270" s="56" t="n"/>
      <c r="I270" s="43" t="n"/>
      <c r="J270" s="57">
        <f>IF(OR(A270="",H270=""),"",IF(COUNTIFS(exp_year,C270,exp_month,D270,exp_item,E270,exp_status,"&lt;&gt;❌ Отменено")&gt;0,1,0))</f>
        <v/>
      </c>
    </row>
    <row r="271">
      <c r="A271" s="52" t="n"/>
      <c r="B271" s="53">
        <f>IF(A271="","",CHOOSE(WEEKDAY(A271,2),"Пн","Вт","Ср","Чт","Пт","Сб","Вс"))</f>
        <v/>
      </c>
      <c r="C271" s="53">
        <f>IF(A271="","",YEAR(A271))</f>
        <v/>
      </c>
      <c r="D271" s="54">
        <f>IF(A271="","",INDEX(lst_months,MONTH(A271)))</f>
        <v/>
      </c>
      <c r="E271" s="55" t="n"/>
      <c r="F271" s="54">
        <f>IF(E271="","",IFERROR(IF(INDEX(lst_exp_item_cat,MATCH(E271,lst_exp_items,0))="","❔ Без категории",INDEX(lst_exp_item_cat,MATCH(E271,lst_exp_items,0))),"❔ Без категории"))</f>
        <v/>
      </c>
      <c r="G271" s="43" t="n"/>
      <c r="H271" s="56" t="n"/>
      <c r="I271" s="43" t="n"/>
      <c r="J271" s="57">
        <f>IF(OR(A271="",H271=""),"",IF(COUNTIFS(exp_year,C271,exp_month,D271,exp_item,E271,exp_status,"&lt;&gt;❌ Отменено")&gt;0,1,0))</f>
        <v/>
      </c>
    </row>
    <row r="272">
      <c r="A272" s="52" t="n"/>
      <c r="B272" s="53">
        <f>IF(A272="","",CHOOSE(WEEKDAY(A272,2),"Пн","Вт","Ср","Чт","Пт","Сб","Вс"))</f>
        <v/>
      </c>
      <c r="C272" s="53">
        <f>IF(A272="","",YEAR(A272))</f>
        <v/>
      </c>
      <c r="D272" s="54">
        <f>IF(A272="","",INDEX(lst_months,MONTH(A272)))</f>
        <v/>
      </c>
      <c r="E272" s="55" t="n"/>
      <c r="F272" s="54">
        <f>IF(E272="","",IFERROR(IF(INDEX(lst_exp_item_cat,MATCH(E272,lst_exp_items,0))="","❔ Без категории",INDEX(lst_exp_item_cat,MATCH(E272,lst_exp_items,0))),"❔ Без категории"))</f>
        <v/>
      </c>
      <c r="G272" s="43" t="n"/>
      <c r="H272" s="56" t="n"/>
      <c r="I272" s="43" t="n"/>
      <c r="J272" s="57">
        <f>IF(OR(A272="",H272=""),"",IF(COUNTIFS(exp_year,C272,exp_month,D272,exp_item,E272,exp_status,"&lt;&gt;❌ Отменено")&gt;0,1,0))</f>
        <v/>
      </c>
    </row>
    <row r="273">
      <c r="A273" s="52" t="n"/>
      <c r="B273" s="53">
        <f>IF(A273="","",CHOOSE(WEEKDAY(A273,2),"Пн","Вт","Ср","Чт","Пт","Сб","Вс"))</f>
        <v/>
      </c>
      <c r="C273" s="53">
        <f>IF(A273="","",YEAR(A273))</f>
        <v/>
      </c>
      <c r="D273" s="54">
        <f>IF(A273="","",INDEX(lst_months,MONTH(A273)))</f>
        <v/>
      </c>
      <c r="E273" s="55" t="n"/>
      <c r="F273" s="54">
        <f>IF(E273="","",IFERROR(IF(INDEX(lst_exp_item_cat,MATCH(E273,lst_exp_items,0))="","❔ Без категории",INDEX(lst_exp_item_cat,MATCH(E273,lst_exp_items,0))),"❔ Без категории"))</f>
        <v/>
      </c>
      <c r="G273" s="43" t="n"/>
      <c r="H273" s="56" t="n"/>
      <c r="I273" s="43" t="n"/>
      <c r="J273" s="57">
        <f>IF(OR(A273="",H273=""),"",IF(COUNTIFS(exp_year,C273,exp_month,D273,exp_item,E273,exp_status,"&lt;&gt;❌ Отменено")&gt;0,1,0))</f>
        <v/>
      </c>
    </row>
    <row r="274">
      <c r="A274" s="52" t="n"/>
      <c r="B274" s="53">
        <f>IF(A274="","",CHOOSE(WEEKDAY(A274,2),"Пн","Вт","Ср","Чт","Пт","Сб","Вс"))</f>
        <v/>
      </c>
      <c r="C274" s="53">
        <f>IF(A274="","",YEAR(A274))</f>
        <v/>
      </c>
      <c r="D274" s="54">
        <f>IF(A274="","",INDEX(lst_months,MONTH(A274)))</f>
        <v/>
      </c>
      <c r="E274" s="55" t="n"/>
      <c r="F274" s="54">
        <f>IF(E274="","",IFERROR(IF(INDEX(lst_exp_item_cat,MATCH(E274,lst_exp_items,0))="","❔ Без категории",INDEX(lst_exp_item_cat,MATCH(E274,lst_exp_items,0))),"❔ Без категории"))</f>
        <v/>
      </c>
      <c r="G274" s="43" t="n"/>
      <c r="H274" s="56" t="n"/>
      <c r="I274" s="43" t="n"/>
      <c r="J274" s="57">
        <f>IF(OR(A274="",H274=""),"",IF(COUNTIFS(exp_year,C274,exp_month,D274,exp_item,E274,exp_status,"&lt;&gt;❌ Отменено")&gt;0,1,0))</f>
        <v/>
      </c>
    </row>
    <row r="275">
      <c r="A275" s="52" t="n"/>
      <c r="B275" s="53">
        <f>IF(A275="","",CHOOSE(WEEKDAY(A275,2),"Пн","Вт","Ср","Чт","Пт","Сб","Вс"))</f>
        <v/>
      </c>
      <c r="C275" s="53">
        <f>IF(A275="","",YEAR(A275))</f>
        <v/>
      </c>
      <c r="D275" s="54">
        <f>IF(A275="","",INDEX(lst_months,MONTH(A275)))</f>
        <v/>
      </c>
      <c r="E275" s="55" t="n"/>
      <c r="F275" s="54">
        <f>IF(E275="","",IFERROR(IF(INDEX(lst_exp_item_cat,MATCH(E275,lst_exp_items,0))="","❔ Без категории",INDEX(lst_exp_item_cat,MATCH(E275,lst_exp_items,0))),"❔ Без категории"))</f>
        <v/>
      </c>
      <c r="G275" s="43" t="n"/>
      <c r="H275" s="56" t="n"/>
      <c r="I275" s="43" t="n"/>
      <c r="J275" s="57">
        <f>IF(OR(A275="",H275=""),"",IF(COUNTIFS(exp_year,C275,exp_month,D275,exp_item,E275,exp_status,"&lt;&gt;❌ Отменено")&gt;0,1,0))</f>
        <v/>
      </c>
    </row>
    <row r="276">
      <c r="A276" s="52" t="n"/>
      <c r="B276" s="53">
        <f>IF(A276="","",CHOOSE(WEEKDAY(A276,2),"Пн","Вт","Ср","Чт","Пт","Сб","Вс"))</f>
        <v/>
      </c>
      <c r="C276" s="53">
        <f>IF(A276="","",YEAR(A276))</f>
        <v/>
      </c>
      <c r="D276" s="54">
        <f>IF(A276="","",INDEX(lst_months,MONTH(A276)))</f>
        <v/>
      </c>
      <c r="E276" s="55" t="n"/>
      <c r="F276" s="54">
        <f>IF(E276="","",IFERROR(IF(INDEX(lst_exp_item_cat,MATCH(E276,lst_exp_items,0))="","❔ Без категории",INDEX(lst_exp_item_cat,MATCH(E276,lst_exp_items,0))),"❔ Без категории"))</f>
        <v/>
      </c>
      <c r="G276" s="43" t="n"/>
      <c r="H276" s="56" t="n"/>
      <c r="I276" s="43" t="n"/>
      <c r="J276" s="57">
        <f>IF(OR(A276="",H276=""),"",IF(COUNTIFS(exp_year,C276,exp_month,D276,exp_item,E276,exp_status,"&lt;&gt;❌ Отменено")&gt;0,1,0))</f>
        <v/>
      </c>
    </row>
    <row r="277">
      <c r="A277" s="52" t="n"/>
      <c r="B277" s="53">
        <f>IF(A277="","",CHOOSE(WEEKDAY(A277,2),"Пн","Вт","Ср","Чт","Пт","Сб","Вс"))</f>
        <v/>
      </c>
      <c r="C277" s="53">
        <f>IF(A277="","",YEAR(A277))</f>
        <v/>
      </c>
      <c r="D277" s="54">
        <f>IF(A277="","",INDEX(lst_months,MONTH(A277)))</f>
        <v/>
      </c>
      <c r="E277" s="55" t="n"/>
      <c r="F277" s="54">
        <f>IF(E277="","",IFERROR(IF(INDEX(lst_exp_item_cat,MATCH(E277,lst_exp_items,0))="","❔ Без категории",INDEX(lst_exp_item_cat,MATCH(E277,lst_exp_items,0))),"❔ Без категории"))</f>
        <v/>
      </c>
      <c r="G277" s="43" t="n"/>
      <c r="H277" s="56" t="n"/>
      <c r="I277" s="43" t="n"/>
      <c r="J277" s="57">
        <f>IF(OR(A277="",H277=""),"",IF(COUNTIFS(exp_year,C277,exp_month,D277,exp_item,E277,exp_status,"&lt;&gt;❌ Отменено")&gt;0,1,0))</f>
        <v/>
      </c>
    </row>
    <row r="278">
      <c r="A278" s="52" t="n"/>
      <c r="B278" s="53">
        <f>IF(A278="","",CHOOSE(WEEKDAY(A278,2),"Пн","Вт","Ср","Чт","Пт","Сб","Вс"))</f>
        <v/>
      </c>
      <c r="C278" s="53">
        <f>IF(A278="","",YEAR(A278))</f>
        <v/>
      </c>
      <c r="D278" s="54">
        <f>IF(A278="","",INDEX(lst_months,MONTH(A278)))</f>
        <v/>
      </c>
      <c r="E278" s="55" t="n"/>
      <c r="F278" s="54">
        <f>IF(E278="","",IFERROR(IF(INDEX(lst_exp_item_cat,MATCH(E278,lst_exp_items,0))="","❔ Без категории",INDEX(lst_exp_item_cat,MATCH(E278,lst_exp_items,0))),"❔ Без категории"))</f>
        <v/>
      </c>
      <c r="G278" s="43" t="n"/>
      <c r="H278" s="56" t="n"/>
      <c r="I278" s="43" t="n"/>
      <c r="J278" s="57">
        <f>IF(OR(A278="",H278=""),"",IF(COUNTIFS(exp_year,C278,exp_month,D278,exp_item,E278,exp_status,"&lt;&gt;❌ Отменено")&gt;0,1,0))</f>
        <v/>
      </c>
    </row>
    <row r="279">
      <c r="A279" s="52" t="n"/>
      <c r="B279" s="53">
        <f>IF(A279="","",CHOOSE(WEEKDAY(A279,2),"Пн","Вт","Ср","Чт","Пт","Сб","Вс"))</f>
        <v/>
      </c>
      <c r="C279" s="53">
        <f>IF(A279="","",YEAR(A279))</f>
        <v/>
      </c>
      <c r="D279" s="54">
        <f>IF(A279="","",INDEX(lst_months,MONTH(A279)))</f>
        <v/>
      </c>
      <c r="E279" s="55" t="n"/>
      <c r="F279" s="54">
        <f>IF(E279="","",IFERROR(IF(INDEX(lst_exp_item_cat,MATCH(E279,lst_exp_items,0))="","❔ Без категории",INDEX(lst_exp_item_cat,MATCH(E279,lst_exp_items,0))),"❔ Без категории"))</f>
        <v/>
      </c>
      <c r="G279" s="43" t="n"/>
      <c r="H279" s="56" t="n"/>
      <c r="I279" s="43" t="n"/>
      <c r="J279" s="57">
        <f>IF(OR(A279="",H279=""),"",IF(COUNTIFS(exp_year,C279,exp_month,D279,exp_item,E279,exp_status,"&lt;&gt;❌ Отменено")&gt;0,1,0))</f>
        <v/>
      </c>
    </row>
    <row r="280">
      <c r="A280" s="52" t="n"/>
      <c r="B280" s="53">
        <f>IF(A280="","",CHOOSE(WEEKDAY(A280,2),"Пн","Вт","Ср","Чт","Пт","Сб","Вс"))</f>
        <v/>
      </c>
      <c r="C280" s="53">
        <f>IF(A280="","",YEAR(A280))</f>
        <v/>
      </c>
      <c r="D280" s="54">
        <f>IF(A280="","",INDEX(lst_months,MONTH(A280)))</f>
        <v/>
      </c>
      <c r="E280" s="55" t="n"/>
      <c r="F280" s="54">
        <f>IF(E280="","",IFERROR(IF(INDEX(lst_exp_item_cat,MATCH(E280,lst_exp_items,0))="","❔ Без категории",INDEX(lst_exp_item_cat,MATCH(E280,lst_exp_items,0))),"❔ Без категории"))</f>
        <v/>
      </c>
      <c r="G280" s="43" t="n"/>
      <c r="H280" s="56" t="n"/>
      <c r="I280" s="43" t="n"/>
      <c r="J280" s="57">
        <f>IF(OR(A280="",H280=""),"",IF(COUNTIFS(exp_year,C280,exp_month,D280,exp_item,E280,exp_status,"&lt;&gt;❌ Отменено")&gt;0,1,0))</f>
        <v/>
      </c>
    </row>
    <row r="281">
      <c r="A281" s="52" t="n"/>
      <c r="B281" s="53">
        <f>IF(A281="","",CHOOSE(WEEKDAY(A281,2),"Пн","Вт","Ср","Чт","Пт","Сб","Вс"))</f>
        <v/>
      </c>
      <c r="C281" s="53">
        <f>IF(A281="","",YEAR(A281))</f>
        <v/>
      </c>
      <c r="D281" s="54">
        <f>IF(A281="","",INDEX(lst_months,MONTH(A281)))</f>
        <v/>
      </c>
      <c r="E281" s="55" t="n"/>
      <c r="F281" s="54">
        <f>IF(E281="","",IFERROR(IF(INDEX(lst_exp_item_cat,MATCH(E281,lst_exp_items,0))="","❔ Без категории",INDEX(lst_exp_item_cat,MATCH(E281,lst_exp_items,0))),"❔ Без категории"))</f>
        <v/>
      </c>
      <c r="G281" s="43" t="n"/>
      <c r="H281" s="56" t="n"/>
      <c r="I281" s="43" t="n"/>
      <c r="J281" s="57">
        <f>IF(OR(A281="",H281=""),"",IF(COUNTIFS(exp_year,C281,exp_month,D281,exp_item,E281,exp_status,"&lt;&gt;❌ Отменено")&gt;0,1,0))</f>
        <v/>
      </c>
    </row>
    <row r="282">
      <c r="A282" s="52" t="n"/>
      <c r="B282" s="53">
        <f>IF(A282="","",CHOOSE(WEEKDAY(A282,2),"Пн","Вт","Ср","Чт","Пт","Сб","Вс"))</f>
        <v/>
      </c>
      <c r="C282" s="53">
        <f>IF(A282="","",YEAR(A282))</f>
        <v/>
      </c>
      <c r="D282" s="54">
        <f>IF(A282="","",INDEX(lst_months,MONTH(A282)))</f>
        <v/>
      </c>
      <c r="E282" s="55" t="n"/>
      <c r="F282" s="54">
        <f>IF(E282="","",IFERROR(IF(INDEX(lst_exp_item_cat,MATCH(E282,lst_exp_items,0))="","❔ Без категории",INDEX(lst_exp_item_cat,MATCH(E282,lst_exp_items,0))),"❔ Без категории"))</f>
        <v/>
      </c>
      <c r="G282" s="43" t="n"/>
      <c r="H282" s="56" t="n"/>
      <c r="I282" s="43" t="n"/>
      <c r="J282" s="57">
        <f>IF(OR(A282="",H282=""),"",IF(COUNTIFS(exp_year,C282,exp_month,D282,exp_item,E282,exp_status,"&lt;&gt;❌ Отменено")&gt;0,1,0))</f>
        <v/>
      </c>
    </row>
    <row r="283">
      <c r="A283" s="52" t="n"/>
      <c r="B283" s="53">
        <f>IF(A283="","",CHOOSE(WEEKDAY(A283,2),"Пн","Вт","Ср","Чт","Пт","Сб","Вс"))</f>
        <v/>
      </c>
      <c r="C283" s="53">
        <f>IF(A283="","",YEAR(A283))</f>
        <v/>
      </c>
      <c r="D283" s="54">
        <f>IF(A283="","",INDEX(lst_months,MONTH(A283)))</f>
        <v/>
      </c>
      <c r="E283" s="55" t="n"/>
      <c r="F283" s="54">
        <f>IF(E283="","",IFERROR(IF(INDEX(lst_exp_item_cat,MATCH(E283,lst_exp_items,0))="","❔ Без категории",INDEX(lst_exp_item_cat,MATCH(E283,lst_exp_items,0))),"❔ Без категории"))</f>
        <v/>
      </c>
      <c r="G283" s="43" t="n"/>
      <c r="H283" s="56" t="n"/>
      <c r="I283" s="43" t="n"/>
      <c r="J283" s="57">
        <f>IF(OR(A283="",H283=""),"",IF(COUNTIFS(exp_year,C283,exp_month,D283,exp_item,E283,exp_status,"&lt;&gt;❌ Отменено")&gt;0,1,0))</f>
        <v/>
      </c>
    </row>
    <row r="284">
      <c r="A284" s="52" t="n"/>
      <c r="B284" s="53">
        <f>IF(A284="","",CHOOSE(WEEKDAY(A284,2),"Пн","Вт","Ср","Чт","Пт","Сб","Вс"))</f>
        <v/>
      </c>
      <c r="C284" s="53">
        <f>IF(A284="","",YEAR(A284))</f>
        <v/>
      </c>
      <c r="D284" s="54">
        <f>IF(A284="","",INDEX(lst_months,MONTH(A284)))</f>
        <v/>
      </c>
      <c r="E284" s="55" t="n"/>
      <c r="F284" s="54">
        <f>IF(E284="","",IFERROR(IF(INDEX(lst_exp_item_cat,MATCH(E284,lst_exp_items,0))="","❔ Без категории",INDEX(lst_exp_item_cat,MATCH(E284,lst_exp_items,0))),"❔ Без категории"))</f>
        <v/>
      </c>
      <c r="G284" s="43" t="n"/>
      <c r="H284" s="56" t="n"/>
      <c r="I284" s="43" t="n"/>
      <c r="J284" s="57">
        <f>IF(OR(A284="",H284=""),"",IF(COUNTIFS(exp_year,C284,exp_month,D284,exp_item,E284,exp_status,"&lt;&gt;❌ Отменено")&gt;0,1,0))</f>
        <v/>
      </c>
    </row>
    <row r="285">
      <c r="A285" s="52" t="n"/>
      <c r="B285" s="53">
        <f>IF(A285="","",CHOOSE(WEEKDAY(A285,2),"Пн","Вт","Ср","Чт","Пт","Сб","Вс"))</f>
        <v/>
      </c>
      <c r="C285" s="53">
        <f>IF(A285="","",YEAR(A285))</f>
        <v/>
      </c>
      <c r="D285" s="54">
        <f>IF(A285="","",INDEX(lst_months,MONTH(A285)))</f>
        <v/>
      </c>
      <c r="E285" s="55" t="n"/>
      <c r="F285" s="54">
        <f>IF(E285="","",IFERROR(IF(INDEX(lst_exp_item_cat,MATCH(E285,lst_exp_items,0))="","❔ Без категории",INDEX(lst_exp_item_cat,MATCH(E285,lst_exp_items,0))),"❔ Без категории"))</f>
        <v/>
      </c>
      <c r="G285" s="43" t="n"/>
      <c r="H285" s="56" t="n"/>
      <c r="I285" s="43" t="n"/>
      <c r="J285" s="57">
        <f>IF(OR(A285="",H285=""),"",IF(COUNTIFS(exp_year,C285,exp_month,D285,exp_item,E285,exp_status,"&lt;&gt;❌ Отменено")&gt;0,1,0))</f>
        <v/>
      </c>
    </row>
    <row r="286">
      <c r="A286" s="52" t="n"/>
      <c r="B286" s="53">
        <f>IF(A286="","",CHOOSE(WEEKDAY(A286,2),"Пн","Вт","Ср","Чт","Пт","Сб","Вс"))</f>
        <v/>
      </c>
      <c r="C286" s="53">
        <f>IF(A286="","",YEAR(A286))</f>
        <v/>
      </c>
      <c r="D286" s="54">
        <f>IF(A286="","",INDEX(lst_months,MONTH(A286)))</f>
        <v/>
      </c>
      <c r="E286" s="55" t="n"/>
      <c r="F286" s="54">
        <f>IF(E286="","",IFERROR(IF(INDEX(lst_exp_item_cat,MATCH(E286,lst_exp_items,0))="","❔ Без категории",INDEX(lst_exp_item_cat,MATCH(E286,lst_exp_items,0))),"❔ Без категории"))</f>
        <v/>
      </c>
      <c r="G286" s="43" t="n"/>
      <c r="H286" s="56" t="n"/>
      <c r="I286" s="43" t="n"/>
      <c r="J286" s="57">
        <f>IF(OR(A286="",H286=""),"",IF(COUNTIFS(exp_year,C286,exp_month,D286,exp_item,E286,exp_status,"&lt;&gt;❌ Отменено")&gt;0,1,0))</f>
        <v/>
      </c>
    </row>
    <row r="287">
      <c r="A287" s="52" t="n"/>
      <c r="B287" s="53">
        <f>IF(A287="","",CHOOSE(WEEKDAY(A287,2),"Пн","Вт","Ср","Чт","Пт","Сб","Вс"))</f>
        <v/>
      </c>
      <c r="C287" s="53">
        <f>IF(A287="","",YEAR(A287))</f>
        <v/>
      </c>
      <c r="D287" s="54">
        <f>IF(A287="","",INDEX(lst_months,MONTH(A287)))</f>
        <v/>
      </c>
      <c r="E287" s="55" t="n"/>
      <c r="F287" s="54">
        <f>IF(E287="","",IFERROR(IF(INDEX(lst_exp_item_cat,MATCH(E287,lst_exp_items,0))="","❔ Без категории",INDEX(lst_exp_item_cat,MATCH(E287,lst_exp_items,0))),"❔ Без категории"))</f>
        <v/>
      </c>
      <c r="G287" s="43" t="n"/>
      <c r="H287" s="56" t="n"/>
      <c r="I287" s="43" t="n"/>
      <c r="J287" s="57">
        <f>IF(OR(A287="",H287=""),"",IF(COUNTIFS(exp_year,C287,exp_month,D287,exp_item,E287,exp_status,"&lt;&gt;❌ Отменено")&gt;0,1,0))</f>
        <v/>
      </c>
    </row>
    <row r="288">
      <c r="A288" s="52" t="n"/>
      <c r="B288" s="53">
        <f>IF(A288="","",CHOOSE(WEEKDAY(A288,2),"Пн","Вт","Ср","Чт","Пт","Сб","Вс"))</f>
        <v/>
      </c>
      <c r="C288" s="53">
        <f>IF(A288="","",YEAR(A288))</f>
        <v/>
      </c>
      <c r="D288" s="54">
        <f>IF(A288="","",INDEX(lst_months,MONTH(A288)))</f>
        <v/>
      </c>
      <c r="E288" s="55" t="n"/>
      <c r="F288" s="54">
        <f>IF(E288="","",IFERROR(IF(INDEX(lst_exp_item_cat,MATCH(E288,lst_exp_items,0))="","❔ Без категории",INDEX(lst_exp_item_cat,MATCH(E288,lst_exp_items,0))),"❔ Без категории"))</f>
        <v/>
      </c>
      <c r="G288" s="43" t="n"/>
      <c r="H288" s="56" t="n"/>
      <c r="I288" s="43" t="n"/>
      <c r="J288" s="57">
        <f>IF(OR(A288="",H288=""),"",IF(COUNTIFS(exp_year,C288,exp_month,D288,exp_item,E288,exp_status,"&lt;&gt;❌ Отменено")&gt;0,1,0))</f>
        <v/>
      </c>
    </row>
    <row r="289">
      <c r="A289" s="52" t="n"/>
      <c r="B289" s="53">
        <f>IF(A289="","",CHOOSE(WEEKDAY(A289,2),"Пн","Вт","Ср","Чт","Пт","Сб","Вс"))</f>
        <v/>
      </c>
      <c r="C289" s="53">
        <f>IF(A289="","",YEAR(A289))</f>
        <v/>
      </c>
      <c r="D289" s="54">
        <f>IF(A289="","",INDEX(lst_months,MONTH(A289)))</f>
        <v/>
      </c>
      <c r="E289" s="55" t="n"/>
      <c r="F289" s="54">
        <f>IF(E289="","",IFERROR(IF(INDEX(lst_exp_item_cat,MATCH(E289,lst_exp_items,0))="","❔ Без категории",INDEX(lst_exp_item_cat,MATCH(E289,lst_exp_items,0))),"❔ Без категории"))</f>
        <v/>
      </c>
      <c r="G289" s="43" t="n"/>
      <c r="H289" s="56" t="n"/>
      <c r="I289" s="43" t="n"/>
      <c r="J289" s="57">
        <f>IF(OR(A289="",H289=""),"",IF(COUNTIFS(exp_year,C289,exp_month,D289,exp_item,E289,exp_status,"&lt;&gt;❌ Отменено")&gt;0,1,0))</f>
        <v/>
      </c>
    </row>
    <row r="290">
      <c r="A290" s="52" t="n"/>
      <c r="B290" s="53">
        <f>IF(A290="","",CHOOSE(WEEKDAY(A290,2),"Пн","Вт","Ср","Чт","Пт","Сб","Вс"))</f>
        <v/>
      </c>
      <c r="C290" s="53">
        <f>IF(A290="","",YEAR(A290))</f>
        <v/>
      </c>
      <c r="D290" s="54">
        <f>IF(A290="","",INDEX(lst_months,MONTH(A290)))</f>
        <v/>
      </c>
      <c r="E290" s="55" t="n"/>
      <c r="F290" s="54">
        <f>IF(E290="","",IFERROR(IF(INDEX(lst_exp_item_cat,MATCH(E290,lst_exp_items,0))="","❔ Без категории",INDEX(lst_exp_item_cat,MATCH(E290,lst_exp_items,0))),"❔ Без категории"))</f>
        <v/>
      </c>
      <c r="G290" s="43" t="n"/>
      <c r="H290" s="56" t="n"/>
      <c r="I290" s="43" t="n"/>
      <c r="J290" s="57">
        <f>IF(OR(A290="",H290=""),"",IF(COUNTIFS(exp_year,C290,exp_month,D290,exp_item,E290,exp_status,"&lt;&gt;❌ Отменено")&gt;0,1,0))</f>
        <v/>
      </c>
    </row>
    <row r="291">
      <c r="A291" s="52" t="n"/>
      <c r="B291" s="53">
        <f>IF(A291="","",CHOOSE(WEEKDAY(A291,2),"Пн","Вт","Ср","Чт","Пт","Сб","Вс"))</f>
        <v/>
      </c>
      <c r="C291" s="53">
        <f>IF(A291="","",YEAR(A291))</f>
        <v/>
      </c>
      <c r="D291" s="54">
        <f>IF(A291="","",INDEX(lst_months,MONTH(A291)))</f>
        <v/>
      </c>
      <c r="E291" s="55" t="n"/>
      <c r="F291" s="54">
        <f>IF(E291="","",IFERROR(IF(INDEX(lst_exp_item_cat,MATCH(E291,lst_exp_items,0))="","❔ Без категории",INDEX(lst_exp_item_cat,MATCH(E291,lst_exp_items,0))),"❔ Без категории"))</f>
        <v/>
      </c>
      <c r="G291" s="43" t="n"/>
      <c r="H291" s="56" t="n"/>
      <c r="I291" s="43" t="n"/>
      <c r="J291" s="57">
        <f>IF(OR(A291="",H291=""),"",IF(COUNTIFS(exp_year,C291,exp_month,D291,exp_item,E291,exp_status,"&lt;&gt;❌ Отменено")&gt;0,1,0))</f>
        <v/>
      </c>
    </row>
    <row r="292">
      <c r="A292" s="52" t="n"/>
      <c r="B292" s="53">
        <f>IF(A292="","",CHOOSE(WEEKDAY(A292,2),"Пн","Вт","Ср","Чт","Пт","Сб","Вс"))</f>
        <v/>
      </c>
      <c r="C292" s="53">
        <f>IF(A292="","",YEAR(A292))</f>
        <v/>
      </c>
      <c r="D292" s="54">
        <f>IF(A292="","",INDEX(lst_months,MONTH(A292)))</f>
        <v/>
      </c>
      <c r="E292" s="55" t="n"/>
      <c r="F292" s="54">
        <f>IF(E292="","",IFERROR(IF(INDEX(lst_exp_item_cat,MATCH(E292,lst_exp_items,0))="","❔ Без категории",INDEX(lst_exp_item_cat,MATCH(E292,lst_exp_items,0))),"❔ Без категории"))</f>
        <v/>
      </c>
      <c r="G292" s="43" t="n"/>
      <c r="H292" s="56" t="n"/>
      <c r="I292" s="43" t="n"/>
      <c r="J292" s="57">
        <f>IF(OR(A292="",H292=""),"",IF(COUNTIFS(exp_year,C292,exp_month,D292,exp_item,E292,exp_status,"&lt;&gt;❌ Отменено")&gt;0,1,0))</f>
        <v/>
      </c>
    </row>
    <row r="293">
      <c r="A293" s="52" t="n"/>
      <c r="B293" s="53">
        <f>IF(A293="","",CHOOSE(WEEKDAY(A293,2),"Пн","Вт","Ср","Чт","Пт","Сб","Вс"))</f>
        <v/>
      </c>
      <c r="C293" s="53">
        <f>IF(A293="","",YEAR(A293))</f>
        <v/>
      </c>
      <c r="D293" s="54">
        <f>IF(A293="","",INDEX(lst_months,MONTH(A293)))</f>
        <v/>
      </c>
      <c r="E293" s="55" t="n"/>
      <c r="F293" s="54">
        <f>IF(E293="","",IFERROR(IF(INDEX(lst_exp_item_cat,MATCH(E293,lst_exp_items,0))="","❔ Без категории",INDEX(lst_exp_item_cat,MATCH(E293,lst_exp_items,0))),"❔ Без категории"))</f>
        <v/>
      </c>
      <c r="G293" s="43" t="n"/>
      <c r="H293" s="56" t="n"/>
      <c r="I293" s="43" t="n"/>
      <c r="J293" s="57">
        <f>IF(OR(A293="",H293=""),"",IF(COUNTIFS(exp_year,C293,exp_month,D293,exp_item,E293,exp_status,"&lt;&gt;❌ Отменено")&gt;0,1,0))</f>
        <v/>
      </c>
    </row>
    <row r="294">
      <c r="A294" s="52" t="n"/>
      <c r="B294" s="53">
        <f>IF(A294="","",CHOOSE(WEEKDAY(A294,2),"Пн","Вт","Ср","Чт","Пт","Сб","Вс"))</f>
        <v/>
      </c>
      <c r="C294" s="53">
        <f>IF(A294="","",YEAR(A294))</f>
        <v/>
      </c>
      <c r="D294" s="54">
        <f>IF(A294="","",INDEX(lst_months,MONTH(A294)))</f>
        <v/>
      </c>
      <c r="E294" s="55" t="n"/>
      <c r="F294" s="54">
        <f>IF(E294="","",IFERROR(IF(INDEX(lst_exp_item_cat,MATCH(E294,lst_exp_items,0))="","❔ Без категории",INDEX(lst_exp_item_cat,MATCH(E294,lst_exp_items,0))),"❔ Без категории"))</f>
        <v/>
      </c>
      <c r="G294" s="43" t="n"/>
      <c r="H294" s="56" t="n"/>
      <c r="I294" s="43" t="n"/>
      <c r="J294" s="57">
        <f>IF(OR(A294="",H294=""),"",IF(COUNTIFS(exp_year,C294,exp_month,D294,exp_item,E294,exp_status,"&lt;&gt;❌ Отменено")&gt;0,1,0))</f>
        <v/>
      </c>
    </row>
    <row r="295">
      <c r="A295" s="52" t="n"/>
      <c r="B295" s="53">
        <f>IF(A295="","",CHOOSE(WEEKDAY(A295,2),"Пн","Вт","Ср","Чт","Пт","Сб","Вс"))</f>
        <v/>
      </c>
      <c r="C295" s="53">
        <f>IF(A295="","",YEAR(A295))</f>
        <v/>
      </c>
      <c r="D295" s="54">
        <f>IF(A295="","",INDEX(lst_months,MONTH(A295)))</f>
        <v/>
      </c>
      <c r="E295" s="55" t="n"/>
      <c r="F295" s="54">
        <f>IF(E295="","",IFERROR(IF(INDEX(lst_exp_item_cat,MATCH(E295,lst_exp_items,0))="","❔ Без категории",INDEX(lst_exp_item_cat,MATCH(E295,lst_exp_items,0))),"❔ Без категории"))</f>
        <v/>
      </c>
      <c r="G295" s="43" t="n"/>
      <c r="H295" s="56" t="n"/>
      <c r="I295" s="43" t="n"/>
      <c r="J295" s="57">
        <f>IF(OR(A295="",H295=""),"",IF(COUNTIFS(exp_year,C295,exp_month,D295,exp_item,E295,exp_status,"&lt;&gt;❌ Отменено")&gt;0,1,0))</f>
        <v/>
      </c>
    </row>
    <row r="296">
      <c r="A296" s="52" t="n"/>
      <c r="B296" s="53">
        <f>IF(A296="","",CHOOSE(WEEKDAY(A296,2),"Пн","Вт","Ср","Чт","Пт","Сб","Вс"))</f>
        <v/>
      </c>
      <c r="C296" s="53">
        <f>IF(A296="","",YEAR(A296))</f>
        <v/>
      </c>
      <c r="D296" s="54">
        <f>IF(A296="","",INDEX(lst_months,MONTH(A296)))</f>
        <v/>
      </c>
      <c r="E296" s="55" t="n"/>
      <c r="F296" s="54">
        <f>IF(E296="","",IFERROR(IF(INDEX(lst_exp_item_cat,MATCH(E296,lst_exp_items,0))="","❔ Без категории",INDEX(lst_exp_item_cat,MATCH(E296,lst_exp_items,0))),"❔ Без категории"))</f>
        <v/>
      </c>
      <c r="G296" s="43" t="n"/>
      <c r="H296" s="56" t="n"/>
      <c r="I296" s="43" t="n"/>
      <c r="J296" s="57">
        <f>IF(OR(A296="",H296=""),"",IF(COUNTIFS(exp_year,C296,exp_month,D296,exp_item,E296,exp_status,"&lt;&gt;❌ Отменено")&gt;0,1,0))</f>
        <v/>
      </c>
    </row>
    <row r="297">
      <c r="A297" s="52" t="n"/>
      <c r="B297" s="53">
        <f>IF(A297="","",CHOOSE(WEEKDAY(A297,2),"Пн","Вт","Ср","Чт","Пт","Сб","Вс"))</f>
        <v/>
      </c>
      <c r="C297" s="53">
        <f>IF(A297="","",YEAR(A297))</f>
        <v/>
      </c>
      <c r="D297" s="54">
        <f>IF(A297="","",INDEX(lst_months,MONTH(A297)))</f>
        <v/>
      </c>
      <c r="E297" s="55" t="n"/>
      <c r="F297" s="54">
        <f>IF(E297="","",IFERROR(IF(INDEX(lst_exp_item_cat,MATCH(E297,lst_exp_items,0))="","❔ Без категории",INDEX(lst_exp_item_cat,MATCH(E297,lst_exp_items,0))),"❔ Без категории"))</f>
        <v/>
      </c>
      <c r="G297" s="43" t="n"/>
      <c r="H297" s="56" t="n"/>
      <c r="I297" s="43" t="n"/>
      <c r="J297" s="57">
        <f>IF(OR(A297="",H297=""),"",IF(COUNTIFS(exp_year,C297,exp_month,D297,exp_item,E297,exp_status,"&lt;&gt;❌ Отменено")&gt;0,1,0))</f>
        <v/>
      </c>
    </row>
    <row r="298">
      <c r="A298" s="52" t="n"/>
      <c r="B298" s="53">
        <f>IF(A298="","",CHOOSE(WEEKDAY(A298,2),"Пн","Вт","Ср","Чт","Пт","Сб","Вс"))</f>
        <v/>
      </c>
      <c r="C298" s="53">
        <f>IF(A298="","",YEAR(A298))</f>
        <v/>
      </c>
      <c r="D298" s="54">
        <f>IF(A298="","",INDEX(lst_months,MONTH(A298)))</f>
        <v/>
      </c>
      <c r="E298" s="55" t="n"/>
      <c r="F298" s="54">
        <f>IF(E298="","",IFERROR(IF(INDEX(lst_exp_item_cat,MATCH(E298,lst_exp_items,0))="","❔ Без категории",INDEX(lst_exp_item_cat,MATCH(E298,lst_exp_items,0))),"❔ Без категории"))</f>
        <v/>
      </c>
      <c r="G298" s="43" t="n"/>
      <c r="H298" s="56" t="n"/>
      <c r="I298" s="43" t="n"/>
      <c r="J298" s="57">
        <f>IF(OR(A298="",H298=""),"",IF(COUNTIFS(exp_year,C298,exp_month,D298,exp_item,E298,exp_status,"&lt;&gt;❌ Отменено")&gt;0,1,0))</f>
        <v/>
      </c>
    </row>
    <row r="299">
      <c r="A299" s="52" t="n"/>
      <c r="B299" s="53">
        <f>IF(A299="","",CHOOSE(WEEKDAY(A299,2),"Пн","Вт","Ср","Чт","Пт","Сб","Вс"))</f>
        <v/>
      </c>
      <c r="C299" s="53">
        <f>IF(A299="","",YEAR(A299))</f>
        <v/>
      </c>
      <c r="D299" s="54">
        <f>IF(A299="","",INDEX(lst_months,MONTH(A299)))</f>
        <v/>
      </c>
      <c r="E299" s="55" t="n"/>
      <c r="F299" s="54">
        <f>IF(E299="","",IFERROR(IF(INDEX(lst_exp_item_cat,MATCH(E299,lst_exp_items,0))="","❔ Без категории",INDEX(lst_exp_item_cat,MATCH(E299,lst_exp_items,0))),"❔ Без категории"))</f>
        <v/>
      </c>
      <c r="G299" s="43" t="n"/>
      <c r="H299" s="56" t="n"/>
      <c r="I299" s="43" t="n"/>
      <c r="J299" s="57">
        <f>IF(OR(A299="",H299=""),"",IF(COUNTIFS(exp_year,C299,exp_month,D299,exp_item,E299,exp_status,"&lt;&gt;❌ Отменено")&gt;0,1,0))</f>
        <v/>
      </c>
    </row>
    <row r="300">
      <c r="A300" s="52" t="n"/>
      <c r="B300" s="53">
        <f>IF(A300="","",CHOOSE(WEEKDAY(A300,2),"Пн","Вт","Ср","Чт","Пт","Сб","Вс"))</f>
        <v/>
      </c>
      <c r="C300" s="53">
        <f>IF(A300="","",YEAR(A300))</f>
        <v/>
      </c>
      <c r="D300" s="54">
        <f>IF(A300="","",INDEX(lst_months,MONTH(A300)))</f>
        <v/>
      </c>
      <c r="E300" s="55" t="n"/>
      <c r="F300" s="54">
        <f>IF(E300="","",IFERROR(IF(INDEX(lst_exp_item_cat,MATCH(E300,lst_exp_items,0))="","❔ Без категории",INDEX(lst_exp_item_cat,MATCH(E300,lst_exp_items,0))),"❔ Без категории"))</f>
        <v/>
      </c>
      <c r="G300" s="43" t="n"/>
      <c r="H300" s="56" t="n"/>
      <c r="I300" s="43" t="n"/>
      <c r="J300" s="57">
        <f>IF(OR(A300="",H300=""),"",IF(COUNTIFS(exp_year,C300,exp_month,D300,exp_item,E300,exp_status,"&lt;&gt;❌ Отменено")&gt;0,1,0))</f>
        <v/>
      </c>
    </row>
    <row r="301">
      <c r="A301" s="52" t="n"/>
      <c r="B301" s="53">
        <f>IF(A301="","",CHOOSE(WEEKDAY(A301,2),"Пн","Вт","Ср","Чт","Пт","Сб","Вс"))</f>
        <v/>
      </c>
      <c r="C301" s="53">
        <f>IF(A301="","",YEAR(A301))</f>
        <v/>
      </c>
      <c r="D301" s="54">
        <f>IF(A301="","",INDEX(lst_months,MONTH(A301)))</f>
        <v/>
      </c>
      <c r="E301" s="55" t="n"/>
      <c r="F301" s="54">
        <f>IF(E301="","",IFERROR(IF(INDEX(lst_exp_item_cat,MATCH(E301,lst_exp_items,0))="","❔ Без категории",INDEX(lst_exp_item_cat,MATCH(E301,lst_exp_items,0))),"❔ Без категории"))</f>
        <v/>
      </c>
      <c r="G301" s="43" t="n"/>
      <c r="H301" s="56" t="n"/>
      <c r="I301" s="43" t="n"/>
      <c r="J301" s="57">
        <f>IF(OR(A301="",H301=""),"",IF(COUNTIFS(exp_year,C301,exp_month,D301,exp_item,E301,exp_status,"&lt;&gt;❌ Отменено")&gt;0,1,0))</f>
        <v/>
      </c>
    </row>
    <row r="302">
      <c r="A302" s="52" t="n"/>
      <c r="B302" s="53">
        <f>IF(A302="","",CHOOSE(WEEKDAY(A302,2),"Пн","Вт","Ср","Чт","Пт","Сб","Вс"))</f>
        <v/>
      </c>
      <c r="C302" s="53">
        <f>IF(A302="","",YEAR(A302))</f>
        <v/>
      </c>
      <c r="D302" s="54">
        <f>IF(A302="","",INDEX(lst_months,MONTH(A302)))</f>
        <v/>
      </c>
      <c r="E302" s="55" t="n"/>
      <c r="F302" s="54">
        <f>IF(E302="","",IFERROR(IF(INDEX(lst_exp_item_cat,MATCH(E302,lst_exp_items,0))="","❔ Без категории",INDEX(lst_exp_item_cat,MATCH(E302,lst_exp_items,0))),"❔ Без категории"))</f>
        <v/>
      </c>
      <c r="G302" s="43" t="n"/>
      <c r="H302" s="56" t="n"/>
      <c r="I302" s="43" t="n"/>
      <c r="J302" s="57">
        <f>IF(OR(A302="",H302=""),"",IF(COUNTIFS(exp_year,C302,exp_month,D302,exp_item,E302,exp_status,"&lt;&gt;❌ Отменено")&gt;0,1,0))</f>
        <v/>
      </c>
    </row>
    <row r="303">
      <c r="A303" s="52" t="n"/>
      <c r="B303" s="53">
        <f>IF(A303="","",CHOOSE(WEEKDAY(A303,2),"Пн","Вт","Ср","Чт","Пт","Сб","Вс"))</f>
        <v/>
      </c>
      <c r="C303" s="53">
        <f>IF(A303="","",YEAR(A303))</f>
        <v/>
      </c>
      <c r="D303" s="54">
        <f>IF(A303="","",INDEX(lst_months,MONTH(A303)))</f>
        <v/>
      </c>
      <c r="E303" s="55" t="n"/>
      <c r="F303" s="54">
        <f>IF(E303="","",IFERROR(IF(INDEX(lst_exp_item_cat,MATCH(E303,lst_exp_items,0))="","❔ Без категории",INDEX(lst_exp_item_cat,MATCH(E303,lst_exp_items,0))),"❔ Без категории"))</f>
        <v/>
      </c>
      <c r="G303" s="43" t="n"/>
      <c r="H303" s="56" t="n"/>
      <c r="I303" s="43" t="n"/>
      <c r="J303" s="57">
        <f>IF(OR(A303="",H303=""),"",IF(COUNTIFS(exp_year,C303,exp_month,D303,exp_item,E303,exp_status,"&lt;&gt;❌ Отменено")&gt;0,1,0))</f>
        <v/>
      </c>
    </row>
    <row r="304">
      <c r="A304" s="52" t="n"/>
      <c r="B304" s="53">
        <f>IF(A304="","",CHOOSE(WEEKDAY(A304,2),"Пн","Вт","Ср","Чт","Пт","Сб","Вс"))</f>
        <v/>
      </c>
      <c r="C304" s="53">
        <f>IF(A304="","",YEAR(A304))</f>
        <v/>
      </c>
      <c r="D304" s="54">
        <f>IF(A304="","",INDEX(lst_months,MONTH(A304)))</f>
        <v/>
      </c>
      <c r="E304" s="55" t="n"/>
      <c r="F304" s="54">
        <f>IF(E304="","",IFERROR(IF(INDEX(lst_exp_item_cat,MATCH(E304,lst_exp_items,0))="","❔ Без категории",INDEX(lst_exp_item_cat,MATCH(E304,lst_exp_items,0))),"❔ Без категории"))</f>
        <v/>
      </c>
      <c r="G304" s="43" t="n"/>
      <c r="H304" s="56" t="n"/>
      <c r="I304" s="43" t="n"/>
      <c r="J304" s="57">
        <f>IF(OR(A304="",H304=""),"",IF(COUNTIFS(exp_year,C304,exp_month,D304,exp_item,E304,exp_status,"&lt;&gt;❌ Отменено")&gt;0,1,0))</f>
        <v/>
      </c>
    </row>
    <row r="305">
      <c r="A305" s="52" t="n"/>
      <c r="B305" s="53">
        <f>IF(A305="","",CHOOSE(WEEKDAY(A305,2),"Пн","Вт","Ср","Чт","Пт","Сб","Вс"))</f>
        <v/>
      </c>
      <c r="C305" s="53">
        <f>IF(A305="","",YEAR(A305))</f>
        <v/>
      </c>
      <c r="D305" s="54">
        <f>IF(A305="","",INDEX(lst_months,MONTH(A305)))</f>
        <v/>
      </c>
      <c r="E305" s="55" t="n"/>
      <c r="F305" s="54">
        <f>IF(E305="","",IFERROR(IF(INDEX(lst_exp_item_cat,MATCH(E305,lst_exp_items,0))="","❔ Без категории",INDEX(lst_exp_item_cat,MATCH(E305,lst_exp_items,0))),"❔ Без категории"))</f>
        <v/>
      </c>
      <c r="G305" s="43" t="n"/>
      <c r="H305" s="56" t="n"/>
      <c r="I305" s="43" t="n"/>
      <c r="J305" s="57">
        <f>IF(OR(A305="",H305=""),"",IF(COUNTIFS(exp_year,C305,exp_month,D305,exp_item,E305,exp_status,"&lt;&gt;❌ Отменено")&gt;0,1,0))</f>
        <v/>
      </c>
    </row>
    <row r="306">
      <c r="A306" s="52" t="n"/>
      <c r="B306" s="53">
        <f>IF(A306="","",CHOOSE(WEEKDAY(A306,2),"Пн","Вт","Ср","Чт","Пт","Сб","Вс"))</f>
        <v/>
      </c>
      <c r="C306" s="53">
        <f>IF(A306="","",YEAR(A306))</f>
        <v/>
      </c>
      <c r="D306" s="54">
        <f>IF(A306="","",INDEX(lst_months,MONTH(A306)))</f>
        <v/>
      </c>
      <c r="E306" s="55" t="n"/>
      <c r="F306" s="54">
        <f>IF(E306="","",IFERROR(IF(INDEX(lst_exp_item_cat,MATCH(E306,lst_exp_items,0))="","❔ Без категории",INDEX(lst_exp_item_cat,MATCH(E306,lst_exp_items,0))),"❔ Без категории"))</f>
        <v/>
      </c>
      <c r="G306" s="43" t="n"/>
      <c r="H306" s="56" t="n"/>
      <c r="I306" s="43" t="n"/>
      <c r="J306" s="57">
        <f>IF(OR(A306="",H306=""),"",IF(COUNTIFS(exp_year,C306,exp_month,D306,exp_item,E306,exp_status,"&lt;&gt;❌ Отменено")&gt;0,1,0))</f>
        <v/>
      </c>
    </row>
    <row r="307">
      <c r="A307" s="52" t="n"/>
      <c r="B307" s="53">
        <f>IF(A307="","",CHOOSE(WEEKDAY(A307,2),"Пн","Вт","Ср","Чт","Пт","Сб","Вс"))</f>
        <v/>
      </c>
      <c r="C307" s="53">
        <f>IF(A307="","",YEAR(A307))</f>
        <v/>
      </c>
      <c r="D307" s="54">
        <f>IF(A307="","",INDEX(lst_months,MONTH(A307)))</f>
        <v/>
      </c>
      <c r="E307" s="55" t="n"/>
      <c r="F307" s="54">
        <f>IF(E307="","",IFERROR(IF(INDEX(lst_exp_item_cat,MATCH(E307,lst_exp_items,0))="","❔ Без категории",INDEX(lst_exp_item_cat,MATCH(E307,lst_exp_items,0))),"❔ Без категории"))</f>
        <v/>
      </c>
      <c r="G307" s="43" t="n"/>
      <c r="H307" s="56" t="n"/>
      <c r="I307" s="43" t="n"/>
      <c r="J307" s="57">
        <f>IF(OR(A307="",H307=""),"",IF(COUNTIFS(exp_year,C307,exp_month,D307,exp_item,E307,exp_status,"&lt;&gt;❌ Отменено")&gt;0,1,0))</f>
        <v/>
      </c>
    </row>
    <row r="308">
      <c r="A308" s="52" t="n"/>
      <c r="B308" s="53">
        <f>IF(A308="","",CHOOSE(WEEKDAY(A308,2),"Пн","Вт","Ср","Чт","Пт","Сб","Вс"))</f>
        <v/>
      </c>
      <c r="C308" s="53">
        <f>IF(A308="","",YEAR(A308))</f>
        <v/>
      </c>
      <c r="D308" s="54">
        <f>IF(A308="","",INDEX(lst_months,MONTH(A308)))</f>
        <v/>
      </c>
      <c r="E308" s="55" t="n"/>
      <c r="F308" s="54">
        <f>IF(E308="","",IFERROR(IF(INDEX(lst_exp_item_cat,MATCH(E308,lst_exp_items,0))="","❔ Без категории",INDEX(lst_exp_item_cat,MATCH(E308,lst_exp_items,0))),"❔ Без категории"))</f>
        <v/>
      </c>
      <c r="G308" s="43" t="n"/>
      <c r="H308" s="56" t="n"/>
      <c r="I308" s="43" t="n"/>
      <c r="J308" s="57">
        <f>IF(OR(A308="",H308=""),"",IF(COUNTIFS(exp_year,C308,exp_month,D308,exp_item,E308,exp_status,"&lt;&gt;❌ Отменено")&gt;0,1,0))</f>
        <v/>
      </c>
    </row>
    <row r="309">
      <c r="A309" s="52" t="n"/>
      <c r="B309" s="53">
        <f>IF(A309="","",CHOOSE(WEEKDAY(A309,2),"Пн","Вт","Ср","Чт","Пт","Сб","Вс"))</f>
        <v/>
      </c>
      <c r="C309" s="53">
        <f>IF(A309="","",YEAR(A309))</f>
        <v/>
      </c>
      <c r="D309" s="54">
        <f>IF(A309="","",INDEX(lst_months,MONTH(A309)))</f>
        <v/>
      </c>
      <c r="E309" s="55" t="n"/>
      <c r="F309" s="54">
        <f>IF(E309="","",IFERROR(IF(INDEX(lst_exp_item_cat,MATCH(E309,lst_exp_items,0))="","❔ Без категории",INDEX(lst_exp_item_cat,MATCH(E309,lst_exp_items,0))),"❔ Без категории"))</f>
        <v/>
      </c>
      <c r="G309" s="43" t="n"/>
      <c r="H309" s="56" t="n"/>
      <c r="I309" s="43" t="n"/>
      <c r="J309" s="57">
        <f>IF(OR(A309="",H309=""),"",IF(COUNTIFS(exp_year,C309,exp_month,D309,exp_item,E309,exp_status,"&lt;&gt;❌ Отменено")&gt;0,1,0))</f>
        <v/>
      </c>
    </row>
    <row r="310">
      <c r="A310" s="52" t="n"/>
      <c r="B310" s="53">
        <f>IF(A310="","",CHOOSE(WEEKDAY(A310,2),"Пн","Вт","Ср","Чт","Пт","Сб","Вс"))</f>
        <v/>
      </c>
      <c r="C310" s="53">
        <f>IF(A310="","",YEAR(A310))</f>
        <v/>
      </c>
      <c r="D310" s="54">
        <f>IF(A310="","",INDEX(lst_months,MONTH(A310)))</f>
        <v/>
      </c>
      <c r="E310" s="55" t="n"/>
      <c r="F310" s="54">
        <f>IF(E310="","",IFERROR(IF(INDEX(lst_exp_item_cat,MATCH(E310,lst_exp_items,0))="","❔ Без категории",INDEX(lst_exp_item_cat,MATCH(E310,lst_exp_items,0))),"❔ Без категории"))</f>
        <v/>
      </c>
      <c r="G310" s="43" t="n"/>
      <c r="H310" s="56" t="n"/>
      <c r="I310" s="43" t="n"/>
      <c r="J310" s="57">
        <f>IF(OR(A310="",H310=""),"",IF(COUNTIFS(exp_year,C310,exp_month,D310,exp_item,E310,exp_status,"&lt;&gt;❌ Отменено")&gt;0,1,0))</f>
        <v/>
      </c>
    </row>
    <row r="311">
      <c r="A311" s="52" t="n"/>
      <c r="B311" s="53">
        <f>IF(A311="","",CHOOSE(WEEKDAY(A311,2),"Пн","Вт","Ср","Чт","Пт","Сб","Вс"))</f>
        <v/>
      </c>
      <c r="C311" s="53">
        <f>IF(A311="","",YEAR(A311))</f>
        <v/>
      </c>
      <c r="D311" s="54">
        <f>IF(A311="","",INDEX(lst_months,MONTH(A311)))</f>
        <v/>
      </c>
      <c r="E311" s="55" t="n"/>
      <c r="F311" s="54">
        <f>IF(E311="","",IFERROR(IF(INDEX(lst_exp_item_cat,MATCH(E311,lst_exp_items,0))="","❔ Без категории",INDEX(lst_exp_item_cat,MATCH(E311,lst_exp_items,0))),"❔ Без категории"))</f>
        <v/>
      </c>
      <c r="G311" s="43" t="n"/>
      <c r="H311" s="56" t="n"/>
      <c r="I311" s="43" t="n"/>
      <c r="J311" s="57">
        <f>IF(OR(A311="",H311=""),"",IF(COUNTIFS(exp_year,C311,exp_month,D311,exp_item,E311,exp_status,"&lt;&gt;❌ Отменено")&gt;0,1,0))</f>
        <v/>
      </c>
    </row>
    <row r="312">
      <c r="A312" s="52" t="n"/>
      <c r="B312" s="53">
        <f>IF(A312="","",CHOOSE(WEEKDAY(A312,2),"Пн","Вт","Ср","Чт","Пт","Сб","Вс"))</f>
        <v/>
      </c>
      <c r="C312" s="53">
        <f>IF(A312="","",YEAR(A312))</f>
        <v/>
      </c>
      <c r="D312" s="54">
        <f>IF(A312="","",INDEX(lst_months,MONTH(A312)))</f>
        <v/>
      </c>
      <c r="E312" s="55" t="n"/>
      <c r="F312" s="54">
        <f>IF(E312="","",IFERROR(IF(INDEX(lst_exp_item_cat,MATCH(E312,lst_exp_items,0))="","❔ Без категории",INDEX(lst_exp_item_cat,MATCH(E312,lst_exp_items,0))),"❔ Без категории"))</f>
        <v/>
      </c>
      <c r="G312" s="43" t="n"/>
      <c r="H312" s="56" t="n"/>
      <c r="I312" s="43" t="n"/>
      <c r="J312" s="57">
        <f>IF(OR(A312="",H312=""),"",IF(COUNTIFS(exp_year,C312,exp_month,D312,exp_item,E312,exp_status,"&lt;&gt;❌ Отменено")&gt;0,1,0))</f>
        <v/>
      </c>
    </row>
    <row r="313">
      <c r="A313" s="52" t="n"/>
      <c r="B313" s="53">
        <f>IF(A313="","",CHOOSE(WEEKDAY(A313,2),"Пн","Вт","Ср","Чт","Пт","Сб","Вс"))</f>
        <v/>
      </c>
      <c r="C313" s="53">
        <f>IF(A313="","",YEAR(A313))</f>
        <v/>
      </c>
      <c r="D313" s="54">
        <f>IF(A313="","",INDEX(lst_months,MONTH(A313)))</f>
        <v/>
      </c>
      <c r="E313" s="55" t="n"/>
      <c r="F313" s="54">
        <f>IF(E313="","",IFERROR(IF(INDEX(lst_exp_item_cat,MATCH(E313,lst_exp_items,0))="","❔ Без категории",INDEX(lst_exp_item_cat,MATCH(E313,lst_exp_items,0))),"❔ Без категории"))</f>
        <v/>
      </c>
      <c r="G313" s="43" t="n"/>
      <c r="H313" s="56" t="n"/>
      <c r="I313" s="43" t="n"/>
      <c r="J313" s="57">
        <f>IF(OR(A313="",H313=""),"",IF(COUNTIFS(exp_year,C313,exp_month,D313,exp_item,E313,exp_status,"&lt;&gt;❌ Отменено")&gt;0,1,0))</f>
        <v/>
      </c>
    </row>
    <row r="314">
      <c r="A314" s="52" t="n"/>
      <c r="B314" s="53">
        <f>IF(A314="","",CHOOSE(WEEKDAY(A314,2),"Пн","Вт","Ср","Чт","Пт","Сб","Вс"))</f>
        <v/>
      </c>
      <c r="C314" s="53">
        <f>IF(A314="","",YEAR(A314))</f>
        <v/>
      </c>
      <c r="D314" s="54">
        <f>IF(A314="","",INDEX(lst_months,MONTH(A314)))</f>
        <v/>
      </c>
      <c r="E314" s="55" t="n"/>
      <c r="F314" s="54">
        <f>IF(E314="","",IFERROR(IF(INDEX(lst_exp_item_cat,MATCH(E314,lst_exp_items,0))="","❔ Без категории",INDEX(lst_exp_item_cat,MATCH(E314,lst_exp_items,0))),"❔ Без категории"))</f>
        <v/>
      </c>
      <c r="G314" s="43" t="n"/>
      <c r="H314" s="56" t="n"/>
      <c r="I314" s="43" t="n"/>
      <c r="J314" s="57">
        <f>IF(OR(A314="",H314=""),"",IF(COUNTIFS(exp_year,C314,exp_month,D314,exp_item,E314,exp_status,"&lt;&gt;❌ Отменено")&gt;0,1,0))</f>
        <v/>
      </c>
    </row>
    <row r="315">
      <c r="A315" s="52" t="n"/>
      <c r="B315" s="53">
        <f>IF(A315="","",CHOOSE(WEEKDAY(A315,2),"Пн","Вт","Ср","Чт","Пт","Сб","Вс"))</f>
        <v/>
      </c>
      <c r="C315" s="53">
        <f>IF(A315="","",YEAR(A315))</f>
        <v/>
      </c>
      <c r="D315" s="54">
        <f>IF(A315="","",INDEX(lst_months,MONTH(A315)))</f>
        <v/>
      </c>
      <c r="E315" s="55" t="n"/>
      <c r="F315" s="54">
        <f>IF(E315="","",IFERROR(IF(INDEX(lst_exp_item_cat,MATCH(E315,lst_exp_items,0))="","❔ Без категории",INDEX(lst_exp_item_cat,MATCH(E315,lst_exp_items,0))),"❔ Без категории"))</f>
        <v/>
      </c>
      <c r="G315" s="43" t="n"/>
      <c r="H315" s="56" t="n"/>
      <c r="I315" s="43" t="n"/>
      <c r="J315" s="57">
        <f>IF(OR(A315="",H315=""),"",IF(COUNTIFS(exp_year,C315,exp_month,D315,exp_item,E315,exp_status,"&lt;&gt;❌ Отменено")&gt;0,1,0))</f>
        <v/>
      </c>
    </row>
    <row r="316">
      <c r="A316" s="52" t="n"/>
      <c r="B316" s="53">
        <f>IF(A316="","",CHOOSE(WEEKDAY(A316,2),"Пн","Вт","Ср","Чт","Пт","Сб","Вс"))</f>
        <v/>
      </c>
      <c r="C316" s="53">
        <f>IF(A316="","",YEAR(A316))</f>
        <v/>
      </c>
      <c r="D316" s="54">
        <f>IF(A316="","",INDEX(lst_months,MONTH(A316)))</f>
        <v/>
      </c>
      <c r="E316" s="55" t="n"/>
      <c r="F316" s="54">
        <f>IF(E316="","",IFERROR(IF(INDEX(lst_exp_item_cat,MATCH(E316,lst_exp_items,0))="","❔ Без категории",INDEX(lst_exp_item_cat,MATCH(E316,lst_exp_items,0))),"❔ Без категории"))</f>
        <v/>
      </c>
      <c r="G316" s="43" t="n"/>
      <c r="H316" s="56" t="n"/>
      <c r="I316" s="43" t="n"/>
      <c r="J316" s="57">
        <f>IF(OR(A316="",H316=""),"",IF(COUNTIFS(exp_year,C316,exp_month,D316,exp_item,E316,exp_status,"&lt;&gt;❌ Отменено")&gt;0,1,0))</f>
        <v/>
      </c>
    </row>
    <row r="317">
      <c r="A317" s="52" t="n"/>
      <c r="B317" s="53">
        <f>IF(A317="","",CHOOSE(WEEKDAY(A317,2),"Пн","Вт","Ср","Чт","Пт","Сб","Вс"))</f>
        <v/>
      </c>
      <c r="C317" s="53">
        <f>IF(A317="","",YEAR(A317))</f>
        <v/>
      </c>
      <c r="D317" s="54">
        <f>IF(A317="","",INDEX(lst_months,MONTH(A317)))</f>
        <v/>
      </c>
      <c r="E317" s="55" t="n"/>
      <c r="F317" s="54">
        <f>IF(E317="","",IFERROR(IF(INDEX(lst_exp_item_cat,MATCH(E317,lst_exp_items,0))="","❔ Без категории",INDEX(lst_exp_item_cat,MATCH(E317,lst_exp_items,0))),"❔ Без категории"))</f>
        <v/>
      </c>
      <c r="G317" s="43" t="n"/>
      <c r="H317" s="56" t="n"/>
      <c r="I317" s="43" t="n"/>
      <c r="J317" s="57">
        <f>IF(OR(A317="",H317=""),"",IF(COUNTIFS(exp_year,C317,exp_month,D317,exp_item,E317,exp_status,"&lt;&gt;❌ Отменено")&gt;0,1,0))</f>
        <v/>
      </c>
    </row>
    <row r="318">
      <c r="A318" s="52" t="n"/>
      <c r="B318" s="53">
        <f>IF(A318="","",CHOOSE(WEEKDAY(A318,2),"Пн","Вт","Ср","Чт","Пт","Сб","Вс"))</f>
        <v/>
      </c>
      <c r="C318" s="53">
        <f>IF(A318="","",YEAR(A318))</f>
        <v/>
      </c>
      <c r="D318" s="54">
        <f>IF(A318="","",INDEX(lst_months,MONTH(A318)))</f>
        <v/>
      </c>
      <c r="E318" s="55" t="n"/>
      <c r="F318" s="54">
        <f>IF(E318="","",IFERROR(IF(INDEX(lst_exp_item_cat,MATCH(E318,lst_exp_items,0))="","❔ Без категории",INDEX(lst_exp_item_cat,MATCH(E318,lst_exp_items,0))),"❔ Без категории"))</f>
        <v/>
      </c>
      <c r="G318" s="43" t="n"/>
      <c r="H318" s="56" t="n"/>
      <c r="I318" s="43" t="n"/>
      <c r="J318" s="57">
        <f>IF(OR(A318="",H318=""),"",IF(COUNTIFS(exp_year,C318,exp_month,D318,exp_item,E318,exp_status,"&lt;&gt;❌ Отменено")&gt;0,1,0))</f>
        <v/>
      </c>
    </row>
    <row r="319">
      <c r="A319" s="52" t="n"/>
      <c r="B319" s="53">
        <f>IF(A319="","",CHOOSE(WEEKDAY(A319,2),"Пн","Вт","Ср","Чт","Пт","Сб","Вс"))</f>
        <v/>
      </c>
      <c r="C319" s="53">
        <f>IF(A319="","",YEAR(A319))</f>
        <v/>
      </c>
      <c r="D319" s="54">
        <f>IF(A319="","",INDEX(lst_months,MONTH(A319)))</f>
        <v/>
      </c>
      <c r="E319" s="55" t="n"/>
      <c r="F319" s="54">
        <f>IF(E319="","",IFERROR(IF(INDEX(lst_exp_item_cat,MATCH(E319,lst_exp_items,0))="","❔ Без категории",INDEX(lst_exp_item_cat,MATCH(E319,lst_exp_items,0))),"❔ Без категории"))</f>
        <v/>
      </c>
      <c r="G319" s="43" t="n"/>
      <c r="H319" s="56" t="n"/>
      <c r="I319" s="43" t="n"/>
      <c r="J319" s="57">
        <f>IF(OR(A319="",H319=""),"",IF(COUNTIFS(exp_year,C319,exp_month,D319,exp_item,E319,exp_status,"&lt;&gt;❌ Отменено")&gt;0,1,0))</f>
        <v/>
      </c>
    </row>
    <row r="320">
      <c r="A320" s="52" t="n"/>
      <c r="B320" s="53">
        <f>IF(A320="","",CHOOSE(WEEKDAY(A320,2),"Пн","Вт","Ср","Чт","Пт","Сб","Вс"))</f>
        <v/>
      </c>
      <c r="C320" s="53">
        <f>IF(A320="","",YEAR(A320))</f>
        <v/>
      </c>
      <c r="D320" s="54">
        <f>IF(A320="","",INDEX(lst_months,MONTH(A320)))</f>
        <v/>
      </c>
      <c r="E320" s="55" t="n"/>
      <c r="F320" s="54">
        <f>IF(E320="","",IFERROR(IF(INDEX(lst_exp_item_cat,MATCH(E320,lst_exp_items,0))="","❔ Без категории",INDEX(lst_exp_item_cat,MATCH(E320,lst_exp_items,0))),"❔ Без категории"))</f>
        <v/>
      </c>
      <c r="G320" s="43" t="n"/>
      <c r="H320" s="56" t="n"/>
      <c r="I320" s="43" t="n"/>
      <c r="J320" s="57">
        <f>IF(OR(A320="",H320=""),"",IF(COUNTIFS(exp_year,C320,exp_month,D320,exp_item,E320,exp_status,"&lt;&gt;❌ Отменено")&gt;0,1,0))</f>
        <v/>
      </c>
    </row>
    <row r="321">
      <c r="A321" s="52" t="n"/>
      <c r="B321" s="53">
        <f>IF(A321="","",CHOOSE(WEEKDAY(A321,2),"Пн","Вт","Ср","Чт","Пт","Сб","Вс"))</f>
        <v/>
      </c>
      <c r="C321" s="53">
        <f>IF(A321="","",YEAR(A321))</f>
        <v/>
      </c>
      <c r="D321" s="54">
        <f>IF(A321="","",INDEX(lst_months,MONTH(A321)))</f>
        <v/>
      </c>
      <c r="E321" s="55" t="n"/>
      <c r="F321" s="54">
        <f>IF(E321="","",IFERROR(IF(INDEX(lst_exp_item_cat,MATCH(E321,lst_exp_items,0))="","❔ Без категории",INDEX(lst_exp_item_cat,MATCH(E321,lst_exp_items,0))),"❔ Без категории"))</f>
        <v/>
      </c>
      <c r="G321" s="43" t="n"/>
      <c r="H321" s="56" t="n"/>
      <c r="I321" s="43" t="n"/>
      <c r="J321" s="57">
        <f>IF(OR(A321="",H321=""),"",IF(COUNTIFS(exp_year,C321,exp_month,D321,exp_item,E321,exp_status,"&lt;&gt;❌ Отменено")&gt;0,1,0))</f>
        <v/>
      </c>
    </row>
    <row r="322">
      <c r="A322" s="52" t="n"/>
      <c r="B322" s="53">
        <f>IF(A322="","",CHOOSE(WEEKDAY(A322,2),"Пн","Вт","Ср","Чт","Пт","Сб","Вс"))</f>
        <v/>
      </c>
      <c r="C322" s="53">
        <f>IF(A322="","",YEAR(A322))</f>
        <v/>
      </c>
      <c r="D322" s="54">
        <f>IF(A322="","",INDEX(lst_months,MONTH(A322)))</f>
        <v/>
      </c>
      <c r="E322" s="55" t="n"/>
      <c r="F322" s="54">
        <f>IF(E322="","",IFERROR(IF(INDEX(lst_exp_item_cat,MATCH(E322,lst_exp_items,0))="","❔ Без категории",INDEX(lst_exp_item_cat,MATCH(E322,lst_exp_items,0))),"❔ Без категории"))</f>
        <v/>
      </c>
      <c r="G322" s="43" t="n"/>
      <c r="H322" s="56" t="n"/>
      <c r="I322" s="43" t="n"/>
      <c r="J322" s="57">
        <f>IF(OR(A322="",H322=""),"",IF(COUNTIFS(exp_year,C322,exp_month,D322,exp_item,E322,exp_status,"&lt;&gt;❌ Отменено")&gt;0,1,0))</f>
        <v/>
      </c>
    </row>
    <row r="323">
      <c r="A323" s="52" t="n"/>
      <c r="B323" s="53">
        <f>IF(A323="","",CHOOSE(WEEKDAY(A323,2),"Пн","Вт","Ср","Чт","Пт","Сб","Вс"))</f>
        <v/>
      </c>
      <c r="C323" s="53">
        <f>IF(A323="","",YEAR(A323))</f>
        <v/>
      </c>
      <c r="D323" s="54">
        <f>IF(A323="","",INDEX(lst_months,MONTH(A323)))</f>
        <v/>
      </c>
      <c r="E323" s="55" t="n"/>
      <c r="F323" s="54">
        <f>IF(E323="","",IFERROR(IF(INDEX(lst_exp_item_cat,MATCH(E323,lst_exp_items,0))="","❔ Без категории",INDEX(lst_exp_item_cat,MATCH(E323,lst_exp_items,0))),"❔ Без категории"))</f>
        <v/>
      </c>
      <c r="G323" s="43" t="n"/>
      <c r="H323" s="56" t="n"/>
      <c r="I323" s="43" t="n"/>
      <c r="J323" s="57">
        <f>IF(OR(A323="",H323=""),"",IF(COUNTIFS(exp_year,C323,exp_month,D323,exp_item,E323,exp_status,"&lt;&gt;❌ Отменено")&gt;0,1,0))</f>
        <v/>
      </c>
    </row>
    <row r="324">
      <c r="A324" s="52" t="n"/>
      <c r="B324" s="53">
        <f>IF(A324="","",CHOOSE(WEEKDAY(A324,2),"Пн","Вт","Ср","Чт","Пт","Сб","Вс"))</f>
        <v/>
      </c>
      <c r="C324" s="53">
        <f>IF(A324="","",YEAR(A324))</f>
        <v/>
      </c>
      <c r="D324" s="54">
        <f>IF(A324="","",INDEX(lst_months,MONTH(A324)))</f>
        <v/>
      </c>
      <c r="E324" s="55" t="n"/>
      <c r="F324" s="54">
        <f>IF(E324="","",IFERROR(IF(INDEX(lst_exp_item_cat,MATCH(E324,lst_exp_items,0))="","❔ Без категории",INDEX(lst_exp_item_cat,MATCH(E324,lst_exp_items,0))),"❔ Без категории"))</f>
        <v/>
      </c>
      <c r="G324" s="43" t="n"/>
      <c r="H324" s="56" t="n"/>
      <c r="I324" s="43" t="n"/>
      <c r="J324" s="57">
        <f>IF(OR(A324="",H324=""),"",IF(COUNTIFS(exp_year,C324,exp_month,D324,exp_item,E324,exp_status,"&lt;&gt;❌ Отменено")&gt;0,1,0))</f>
        <v/>
      </c>
    </row>
    <row r="325">
      <c r="A325" s="52" t="n"/>
      <c r="B325" s="53">
        <f>IF(A325="","",CHOOSE(WEEKDAY(A325,2),"Пн","Вт","Ср","Чт","Пт","Сб","Вс"))</f>
        <v/>
      </c>
      <c r="C325" s="53">
        <f>IF(A325="","",YEAR(A325))</f>
        <v/>
      </c>
      <c r="D325" s="54">
        <f>IF(A325="","",INDEX(lst_months,MONTH(A325)))</f>
        <v/>
      </c>
      <c r="E325" s="55" t="n"/>
      <c r="F325" s="54">
        <f>IF(E325="","",IFERROR(IF(INDEX(lst_exp_item_cat,MATCH(E325,lst_exp_items,0))="","❔ Без категории",INDEX(lst_exp_item_cat,MATCH(E325,lst_exp_items,0))),"❔ Без категории"))</f>
        <v/>
      </c>
      <c r="G325" s="43" t="n"/>
      <c r="H325" s="56" t="n"/>
      <c r="I325" s="43" t="n"/>
      <c r="J325" s="57">
        <f>IF(OR(A325="",H325=""),"",IF(COUNTIFS(exp_year,C325,exp_month,D325,exp_item,E325,exp_status,"&lt;&gt;❌ Отменено")&gt;0,1,0))</f>
        <v/>
      </c>
    </row>
    <row r="326">
      <c r="A326" s="52" t="n"/>
      <c r="B326" s="53">
        <f>IF(A326="","",CHOOSE(WEEKDAY(A326,2),"Пн","Вт","Ср","Чт","Пт","Сб","Вс"))</f>
        <v/>
      </c>
      <c r="C326" s="53">
        <f>IF(A326="","",YEAR(A326))</f>
        <v/>
      </c>
      <c r="D326" s="54">
        <f>IF(A326="","",INDEX(lst_months,MONTH(A326)))</f>
        <v/>
      </c>
      <c r="E326" s="55" t="n"/>
      <c r="F326" s="54">
        <f>IF(E326="","",IFERROR(IF(INDEX(lst_exp_item_cat,MATCH(E326,lst_exp_items,0))="","❔ Без категории",INDEX(lst_exp_item_cat,MATCH(E326,lst_exp_items,0))),"❔ Без категории"))</f>
        <v/>
      </c>
      <c r="G326" s="43" t="n"/>
      <c r="H326" s="56" t="n"/>
      <c r="I326" s="43" t="n"/>
      <c r="J326" s="57">
        <f>IF(OR(A326="",H326=""),"",IF(COUNTIFS(exp_year,C326,exp_month,D326,exp_item,E326,exp_status,"&lt;&gt;❌ Отменено")&gt;0,1,0))</f>
        <v/>
      </c>
    </row>
    <row r="327">
      <c r="A327" s="52" t="n"/>
      <c r="B327" s="53">
        <f>IF(A327="","",CHOOSE(WEEKDAY(A327,2),"Пн","Вт","Ср","Чт","Пт","Сб","Вс"))</f>
        <v/>
      </c>
      <c r="C327" s="53">
        <f>IF(A327="","",YEAR(A327))</f>
        <v/>
      </c>
      <c r="D327" s="54">
        <f>IF(A327="","",INDEX(lst_months,MONTH(A327)))</f>
        <v/>
      </c>
      <c r="E327" s="55" t="n"/>
      <c r="F327" s="54">
        <f>IF(E327="","",IFERROR(IF(INDEX(lst_exp_item_cat,MATCH(E327,lst_exp_items,0))="","❔ Без категории",INDEX(lst_exp_item_cat,MATCH(E327,lst_exp_items,0))),"❔ Без категории"))</f>
        <v/>
      </c>
      <c r="G327" s="43" t="n"/>
      <c r="H327" s="56" t="n"/>
      <c r="I327" s="43" t="n"/>
      <c r="J327" s="57">
        <f>IF(OR(A327="",H327=""),"",IF(COUNTIFS(exp_year,C327,exp_month,D327,exp_item,E327,exp_status,"&lt;&gt;❌ Отменено")&gt;0,1,0))</f>
        <v/>
      </c>
    </row>
    <row r="328">
      <c r="A328" s="52" t="n"/>
      <c r="B328" s="53">
        <f>IF(A328="","",CHOOSE(WEEKDAY(A328,2),"Пн","Вт","Ср","Чт","Пт","Сб","Вс"))</f>
        <v/>
      </c>
      <c r="C328" s="53">
        <f>IF(A328="","",YEAR(A328))</f>
        <v/>
      </c>
      <c r="D328" s="54">
        <f>IF(A328="","",INDEX(lst_months,MONTH(A328)))</f>
        <v/>
      </c>
      <c r="E328" s="55" t="n"/>
      <c r="F328" s="54">
        <f>IF(E328="","",IFERROR(IF(INDEX(lst_exp_item_cat,MATCH(E328,lst_exp_items,0))="","❔ Без категории",INDEX(lst_exp_item_cat,MATCH(E328,lst_exp_items,0))),"❔ Без категории"))</f>
        <v/>
      </c>
      <c r="G328" s="43" t="n"/>
      <c r="H328" s="56" t="n"/>
      <c r="I328" s="43" t="n"/>
      <c r="J328" s="57">
        <f>IF(OR(A328="",H328=""),"",IF(COUNTIFS(exp_year,C328,exp_month,D328,exp_item,E328,exp_status,"&lt;&gt;❌ Отменено")&gt;0,1,0))</f>
        <v/>
      </c>
    </row>
    <row r="329">
      <c r="A329" s="52" t="n"/>
      <c r="B329" s="53">
        <f>IF(A329="","",CHOOSE(WEEKDAY(A329,2),"Пн","Вт","Ср","Чт","Пт","Сб","Вс"))</f>
        <v/>
      </c>
      <c r="C329" s="53">
        <f>IF(A329="","",YEAR(A329))</f>
        <v/>
      </c>
      <c r="D329" s="54">
        <f>IF(A329="","",INDEX(lst_months,MONTH(A329)))</f>
        <v/>
      </c>
      <c r="E329" s="55" t="n"/>
      <c r="F329" s="54">
        <f>IF(E329="","",IFERROR(IF(INDEX(lst_exp_item_cat,MATCH(E329,lst_exp_items,0))="","❔ Без категории",INDEX(lst_exp_item_cat,MATCH(E329,lst_exp_items,0))),"❔ Без категории"))</f>
        <v/>
      </c>
      <c r="G329" s="43" t="n"/>
      <c r="H329" s="56" t="n"/>
      <c r="I329" s="43" t="n"/>
      <c r="J329" s="57">
        <f>IF(OR(A329="",H329=""),"",IF(COUNTIFS(exp_year,C329,exp_month,D329,exp_item,E329,exp_status,"&lt;&gt;❌ Отменено")&gt;0,1,0))</f>
        <v/>
      </c>
    </row>
    <row r="330">
      <c r="A330" s="52" t="n"/>
      <c r="B330" s="53">
        <f>IF(A330="","",CHOOSE(WEEKDAY(A330,2),"Пн","Вт","Ср","Чт","Пт","Сб","Вс"))</f>
        <v/>
      </c>
      <c r="C330" s="53">
        <f>IF(A330="","",YEAR(A330))</f>
        <v/>
      </c>
      <c r="D330" s="54">
        <f>IF(A330="","",INDEX(lst_months,MONTH(A330)))</f>
        <v/>
      </c>
      <c r="E330" s="55" t="n"/>
      <c r="F330" s="54">
        <f>IF(E330="","",IFERROR(IF(INDEX(lst_exp_item_cat,MATCH(E330,lst_exp_items,0))="","❔ Без категории",INDEX(lst_exp_item_cat,MATCH(E330,lst_exp_items,0))),"❔ Без категории"))</f>
        <v/>
      </c>
      <c r="G330" s="43" t="n"/>
      <c r="H330" s="56" t="n"/>
      <c r="I330" s="43" t="n"/>
      <c r="J330" s="57">
        <f>IF(OR(A330="",H330=""),"",IF(COUNTIFS(exp_year,C330,exp_month,D330,exp_item,E330,exp_status,"&lt;&gt;❌ Отменено")&gt;0,1,0))</f>
        <v/>
      </c>
    </row>
    <row r="331">
      <c r="A331" s="52" t="n"/>
      <c r="B331" s="53">
        <f>IF(A331="","",CHOOSE(WEEKDAY(A331,2),"Пн","Вт","Ср","Чт","Пт","Сб","Вс"))</f>
        <v/>
      </c>
      <c r="C331" s="53">
        <f>IF(A331="","",YEAR(A331))</f>
        <v/>
      </c>
      <c r="D331" s="54">
        <f>IF(A331="","",INDEX(lst_months,MONTH(A331)))</f>
        <v/>
      </c>
      <c r="E331" s="55" t="n"/>
      <c r="F331" s="54">
        <f>IF(E331="","",IFERROR(IF(INDEX(lst_exp_item_cat,MATCH(E331,lst_exp_items,0))="","❔ Без категории",INDEX(lst_exp_item_cat,MATCH(E331,lst_exp_items,0))),"❔ Без категории"))</f>
        <v/>
      </c>
      <c r="G331" s="43" t="n"/>
      <c r="H331" s="56" t="n"/>
      <c r="I331" s="43" t="n"/>
      <c r="J331" s="57">
        <f>IF(OR(A331="",H331=""),"",IF(COUNTIFS(exp_year,C331,exp_month,D331,exp_item,E331,exp_status,"&lt;&gt;❌ Отменено")&gt;0,1,0))</f>
        <v/>
      </c>
    </row>
    <row r="332">
      <c r="A332" s="52" t="n"/>
      <c r="B332" s="53">
        <f>IF(A332="","",CHOOSE(WEEKDAY(A332,2),"Пн","Вт","Ср","Чт","Пт","Сб","Вс"))</f>
        <v/>
      </c>
      <c r="C332" s="53">
        <f>IF(A332="","",YEAR(A332))</f>
        <v/>
      </c>
      <c r="D332" s="54">
        <f>IF(A332="","",INDEX(lst_months,MONTH(A332)))</f>
        <v/>
      </c>
      <c r="E332" s="55" t="n"/>
      <c r="F332" s="54">
        <f>IF(E332="","",IFERROR(IF(INDEX(lst_exp_item_cat,MATCH(E332,lst_exp_items,0))="","❔ Без категории",INDEX(lst_exp_item_cat,MATCH(E332,lst_exp_items,0))),"❔ Без категории"))</f>
        <v/>
      </c>
      <c r="G332" s="43" t="n"/>
      <c r="H332" s="56" t="n"/>
      <c r="I332" s="43" t="n"/>
      <c r="J332" s="57">
        <f>IF(OR(A332="",H332=""),"",IF(COUNTIFS(exp_year,C332,exp_month,D332,exp_item,E332,exp_status,"&lt;&gt;❌ Отменено")&gt;0,1,0))</f>
        <v/>
      </c>
    </row>
    <row r="333">
      <c r="A333" s="52" t="n"/>
      <c r="B333" s="53">
        <f>IF(A333="","",CHOOSE(WEEKDAY(A333,2),"Пн","Вт","Ср","Чт","Пт","Сб","Вс"))</f>
        <v/>
      </c>
      <c r="C333" s="53">
        <f>IF(A333="","",YEAR(A333))</f>
        <v/>
      </c>
      <c r="D333" s="54">
        <f>IF(A333="","",INDEX(lst_months,MONTH(A333)))</f>
        <v/>
      </c>
      <c r="E333" s="55" t="n"/>
      <c r="F333" s="54">
        <f>IF(E333="","",IFERROR(IF(INDEX(lst_exp_item_cat,MATCH(E333,lst_exp_items,0))="","❔ Без категории",INDEX(lst_exp_item_cat,MATCH(E333,lst_exp_items,0))),"❔ Без категории"))</f>
        <v/>
      </c>
      <c r="G333" s="43" t="n"/>
      <c r="H333" s="56" t="n"/>
      <c r="I333" s="43" t="n"/>
      <c r="J333" s="57">
        <f>IF(OR(A333="",H333=""),"",IF(COUNTIFS(exp_year,C333,exp_month,D333,exp_item,E333,exp_status,"&lt;&gt;❌ Отменено")&gt;0,1,0))</f>
        <v/>
      </c>
    </row>
    <row r="334">
      <c r="A334" s="52" t="n"/>
      <c r="B334" s="53">
        <f>IF(A334="","",CHOOSE(WEEKDAY(A334,2),"Пн","Вт","Ср","Чт","Пт","Сб","Вс"))</f>
        <v/>
      </c>
      <c r="C334" s="53">
        <f>IF(A334="","",YEAR(A334))</f>
        <v/>
      </c>
      <c r="D334" s="54">
        <f>IF(A334="","",INDEX(lst_months,MONTH(A334)))</f>
        <v/>
      </c>
      <c r="E334" s="55" t="n"/>
      <c r="F334" s="54">
        <f>IF(E334="","",IFERROR(IF(INDEX(lst_exp_item_cat,MATCH(E334,lst_exp_items,0))="","❔ Без категории",INDEX(lst_exp_item_cat,MATCH(E334,lst_exp_items,0))),"❔ Без категории"))</f>
        <v/>
      </c>
      <c r="G334" s="43" t="n"/>
      <c r="H334" s="56" t="n"/>
      <c r="I334" s="43" t="n"/>
      <c r="J334" s="57">
        <f>IF(OR(A334="",H334=""),"",IF(COUNTIFS(exp_year,C334,exp_month,D334,exp_item,E334,exp_status,"&lt;&gt;❌ Отменено")&gt;0,1,0))</f>
        <v/>
      </c>
    </row>
    <row r="335">
      <c r="A335" s="52" t="n"/>
      <c r="B335" s="53">
        <f>IF(A335="","",CHOOSE(WEEKDAY(A335,2),"Пн","Вт","Ср","Чт","Пт","Сб","Вс"))</f>
        <v/>
      </c>
      <c r="C335" s="53">
        <f>IF(A335="","",YEAR(A335))</f>
        <v/>
      </c>
      <c r="D335" s="54">
        <f>IF(A335="","",INDEX(lst_months,MONTH(A335)))</f>
        <v/>
      </c>
      <c r="E335" s="55" t="n"/>
      <c r="F335" s="54">
        <f>IF(E335="","",IFERROR(IF(INDEX(lst_exp_item_cat,MATCH(E335,lst_exp_items,0))="","❔ Без категории",INDEX(lst_exp_item_cat,MATCH(E335,lst_exp_items,0))),"❔ Без категории"))</f>
        <v/>
      </c>
      <c r="G335" s="43" t="n"/>
      <c r="H335" s="56" t="n"/>
      <c r="I335" s="43" t="n"/>
      <c r="J335" s="57">
        <f>IF(OR(A335="",H335=""),"",IF(COUNTIFS(exp_year,C335,exp_month,D335,exp_item,E335,exp_status,"&lt;&gt;❌ Отменено")&gt;0,1,0))</f>
        <v/>
      </c>
    </row>
    <row r="336">
      <c r="A336" s="52" t="n"/>
      <c r="B336" s="53">
        <f>IF(A336="","",CHOOSE(WEEKDAY(A336,2),"Пн","Вт","Ср","Чт","Пт","Сб","Вс"))</f>
        <v/>
      </c>
      <c r="C336" s="53">
        <f>IF(A336="","",YEAR(A336))</f>
        <v/>
      </c>
      <c r="D336" s="54">
        <f>IF(A336="","",INDEX(lst_months,MONTH(A336)))</f>
        <v/>
      </c>
      <c r="E336" s="55" t="n"/>
      <c r="F336" s="54">
        <f>IF(E336="","",IFERROR(IF(INDEX(lst_exp_item_cat,MATCH(E336,lst_exp_items,0))="","❔ Без категории",INDEX(lst_exp_item_cat,MATCH(E336,lst_exp_items,0))),"❔ Без категории"))</f>
        <v/>
      </c>
      <c r="G336" s="43" t="n"/>
      <c r="H336" s="56" t="n"/>
      <c r="I336" s="43" t="n"/>
      <c r="J336" s="57">
        <f>IF(OR(A336="",H336=""),"",IF(COUNTIFS(exp_year,C336,exp_month,D336,exp_item,E336,exp_status,"&lt;&gt;❌ Отменено")&gt;0,1,0))</f>
        <v/>
      </c>
    </row>
    <row r="337">
      <c r="A337" s="52" t="n"/>
      <c r="B337" s="53">
        <f>IF(A337="","",CHOOSE(WEEKDAY(A337,2),"Пн","Вт","Ср","Чт","Пт","Сб","Вс"))</f>
        <v/>
      </c>
      <c r="C337" s="53">
        <f>IF(A337="","",YEAR(A337))</f>
        <v/>
      </c>
      <c r="D337" s="54">
        <f>IF(A337="","",INDEX(lst_months,MONTH(A337)))</f>
        <v/>
      </c>
      <c r="E337" s="55" t="n"/>
      <c r="F337" s="54">
        <f>IF(E337="","",IFERROR(IF(INDEX(lst_exp_item_cat,MATCH(E337,lst_exp_items,0))="","❔ Без категории",INDEX(lst_exp_item_cat,MATCH(E337,lst_exp_items,0))),"❔ Без категории"))</f>
        <v/>
      </c>
      <c r="G337" s="43" t="n"/>
      <c r="H337" s="56" t="n"/>
      <c r="I337" s="43" t="n"/>
      <c r="J337" s="57">
        <f>IF(OR(A337="",H337=""),"",IF(COUNTIFS(exp_year,C337,exp_month,D337,exp_item,E337,exp_status,"&lt;&gt;❌ Отменено")&gt;0,1,0))</f>
        <v/>
      </c>
    </row>
    <row r="338">
      <c r="A338" s="52" t="n"/>
      <c r="B338" s="53">
        <f>IF(A338="","",CHOOSE(WEEKDAY(A338,2),"Пн","Вт","Ср","Чт","Пт","Сб","Вс"))</f>
        <v/>
      </c>
      <c r="C338" s="53">
        <f>IF(A338="","",YEAR(A338))</f>
        <v/>
      </c>
      <c r="D338" s="54">
        <f>IF(A338="","",INDEX(lst_months,MONTH(A338)))</f>
        <v/>
      </c>
      <c r="E338" s="55" t="n"/>
      <c r="F338" s="54">
        <f>IF(E338="","",IFERROR(IF(INDEX(lst_exp_item_cat,MATCH(E338,lst_exp_items,0))="","❔ Без категории",INDEX(lst_exp_item_cat,MATCH(E338,lst_exp_items,0))),"❔ Без категории"))</f>
        <v/>
      </c>
      <c r="G338" s="43" t="n"/>
      <c r="H338" s="56" t="n"/>
      <c r="I338" s="43" t="n"/>
      <c r="J338" s="57">
        <f>IF(OR(A338="",H338=""),"",IF(COUNTIFS(exp_year,C338,exp_month,D338,exp_item,E338,exp_status,"&lt;&gt;❌ Отменено")&gt;0,1,0))</f>
        <v/>
      </c>
    </row>
    <row r="339">
      <c r="A339" s="52" t="n"/>
      <c r="B339" s="53">
        <f>IF(A339="","",CHOOSE(WEEKDAY(A339,2),"Пн","Вт","Ср","Чт","Пт","Сб","Вс"))</f>
        <v/>
      </c>
      <c r="C339" s="53">
        <f>IF(A339="","",YEAR(A339))</f>
        <v/>
      </c>
      <c r="D339" s="54">
        <f>IF(A339="","",INDEX(lst_months,MONTH(A339)))</f>
        <v/>
      </c>
      <c r="E339" s="55" t="n"/>
      <c r="F339" s="54">
        <f>IF(E339="","",IFERROR(IF(INDEX(lst_exp_item_cat,MATCH(E339,lst_exp_items,0))="","❔ Без категории",INDEX(lst_exp_item_cat,MATCH(E339,lst_exp_items,0))),"❔ Без категории"))</f>
        <v/>
      </c>
      <c r="G339" s="43" t="n"/>
      <c r="H339" s="56" t="n"/>
      <c r="I339" s="43" t="n"/>
      <c r="J339" s="57">
        <f>IF(OR(A339="",H339=""),"",IF(COUNTIFS(exp_year,C339,exp_month,D339,exp_item,E339,exp_status,"&lt;&gt;❌ Отменено")&gt;0,1,0))</f>
        <v/>
      </c>
    </row>
    <row r="340">
      <c r="A340" s="52" t="n"/>
      <c r="B340" s="53">
        <f>IF(A340="","",CHOOSE(WEEKDAY(A340,2),"Пн","Вт","Ср","Чт","Пт","Сб","Вс"))</f>
        <v/>
      </c>
      <c r="C340" s="53">
        <f>IF(A340="","",YEAR(A340))</f>
        <v/>
      </c>
      <c r="D340" s="54">
        <f>IF(A340="","",INDEX(lst_months,MONTH(A340)))</f>
        <v/>
      </c>
      <c r="E340" s="55" t="n"/>
      <c r="F340" s="54">
        <f>IF(E340="","",IFERROR(IF(INDEX(lst_exp_item_cat,MATCH(E340,lst_exp_items,0))="","❔ Без категории",INDEX(lst_exp_item_cat,MATCH(E340,lst_exp_items,0))),"❔ Без категории"))</f>
        <v/>
      </c>
      <c r="G340" s="43" t="n"/>
      <c r="H340" s="56" t="n"/>
      <c r="I340" s="43" t="n"/>
      <c r="J340" s="57">
        <f>IF(OR(A340="",H340=""),"",IF(COUNTIFS(exp_year,C340,exp_month,D340,exp_item,E340,exp_status,"&lt;&gt;❌ Отменено")&gt;0,1,0))</f>
        <v/>
      </c>
    </row>
    <row r="341">
      <c r="A341" s="52" t="n"/>
      <c r="B341" s="53">
        <f>IF(A341="","",CHOOSE(WEEKDAY(A341,2),"Пн","Вт","Ср","Чт","Пт","Сб","Вс"))</f>
        <v/>
      </c>
      <c r="C341" s="53">
        <f>IF(A341="","",YEAR(A341))</f>
        <v/>
      </c>
      <c r="D341" s="54">
        <f>IF(A341="","",INDEX(lst_months,MONTH(A341)))</f>
        <v/>
      </c>
      <c r="E341" s="55" t="n"/>
      <c r="F341" s="54">
        <f>IF(E341="","",IFERROR(IF(INDEX(lst_exp_item_cat,MATCH(E341,lst_exp_items,0))="","❔ Без категории",INDEX(lst_exp_item_cat,MATCH(E341,lst_exp_items,0))),"❔ Без категории"))</f>
        <v/>
      </c>
      <c r="G341" s="43" t="n"/>
      <c r="H341" s="56" t="n"/>
      <c r="I341" s="43" t="n"/>
      <c r="J341" s="57">
        <f>IF(OR(A341="",H341=""),"",IF(COUNTIFS(exp_year,C341,exp_month,D341,exp_item,E341,exp_status,"&lt;&gt;❌ Отменено")&gt;0,1,0))</f>
        <v/>
      </c>
    </row>
    <row r="342">
      <c r="A342" s="52" t="n"/>
      <c r="B342" s="53">
        <f>IF(A342="","",CHOOSE(WEEKDAY(A342,2),"Пн","Вт","Ср","Чт","Пт","Сб","Вс"))</f>
        <v/>
      </c>
      <c r="C342" s="53">
        <f>IF(A342="","",YEAR(A342))</f>
        <v/>
      </c>
      <c r="D342" s="54">
        <f>IF(A342="","",INDEX(lst_months,MONTH(A342)))</f>
        <v/>
      </c>
      <c r="E342" s="55" t="n"/>
      <c r="F342" s="54">
        <f>IF(E342="","",IFERROR(IF(INDEX(lst_exp_item_cat,MATCH(E342,lst_exp_items,0))="","❔ Без категории",INDEX(lst_exp_item_cat,MATCH(E342,lst_exp_items,0))),"❔ Без категории"))</f>
        <v/>
      </c>
      <c r="G342" s="43" t="n"/>
      <c r="H342" s="56" t="n"/>
      <c r="I342" s="43" t="n"/>
      <c r="J342" s="57">
        <f>IF(OR(A342="",H342=""),"",IF(COUNTIFS(exp_year,C342,exp_month,D342,exp_item,E342,exp_status,"&lt;&gt;❌ Отменено")&gt;0,1,0))</f>
        <v/>
      </c>
    </row>
    <row r="343">
      <c r="A343" s="52" t="n"/>
      <c r="B343" s="53">
        <f>IF(A343="","",CHOOSE(WEEKDAY(A343,2),"Пн","Вт","Ср","Чт","Пт","Сб","Вс"))</f>
        <v/>
      </c>
      <c r="C343" s="53">
        <f>IF(A343="","",YEAR(A343))</f>
        <v/>
      </c>
      <c r="D343" s="54">
        <f>IF(A343="","",INDEX(lst_months,MONTH(A343)))</f>
        <v/>
      </c>
      <c r="E343" s="55" t="n"/>
      <c r="F343" s="54">
        <f>IF(E343="","",IFERROR(IF(INDEX(lst_exp_item_cat,MATCH(E343,lst_exp_items,0))="","❔ Без категории",INDEX(lst_exp_item_cat,MATCH(E343,lst_exp_items,0))),"❔ Без категории"))</f>
        <v/>
      </c>
      <c r="G343" s="43" t="n"/>
      <c r="H343" s="56" t="n"/>
      <c r="I343" s="43" t="n"/>
      <c r="J343" s="57">
        <f>IF(OR(A343="",H343=""),"",IF(COUNTIFS(exp_year,C343,exp_month,D343,exp_item,E343,exp_status,"&lt;&gt;❌ Отменено")&gt;0,1,0))</f>
        <v/>
      </c>
    </row>
    <row r="344">
      <c r="A344" s="52" t="n"/>
      <c r="B344" s="53">
        <f>IF(A344="","",CHOOSE(WEEKDAY(A344,2),"Пн","Вт","Ср","Чт","Пт","Сб","Вс"))</f>
        <v/>
      </c>
      <c r="C344" s="53">
        <f>IF(A344="","",YEAR(A344))</f>
        <v/>
      </c>
      <c r="D344" s="54">
        <f>IF(A344="","",INDEX(lst_months,MONTH(A344)))</f>
        <v/>
      </c>
      <c r="E344" s="55" t="n"/>
      <c r="F344" s="54">
        <f>IF(E344="","",IFERROR(IF(INDEX(lst_exp_item_cat,MATCH(E344,lst_exp_items,0))="","❔ Без категории",INDEX(lst_exp_item_cat,MATCH(E344,lst_exp_items,0))),"❔ Без категории"))</f>
        <v/>
      </c>
      <c r="G344" s="43" t="n"/>
      <c r="H344" s="56" t="n"/>
      <c r="I344" s="43" t="n"/>
      <c r="J344" s="57">
        <f>IF(OR(A344="",H344=""),"",IF(COUNTIFS(exp_year,C344,exp_month,D344,exp_item,E344,exp_status,"&lt;&gt;❌ Отменено")&gt;0,1,0))</f>
        <v/>
      </c>
    </row>
    <row r="345">
      <c r="A345" s="52" t="n"/>
      <c r="B345" s="53">
        <f>IF(A345="","",CHOOSE(WEEKDAY(A345,2),"Пн","Вт","Ср","Чт","Пт","Сб","Вс"))</f>
        <v/>
      </c>
      <c r="C345" s="53">
        <f>IF(A345="","",YEAR(A345))</f>
        <v/>
      </c>
      <c r="D345" s="54">
        <f>IF(A345="","",INDEX(lst_months,MONTH(A345)))</f>
        <v/>
      </c>
      <c r="E345" s="55" t="n"/>
      <c r="F345" s="54">
        <f>IF(E345="","",IFERROR(IF(INDEX(lst_exp_item_cat,MATCH(E345,lst_exp_items,0))="","❔ Без категории",INDEX(lst_exp_item_cat,MATCH(E345,lst_exp_items,0))),"❔ Без категории"))</f>
        <v/>
      </c>
      <c r="G345" s="43" t="n"/>
      <c r="H345" s="56" t="n"/>
      <c r="I345" s="43" t="n"/>
      <c r="J345" s="57">
        <f>IF(OR(A345="",H345=""),"",IF(COUNTIFS(exp_year,C345,exp_month,D345,exp_item,E345,exp_status,"&lt;&gt;❌ Отменено")&gt;0,1,0))</f>
        <v/>
      </c>
    </row>
    <row r="346">
      <c r="A346" s="52" t="n"/>
      <c r="B346" s="53">
        <f>IF(A346="","",CHOOSE(WEEKDAY(A346,2),"Пн","Вт","Ср","Чт","Пт","Сб","Вс"))</f>
        <v/>
      </c>
      <c r="C346" s="53">
        <f>IF(A346="","",YEAR(A346))</f>
        <v/>
      </c>
      <c r="D346" s="54">
        <f>IF(A346="","",INDEX(lst_months,MONTH(A346)))</f>
        <v/>
      </c>
      <c r="E346" s="55" t="n"/>
      <c r="F346" s="54">
        <f>IF(E346="","",IFERROR(IF(INDEX(lst_exp_item_cat,MATCH(E346,lst_exp_items,0))="","❔ Без категории",INDEX(lst_exp_item_cat,MATCH(E346,lst_exp_items,0))),"❔ Без категории"))</f>
        <v/>
      </c>
      <c r="G346" s="43" t="n"/>
      <c r="H346" s="56" t="n"/>
      <c r="I346" s="43" t="n"/>
      <c r="J346" s="57">
        <f>IF(OR(A346="",H346=""),"",IF(COUNTIFS(exp_year,C346,exp_month,D346,exp_item,E346,exp_status,"&lt;&gt;❌ Отменено")&gt;0,1,0))</f>
        <v/>
      </c>
    </row>
    <row r="347">
      <c r="A347" s="52" t="n"/>
      <c r="B347" s="53">
        <f>IF(A347="","",CHOOSE(WEEKDAY(A347,2),"Пн","Вт","Ср","Чт","Пт","Сб","Вс"))</f>
        <v/>
      </c>
      <c r="C347" s="53">
        <f>IF(A347="","",YEAR(A347))</f>
        <v/>
      </c>
      <c r="D347" s="54">
        <f>IF(A347="","",INDEX(lst_months,MONTH(A347)))</f>
        <v/>
      </c>
      <c r="E347" s="55" t="n"/>
      <c r="F347" s="54">
        <f>IF(E347="","",IFERROR(IF(INDEX(lst_exp_item_cat,MATCH(E347,lst_exp_items,0))="","❔ Без категории",INDEX(lst_exp_item_cat,MATCH(E347,lst_exp_items,0))),"❔ Без категории"))</f>
        <v/>
      </c>
      <c r="G347" s="43" t="n"/>
      <c r="H347" s="56" t="n"/>
      <c r="I347" s="43" t="n"/>
      <c r="J347" s="57">
        <f>IF(OR(A347="",H347=""),"",IF(COUNTIFS(exp_year,C347,exp_month,D347,exp_item,E347,exp_status,"&lt;&gt;❌ Отменено")&gt;0,1,0))</f>
        <v/>
      </c>
    </row>
    <row r="348">
      <c r="A348" s="52" t="n"/>
      <c r="B348" s="53">
        <f>IF(A348="","",CHOOSE(WEEKDAY(A348,2),"Пн","Вт","Ср","Чт","Пт","Сб","Вс"))</f>
        <v/>
      </c>
      <c r="C348" s="53">
        <f>IF(A348="","",YEAR(A348))</f>
        <v/>
      </c>
      <c r="D348" s="54">
        <f>IF(A348="","",INDEX(lst_months,MONTH(A348)))</f>
        <v/>
      </c>
      <c r="E348" s="55" t="n"/>
      <c r="F348" s="54">
        <f>IF(E348="","",IFERROR(IF(INDEX(lst_exp_item_cat,MATCH(E348,lst_exp_items,0))="","❔ Без категории",INDEX(lst_exp_item_cat,MATCH(E348,lst_exp_items,0))),"❔ Без категории"))</f>
        <v/>
      </c>
      <c r="G348" s="43" t="n"/>
      <c r="H348" s="56" t="n"/>
      <c r="I348" s="43" t="n"/>
      <c r="J348" s="57">
        <f>IF(OR(A348="",H348=""),"",IF(COUNTIFS(exp_year,C348,exp_month,D348,exp_item,E348,exp_status,"&lt;&gt;❌ Отменено")&gt;0,1,0))</f>
        <v/>
      </c>
    </row>
    <row r="349">
      <c r="A349" s="52" t="n"/>
      <c r="B349" s="53">
        <f>IF(A349="","",CHOOSE(WEEKDAY(A349,2),"Пн","Вт","Ср","Чт","Пт","Сб","Вс"))</f>
        <v/>
      </c>
      <c r="C349" s="53">
        <f>IF(A349="","",YEAR(A349))</f>
        <v/>
      </c>
      <c r="D349" s="54">
        <f>IF(A349="","",INDEX(lst_months,MONTH(A349)))</f>
        <v/>
      </c>
      <c r="E349" s="55" t="n"/>
      <c r="F349" s="54">
        <f>IF(E349="","",IFERROR(IF(INDEX(lst_exp_item_cat,MATCH(E349,lst_exp_items,0))="","❔ Без категории",INDEX(lst_exp_item_cat,MATCH(E349,lst_exp_items,0))),"❔ Без категории"))</f>
        <v/>
      </c>
      <c r="G349" s="43" t="n"/>
      <c r="H349" s="56" t="n"/>
      <c r="I349" s="43" t="n"/>
      <c r="J349" s="57">
        <f>IF(OR(A349="",H349=""),"",IF(COUNTIFS(exp_year,C349,exp_month,D349,exp_item,E349,exp_status,"&lt;&gt;❌ Отменено")&gt;0,1,0))</f>
        <v/>
      </c>
    </row>
    <row r="350">
      <c r="A350" s="52" t="n"/>
      <c r="B350" s="53">
        <f>IF(A350="","",CHOOSE(WEEKDAY(A350,2),"Пн","Вт","Ср","Чт","Пт","Сб","Вс"))</f>
        <v/>
      </c>
      <c r="C350" s="53">
        <f>IF(A350="","",YEAR(A350))</f>
        <v/>
      </c>
      <c r="D350" s="54">
        <f>IF(A350="","",INDEX(lst_months,MONTH(A350)))</f>
        <v/>
      </c>
      <c r="E350" s="55" t="n"/>
      <c r="F350" s="54">
        <f>IF(E350="","",IFERROR(IF(INDEX(lst_exp_item_cat,MATCH(E350,lst_exp_items,0))="","❔ Без категории",INDEX(lst_exp_item_cat,MATCH(E350,lst_exp_items,0))),"❔ Без категории"))</f>
        <v/>
      </c>
      <c r="G350" s="43" t="n"/>
      <c r="H350" s="56" t="n"/>
      <c r="I350" s="43" t="n"/>
      <c r="J350" s="57">
        <f>IF(OR(A350="",H350=""),"",IF(COUNTIFS(exp_year,C350,exp_month,D350,exp_item,E350,exp_status,"&lt;&gt;❌ Отменено")&gt;0,1,0))</f>
        <v/>
      </c>
    </row>
    <row r="351">
      <c r="A351" s="52" t="n"/>
      <c r="B351" s="53">
        <f>IF(A351="","",CHOOSE(WEEKDAY(A351,2),"Пн","Вт","Ср","Чт","Пт","Сб","Вс"))</f>
        <v/>
      </c>
      <c r="C351" s="53">
        <f>IF(A351="","",YEAR(A351))</f>
        <v/>
      </c>
      <c r="D351" s="54">
        <f>IF(A351="","",INDEX(lst_months,MONTH(A351)))</f>
        <v/>
      </c>
      <c r="E351" s="55" t="n"/>
      <c r="F351" s="54">
        <f>IF(E351="","",IFERROR(IF(INDEX(lst_exp_item_cat,MATCH(E351,lst_exp_items,0))="","❔ Без категории",INDEX(lst_exp_item_cat,MATCH(E351,lst_exp_items,0))),"❔ Без категории"))</f>
        <v/>
      </c>
      <c r="G351" s="43" t="n"/>
      <c r="H351" s="56" t="n"/>
      <c r="I351" s="43" t="n"/>
      <c r="J351" s="57">
        <f>IF(OR(A351="",H351=""),"",IF(COUNTIFS(exp_year,C351,exp_month,D351,exp_item,E351,exp_status,"&lt;&gt;❌ Отменено")&gt;0,1,0))</f>
        <v/>
      </c>
    </row>
    <row r="352">
      <c r="A352" s="52" t="n"/>
      <c r="B352" s="53">
        <f>IF(A352="","",CHOOSE(WEEKDAY(A352,2),"Пн","Вт","Ср","Чт","Пт","Сб","Вс"))</f>
        <v/>
      </c>
      <c r="C352" s="53">
        <f>IF(A352="","",YEAR(A352))</f>
        <v/>
      </c>
      <c r="D352" s="54">
        <f>IF(A352="","",INDEX(lst_months,MONTH(A352)))</f>
        <v/>
      </c>
      <c r="E352" s="55" t="n"/>
      <c r="F352" s="54">
        <f>IF(E352="","",IFERROR(IF(INDEX(lst_exp_item_cat,MATCH(E352,lst_exp_items,0))="","❔ Без категории",INDEX(lst_exp_item_cat,MATCH(E352,lst_exp_items,0))),"❔ Без категории"))</f>
        <v/>
      </c>
      <c r="G352" s="43" t="n"/>
      <c r="H352" s="56" t="n"/>
      <c r="I352" s="43" t="n"/>
      <c r="J352" s="57">
        <f>IF(OR(A352="",H352=""),"",IF(COUNTIFS(exp_year,C352,exp_month,D352,exp_item,E352,exp_status,"&lt;&gt;❌ Отменено")&gt;0,1,0))</f>
        <v/>
      </c>
    </row>
    <row r="353">
      <c r="A353" s="52" t="n"/>
      <c r="B353" s="53">
        <f>IF(A353="","",CHOOSE(WEEKDAY(A353,2),"Пн","Вт","Ср","Чт","Пт","Сб","Вс"))</f>
        <v/>
      </c>
      <c r="C353" s="53">
        <f>IF(A353="","",YEAR(A353))</f>
        <v/>
      </c>
      <c r="D353" s="54">
        <f>IF(A353="","",INDEX(lst_months,MONTH(A353)))</f>
        <v/>
      </c>
      <c r="E353" s="55" t="n"/>
      <c r="F353" s="54">
        <f>IF(E353="","",IFERROR(IF(INDEX(lst_exp_item_cat,MATCH(E353,lst_exp_items,0))="","❔ Без категории",INDEX(lst_exp_item_cat,MATCH(E353,lst_exp_items,0))),"❔ Без категории"))</f>
        <v/>
      </c>
      <c r="G353" s="43" t="n"/>
      <c r="H353" s="56" t="n"/>
      <c r="I353" s="43" t="n"/>
      <c r="J353" s="57">
        <f>IF(OR(A353="",H353=""),"",IF(COUNTIFS(exp_year,C353,exp_month,D353,exp_item,E353,exp_status,"&lt;&gt;❌ Отменено")&gt;0,1,0))</f>
        <v/>
      </c>
    </row>
    <row r="354">
      <c r="A354" s="52" t="n"/>
      <c r="B354" s="53">
        <f>IF(A354="","",CHOOSE(WEEKDAY(A354,2),"Пн","Вт","Ср","Чт","Пт","Сб","Вс"))</f>
        <v/>
      </c>
      <c r="C354" s="53">
        <f>IF(A354="","",YEAR(A354))</f>
        <v/>
      </c>
      <c r="D354" s="54">
        <f>IF(A354="","",INDEX(lst_months,MONTH(A354)))</f>
        <v/>
      </c>
      <c r="E354" s="55" t="n"/>
      <c r="F354" s="54">
        <f>IF(E354="","",IFERROR(IF(INDEX(lst_exp_item_cat,MATCH(E354,lst_exp_items,0))="","❔ Без категории",INDEX(lst_exp_item_cat,MATCH(E354,lst_exp_items,0))),"❔ Без категории"))</f>
        <v/>
      </c>
      <c r="G354" s="43" t="n"/>
      <c r="H354" s="56" t="n"/>
      <c r="I354" s="43" t="n"/>
      <c r="J354" s="57">
        <f>IF(OR(A354="",H354=""),"",IF(COUNTIFS(exp_year,C354,exp_month,D354,exp_item,E354,exp_status,"&lt;&gt;❌ Отменено")&gt;0,1,0))</f>
        <v/>
      </c>
    </row>
    <row r="355">
      <c r="A355" s="52" t="n"/>
      <c r="B355" s="53">
        <f>IF(A355="","",CHOOSE(WEEKDAY(A355,2),"Пн","Вт","Ср","Чт","Пт","Сб","Вс"))</f>
        <v/>
      </c>
      <c r="C355" s="53">
        <f>IF(A355="","",YEAR(A355))</f>
        <v/>
      </c>
      <c r="D355" s="54">
        <f>IF(A355="","",INDEX(lst_months,MONTH(A355)))</f>
        <v/>
      </c>
      <c r="E355" s="55" t="n"/>
      <c r="F355" s="54">
        <f>IF(E355="","",IFERROR(IF(INDEX(lst_exp_item_cat,MATCH(E355,lst_exp_items,0))="","❔ Без категории",INDEX(lst_exp_item_cat,MATCH(E355,lst_exp_items,0))),"❔ Без категории"))</f>
        <v/>
      </c>
      <c r="G355" s="43" t="n"/>
      <c r="H355" s="56" t="n"/>
      <c r="I355" s="43" t="n"/>
      <c r="J355" s="57">
        <f>IF(OR(A355="",H355=""),"",IF(COUNTIFS(exp_year,C355,exp_month,D355,exp_item,E355,exp_status,"&lt;&gt;❌ Отменено")&gt;0,1,0))</f>
        <v/>
      </c>
    </row>
    <row r="356">
      <c r="A356" s="52" t="n"/>
      <c r="B356" s="53">
        <f>IF(A356="","",CHOOSE(WEEKDAY(A356,2),"Пн","Вт","Ср","Чт","Пт","Сб","Вс"))</f>
        <v/>
      </c>
      <c r="C356" s="53">
        <f>IF(A356="","",YEAR(A356))</f>
        <v/>
      </c>
      <c r="D356" s="54">
        <f>IF(A356="","",INDEX(lst_months,MONTH(A356)))</f>
        <v/>
      </c>
      <c r="E356" s="55" t="n"/>
      <c r="F356" s="54">
        <f>IF(E356="","",IFERROR(IF(INDEX(lst_exp_item_cat,MATCH(E356,lst_exp_items,0))="","❔ Без категории",INDEX(lst_exp_item_cat,MATCH(E356,lst_exp_items,0))),"❔ Без категории"))</f>
        <v/>
      </c>
      <c r="G356" s="43" t="n"/>
      <c r="H356" s="56" t="n"/>
      <c r="I356" s="43" t="n"/>
      <c r="J356" s="57">
        <f>IF(OR(A356="",H356=""),"",IF(COUNTIFS(exp_year,C356,exp_month,D356,exp_item,E356,exp_status,"&lt;&gt;❌ Отменено")&gt;0,1,0))</f>
        <v/>
      </c>
    </row>
    <row r="357">
      <c r="A357" s="52" t="n"/>
      <c r="B357" s="53">
        <f>IF(A357="","",CHOOSE(WEEKDAY(A357,2),"Пн","Вт","Ср","Чт","Пт","Сб","Вс"))</f>
        <v/>
      </c>
      <c r="C357" s="53">
        <f>IF(A357="","",YEAR(A357))</f>
        <v/>
      </c>
      <c r="D357" s="54">
        <f>IF(A357="","",INDEX(lst_months,MONTH(A357)))</f>
        <v/>
      </c>
      <c r="E357" s="55" t="n"/>
      <c r="F357" s="54">
        <f>IF(E357="","",IFERROR(IF(INDEX(lst_exp_item_cat,MATCH(E357,lst_exp_items,0))="","❔ Без категории",INDEX(lst_exp_item_cat,MATCH(E357,lst_exp_items,0))),"❔ Без категории"))</f>
        <v/>
      </c>
      <c r="G357" s="43" t="n"/>
      <c r="H357" s="56" t="n"/>
      <c r="I357" s="43" t="n"/>
      <c r="J357" s="57">
        <f>IF(OR(A357="",H357=""),"",IF(COUNTIFS(exp_year,C357,exp_month,D357,exp_item,E357,exp_status,"&lt;&gt;❌ Отменено")&gt;0,1,0))</f>
        <v/>
      </c>
    </row>
    <row r="358">
      <c r="A358" s="52" t="n"/>
      <c r="B358" s="53">
        <f>IF(A358="","",CHOOSE(WEEKDAY(A358,2),"Пн","Вт","Ср","Чт","Пт","Сб","Вс"))</f>
        <v/>
      </c>
      <c r="C358" s="53">
        <f>IF(A358="","",YEAR(A358))</f>
        <v/>
      </c>
      <c r="D358" s="54">
        <f>IF(A358="","",INDEX(lst_months,MONTH(A358)))</f>
        <v/>
      </c>
      <c r="E358" s="55" t="n"/>
      <c r="F358" s="54">
        <f>IF(E358="","",IFERROR(IF(INDEX(lst_exp_item_cat,MATCH(E358,lst_exp_items,0))="","❔ Без категории",INDEX(lst_exp_item_cat,MATCH(E358,lst_exp_items,0))),"❔ Без категории"))</f>
        <v/>
      </c>
      <c r="G358" s="43" t="n"/>
      <c r="H358" s="56" t="n"/>
      <c r="I358" s="43" t="n"/>
      <c r="J358" s="57">
        <f>IF(OR(A358="",H358=""),"",IF(COUNTIFS(exp_year,C358,exp_month,D358,exp_item,E358,exp_status,"&lt;&gt;❌ Отменено")&gt;0,1,0))</f>
        <v/>
      </c>
    </row>
    <row r="359">
      <c r="A359" s="52" t="n"/>
      <c r="B359" s="53">
        <f>IF(A359="","",CHOOSE(WEEKDAY(A359,2),"Пн","Вт","Ср","Чт","Пт","Сб","Вс"))</f>
        <v/>
      </c>
      <c r="C359" s="53">
        <f>IF(A359="","",YEAR(A359))</f>
        <v/>
      </c>
      <c r="D359" s="54">
        <f>IF(A359="","",INDEX(lst_months,MONTH(A359)))</f>
        <v/>
      </c>
      <c r="E359" s="55" t="n"/>
      <c r="F359" s="54">
        <f>IF(E359="","",IFERROR(IF(INDEX(lst_exp_item_cat,MATCH(E359,lst_exp_items,0))="","❔ Без категории",INDEX(lst_exp_item_cat,MATCH(E359,lst_exp_items,0))),"❔ Без категории"))</f>
        <v/>
      </c>
      <c r="G359" s="43" t="n"/>
      <c r="H359" s="56" t="n"/>
      <c r="I359" s="43" t="n"/>
      <c r="J359" s="57">
        <f>IF(OR(A359="",H359=""),"",IF(COUNTIFS(exp_year,C359,exp_month,D359,exp_item,E359,exp_status,"&lt;&gt;❌ Отменено")&gt;0,1,0))</f>
        <v/>
      </c>
    </row>
    <row r="360">
      <c r="A360" s="52" t="n"/>
      <c r="B360" s="53">
        <f>IF(A360="","",CHOOSE(WEEKDAY(A360,2),"Пн","Вт","Ср","Чт","Пт","Сб","Вс"))</f>
        <v/>
      </c>
      <c r="C360" s="53">
        <f>IF(A360="","",YEAR(A360))</f>
        <v/>
      </c>
      <c r="D360" s="54">
        <f>IF(A360="","",INDEX(lst_months,MONTH(A360)))</f>
        <v/>
      </c>
      <c r="E360" s="55" t="n"/>
      <c r="F360" s="54">
        <f>IF(E360="","",IFERROR(IF(INDEX(lst_exp_item_cat,MATCH(E360,lst_exp_items,0))="","❔ Без категории",INDEX(lst_exp_item_cat,MATCH(E360,lst_exp_items,0))),"❔ Без категории"))</f>
        <v/>
      </c>
      <c r="G360" s="43" t="n"/>
      <c r="H360" s="56" t="n"/>
      <c r="I360" s="43" t="n"/>
      <c r="J360" s="57">
        <f>IF(OR(A360="",H360=""),"",IF(COUNTIFS(exp_year,C360,exp_month,D360,exp_item,E360,exp_status,"&lt;&gt;❌ Отменено")&gt;0,1,0))</f>
        <v/>
      </c>
    </row>
    <row r="361">
      <c r="A361" s="52" t="n"/>
      <c r="B361" s="53">
        <f>IF(A361="","",CHOOSE(WEEKDAY(A361,2),"Пн","Вт","Ср","Чт","Пт","Сб","Вс"))</f>
        <v/>
      </c>
      <c r="C361" s="53">
        <f>IF(A361="","",YEAR(A361))</f>
        <v/>
      </c>
      <c r="D361" s="54">
        <f>IF(A361="","",INDEX(lst_months,MONTH(A361)))</f>
        <v/>
      </c>
      <c r="E361" s="55" t="n"/>
      <c r="F361" s="54">
        <f>IF(E361="","",IFERROR(IF(INDEX(lst_exp_item_cat,MATCH(E361,lst_exp_items,0))="","❔ Без категории",INDEX(lst_exp_item_cat,MATCH(E361,lst_exp_items,0))),"❔ Без категории"))</f>
        <v/>
      </c>
      <c r="G361" s="43" t="n"/>
      <c r="H361" s="56" t="n"/>
      <c r="I361" s="43" t="n"/>
      <c r="J361" s="57">
        <f>IF(OR(A361="",H361=""),"",IF(COUNTIFS(exp_year,C361,exp_month,D361,exp_item,E361,exp_status,"&lt;&gt;❌ Отменено")&gt;0,1,0))</f>
        <v/>
      </c>
    </row>
    <row r="362">
      <c r="A362" s="52" t="n"/>
      <c r="B362" s="53">
        <f>IF(A362="","",CHOOSE(WEEKDAY(A362,2),"Пн","Вт","Ср","Чт","Пт","Сб","Вс"))</f>
        <v/>
      </c>
      <c r="C362" s="53">
        <f>IF(A362="","",YEAR(A362))</f>
        <v/>
      </c>
      <c r="D362" s="54">
        <f>IF(A362="","",INDEX(lst_months,MONTH(A362)))</f>
        <v/>
      </c>
      <c r="E362" s="55" t="n"/>
      <c r="F362" s="54">
        <f>IF(E362="","",IFERROR(IF(INDEX(lst_exp_item_cat,MATCH(E362,lst_exp_items,0))="","❔ Без категории",INDEX(lst_exp_item_cat,MATCH(E362,lst_exp_items,0))),"❔ Без категории"))</f>
        <v/>
      </c>
      <c r="G362" s="43" t="n"/>
      <c r="H362" s="56" t="n"/>
      <c r="I362" s="43" t="n"/>
      <c r="J362" s="57">
        <f>IF(OR(A362="",H362=""),"",IF(COUNTIFS(exp_year,C362,exp_month,D362,exp_item,E362,exp_status,"&lt;&gt;❌ Отменено")&gt;0,1,0))</f>
        <v/>
      </c>
    </row>
    <row r="363">
      <c r="A363" s="52" t="n"/>
      <c r="B363" s="53">
        <f>IF(A363="","",CHOOSE(WEEKDAY(A363,2),"Пн","Вт","Ср","Чт","Пт","Сб","Вс"))</f>
        <v/>
      </c>
      <c r="C363" s="53">
        <f>IF(A363="","",YEAR(A363))</f>
        <v/>
      </c>
      <c r="D363" s="54">
        <f>IF(A363="","",INDEX(lst_months,MONTH(A363)))</f>
        <v/>
      </c>
      <c r="E363" s="55" t="n"/>
      <c r="F363" s="54">
        <f>IF(E363="","",IFERROR(IF(INDEX(lst_exp_item_cat,MATCH(E363,lst_exp_items,0))="","❔ Без категории",INDEX(lst_exp_item_cat,MATCH(E363,lst_exp_items,0))),"❔ Без категории"))</f>
        <v/>
      </c>
      <c r="G363" s="43" t="n"/>
      <c r="H363" s="56" t="n"/>
      <c r="I363" s="43" t="n"/>
      <c r="J363" s="57">
        <f>IF(OR(A363="",H363=""),"",IF(COUNTIFS(exp_year,C363,exp_month,D363,exp_item,E363,exp_status,"&lt;&gt;❌ Отменено")&gt;0,1,0))</f>
        <v/>
      </c>
    </row>
    <row r="364">
      <c r="A364" s="52" t="n"/>
      <c r="B364" s="53">
        <f>IF(A364="","",CHOOSE(WEEKDAY(A364,2),"Пн","Вт","Ср","Чт","Пт","Сб","Вс"))</f>
        <v/>
      </c>
      <c r="C364" s="53">
        <f>IF(A364="","",YEAR(A364))</f>
        <v/>
      </c>
      <c r="D364" s="54">
        <f>IF(A364="","",INDEX(lst_months,MONTH(A364)))</f>
        <v/>
      </c>
      <c r="E364" s="55" t="n"/>
      <c r="F364" s="54">
        <f>IF(E364="","",IFERROR(IF(INDEX(lst_exp_item_cat,MATCH(E364,lst_exp_items,0))="","❔ Без категории",INDEX(lst_exp_item_cat,MATCH(E364,lst_exp_items,0))),"❔ Без категории"))</f>
        <v/>
      </c>
      <c r="G364" s="43" t="n"/>
      <c r="H364" s="56" t="n"/>
      <c r="I364" s="43" t="n"/>
      <c r="J364" s="57">
        <f>IF(OR(A364="",H364=""),"",IF(COUNTIFS(exp_year,C364,exp_month,D364,exp_item,E364,exp_status,"&lt;&gt;❌ Отменено")&gt;0,1,0))</f>
        <v/>
      </c>
    </row>
    <row r="365">
      <c r="A365" s="52" t="n"/>
      <c r="B365" s="53">
        <f>IF(A365="","",CHOOSE(WEEKDAY(A365,2),"Пн","Вт","Ср","Чт","Пт","Сб","Вс"))</f>
        <v/>
      </c>
      <c r="C365" s="53">
        <f>IF(A365="","",YEAR(A365))</f>
        <v/>
      </c>
      <c r="D365" s="54">
        <f>IF(A365="","",INDEX(lst_months,MONTH(A365)))</f>
        <v/>
      </c>
      <c r="E365" s="55" t="n"/>
      <c r="F365" s="54">
        <f>IF(E365="","",IFERROR(IF(INDEX(lst_exp_item_cat,MATCH(E365,lst_exp_items,0))="","❔ Без категории",INDEX(lst_exp_item_cat,MATCH(E365,lst_exp_items,0))),"❔ Без категории"))</f>
        <v/>
      </c>
      <c r="G365" s="43" t="n"/>
      <c r="H365" s="56" t="n"/>
      <c r="I365" s="43" t="n"/>
      <c r="J365" s="57">
        <f>IF(OR(A365="",H365=""),"",IF(COUNTIFS(exp_year,C365,exp_month,D365,exp_item,E365,exp_status,"&lt;&gt;❌ Отменено")&gt;0,1,0))</f>
        <v/>
      </c>
    </row>
    <row r="366">
      <c r="A366" s="52" t="n"/>
      <c r="B366" s="53">
        <f>IF(A366="","",CHOOSE(WEEKDAY(A366,2),"Пн","Вт","Ср","Чт","Пт","Сб","Вс"))</f>
        <v/>
      </c>
      <c r="C366" s="53">
        <f>IF(A366="","",YEAR(A366))</f>
        <v/>
      </c>
      <c r="D366" s="54">
        <f>IF(A366="","",INDEX(lst_months,MONTH(A366)))</f>
        <v/>
      </c>
      <c r="E366" s="55" t="n"/>
      <c r="F366" s="54">
        <f>IF(E366="","",IFERROR(IF(INDEX(lst_exp_item_cat,MATCH(E366,lst_exp_items,0))="","❔ Без категории",INDEX(lst_exp_item_cat,MATCH(E366,lst_exp_items,0))),"❔ Без категории"))</f>
        <v/>
      </c>
      <c r="G366" s="43" t="n"/>
      <c r="H366" s="56" t="n"/>
      <c r="I366" s="43" t="n"/>
      <c r="J366" s="57">
        <f>IF(OR(A366="",H366=""),"",IF(COUNTIFS(exp_year,C366,exp_month,D366,exp_item,E366,exp_status,"&lt;&gt;❌ Отменено")&gt;0,1,0))</f>
        <v/>
      </c>
    </row>
    <row r="367">
      <c r="A367" s="52" t="n"/>
      <c r="B367" s="53">
        <f>IF(A367="","",CHOOSE(WEEKDAY(A367,2),"Пн","Вт","Ср","Чт","Пт","Сб","Вс"))</f>
        <v/>
      </c>
      <c r="C367" s="53">
        <f>IF(A367="","",YEAR(A367))</f>
        <v/>
      </c>
      <c r="D367" s="54">
        <f>IF(A367="","",INDEX(lst_months,MONTH(A367)))</f>
        <v/>
      </c>
      <c r="E367" s="55" t="n"/>
      <c r="F367" s="54">
        <f>IF(E367="","",IFERROR(IF(INDEX(lst_exp_item_cat,MATCH(E367,lst_exp_items,0))="","❔ Без категории",INDEX(lst_exp_item_cat,MATCH(E367,lst_exp_items,0))),"❔ Без категории"))</f>
        <v/>
      </c>
      <c r="G367" s="43" t="n"/>
      <c r="H367" s="56" t="n"/>
      <c r="I367" s="43" t="n"/>
      <c r="J367" s="57">
        <f>IF(OR(A367="",H367=""),"",IF(COUNTIFS(exp_year,C367,exp_month,D367,exp_item,E367,exp_status,"&lt;&gt;❌ Отменено")&gt;0,1,0))</f>
        <v/>
      </c>
    </row>
    <row r="368">
      <c r="A368" s="52" t="n"/>
      <c r="B368" s="53">
        <f>IF(A368="","",CHOOSE(WEEKDAY(A368,2),"Пн","Вт","Ср","Чт","Пт","Сб","Вс"))</f>
        <v/>
      </c>
      <c r="C368" s="53">
        <f>IF(A368="","",YEAR(A368))</f>
        <v/>
      </c>
      <c r="D368" s="54">
        <f>IF(A368="","",INDEX(lst_months,MONTH(A368)))</f>
        <v/>
      </c>
      <c r="E368" s="55" t="n"/>
      <c r="F368" s="54">
        <f>IF(E368="","",IFERROR(IF(INDEX(lst_exp_item_cat,MATCH(E368,lst_exp_items,0))="","❔ Без категории",INDEX(lst_exp_item_cat,MATCH(E368,lst_exp_items,0))),"❔ Без категории"))</f>
        <v/>
      </c>
      <c r="G368" s="43" t="n"/>
      <c r="H368" s="56" t="n"/>
      <c r="I368" s="43" t="n"/>
      <c r="J368" s="57">
        <f>IF(OR(A368="",H368=""),"",IF(COUNTIFS(exp_year,C368,exp_month,D368,exp_item,E368,exp_status,"&lt;&gt;❌ Отменено")&gt;0,1,0))</f>
        <v/>
      </c>
    </row>
    <row r="369">
      <c r="A369" s="52" t="n"/>
      <c r="B369" s="53">
        <f>IF(A369="","",CHOOSE(WEEKDAY(A369,2),"Пн","Вт","Ср","Чт","Пт","Сб","Вс"))</f>
        <v/>
      </c>
      <c r="C369" s="53">
        <f>IF(A369="","",YEAR(A369))</f>
        <v/>
      </c>
      <c r="D369" s="54">
        <f>IF(A369="","",INDEX(lst_months,MONTH(A369)))</f>
        <v/>
      </c>
      <c r="E369" s="55" t="n"/>
      <c r="F369" s="54">
        <f>IF(E369="","",IFERROR(IF(INDEX(lst_exp_item_cat,MATCH(E369,lst_exp_items,0))="","❔ Без категории",INDEX(lst_exp_item_cat,MATCH(E369,lst_exp_items,0))),"❔ Без категории"))</f>
        <v/>
      </c>
      <c r="G369" s="43" t="n"/>
      <c r="H369" s="56" t="n"/>
      <c r="I369" s="43" t="n"/>
      <c r="J369" s="57">
        <f>IF(OR(A369="",H369=""),"",IF(COUNTIFS(exp_year,C369,exp_month,D369,exp_item,E369,exp_status,"&lt;&gt;❌ Отменено")&gt;0,1,0))</f>
        <v/>
      </c>
    </row>
    <row r="370">
      <c r="A370" s="52" t="n"/>
      <c r="B370" s="53">
        <f>IF(A370="","",CHOOSE(WEEKDAY(A370,2),"Пн","Вт","Ср","Чт","Пт","Сб","Вс"))</f>
        <v/>
      </c>
      <c r="C370" s="53">
        <f>IF(A370="","",YEAR(A370))</f>
        <v/>
      </c>
      <c r="D370" s="54">
        <f>IF(A370="","",INDEX(lst_months,MONTH(A370)))</f>
        <v/>
      </c>
      <c r="E370" s="55" t="n"/>
      <c r="F370" s="54">
        <f>IF(E370="","",IFERROR(IF(INDEX(lst_exp_item_cat,MATCH(E370,lst_exp_items,0))="","❔ Без категории",INDEX(lst_exp_item_cat,MATCH(E370,lst_exp_items,0))),"❔ Без категории"))</f>
        <v/>
      </c>
      <c r="G370" s="43" t="n"/>
      <c r="H370" s="56" t="n"/>
      <c r="I370" s="43" t="n"/>
      <c r="J370" s="57">
        <f>IF(OR(A370="",H370=""),"",IF(COUNTIFS(exp_year,C370,exp_month,D370,exp_item,E370,exp_status,"&lt;&gt;❌ Отменено")&gt;0,1,0))</f>
        <v/>
      </c>
    </row>
    <row r="371">
      <c r="A371" s="52" t="n"/>
      <c r="B371" s="53">
        <f>IF(A371="","",CHOOSE(WEEKDAY(A371,2),"Пн","Вт","Ср","Чт","Пт","Сб","Вс"))</f>
        <v/>
      </c>
      <c r="C371" s="53">
        <f>IF(A371="","",YEAR(A371))</f>
        <v/>
      </c>
      <c r="D371" s="54">
        <f>IF(A371="","",INDEX(lst_months,MONTH(A371)))</f>
        <v/>
      </c>
      <c r="E371" s="55" t="n"/>
      <c r="F371" s="54">
        <f>IF(E371="","",IFERROR(IF(INDEX(lst_exp_item_cat,MATCH(E371,lst_exp_items,0))="","❔ Без категории",INDEX(lst_exp_item_cat,MATCH(E371,lst_exp_items,0))),"❔ Без категории"))</f>
        <v/>
      </c>
      <c r="G371" s="43" t="n"/>
      <c r="H371" s="56" t="n"/>
      <c r="I371" s="43" t="n"/>
      <c r="J371" s="57">
        <f>IF(OR(A371="",H371=""),"",IF(COUNTIFS(exp_year,C371,exp_month,D371,exp_item,E371,exp_status,"&lt;&gt;❌ Отменено")&gt;0,1,0))</f>
        <v/>
      </c>
    </row>
    <row r="372">
      <c r="A372" s="52" t="n"/>
      <c r="B372" s="53">
        <f>IF(A372="","",CHOOSE(WEEKDAY(A372,2),"Пн","Вт","Ср","Чт","Пт","Сб","Вс"))</f>
        <v/>
      </c>
      <c r="C372" s="53">
        <f>IF(A372="","",YEAR(A372))</f>
        <v/>
      </c>
      <c r="D372" s="54">
        <f>IF(A372="","",INDEX(lst_months,MONTH(A372)))</f>
        <v/>
      </c>
      <c r="E372" s="55" t="n"/>
      <c r="F372" s="54">
        <f>IF(E372="","",IFERROR(IF(INDEX(lst_exp_item_cat,MATCH(E372,lst_exp_items,0))="","❔ Без категории",INDEX(lst_exp_item_cat,MATCH(E372,lst_exp_items,0))),"❔ Без категории"))</f>
        <v/>
      </c>
      <c r="G372" s="43" t="n"/>
      <c r="H372" s="56" t="n"/>
      <c r="I372" s="43" t="n"/>
      <c r="J372" s="57">
        <f>IF(OR(A372="",H372=""),"",IF(COUNTIFS(exp_year,C372,exp_month,D372,exp_item,E372,exp_status,"&lt;&gt;❌ Отменено")&gt;0,1,0))</f>
        <v/>
      </c>
    </row>
    <row r="373">
      <c r="A373" s="52" t="n"/>
      <c r="B373" s="53">
        <f>IF(A373="","",CHOOSE(WEEKDAY(A373,2),"Пн","Вт","Ср","Чт","Пт","Сб","Вс"))</f>
        <v/>
      </c>
      <c r="C373" s="53">
        <f>IF(A373="","",YEAR(A373))</f>
        <v/>
      </c>
      <c r="D373" s="54">
        <f>IF(A373="","",INDEX(lst_months,MONTH(A373)))</f>
        <v/>
      </c>
      <c r="E373" s="55" t="n"/>
      <c r="F373" s="54">
        <f>IF(E373="","",IFERROR(IF(INDEX(lst_exp_item_cat,MATCH(E373,lst_exp_items,0))="","❔ Без категории",INDEX(lst_exp_item_cat,MATCH(E373,lst_exp_items,0))),"❔ Без категории"))</f>
        <v/>
      </c>
      <c r="G373" s="43" t="n"/>
      <c r="H373" s="56" t="n"/>
      <c r="I373" s="43" t="n"/>
      <c r="J373" s="57">
        <f>IF(OR(A373="",H373=""),"",IF(COUNTIFS(exp_year,C373,exp_month,D373,exp_item,E373,exp_status,"&lt;&gt;❌ Отменено")&gt;0,1,0))</f>
        <v/>
      </c>
    </row>
    <row r="374">
      <c r="A374" s="52" t="n"/>
      <c r="B374" s="53">
        <f>IF(A374="","",CHOOSE(WEEKDAY(A374,2),"Пн","Вт","Ср","Чт","Пт","Сб","Вс"))</f>
        <v/>
      </c>
      <c r="C374" s="53">
        <f>IF(A374="","",YEAR(A374))</f>
        <v/>
      </c>
      <c r="D374" s="54">
        <f>IF(A374="","",INDEX(lst_months,MONTH(A374)))</f>
        <v/>
      </c>
      <c r="E374" s="55" t="n"/>
      <c r="F374" s="54">
        <f>IF(E374="","",IFERROR(IF(INDEX(lst_exp_item_cat,MATCH(E374,lst_exp_items,0))="","❔ Без категории",INDEX(lst_exp_item_cat,MATCH(E374,lst_exp_items,0))),"❔ Без категории"))</f>
        <v/>
      </c>
      <c r="G374" s="43" t="n"/>
      <c r="H374" s="56" t="n"/>
      <c r="I374" s="43" t="n"/>
      <c r="J374" s="57">
        <f>IF(OR(A374="",H374=""),"",IF(COUNTIFS(exp_year,C374,exp_month,D374,exp_item,E374,exp_status,"&lt;&gt;❌ Отменено")&gt;0,1,0))</f>
        <v/>
      </c>
    </row>
    <row r="375">
      <c r="A375" s="52" t="n"/>
      <c r="B375" s="53">
        <f>IF(A375="","",CHOOSE(WEEKDAY(A375,2),"Пн","Вт","Ср","Чт","Пт","Сб","Вс"))</f>
        <v/>
      </c>
      <c r="C375" s="53">
        <f>IF(A375="","",YEAR(A375))</f>
        <v/>
      </c>
      <c r="D375" s="54">
        <f>IF(A375="","",INDEX(lst_months,MONTH(A375)))</f>
        <v/>
      </c>
      <c r="E375" s="55" t="n"/>
      <c r="F375" s="54">
        <f>IF(E375="","",IFERROR(IF(INDEX(lst_exp_item_cat,MATCH(E375,lst_exp_items,0))="","❔ Без категории",INDEX(lst_exp_item_cat,MATCH(E375,lst_exp_items,0))),"❔ Без категории"))</f>
        <v/>
      </c>
      <c r="G375" s="43" t="n"/>
      <c r="H375" s="56" t="n"/>
      <c r="I375" s="43" t="n"/>
      <c r="J375" s="57">
        <f>IF(OR(A375="",H375=""),"",IF(COUNTIFS(exp_year,C375,exp_month,D375,exp_item,E375,exp_status,"&lt;&gt;❌ Отменено")&gt;0,1,0))</f>
        <v/>
      </c>
    </row>
    <row r="376">
      <c r="A376" s="52" t="n"/>
      <c r="B376" s="53">
        <f>IF(A376="","",CHOOSE(WEEKDAY(A376,2),"Пн","Вт","Ср","Чт","Пт","Сб","Вс"))</f>
        <v/>
      </c>
      <c r="C376" s="53">
        <f>IF(A376="","",YEAR(A376))</f>
        <v/>
      </c>
      <c r="D376" s="54">
        <f>IF(A376="","",INDEX(lst_months,MONTH(A376)))</f>
        <v/>
      </c>
      <c r="E376" s="55" t="n"/>
      <c r="F376" s="54">
        <f>IF(E376="","",IFERROR(IF(INDEX(lst_exp_item_cat,MATCH(E376,lst_exp_items,0))="","❔ Без категории",INDEX(lst_exp_item_cat,MATCH(E376,lst_exp_items,0))),"❔ Без категории"))</f>
        <v/>
      </c>
      <c r="G376" s="43" t="n"/>
      <c r="H376" s="56" t="n"/>
      <c r="I376" s="43" t="n"/>
      <c r="J376" s="57">
        <f>IF(OR(A376="",H376=""),"",IF(COUNTIFS(exp_year,C376,exp_month,D376,exp_item,E376,exp_status,"&lt;&gt;❌ Отменено")&gt;0,1,0))</f>
        <v/>
      </c>
    </row>
    <row r="377">
      <c r="A377" s="52" t="n"/>
      <c r="B377" s="53">
        <f>IF(A377="","",CHOOSE(WEEKDAY(A377,2),"Пн","Вт","Ср","Чт","Пт","Сб","Вс"))</f>
        <v/>
      </c>
      <c r="C377" s="53">
        <f>IF(A377="","",YEAR(A377))</f>
        <v/>
      </c>
      <c r="D377" s="54">
        <f>IF(A377="","",INDEX(lst_months,MONTH(A377)))</f>
        <v/>
      </c>
      <c r="E377" s="55" t="n"/>
      <c r="F377" s="54">
        <f>IF(E377="","",IFERROR(IF(INDEX(lst_exp_item_cat,MATCH(E377,lst_exp_items,0))="","❔ Без категории",INDEX(lst_exp_item_cat,MATCH(E377,lst_exp_items,0))),"❔ Без категории"))</f>
        <v/>
      </c>
      <c r="G377" s="43" t="n"/>
      <c r="H377" s="56" t="n"/>
      <c r="I377" s="43" t="n"/>
      <c r="J377" s="57">
        <f>IF(OR(A377="",H377=""),"",IF(COUNTIFS(exp_year,C377,exp_month,D377,exp_item,E377,exp_status,"&lt;&gt;❌ Отменено")&gt;0,1,0))</f>
        <v/>
      </c>
    </row>
    <row r="378">
      <c r="A378" s="52" t="n"/>
      <c r="B378" s="53">
        <f>IF(A378="","",CHOOSE(WEEKDAY(A378,2),"Пн","Вт","Ср","Чт","Пт","Сб","Вс"))</f>
        <v/>
      </c>
      <c r="C378" s="53">
        <f>IF(A378="","",YEAR(A378))</f>
        <v/>
      </c>
      <c r="D378" s="54">
        <f>IF(A378="","",INDEX(lst_months,MONTH(A378)))</f>
        <v/>
      </c>
      <c r="E378" s="55" t="n"/>
      <c r="F378" s="54">
        <f>IF(E378="","",IFERROR(IF(INDEX(lst_exp_item_cat,MATCH(E378,lst_exp_items,0))="","❔ Без категории",INDEX(lst_exp_item_cat,MATCH(E378,lst_exp_items,0))),"❔ Без категории"))</f>
        <v/>
      </c>
      <c r="G378" s="43" t="n"/>
      <c r="H378" s="56" t="n"/>
      <c r="I378" s="43" t="n"/>
      <c r="J378" s="57">
        <f>IF(OR(A378="",H378=""),"",IF(COUNTIFS(exp_year,C378,exp_month,D378,exp_item,E378,exp_status,"&lt;&gt;❌ Отменено")&gt;0,1,0))</f>
        <v/>
      </c>
    </row>
    <row r="379">
      <c r="A379" s="52" t="n"/>
      <c r="B379" s="53">
        <f>IF(A379="","",CHOOSE(WEEKDAY(A379,2),"Пн","Вт","Ср","Чт","Пт","Сб","Вс"))</f>
        <v/>
      </c>
      <c r="C379" s="53">
        <f>IF(A379="","",YEAR(A379))</f>
        <v/>
      </c>
      <c r="D379" s="54">
        <f>IF(A379="","",INDEX(lst_months,MONTH(A379)))</f>
        <v/>
      </c>
      <c r="E379" s="55" t="n"/>
      <c r="F379" s="54">
        <f>IF(E379="","",IFERROR(IF(INDEX(lst_exp_item_cat,MATCH(E379,lst_exp_items,0))="","❔ Без категории",INDEX(lst_exp_item_cat,MATCH(E379,lst_exp_items,0))),"❔ Без категории"))</f>
        <v/>
      </c>
      <c r="G379" s="43" t="n"/>
      <c r="H379" s="56" t="n"/>
      <c r="I379" s="43" t="n"/>
      <c r="J379" s="57">
        <f>IF(OR(A379="",H379=""),"",IF(COUNTIFS(exp_year,C379,exp_month,D379,exp_item,E379,exp_status,"&lt;&gt;❌ Отменено")&gt;0,1,0))</f>
        <v/>
      </c>
    </row>
    <row r="380">
      <c r="A380" s="52" t="n"/>
      <c r="B380" s="53">
        <f>IF(A380="","",CHOOSE(WEEKDAY(A380,2),"Пн","Вт","Ср","Чт","Пт","Сб","Вс"))</f>
        <v/>
      </c>
      <c r="C380" s="53">
        <f>IF(A380="","",YEAR(A380))</f>
        <v/>
      </c>
      <c r="D380" s="54">
        <f>IF(A380="","",INDEX(lst_months,MONTH(A380)))</f>
        <v/>
      </c>
      <c r="E380" s="55" t="n"/>
      <c r="F380" s="54">
        <f>IF(E380="","",IFERROR(IF(INDEX(lst_exp_item_cat,MATCH(E380,lst_exp_items,0))="","❔ Без категории",INDEX(lst_exp_item_cat,MATCH(E380,lst_exp_items,0))),"❔ Без категории"))</f>
        <v/>
      </c>
      <c r="G380" s="43" t="n"/>
      <c r="H380" s="56" t="n"/>
      <c r="I380" s="43" t="n"/>
      <c r="J380" s="57">
        <f>IF(OR(A380="",H380=""),"",IF(COUNTIFS(exp_year,C380,exp_month,D380,exp_item,E380,exp_status,"&lt;&gt;❌ Отменено")&gt;0,1,0))</f>
        <v/>
      </c>
    </row>
    <row r="381">
      <c r="A381" s="52" t="n"/>
      <c r="B381" s="53">
        <f>IF(A381="","",CHOOSE(WEEKDAY(A381,2),"Пн","Вт","Ср","Чт","Пт","Сб","Вс"))</f>
        <v/>
      </c>
      <c r="C381" s="53">
        <f>IF(A381="","",YEAR(A381))</f>
        <v/>
      </c>
      <c r="D381" s="54">
        <f>IF(A381="","",INDEX(lst_months,MONTH(A381)))</f>
        <v/>
      </c>
      <c r="E381" s="55" t="n"/>
      <c r="F381" s="54">
        <f>IF(E381="","",IFERROR(IF(INDEX(lst_exp_item_cat,MATCH(E381,lst_exp_items,0))="","❔ Без категории",INDEX(lst_exp_item_cat,MATCH(E381,lst_exp_items,0))),"❔ Без категории"))</f>
        <v/>
      </c>
      <c r="G381" s="43" t="n"/>
      <c r="H381" s="56" t="n"/>
      <c r="I381" s="43" t="n"/>
      <c r="J381" s="57">
        <f>IF(OR(A381="",H381=""),"",IF(COUNTIFS(exp_year,C381,exp_month,D381,exp_item,E381,exp_status,"&lt;&gt;❌ Отменено")&gt;0,1,0))</f>
        <v/>
      </c>
    </row>
    <row r="382">
      <c r="A382" s="52" t="n"/>
      <c r="B382" s="53">
        <f>IF(A382="","",CHOOSE(WEEKDAY(A382,2),"Пн","Вт","Ср","Чт","Пт","Сб","Вс"))</f>
        <v/>
      </c>
      <c r="C382" s="53">
        <f>IF(A382="","",YEAR(A382))</f>
        <v/>
      </c>
      <c r="D382" s="54">
        <f>IF(A382="","",INDEX(lst_months,MONTH(A382)))</f>
        <v/>
      </c>
      <c r="E382" s="55" t="n"/>
      <c r="F382" s="54">
        <f>IF(E382="","",IFERROR(IF(INDEX(lst_exp_item_cat,MATCH(E382,lst_exp_items,0))="","❔ Без категории",INDEX(lst_exp_item_cat,MATCH(E382,lst_exp_items,0))),"❔ Без категории"))</f>
        <v/>
      </c>
      <c r="G382" s="43" t="n"/>
      <c r="H382" s="56" t="n"/>
      <c r="I382" s="43" t="n"/>
      <c r="J382" s="57">
        <f>IF(OR(A382="",H382=""),"",IF(COUNTIFS(exp_year,C382,exp_month,D382,exp_item,E382,exp_status,"&lt;&gt;❌ Отменено")&gt;0,1,0))</f>
        <v/>
      </c>
    </row>
    <row r="383">
      <c r="A383" s="52" t="n"/>
      <c r="B383" s="53">
        <f>IF(A383="","",CHOOSE(WEEKDAY(A383,2),"Пн","Вт","Ср","Чт","Пт","Сб","Вс"))</f>
        <v/>
      </c>
      <c r="C383" s="53">
        <f>IF(A383="","",YEAR(A383))</f>
        <v/>
      </c>
      <c r="D383" s="54">
        <f>IF(A383="","",INDEX(lst_months,MONTH(A383)))</f>
        <v/>
      </c>
      <c r="E383" s="55" t="n"/>
      <c r="F383" s="54">
        <f>IF(E383="","",IFERROR(IF(INDEX(lst_exp_item_cat,MATCH(E383,lst_exp_items,0))="","❔ Без категории",INDEX(lst_exp_item_cat,MATCH(E383,lst_exp_items,0))),"❔ Без категории"))</f>
        <v/>
      </c>
      <c r="G383" s="43" t="n"/>
      <c r="H383" s="56" t="n"/>
      <c r="I383" s="43" t="n"/>
      <c r="J383" s="57">
        <f>IF(OR(A383="",H383=""),"",IF(COUNTIFS(exp_year,C383,exp_month,D383,exp_item,E383,exp_status,"&lt;&gt;❌ Отменено")&gt;0,1,0))</f>
        <v/>
      </c>
    </row>
    <row r="384">
      <c r="A384" s="52" t="n"/>
      <c r="B384" s="53">
        <f>IF(A384="","",CHOOSE(WEEKDAY(A384,2),"Пн","Вт","Ср","Чт","Пт","Сб","Вс"))</f>
        <v/>
      </c>
      <c r="C384" s="53">
        <f>IF(A384="","",YEAR(A384))</f>
        <v/>
      </c>
      <c r="D384" s="54">
        <f>IF(A384="","",INDEX(lst_months,MONTH(A384)))</f>
        <v/>
      </c>
      <c r="E384" s="55" t="n"/>
      <c r="F384" s="54">
        <f>IF(E384="","",IFERROR(IF(INDEX(lst_exp_item_cat,MATCH(E384,lst_exp_items,0))="","❔ Без категории",INDEX(lst_exp_item_cat,MATCH(E384,lst_exp_items,0))),"❔ Без категории"))</f>
        <v/>
      </c>
      <c r="G384" s="43" t="n"/>
      <c r="H384" s="56" t="n"/>
      <c r="I384" s="43" t="n"/>
      <c r="J384" s="57">
        <f>IF(OR(A384="",H384=""),"",IF(COUNTIFS(exp_year,C384,exp_month,D384,exp_item,E384,exp_status,"&lt;&gt;❌ Отменено")&gt;0,1,0))</f>
        <v/>
      </c>
    </row>
    <row r="385">
      <c r="A385" s="52" t="n"/>
      <c r="B385" s="53">
        <f>IF(A385="","",CHOOSE(WEEKDAY(A385,2),"Пн","Вт","Ср","Чт","Пт","Сб","Вс"))</f>
        <v/>
      </c>
      <c r="C385" s="53">
        <f>IF(A385="","",YEAR(A385))</f>
        <v/>
      </c>
      <c r="D385" s="54">
        <f>IF(A385="","",INDEX(lst_months,MONTH(A385)))</f>
        <v/>
      </c>
      <c r="E385" s="55" t="n"/>
      <c r="F385" s="54">
        <f>IF(E385="","",IFERROR(IF(INDEX(lst_exp_item_cat,MATCH(E385,lst_exp_items,0))="","❔ Без категории",INDEX(lst_exp_item_cat,MATCH(E385,lst_exp_items,0))),"❔ Без категории"))</f>
        <v/>
      </c>
      <c r="G385" s="43" t="n"/>
      <c r="H385" s="56" t="n"/>
      <c r="I385" s="43" t="n"/>
      <c r="J385" s="57">
        <f>IF(OR(A385="",H385=""),"",IF(COUNTIFS(exp_year,C385,exp_month,D385,exp_item,E385,exp_status,"&lt;&gt;❌ Отменено")&gt;0,1,0))</f>
        <v/>
      </c>
    </row>
    <row r="386">
      <c r="A386" s="52" t="n"/>
      <c r="B386" s="53">
        <f>IF(A386="","",CHOOSE(WEEKDAY(A386,2),"Пн","Вт","Ср","Чт","Пт","Сб","Вс"))</f>
        <v/>
      </c>
      <c r="C386" s="53">
        <f>IF(A386="","",YEAR(A386))</f>
        <v/>
      </c>
      <c r="D386" s="54">
        <f>IF(A386="","",INDEX(lst_months,MONTH(A386)))</f>
        <v/>
      </c>
      <c r="E386" s="55" t="n"/>
      <c r="F386" s="54">
        <f>IF(E386="","",IFERROR(IF(INDEX(lst_exp_item_cat,MATCH(E386,lst_exp_items,0))="","❔ Без категории",INDEX(lst_exp_item_cat,MATCH(E386,lst_exp_items,0))),"❔ Без категории"))</f>
        <v/>
      </c>
      <c r="G386" s="43" t="n"/>
      <c r="H386" s="56" t="n"/>
      <c r="I386" s="43" t="n"/>
      <c r="J386" s="57">
        <f>IF(OR(A386="",H386=""),"",IF(COUNTIFS(exp_year,C386,exp_month,D386,exp_item,E386,exp_status,"&lt;&gt;❌ Отменено")&gt;0,1,0))</f>
        <v/>
      </c>
    </row>
    <row r="387">
      <c r="A387" s="52" t="n"/>
      <c r="B387" s="53">
        <f>IF(A387="","",CHOOSE(WEEKDAY(A387,2),"Пн","Вт","Ср","Чт","Пт","Сб","Вс"))</f>
        <v/>
      </c>
      <c r="C387" s="53">
        <f>IF(A387="","",YEAR(A387))</f>
        <v/>
      </c>
      <c r="D387" s="54">
        <f>IF(A387="","",INDEX(lst_months,MONTH(A387)))</f>
        <v/>
      </c>
      <c r="E387" s="55" t="n"/>
      <c r="F387" s="54">
        <f>IF(E387="","",IFERROR(IF(INDEX(lst_exp_item_cat,MATCH(E387,lst_exp_items,0))="","❔ Без категории",INDEX(lst_exp_item_cat,MATCH(E387,lst_exp_items,0))),"❔ Без категории"))</f>
        <v/>
      </c>
      <c r="G387" s="43" t="n"/>
      <c r="H387" s="56" t="n"/>
      <c r="I387" s="43" t="n"/>
      <c r="J387" s="57">
        <f>IF(OR(A387="",H387=""),"",IF(COUNTIFS(exp_year,C387,exp_month,D387,exp_item,E387,exp_status,"&lt;&gt;❌ Отменено")&gt;0,1,0))</f>
        <v/>
      </c>
    </row>
    <row r="388">
      <c r="A388" s="52" t="n"/>
      <c r="B388" s="53">
        <f>IF(A388="","",CHOOSE(WEEKDAY(A388,2),"Пн","Вт","Ср","Чт","Пт","Сб","Вс"))</f>
        <v/>
      </c>
      <c r="C388" s="53">
        <f>IF(A388="","",YEAR(A388))</f>
        <v/>
      </c>
      <c r="D388" s="54">
        <f>IF(A388="","",INDEX(lst_months,MONTH(A388)))</f>
        <v/>
      </c>
      <c r="E388" s="55" t="n"/>
      <c r="F388" s="54">
        <f>IF(E388="","",IFERROR(IF(INDEX(lst_exp_item_cat,MATCH(E388,lst_exp_items,0))="","❔ Без категории",INDEX(lst_exp_item_cat,MATCH(E388,lst_exp_items,0))),"❔ Без категории"))</f>
        <v/>
      </c>
      <c r="G388" s="43" t="n"/>
      <c r="H388" s="56" t="n"/>
      <c r="I388" s="43" t="n"/>
      <c r="J388" s="57">
        <f>IF(OR(A388="",H388=""),"",IF(COUNTIFS(exp_year,C388,exp_month,D388,exp_item,E388,exp_status,"&lt;&gt;❌ Отменено")&gt;0,1,0))</f>
        <v/>
      </c>
    </row>
    <row r="389">
      <c r="A389" s="52" t="n"/>
      <c r="B389" s="53">
        <f>IF(A389="","",CHOOSE(WEEKDAY(A389,2),"Пн","Вт","Ср","Чт","Пт","Сб","Вс"))</f>
        <v/>
      </c>
      <c r="C389" s="53">
        <f>IF(A389="","",YEAR(A389))</f>
        <v/>
      </c>
      <c r="D389" s="54">
        <f>IF(A389="","",INDEX(lst_months,MONTH(A389)))</f>
        <v/>
      </c>
      <c r="E389" s="55" t="n"/>
      <c r="F389" s="54">
        <f>IF(E389="","",IFERROR(IF(INDEX(lst_exp_item_cat,MATCH(E389,lst_exp_items,0))="","❔ Без категории",INDEX(lst_exp_item_cat,MATCH(E389,lst_exp_items,0))),"❔ Без категории"))</f>
        <v/>
      </c>
      <c r="G389" s="43" t="n"/>
      <c r="H389" s="56" t="n"/>
      <c r="I389" s="43" t="n"/>
      <c r="J389" s="57">
        <f>IF(OR(A389="",H389=""),"",IF(COUNTIFS(exp_year,C389,exp_month,D389,exp_item,E389,exp_status,"&lt;&gt;❌ Отменено")&gt;0,1,0))</f>
        <v/>
      </c>
    </row>
    <row r="390">
      <c r="A390" s="52" t="n"/>
      <c r="B390" s="53">
        <f>IF(A390="","",CHOOSE(WEEKDAY(A390,2),"Пн","Вт","Ср","Чт","Пт","Сб","Вс"))</f>
        <v/>
      </c>
      <c r="C390" s="53">
        <f>IF(A390="","",YEAR(A390))</f>
        <v/>
      </c>
      <c r="D390" s="54">
        <f>IF(A390="","",INDEX(lst_months,MONTH(A390)))</f>
        <v/>
      </c>
      <c r="E390" s="55" t="n"/>
      <c r="F390" s="54">
        <f>IF(E390="","",IFERROR(IF(INDEX(lst_exp_item_cat,MATCH(E390,lst_exp_items,0))="","❔ Без категории",INDEX(lst_exp_item_cat,MATCH(E390,lst_exp_items,0))),"❔ Без категории"))</f>
        <v/>
      </c>
      <c r="G390" s="43" t="n"/>
      <c r="H390" s="56" t="n"/>
      <c r="I390" s="43" t="n"/>
      <c r="J390" s="57">
        <f>IF(OR(A390="",H390=""),"",IF(COUNTIFS(exp_year,C390,exp_month,D390,exp_item,E390,exp_status,"&lt;&gt;❌ Отменено")&gt;0,1,0))</f>
        <v/>
      </c>
    </row>
    <row r="391">
      <c r="A391" s="52" t="n"/>
      <c r="B391" s="53">
        <f>IF(A391="","",CHOOSE(WEEKDAY(A391,2),"Пн","Вт","Ср","Чт","Пт","Сб","Вс"))</f>
        <v/>
      </c>
      <c r="C391" s="53">
        <f>IF(A391="","",YEAR(A391))</f>
        <v/>
      </c>
      <c r="D391" s="54">
        <f>IF(A391="","",INDEX(lst_months,MONTH(A391)))</f>
        <v/>
      </c>
      <c r="E391" s="55" t="n"/>
      <c r="F391" s="54">
        <f>IF(E391="","",IFERROR(IF(INDEX(lst_exp_item_cat,MATCH(E391,lst_exp_items,0))="","❔ Без категории",INDEX(lst_exp_item_cat,MATCH(E391,lst_exp_items,0))),"❔ Без категории"))</f>
        <v/>
      </c>
      <c r="G391" s="43" t="n"/>
      <c r="H391" s="56" t="n"/>
      <c r="I391" s="43" t="n"/>
      <c r="J391" s="57">
        <f>IF(OR(A391="",H391=""),"",IF(COUNTIFS(exp_year,C391,exp_month,D391,exp_item,E391,exp_status,"&lt;&gt;❌ Отменено")&gt;0,1,0))</f>
        <v/>
      </c>
    </row>
    <row r="392">
      <c r="A392" s="52" t="n"/>
      <c r="B392" s="53">
        <f>IF(A392="","",CHOOSE(WEEKDAY(A392,2),"Пн","Вт","Ср","Чт","Пт","Сб","Вс"))</f>
        <v/>
      </c>
      <c r="C392" s="53">
        <f>IF(A392="","",YEAR(A392))</f>
        <v/>
      </c>
      <c r="D392" s="54">
        <f>IF(A392="","",INDEX(lst_months,MONTH(A392)))</f>
        <v/>
      </c>
      <c r="E392" s="55" t="n"/>
      <c r="F392" s="54">
        <f>IF(E392="","",IFERROR(IF(INDEX(lst_exp_item_cat,MATCH(E392,lst_exp_items,0))="","❔ Без категории",INDEX(lst_exp_item_cat,MATCH(E392,lst_exp_items,0))),"❔ Без категории"))</f>
        <v/>
      </c>
      <c r="G392" s="43" t="n"/>
      <c r="H392" s="56" t="n"/>
      <c r="I392" s="43" t="n"/>
      <c r="J392" s="57">
        <f>IF(OR(A392="",H392=""),"",IF(COUNTIFS(exp_year,C392,exp_month,D392,exp_item,E392,exp_status,"&lt;&gt;❌ Отменено")&gt;0,1,0))</f>
        <v/>
      </c>
    </row>
    <row r="393">
      <c r="A393" s="52" t="n"/>
      <c r="B393" s="53">
        <f>IF(A393="","",CHOOSE(WEEKDAY(A393,2),"Пн","Вт","Ср","Чт","Пт","Сб","Вс"))</f>
        <v/>
      </c>
      <c r="C393" s="53">
        <f>IF(A393="","",YEAR(A393))</f>
        <v/>
      </c>
      <c r="D393" s="54">
        <f>IF(A393="","",INDEX(lst_months,MONTH(A393)))</f>
        <v/>
      </c>
      <c r="E393" s="55" t="n"/>
      <c r="F393" s="54">
        <f>IF(E393="","",IFERROR(IF(INDEX(lst_exp_item_cat,MATCH(E393,lst_exp_items,0))="","❔ Без категории",INDEX(lst_exp_item_cat,MATCH(E393,lst_exp_items,0))),"❔ Без категории"))</f>
        <v/>
      </c>
      <c r="G393" s="43" t="n"/>
      <c r="H393" s="56" t="n"/>
      <c r="I393" s="43" t="n"/>
      <c r="J393" s="57">
        <f>IF(OR(A393="",H393=""),"",IF(COUNTIFS(exp_year,C393,exp_month,D393,exp_item,E393,exp_status,"&lt;&gt;❌ Отменено")&gt;0,1,0))</f>
        <v/>
      </c>
    </row>
    <row r="394">
      <c r="A394" s="52" t="n"/>
      <c r="B394" s="53">
        <f>IF(A394="","",CHOOSE(WEEKDAY(A394,2),"Пн","Вт","Ср","Чт","Пт","Сб","Вс"))</f>
        <v/>
      </c>
      <c r="C394" s="53">
        <f>IF(A394="","",YEAR(A394))</f>
        <v/>
      </c>
      <c r="D394" s="54">
        <f>IF(A394="","",INDEX(lst_months,MONTH(A394)))</f>
        <v/>
      </c>
      <c r="E394" s="55" t="n"/>
      <c r="F394" s="54">
        <f>IF(E394="","",IFERROR(IF(INDEX(lst_exp_item_cat,MATCH(E394,lst_exp_items,0))="","❔ Без категории",INDEX(lst_exp_item_cat,MATCH(E394,lst_exp_items,0))),"❔ Без категории"))</f>
        <v/>
      </c>
      <c r="G394" s="43" t="n"/>
      <c r="H394" s="56" t="n"/>
      <c r="I394" s="43" t="n"/>
      <c r="J394" s="57">
        <f>IF(OR(A394="",H394=""),"",IF(COUNTIFS(exp_year,C394,exp_month,D394,exp_item,E394,exp_status,"&lt;&gt;❌ Отменено")&gt;0,1,0))</f>
        <v/>
      </c>
    </row>
    <row r="395">
      <c r="A395" s="52" t="n"/>
      <c r="B395" s="53">
        <f>IF(A395="","",CHOOSE(WEEKDAY(A395,2),"Пн","Вт","Ср","Чт","Пт","Сб","Вс"))</f>
        <v/>
      </c>
      <c r="C395" s="53">
        <f>IF(A395="","",YEAR(A395))</f>
        <v/>
      </c>
      <c r="D395" s="54">
        <f>IF(A395="","",INDEX(lst_months,MONTH(A395)))</f>
        <v/>
      </c>
      <c r="E395" s="55" t="n"/>
      <c r="F395" s="54">
        <f>IF(E395="","",IFERROR(IF(INDEX(lst_exp_item_cat,MATCH(E395,lst_exp_items,0))="","❔ Без категории",INDEX(lst_exp_item_cat,MATCH(E395,lst_exp_items,0))),"❔ Без категории"))</f>
        <v/>
      </c>
      <c r="G395" s="43" t="n"/>
      <c r="H395" s="56" t="n"/>
      <c r="I395" s="43" t="n"/>
      <c r="J395" s="57">
        <f>IF(OR(A395="",H395=""),"",IF(COUNTIFS(exp_year,C395,exp_month,D395,exp_item,E395,exp_status,"&lt;&gt;❌ Отменено")&gt;0,1,0))</f>
        <v/>
      </c>
    </row>
    <row r="396">
      <c r="A396" s="52" t="n"/>
      <c r="B396" s="53">
        <f>IF(A396="","",CHOOSE(WEEKDAY(A396,2),"Пн","Вт","Ср","Чт","Пт","Сб","Вс"))</f>
        <v/>
      </c>
      <c r="C396" s="53">
        <f>IF(A396="","",YEAR(A396))</f>
        <v/>
      </c>
      <c r="D396" s="54">
        <f>IF(A396="","",INDEX(lst_months,MONTH(A396)))</f>
        <v/>
      </c>
      <c r="E396" s="55" t="n"/>
      <c r="F396" s="54">
        <f>IF(E396="","",IFERROR(IF(INDEX(lst_exp_item_cat,MATCH(E396,lst_exp_items,0))="","❔ Без категории",INDEX(lst_exp_item_cat,MATCH(E396,lst_exp_items,0))),"❔ Без категории"))</f>
        <v/>
      </c>
      <c r="G396" s="43" t="n"/>
      <c r="H396" s="56" t="n"/>
      <c r="I396" s="43" t="n"/>
      <c r="J396" s="57">
        <f>IF(OR(A396="",H396=""),"",IF(COUNTIFS(exp_year,C396,exp_month,D396,exp_item,E396,exp_status,"&lt;&gt;❌ Отменено")&gt;0,1,0))</f>
        <v/>
      </c>
    </row>
    <row r="397">
      <c r="A397" s="52" t="n"/>
      <c r="B397" s="53">
        <f>IF(A397="","",CHOOSE(WEEKDAY(A397,2),"Пн","Вт","Ср","Чт","Пт","Сб","Вс"))</f>
        <v/>
      </c>
      <c r="C397" s="53">
        <f>IF(A397="","",YEAR(A397))</f>
        <v/>
      </c>
      <c r="D397" s="54">
        <f>IF(A397="","",INDEX(lst_months,MONTH(A397)))</f>
        <v/>
      </c>
      <c r="E397" s="55" t="n"/>
      <c r="F397" s="54">
        <f>IF(E397="","",IFERROR(IF(INDEX(lst_exp_item_cat,MATCH(E397,lst_exp_items,0))="","❔ Без категории",INDEX(lst_exp_item_cat,MATCH(E397,lst_exp_items,0))),"❔ Без категории"))</f>
        <v/>
      </c>
      <c r="G397" s="43" t="n"/>
      <c r="H397" s="56" t="n"/>
      <c r="I397" s="43" t="n"/>
      <c r="J397" s="57">
        <f>IF(OR(A397="",H397=""),"",IF(COUNTIFS(exp_year,C397,exp_month,D397,exp_item,E397,exp_status,"&lt;&gt;❌ Отменено")&gt;0,1,0))</f>
        <v/>
      </c>
    </row>
    <row r="398">
      <c r="A398" s="52" t="n"/>
      <c r="B398" s="53">
        <f>IF(A398="","",CHOOSE(WEEKDAY(A398,2),"Пн","Вт","Ср","Чт","Пт","Сб","Вс"))</f>
        <v/>
      </c>
      <c r="C398" s="53">
        <f>IF(A398="","",YEAR(A398))</f>
        <v/>
      </c>
      <c r="D398" s="54">
        <f>IF(A398="","",INDEX(lst_months,MONTH(A398)))</f>
        <v/>
      </c>
      <c r="E398" s="55" t="n"/>
      <c r="F398" s="54">
        <f>IF(E398="","",IFERROR(IF(INDEX(lst_exp_item_cat,MATCH(E398,lst_exp_items,0))="","❔ Без категории",INDEX(lst_exp_item_cat,MATCH(E398,lst_exp_items,0))),"❔ Без категории"))</f>
        <v/>
      </c>
      <c r="G398" s="43" t="n"/>
      <c r="H398" s="56" t="n"/>
      <c r="I398" s="43" t="n"/>
      <c r="J398" s="57">
        <f>IF(OR(A398="",H398=""),"",IF(COUNTIFS(exp_year,C398,exp_month,D398,exp_item,E398,exp_status,"&lt;&gt;❌ Отменено")&gt;0,1,0))</f>
        <v/>
      </c>
    </row>
    <row r="399">
      <c r="A399" s="52" t="n"/>
      <c r="B399" s="53">
        <f>IF(A399="","",CHOOSE(WEEKDAY(A399,2),"Пн","Вт","Ср","Чт","Пт","Сб","Вс"))</f>
        <v/>
      </c>
      <c r="C399" s="53">
        <f>IF(A399="","",YEAR(A399))</f>
        <v/>
      </c>
      <c r="D399" s="54">
        <f>IF(A399="","",INDEX(lst_months,MONTH(A399)))</f>
        <v/>
      </c>
      <c r="E399" s="55" t="n"/>
      <c r="F399" s="54">
        <f>IF(E399="","",IFERROR(IF(INDEX(lst_exp_item_cat,MATCH(E399,lst_exp_items,0))="","❔ Без категории",INDEX(lst_exp_item_cat,MATCH(E399,lst_exp_items,0))),"❔ Без категории"))</f>
        <v/>
      </c>
      <c r="G399" s="43" t="n"/>
      <c r="H399" s="56" t="n"/>
      <c r="I399" s="43" t="n"/>
      <c r="J399" s="57">
        <f>IF(OR(A399="",H399=""),"",IF(COUNTIFS(exp_year,C399,exp_month,D399,exp_item,E399,exp_status,"&lt;&gt;❌ Отменено")&gt;0,1,0))</f>
        <v/>
      </c>
    </row>
    <row r="400">
      <c r="A400" s="52" t="n"/>
      <c r="B400" s="53">
        <f>IF(A400="","",CHOOSE(WEEKDAY(A400,2),"Пн","Вт","Ср","Чт","Пт","Сб","Вс"))</f>
        <v/>
      </c>
      <c r="C400" s="53">
        <f>IF(A400="","",YEAR(A400))</f>
        <v/>
      </c>
      <c r="D400" s="54">
        <f>IF(A400="","",INDEX(lst_months,MONTH(A400)))</f>
        <v/>
      </c>
      <c r="E400" s="55" t="n"/>
      <c r="F400" s="54">
        <f>IF(E400="","",IFERROR(IF(INDEX(lst_exp_item_cat,MATCH(E400,lst_exp_items,0))="","❔ Без категории",INDEX(lst_exp_item_cat,MATCH(E400,lst_exp_items,0))),"❔ Без категории"))</f>
        <v/>
      </c>
      <c r="G400" s="43" t="n"/>
      <c r="H400" s="56" t="n"/>
      <c r="I400" s="43" t="n"/>
      <c r="J400" s="57">
        <f>IF(OR(A400="",H400=""),"",IF(COUNTIFS(exp_year,C400,exp_month,D400,exp_item,E400,exp_status,"&lt;&gt;❌ Отменено")&gt;0,1,0))</f>
        <v/>
      </c>
    </row>
    <row r="401">
      <c r="A401" s="52" t="n"/>
      <c r="B401" s="53">
        <f>IF(A401="","",CHOOSE(WEEKDAY(A401,2),"Пн","Вт","Ср","Чт","Пт","Сб","Вс"))</f>
        <v/>
      </c>
      <c r="C401" s="53">
        <f>IF(A401="","",YEAR(A401))</f>
        <v/>
      </c>
      <c r="D401" s="54">
        <f>IF(A401="","",INDEX(lst_months,MONTH(A401)))</f>
        <v/>
      </c>
      <c r="E401" s="55" t="n"/>
      <c r="F401" s="54">
        <f>IF(E401="","",IFERROR(IF(INDEX(lst_exp_item_cat,MATCH(E401,lst_exp_items,0))="","❔ Без категории",INDEX(lst_exp_item_cat,MATCH(E401,lst_exp_items,0))),"❔ Без категории"))</f>
        <v/>
      </c>
      <c r="G401" s="43" t="n"/>
      <c r="H401" s="56" t="n"/>
      <c r="I401" s="43" t="n"/>
      <c r="J401" s="57">
        <f>IF(OR(A401="",H401=""),"",IF(COUNTIFS(exp_year,C401,exp_month,D401,exp_item,E401,exp_status,"&lt;&gt;❌ Отменено")&gt;0,1,0))</f>
        <v/>
      </c>
    </row>
    <row r="402">
      <c r="A402" s="52" t="n"/>
      <c r="B402" s="53">
        <f>IF(A402="","",CHOOSE(WEEKDAY(A402,2),"Пн","Вт","Ср","Чт","Пт","Сб","Вс"))</f>
        <v/>
      </c>
      <c r="C402" s="53">
        <f>IF(A402="","",YEAR(A402))</f>
        <v/>
      </c>
      <c r="D402" s="54">
        <f>IF(A402="","",INDEX(lst_months,MONTH(A402)))</f>
        <v/>
      </c>
      <c r="E402" s="55" t="n"/>
      <c r="F402" s="54">
        <f>IF(E402="","",IFERROR(IF(INDEX(lst_exp_item_cat,MATCH(E402,lst_exp_items,0))="","❔ Без категории",INDEX(lst_exp_item_cat,MATCH(E402,lst_exp_items,0))),"❔ Без категории"))</f>
        <v/>
      </c>
      <c r="G402" s="43" t="n"/>
      <c r="H402" s="56" t="n"/>
      <c r="I402" s="43" t="n"/>
      <c r="J402" s="57">
        <f>IF(OR(A402="",H402=""),"",IF(COUNTIFS(exp_year,C402,exp_month,D402,exp_item,E402,exp_status,"&lt;&gt;❌ Отменено")&gt;0,1,0))</f>
        <v/>
      </c>
    </row>
    <row r="403">
      <c r="A403" s="52" t="n"/>
      <c r="B403" s="53">
        <f>IF(A403="","",CHOOSE(WEEKDAY(A403,2),"Пн","Вт","Ср","Чт","Пт","Сб","Вс"))</f>
        <v/>
      </c>
      <c r="C403" s="53">
        <f>IF(A403="","",YEAR(A403))</f>
        <v/>
      </c>
      <c r="D403" s="54">
        <f>IF(A403="","",INDEX(lst_months,MONTH(A403)))</f>
        <v/>
      </c>
      <c r="E403" s="55" t="n"/>
      <c r="F403" s="54">
        <f>IF(E403="","",IFERROR(IF(INDEX(lst_exp_item_cat,MATCH(E403,lst_exp_items,0))="","❔ Без категории",INDEX(lst_exp_item_cat,MATCH(E403,lst_exp_items,0))),"❔ Без категории"))</f>
        <v/>
      </c>
      <c r="G403" s="43" t="n"/>
      <c r="H403" s="56" t="n"/>
      <c r="I403" s="43" t="n"/>
      <c r="J403" s="57">
        <f>IF(OR(A403="",H403=""),"",IF(COUNTIFS(exp_year,C403,exp_month,D403,exp_item,E403,exp_status,"&lt;&gt;❌ Отменено")&gt;0,1,0))</f>
        <v/>
      </c>
    </row>
    <row r="404">
      <c r="A404" s="52" t="n"/>
      <c r="B404" s="53">
        <f>IF(A404="","",CHOOSE(WEEKDAY(A404,2),"Пн","Вт","Ср","Чт","Пт","Сб","Вс"))</f>
        <v/>
      </c>
      <c r="C404" s="53">
        <f>IF(A404="","",YEAR(A404))</f>
        <v/>
      </c>
      <c r="D404" s="54">
        <f>IF(A404="","",INDEX(lst_months,MONTH(A404)))</f>
        <v/>
      </c>
      <c r="E404" s="55" t="n"/>
      <c r="F404" s="54">
        <f>IF(E404="","",IFERROR(IF(INDEX(lst_exp_item_cat,MATCH(E404,lst_exp_items,0))="","❔ Без категории",INDEX(lst_exp_item_cat,MATCH(E404,lst_exp_items,0))),"❔ Без категории"))</f>
        <v/>
      </c>
      <c r="G404" s="43" t="n"/>
      <c r="H404" s="56" t="n"/>
      <c r="I404" s="43" t="n"/>
      <c r="J404" s="57">
        <f>IF(OR(A404="",H404=""),"",IF(COUNTIFS(exp_year,C404,exp_month,D404,exp_item,E404,exp_status,"&lt;&gt;❌ Отменено")&gt;0,1,0))</f>
        <v/>
      </c>
    </row>
    <row r="405">
      <c r="A405" s="52" t="n"/>
      <c r="B405" s="53">
        <f>IF(A405="","",CHOOSE(WEEKDAY(A405,2),"Пн","Вт","Ср","Чт","Пт","Сб","Вс"))</f>
        <v/>
      </c>
      <c r="C405" s="53">
        <f>IF(A405="","",YEAR(A405))</f>
        <v/>
      </c>
      <c r="D405" s="54">
        <f>IF(A405="","",INDEX(lst_months,MONTH(A405)))</f>
        <v/>
      </c>
      <c r="E405" s="55" t="n"/>
      <c r="F405" s="54">
        <f>IF(E405="","",IFERROR(IF(INDEX(lst_exp_item_cat,MATCH(E405,lst_exp_items,0))="","❔ Без категории",INDEX(lst_exp_item_cat,MATCH(E405,lst_exp_items,0))),"❔ Без категории"))</f>
        <v/>
      </c>
      <c r="G405" s="43" t="n"/>
      <c r="H405" s="56" t="n"/>
      <c r="I405" s="43" t="n"/>
      <c r="J405" s="57">
        <f>IF(OR(A405="",H405=""),"",IF(COUNTIFS(exp_year,C405,exp_month,D405,exp_item,E405,exp_status,"&lt;&gt;❌ Отменено")&gt;0,1,0))</f>
        <v/>
      </c>
    </row>
    <row r="406">
      <c r="A406" s="52" t="n"/>
      <c r="B406" s="53">
        <f>IF(A406="","",CHOOSE(WEEKDAY(A406,2),"Пн","Вт","Ср","Чт","Пт","Сб","Вс"))</f>
        <v/>
      </c>
      <c r="C406" s="53">
        <f>IF(A406="","",YEAR(A406))</f>
        <v/>
      </c>
      <c r="D406" s="54">
        <f>IF(A406="","",INDEX(lst_months,MONTH(A406)))</f>
        <v/>
      </c>
      <c r="E406" s="55" t="n"/>
      <c r="F406" s="54">
        <f>IF(E406="","",IFERROR(IF(INDEX(lst_exp_item_cat,MATCH(E406,lst_exp_items,0))="","❔ Без категории",INDEX(lst_exp_item_cat,MATCH(E406,lst_exp_items,0))),"❔ Без категории"))</f>
        <v/>
      </c>
      <c r="G406" s="43" t="n"/>
      <c r="H406" s="56" t="n"/>
      <c r="I406" s="43" t="n"/>
      <c r="J406" s="57">
        <f>IF(OR(A406="",H406=""),"",IF(COUNTIFS(exp_year,C406,exp_month,D406,exp_item,E406,exp_status,"&lt;&gt;❌ Отменено")&gt;0,1,0))</f>
        <v/>
      </c>
    </row>
    <row r="407">
      <c r="A407" s="52" t="n"/>
      <c r="B407" s="53">
        <f>IF(A407="","",CHOOSE(WEEKDAY(A407,2),"Пн","Вт","Ср","Чт","Пт","Сб","Вс"))</f>
        <v/>
      </c>
      <c r="C407" s="53">
        <f>IF(A407="","",YEAR(A407))</f>
        <v/>
      </c>
      <c r="D407" s="54">
        <f>IF(A407="","",INDEX(lst_months,MONTH(A407)))</f>
        <v/>
      </c>
      <c r="E407" s="55" t="n"/>
      <c r="F407" s="54">
        <f>IF(E407="","",IFERROR(IF(INDEX(lst_exp_item_cat,MATCH(E407,lst_exp_items,0))="","❔ Без категории",INDEX(lst_exp_item_cat,MATCH(E407,lst_exp_items,0))),"❔ Без категории"))</f>
        <v/>
      </c>
      <c r="G407" s="43" t="n"/>
      <c r="H407" s="56" t="n"/>
      <c r="I407" s="43" t="n"/>
      <c r="J407" s="57">
        <f>IF(OR(A407="",H407=""),"",IF(COUNTIFS(exp_year,C407,exp_month,D407,exp_item,E407,exp_status,"&lt;&gt;❌ Отменено")&gt;0,1,0))</f>
        <v/>
      </c>
    </row>
    <row r="408">
      <c r="A408" s="52" t="n"/>
      <c r="B408" s="53">
        <f>IF(A408="","",CHOOSE(WEEKDAY(A408,2),"Пн","Вт","Ср","Чт","Пт","Сб","Вс"))</f>
        <v/>
      </c>
      <c r="C408" s="53">
        <f>IF(A408="","",YEAR(A408))</f>
        <v/>
      </c>
      <c r="D408" s="54">
        <f>IF(A408="","",INDEX(lst_months,MONTH(A408)))</f>
        <v/>
      </c>
      <c r="E408" s="55" t="n"/>
      <c r="F408" s="54">
        <f>IF(E408="","",IFERROR(IF(INDEX(lst_exp_item_cat,MATCH(E408,lst_exp_items,0))="","❔ Без категории",INDEX(lst_exp_item_cat,MATCH(E408,lst_exp_items,0))),"❔ Без категории"))</f>
        <v/>
      </c>
      <c r="G408" s="43" t="n"/>
      <c r="H408" s="56" t="n"/>
      <c r="I408" s="43" t="n"/>
      <c r="J408" s="57">
        <f>IF(OR(A408="",H408=""),"",IF(COUNTIFS(exp_year,C408,exp_month,D408,exp_item,E408,exp_status,"&lt;&gt;❌ Отменено")&gt;0,1,0))</f>
        <v/>
      </c>
    </row>
    <row r="409">
      <c r="A409" s="52" t="n"/>
      <c r="B409" s="53">
        <f>IF(A409="","",CHOOSE(WEEKDAY(A409,2),"Пн","Вт","Ср","Чт","Пт","Сб","Вс"))</f>
        <v/>
      </c>
      <c r="C409" s="53">
        <f>IF(A409="","",YEAR(A409))</f>
        <v/>
      </c>
      <c r="D409" s="54">
        <f>IF(A409="","",INDEX(lst_months,MONTH(A409)))</f>
        <v/>
      </c>
      <c r="E409" s="55" t="n"/>
      <c r="F409" s="54">
        <f>IF(E409="","",IFERROR(IF(INDEX(lst_exp_item_cat,MATCH(E409,lst_exp_items,0))="","❔ Без категории",INDEX(lst_exp_item_cat,MATCH(E409,lst_exp_items,0))),"❔ Без категории"))</f>
        <v/>
      </c>
      <c r="G409" s="43" t="n"/>
      <c r="H409" s="56" t="n"/>
      <c r="I409" s="43" t="n"/>
      <c r="J409" s="57">
        <f>IF(OR(A409="",H409=""),"",IF(COUNTIFS(exp_year,C409,exp_month,D409,exp_item,E409,exp_status,"&lt;&gt;❌ Отменено")&gt;0,1,0))</f>
        <v/>
      </c>
    </row>
    <row r="410">
      <c r="A410" s="52" t="n"/>
      <c r="B410" s="53">
        <f>IF(A410="","",CHOOSE(WEEKDAY(A410,2),"Пн","Вт","Ср","Чт","Пт","Сб","Вс"))</f>
        <v/>
      </c>
      <c r="C410" s="53">
        <f>IF(A410="","",YEAR(A410))</f>
        <v/>
      </c>
      <c r="D410" s="54">
        <f>IF(A410="","",INDEX(lst_months,MONTH(A410)))</f>
        <v/>
      </c>
      <c r="E410" s="55" t="n"/>
      <c r="F410" s="54">
        <f>IF(E410="","",IFERROR(IF(INDEX(lst_exp_item_cat,MATCH(E410,lst_exp_items,0))="","❔ Без категории",INDEX(lst_exp_item_cat,MATCH(E410,lst_exp_items,0))),"❔ Без категории"))</f>
        <v/>
      </c>
      <c r="G410" s="43" t="n"/>
      <c r="H410" s="56" t="n"/>
      <c r="I410" s="43" t="n"/>
      <c r="J410" s="57">
        <f>IF(OR(A410="",H410=""),"",IF(COUNTIFS(exp_year,C410,exp_month,D410,exp_item,E410,exp_status,"&lt;&gt;❌ Отменено")&gt;0,1,0))</f>
        <v/>
      </c>
    </row>
    <row r="411">
      <c r="A411" s="52" t="n"/>
      <c r="B411" s="53">
        <f>IF(A411="","",CHOOSE(WEEKDAY(A411,2),"Пн","Вт","Ср","Чт","Пт","Сб","Вс"))</f>
        <v/>
      </c>
      <c r="C411" s="53">
        <f>IF(A411="","",YEAR(A411))</f>
        <v/>
      </c>
      <c r="D411" s="54">
        <f>IF(A411="","",INDEX(lst_months,MONTH(A411)))</f>
        <v/>
      </c>
      <c r="E411" s="55" t="n"/>
      <c r="F411" s="54">
        <f>IF(E411="","",IFERROR(IF(INDEX(lst_exp_item_cat,MATCH(E411,lst_exp_items,0))="","❔ Без категории",INDEX(lst_exp_item_cat,MATCH(E411,lst_exp_items,0))),"❔ Без категории"))</f>
        <v/>
      </c>
      <c r="G411" s="43" t="n"/>
      <c r="H411" s="56" t="n"/>
      <c r="I411" s="43" t="n"/>
      <c r="J411" s="57">
        <f>IF(OR(A411="",H411=""),"",IF(COUNTIFS(exp_year,C411,exp_month,D411,exp_item,E411,exp_status,"&lt;&gt;❌ Отменено")&gt;0,1,0))</f>
        <v/>
      </c>
    </row>
    <row r="412">
      <c r="A412" s="52" t="n"/>
      <c r="B412" s="53">
        <f>IF(A412="","",CHOOSE(WEEKDAY(A412,2),"Пн","Вт","Ср","Чт","Пт","Сб","Вс"))</f>
        <v/>
      </c>
      <c r="C412" s="53">
        <f>IF(A412="","",YEAR(A412))</f>
        <v/>
      </c>
      <c r="D412" s="54">
        <f>IF(A412="","",INDEX(lst_months,MONTH(A412)))</f>
        <v/>
      </c>
      <c r="E412" s="55" t="n"/>
      <c r="F412" s="54">
        <f>IF(E412="","",IFERROR(IF(INDEX(lst_exp_item_cat,MATCH(E412,lst_exp_items,0))="","❔ Без категории",INDEX(lst_exp_item_cat,MATCH(E412,lst_exp_items,0))),"❔ Без категории"))</f>
        <v/>
      </c>
      <c r="G412" s="43" t="n"/>
      <c r="H412" s="56" t="n"/>
      <c r="I412" s="43" t="n"/>
      <c r="J412" s="57">
        <f>IF(OR(A412="",H412=""),"",IF(COUNTIFS(exp_year,C412,exp_month,D412,exp_item,E412,exp_status,"&lt;&gt;❌ Отменено")&gt;0,1,0))</f>
        <v/>
      </c>
    </row>
    <row r="413">
      <c r="A413" s="52" t="n"/>
      <c r="B413" s="53">
        <f>IF(A413="","",CHOOSE(WEEKDAY(A413,2),"Пн","Вт","Ср","Чт","Пт","Сб","Вс"))</f>
        <v/>
      </c>
      <c r="C413" s="53">
        <f>IF(A413="","",YEAR(A413))</f>
        <v/>
      </c>
      <c r="D413" s="54">
        <f>IF(A413="","",INDEX(lst_months,MONTH(A413)))</f>
        <v/>
      </c>
      <c r="E413" s="55" t="n"/>
      <c r="F413" s="54">
        <f>IF(E413="","",IFERROR(IF(INDEX(lst_exp_item_cat,MATCH(E413,lst_exp_items,0))="","❔ Без категории",INDEX(lst_exp_item_cat,MATCH(E413,lst_exp_items,0))),"❔ Без категории"))</f>
        <v/>
      </c>
      <c r="G413" s="43" t="n"/>
      <c r="H413" s="56" t="n"/>
      <c r="I413" s="43" t="n"/>
      <c r="J413" s="57">
        <f>IF(OR(A413="",H413=""),"",IF(COUNTIFS(exp_year,C413,exp_month,D413,exp_item,E413,exp_status,"&lt;&gt;❌ Отменено")&gt;0,1,0))</f>
        <v/>
      </c>
    </row>
    <row r="414">
      <c r="A414" s="52" t="n"/>
      <c r="B414" s="53">
        <f>IF(A414="","",CHOOSE(WEEKDAY(A414,2),"Пн","Вт","Ср","Чт","Пт","Сб","Вс"))</f>
        <v/>
      </c>
      <c r="C414" s="53">
        <f>IF(A414="","",YEAR(A414))</f>
        <v/>
      </c>
      <c r="D414" s="54">
        <f>IF(A414="","",INDEX(lst_months,MONTH(A414)))</f>
        <v/>
      </c>
      <c r="E414" s="55" t="n"/>
      <c r="F414" s="54">
        <f>IF(E414="","",IFERROR(IF(INDEX(lst_exp_item_cat,MATCH(E414,lst_exp_items,0))="","❔ Без категории",INDEX(lst_exp_item_cat,MATCH(E414,lst_exp_items,0))),"❔ Без категории"))</f>
        <v/>
      </c>
      <c r="G414" s="43" t="n"/>
      <c r="H414" s="56" t="n"/>
      <c r="I414" s="43" t="n"/>
      <c r="J414" s="57">
        <f>IF(OR(A414="",H414=""),"",IF(COUNTIFS(exp_year,C414,exp_month,D414,exp_item,E414,exp_status,"&lt;&gt;❌ Отменено")&gt;0,1,0))</f>
        <v/>
      </c>
    </row>
    <row r="415">
      <c r="A415" s="52" t="n"/>
      <c r="B415" s="53">
        <f>IF(A415="","",CHOOSE(WEEKDAY(A415,2),"Пн","Вт","Ср","Чт","Пт","Сб","Вс"))</f>
        <v/>
      </c>
      <c r="C415" s="53">
        <f>IF(A415="","",YEAR(A415))</f>
        <v/>
      </c>
      <c r="D415" s="54">
        <f>IF(A415="","",INDEX(lst_months,MONTH(A415)))</f>
        <v/>
      </c>
      <c r="E415" s="55" t="n"/>
      <c r="F415" s="54">
        <f>IF(E415="","",IFERROR(IF(INDEX(lst_exp_item_cat,MATCH(E415,lst_exp_items,0))="","❔ Без категории",INDEX(lst_exp_item_cat,MATCH(E415,lst_exp_items,0))),"❔ Без категории"))</f>
        <v/>
      </c>
      <c r="G415" s="43" t="n"/>
      <c r="H415" s="56" t="n"/>
      <c r="I415" s="43" t="n"/>
      <c r="J415" s="57">
        <f>IF(OR(A415="",H415=""),"",IF(COUNTIFS(exp_year,C415,exp_month,D415,exp_item,E415,exp_status,"&lt;&gt;❌ Отменено")&gt;0,1,0))</f>
        <v/>
      </c>
    </row>
    <row r="416">
      <c r="A416" s="52" t="n"/>
      <c r="B416" s="53">
        <f>IF(A416="","",CHOOSE(WEEKDAY(A416,2),"Пн","Вт","Ср","Чт","Пт","Сб","Вс"))</f>
        <v/>
      </c>
      <c r="C416" s="53">
        <f>IF(A416="","",YEAR(A416))</f>
        <v/>
      </c>
      <c r="D416" s="54">
        <f>IF(A416="","",INDEX(lst_months,MONTH(A416)))</f>
        <v/>
      </c>
      <c r="E416" s="55" t="n"/>
      <c r="F416" s="54">
        <f>IF(E416="","",IFERROR(IF(INDEX(lst_exp_item_cat,MATCH(E416,lst_exp_items,0))="","❔ Без категории",INDEX(lst_exp_item_cat,MATCH(E416,lst_exp_items,0))),"❔ Без категории"))</f>
        <v/>
      </c>
      <c r="G416" s="43" t="n"/>
      <c r="H416" s="56" t="n"/>
      <c r="I416" s="43" t="n"/>
      <c r="J416" s="57">
        <f>IF(OR(A416="",H416=""),"",IF(COUNTIFS(exp_year,C416,exp_month,D416,exp_item,E416,exp_status,"&lt;&gt;❌ Отменено")&gt;0,1,0))</f>
        <v/>
      </c>
    </row>
    <row r="417">
      <c r="A417" s="52" t="n"/>
      <c r="B417" s="53">
        <f>IF(A417="","",CHOOSE(WEEKDAY(A417,2),"Пн","Вт","Ср","Чт","Пт","Сб","Вс"))</f>
        <v/>
      </c>
      <c r="C417" s="53">
        <f>IF(A417="","",YEAR(A417))</f>
        <v/>
      </c>
      <c r="D417" s="54">
        <f>IF(A417="","",INDEX(lst_months,MONTH(A417)))</f>
        <v/>
      </c>
      <c r="E417" s="55" t="n"/>
      <c r="F417" s="54">
        <f>IF(E417="","",IFERROR(IF(INDEX(lst_exp_item_cat,MATCH(E417,lst_exp_items,0))="","❔ Без категории",INDEX(lst_exp_item_cat,MATCH(E417,lst_exp_items,0))),"❔ Без категории"))</f>
        <v/>
      </c>
      <c r="G417" s="43" t="n"/>
      <c r="H417" s="56" t="n"/>
      <c r="I417" s="43" t="n"/>
      <c r="J417" s="57">
        <f>IF(OR(A417="",H417=""),"",IF(COUNTIFS(exp_year,C417,exp_month,D417,exp_item,E417,exp_status,"&lt;&gt;❌ Отменено")&gt;0,1,0))</f>
        <v/>
      </c>
    </row>
    <row r="418">
      <c r="A418" s="52" t="n"/>
      <c r="B418" s="53">
        <f>IF(A418="","",CHOOSE(WEEKDAY(A418,2),"Пн","Вт","Ср","Чт","Пт","Сб","Вс"))</f>
        <v/>
      </c>
      <c r="C418" s="53">
        <f>IF(A418="","",YEAR(A418))</f>
        <v/>
      </c>
      <c r="D418" s="54">
        <f>IF(A418="","",INDEX(lst_months,MONTH(A418)))</f>
        <v/>
      </c>
      <c r="E418" s="55" t="n"/>
      <c r="F418" s="54">
        <f>IF(E418="","",IFERROR(IF(INDEX(lst_exp_item_cat,MATCH(E418,lst_exp_items,0))="","❔ Без категории",INDEX(lst_exp_item_cat,MATCH(E418,lst_exp_items,0))),"❔ Без категории"))</f>
        <v/>
      </c>
      <c r="G418" s="43" t="n"/>
      <c r="H418" s="56" t="n"/>
      <c r="I418" s="43" t="n"/>
      <c r="J418" s="57">
        <f>IF(OR(A418="",H418=""),"",IF(COUNTIFS(exp_year,C418,exp_month,D418,exp_item,E418,exp_status,"&lt;&gt;❌ Отменено")&gt;0,1,0))</f>
        <v/>
      </c>
    </row>
    <row r="419">
      <c r="A419" s="52" t="n"/>
      <c r="B419" s="53">
        <f>IF(A419="","",CHOOSE(WEEKDAY(A419,2),"Пн","Вт","Ср","Чт","Пт","Сб","Вс"))</f>
        <v/>
      </c>
      <c r="C419" s="53">
        <f>IF(A419="","",YEAR(A419))</f>
        <v/>
      </c>
      <c r="D419" s="54">
        <f>IF(A419="","",INDEX(lst_months,MONTH(A419)))</f>
        <v/>
      </c>
      <c r="E419" s="55" t="n"/>
      <c r="F419" s="54">
        <f>IF(E419="","",IFERROR(IF(INDEX(lst_exp_item_cat,MATCH(E419,lst_exp_items,0))="","❔ Без категории",INDEX(lst_exp_item_cat,MATCH(E419,lst_exp_items,0))),"❔ Без категории"))</f>
        <v/>
      </c>
      <c r="G419" s="43" t="n"/>
      <c r="H419" s="56" t="n"/>
      <c r="I419" s="43" t="n"/>
      <c r="J419" s="57">
        <f>IF(OR(A419="",H419=""),"",IF(COUNTIFS(exp_year,C419,exp_month,D419,exp_item,E419,exp_status,"&lt;&gt;❌ Отменено")&gt;0,1,0))</f>
        <v/>
      </c>
    </row>
    <row r="420">
      <c r="A420" s="52" t="n"/>
      <c r="B420" s="53">
        <f>IF(A420="","",CHOOSE(WEEKDAY(A420,2),"Пн","Вт","Ср","Чт","Пт","Сб","Вс"))</f>
        <v/>
      </c>
      <c r="C420" s="53">
        <f>IF(A420="","",YEAR(A420))</f>
        <v/>
      </c>
      <c r="D420" s="54">
        <f>IF(A420="","",INDEX(lst_months,MONTH(A420)))</f>
        <v/>
      </c>
      <c r="E420" s="55" t="n"/>
      <c r="F420" s="54">
        <f>IF(E420="","",IFERROR(IF(INDEX(lst_exp_item_cat,MATCH(E420,lst_exp_items,0))="","❔ Без категории",INDEX(lst_exp_item_cat,MATCH(E420,lst_exp_items,0))),"❔ Без категории"))</f>
        <v/>
      </c>
      <c r="G420" s="43" t="n"/>
      <c r="H420" s="56" t="n"/>
      <c r="I420" s="43" t="n"/>
      <c r="J420" s="57">
        <f>IF(OR(A420="",H420=""),"",IF(COUNTIFS(exp_year,C420,exp_month,D420,exp_item,E420,exp_status,"&lt;&gt;❌ Отменено")&gt;0,1,0))</f>
        <v/>
      </c>
    </row>
    <row r="421">
      <c r="A421" s="52" t="n"/>
      <c r="B421" s="53">
        <f>IF(A421="","",CHOOSE(WEEKDAY(A421,2),"Пн","Вт","Ср","Чт","Пт","Сб","Вс"))</f>
        <v/>
      </c>
      <c r="C421" s="53">
        <f>IF(A421="","",YEAR(A421))</f>
        <v/>
      </c>
      <c r="D421" s="54">
        <f>IF(A421="","",INDEX(lst_months,MONTH(A421)))</f>
        <v/>
      </c>
      <c r="E421" s="55" t="n"/>
      <c r="F421" s="54">
        <f>IF(E421="","",IFERROR(IF(INDEX(lst_exp_item_cat,MATCH(E421,lst_exp_items,0))="","❔ Без категории",INDEX(lst_exp_item_cat,MATCH(E421,lst_exp_items,0))),"❔ Без категории"))</f>
        <v/>
      </c>
      <c r="G421" s="43" t="n"/>
      <c r="H421" s="56" t="n"/>
      <c r="I421" s="43" t="n"/>
      <c r="J421" s="57">
        <f>IF(OR(A421="",H421=""),"",IF(COUNTIFS(exp_year,C421,exp_month,D421,exp_item,E421,exp_status,"&lt;&gt;❌ Отменено")&gt;0,1,0))</f>
        <v/>
      </c>
    </row>
    <row r="422">
      <c r="A422" s="52" t="n"/>
      <c r="B422" s="53">
        <f>IF(A422="","",CHOOSE(WEEKDAY(A422,2),"Пн","Вт","Ср","Чт","Пт","Сб","Вс"))</f>
        <v/>
      </c>
      <c r="C422" s="53">
        <f>IF(A422="","",YEAR(A422))</f>
        <v/>
      </c>
      <c r="D422" s="54">
        <f>IF(A422="","",INDEX(lst_months,MONTH(A422)))</f>
        <v/>
      </c>
      <c r="E422" s="55" t="n"/>
      <c r="F422" s="54">
        <f>IF(E422="","",IFERROR(IF(INDEX(lst_exp_item_cat,MATCH(E422,lst_exp_items,0))="","❔ Без категории",INDEX(lst_exp_item_cat,MATCH(E422,lst_exp_items,0))),"❔ Без категории"))</f>
        <v/>
      </c>
      <c r="G422" s="43" t="n"/>
      <c r="H422" s="56" t="n"/>
      <c r="I422" s="43" t="n"/>
      <c r="J422" s="57">
        <f>IF(OR(A422="",H422=""),"",IF(COUNTIFS(exp_year,C422,exp_month,D422,exp_item,E422,exp_status,"&lt;&gt;❌ Отменено")&gt;0,1,0))</f>
        <v/>
      </c>
    </row>
    <row r="423">
      <c r="A423" s="52" t="n"/>
      <c r="B423" s="53">
        <f>IF(A423="","",CHOOSE(WEEKDAY(A423,2),"Пн","Вт","Ср","Чт","Пт","Сб","Вс"))</f>
        <v/>
      </c>
      <c r="C423" s="53">
        <f>IF(A423="","",YEAR(A423))</f>
        <v/>
      </c>
      <c r="D423" s="54">
        <f>IF(A423="","",INDEX(lst_months,MONTH(A423)))</f>
        <v/>
      </c>
      <c r="E423" s="55" t="n"/>
      <c r="F423" s="54">
        <f>IF(E423="","",IFERROR(IF(INDEX(lst_exp_item_cat,MATCH(E423,lst_exp_items,0))="","❔ Без категории",INDEX(lst_exp_item_cat,MATCH(E423,lst_exp_items,0))),"❔ Без категории"))</f>
        <v/>
      </c>
      <c r="G423" s="43" t="n"/>
      <c r="H423" s="56" t="n"/>
      <c r="I423" s="43" t="n"/>
      <c r="J423" s="57">
        <f>IF(OR(A423="",H423=""),"",IF(COUNTIFS(exp_year,C423,exp_month,D423,exp_item,E423,exp_status,"&lt;&gt;❌ Отменено")&gt;0,1,0))</f>
        <v/>
      </c>
    </row>
    <row r="424">
      <c r="A424" s="52" t="n"/>
      <c r="B424" s="53">
        <f>IF(A424="","",CHOOSE(WEEKDAY(A424,2),"Пн","Вт","Ср","Чт","Пт","Сб","Вс"))</f>
        <v/>
      </c>
      <c r="C424" s="53">
        <f>IF(A424="","",YEAR(A424))</f>
        <v/>
      </c>
      <c r="D424" s="54">
        <f>IF(A424="","",INDEX(lst_months,MONTH(A424)))</f>
        <v/>
      </c>
      <c r="E424" s="55" t="n"/>
      <c r="F424" s="54">
        <f>IF(E424="","",IFERROR(IF(INDEX(lst_exp_item_cat,MATCH(E424,lst_exp_items,0))="","❔ Без категории",INDEX(lst_exp_item_cat,MATCH(E424,lst_exp_items,0))),"❔ Без категории"))</f>
        <v/>
      </c>
      <c r="G424" s="43" t="n"/>
      <c r="H424" s="56" t="n"/>
      <c r="I424" s="43" t="n"/>
      <c r="J424" s="57">
        <f>IF(OR(A424="",H424=""),"",IF(COUNTIFS(exp_year,C424,exp_month,D424,exp_item,E424,exp_status,"&lt;&gt;❌ Отменено")&gt;0,1,0))</f>
        <v/>
      </c>
    </row>
    <row r="425">
      <c r="A425" s="52" t="n"/>
      <c r="B425" s="53">
        <f>IF(A425="","",CHOOSE(WEEKDAY(A425,2),"Пн","Вт","Ср","Чт","Пт","Сб","Вс"))</f>
        <v/>
      </c>
      <c r="C425" s="53">
        <f>IF(A425="","",YEAR(A425))</f>
        <v/>
      </c>
      <c r="D425" s="54">
        <f>IF(A425="","",INDEX(lst_months,MONTH(A425)))</f>
        <v/>
      </c>
      <c r="E425" s="55" t="n"/>
      <c r="F425" s="54">
        <f>IF(E425="","",IFERROR(IF(INDEX(lst_exp_item_cat,MATCH(E425,lst_exp_items,0))="","❔ Без категории",INDEX(lst_exp_item_cat,MATCH(E425,lst_exp_items,0))),"❔ Без категории"))</f>
        <v/>
      </c>
      <c r="G425" s="43" t="n"/>
      <c r="H425" s="56" t="n"/>
      <c r="I425" s="43" t="n"/>
      <c r="J425" s="57">
        <f>IF(OR(A425="",H425=""),"",IF(COUNTIFS(exp_year,C425,exp_month,D425,exp_item,E425,exp_status,"&lt;&gt;❌ Отменено")&gt;0,1,0))</f>
        <v/>
      </c>
    </row>
    <row r="426">
      <c r="A426" s="52" t="n"/>
      <c r="B426" s="53">
        <f>IF(A426="","",CHOOSE(WEEKDAY(A426,2),"Пн","Вт","Ср","Чт","Пт","Сб","Вс"))</f>
        <v/>
      </c>
      <c r="C426" s="53">
        <f>IF(A426="","",YEAR(A426))</f>
        <v/>
      </c>
      <c r="D426" s="54">
        <f>IF(A426="","",INDEX(lst_months,MONTH(A426)))</f>
        <v/>
      </c>
      <c r="E426" s="55" t="n"/>
      <c r="F426" s="54">
        <f>IF(E426="","",IFERROR(IF(INDEX(lst_exp_item_cat,MATCH(E426,lst_exp_items,0))="","❔ Без категории",INDEX(lst_exp_item_cat,MATCH(E426,lst_exp_items,0))),"❔ Без категории"))</f>
        <v/>
      </c>
      <c r="G426" s="43" t="n"/>
      <c r="H426" s="56" t="n"/>
      <c r="I426" s="43" t="n"/>
      <c r="J426" s="57">
        <f>IF(OR(A426="",H426=""),"",IF(COUNTIFS(exp_year,C426,exp_month,D426,exp_item,E426,exp_status,"&lt;&gt;❌ Отменено")&gt;0,1,0))</f>
        <v/>
      </c>
    </row>
    <row r="427">
      <c r="A427" s="52" t="n"/>
      <c r="B427" s="53">
        <f>IF(A427="","",CHOOSE(WEEKDAY(A427,2),"Пн","Вт","Ср","Чт","Пт","Сб","Вс"))</f>
        <v/>
      </c>
      <c r="C427" s="53">
        <f>IF(A427="","",YEAR(A427))</f>
        <v/>
      </c>
      <c r="D427" s="54">
        <f>IF(A427="","",INDEX(lst_months,MONTH(A427)))</f>
        <v/>
      </c>
      <c r="E427" s="55" t="n"/>
      <c r="F427" s="54">
        <f>IF(E427="","",IFERROR(IF(INDEX(lst_exp_item_cat,MATCH(E427,lst_exp_items,0))="","❔ Без категории",INDEX(lst_exp_item_cat,MATCH(E427,lst_exp_items,0))),"❔ Без категории"))</f>
        <v/>
      </c>
      <c r="G427" s="43" t="n"/>
      <c r="H427" s="56" t="n"/>
      <c r="I427" s="43" t="n"/>
      <c r="J427" s="57">
        <f>IF(OR(A427="",H427=""),"",IF(COUNTIFS(exp_year,C427,exp_month,D427,exp_item,E427,exp_status,"&lt;&gt;❌ Отменено")&gt;0,1,0))</f>
        <v/>
      </c>
    </row>
    <row r="428">
      <c r="A428" s="52" t="n"/>
      <c r="B428" s="53">
        <f>IF(A428="","",CHOOSE(WEEKDAY(A428,2),"Пн","Вт","Ср","Чт","Пт","Сб","Вс"))</f>
        <v/>
      </c>
      <c r="C428" s="53">
        <f>IF(A428="","",YEAR(A428))</f>
        <v/>
      </c>
      <c r="D428" s="54">
        <f>IF(A428="","",INDEX(lst_months,MONTH(A428)))</f>
        <v/>
      </c>
      <c r="E428" s="55" t="n"/>
      <c r="F428" s="54">
        <f>IF(E428="","",IFERROR(IF(INDEX(lst_exp_item_cat,MATCH(E428,lst_exp_items,0))="","❔ Без категории",INDEX(lst_exp_item_cat,MATCH(E428,lst_exp_items,0))),"❔ Без категории"))</f>
        <v/>
      </c>
      <c r="G428" s="43" t="n"/>
      <c r="H428" s="56" t="n"/>
      <c r="I428" s="43" t="n"/>
      <c r="J428" s="57">
        <f>IF(OR(A428="",H428=""),"",IF(COUNTIFS(exp_year,C428,exp_month,D428,exp_item,E428,exp_status,"&lt;&gt;❌ Отменено")&gt;0,1,0))</f>
        <v/>
      </c>
    </row>
    <row r="429">
      <c r="A429" s="52" t="n"/>
      <c r="B429" s="53">
        <f>IF(A429="","",CHOOSE(WEEKDAY(A429,2),"Пн","Вт","Ср","Чт","Пт","Сб","Вс"))</f>
        <v/>
      </c>
      <c r="C429" s="53">
        <f>IF(A429="","",YEAR(A429))</f>
        <v/>
      </c>
      <c r="D429" s="54">
        <f>IF(A429="","",INDEX(lst_months,MONTH(A429)))</f>
        <v/>
      </c>
      <c r="E429" s="55" t="n"/>
      <c r="F429" s="54">
        <f>IF(E429="","",IFERROR(IF(INDEX(lst_exp_item_cat,MATCH(E429,lst_exp_items,0))="","❔ Без категории",INDEX(lst_exp_item_cat,MATCH(E429,lst_exp_items,0))),"❔ Без категории"))</f>
        <v/>
      </c>
      <c r="G429" s="43" t="n"/>
      <c r="H429" s="56" t="n"/>
      <c r="I429" s="43" t="n"/>
      <c r="J429" s="57">
        <f>IF(OR(A429="",H429=""),"",IF(COUNTIFS(exp_year,C429,exp_month,D429,exp_item,E429,exp_status,"&lt;&gt;❌ Отменено")&gt;0,1,0))</f>
        <v/>
      </c>
    </row>
    <row r="430">
      <c r="A430" s="52" t="n"/>
      <c r="B430" s="53">
        <f>IF(A430="","",CHOOSE(WEEKDAY(A430,2),"Пн","Вт","Ср","Чт","Пт","Сб","Вс"))</f>
        <v/>
      </c>
      <c r="C430" s="53">
        <f>IF(A430="","",YEAR(A430))</f>
        <v/>
      </c>
      <c r="D430" s="54">
        <f>IF(A430="","",INDEX(lst_months,MONTH(A430)))</f>
        <v/>
      </c>
      <c r="E430" s="55" t="n"/>
      <c r="F430" s="54">
        <f>IF(E430="","",IFERROR(IF(INDEX(lst_exp_item_cat,MATCH(E430,lst_exp_items,0))="","❔ Без категории",INDEX(lst_exp_item_cat,MATCH(E430,lst_exp_items,0))),"❔ Без категории"))</f>
        <v/>
      </c>
      <c r="G430" s="43" t="n"/>
      <c r="H430" s="56" t="n"/>
      <c r="I430" s="43" t="n"/>
      <c r="J430" s="57">
        <f>IF(OR(A430="",H430=""),"",IF(COUNTIFS(exp_year,C430,exp_month,D430,exp_item,E430,exp_status,"&lt;&gt;❌ Отменено")&gt;0,1,0))</f>
        <v/>
      </c>
    </row>
    <row r="431">
      <c r="A431" s="52" t="n"/>
      <c r="B431" s="53">
        <f>IF(A431="","",CHOOSE(WEEKDAY(A431,2),"Пн","Вт","Ср","Чт","Пт","Сб","Вс"))</f>
        <v/>
      </c>
      <c r="C431" s="53">
        <f>IF(A431="","",YEAR(A431))</f>
        <v/>
      </c>
      <c r="D431" s="54">
        <f>IF(A431="","",INDEX(lst_months,MONTH(A431)))</f>
        <v/>
      </c>
      <c r="E431" s="55" t="n"/>
      <c r="F431" s="54">
        <f>IF(E431="","",IFERROR(IF(INDEX(lst_exp_item_cat,MATCH(E431,lst_exp_items,0))="","❔ Без категории",INDEX(lst_exp_item_cat,MATCH(E431,lst_exp_items,0))),"❔ Без категории"))</f>
        <v/>
      </c>
      <c r="G431" s="43" t="n"/>
      <c r="H431" s="56" t="n"/>
      <c r="I431" s="43" t="n"/>
      <c r="J431" s="57">
        <f>IF(OR(A431="",H431=""),"",IF(COUNTIFS(exp_year,C431,exp_month,D431,exp_item,E431,exp_status,"&lt;&gt;❌ Отменено")&gt;0,1,0))</f>
        <v/>
      </c>
    </row>
    <row r="432">
      <c r="A432" s="52" t="n"/>
      <c r="B432" s="53">
        <f>IF(A432="","",CHOOSE(WEEKDAY(A432,2),"Пн","Вт","Ср","Чт","Пт","Сб","Вс"))</f>
        <v/>
      </c>
      <c r="C432" s="53">
        <f>IF(A432="","",YEAR(A432))</f>
        <v/>
      </c>
      <c r="D432" s="54">
        <f>IF(A432="","",INDEX(lst_months,MONTH(A432)))</f>
        <v/>
      </c>
      <c r="E432" s="55" t="n"/>
      <c r="F432" s="54">
        <f>IF(E432="","",IFERROR(IF(INDEX(lst_exp_item_cat,MATCH(E432,lst_exp_items,0))="","❔ Без категории",INDEX(lst_exp_item_cat,MATCH(E432,lst_exp_items,0))),"❔ Без категории"))</f>
        <v/>
      </c>
      <c r="G432" s="43" t="n"/>
      <c r="H432" s="56" t="n"/>
      <c r="I432" s="43" t="n"/>
      <c r="J432" s="57">
        <f>IF(OR(A432="",H432=""),"",IF(COUNTIFS(exp_year,C432,exp_month,D432,exp_item,E432,exp_status,"&lt;&gt;❌ Отменено")&gt;0,1,0))</f>
        <v/>
      </c>
    </row>
    <row r="433">
      <c r="A433" s="52" t="n"/>
      <c r="B433" s="53">
        <f>IF(A433="","",CHOOSE(WEEKDAY(A433,2),"Пн","Вт","Ср","Чт","Пт","Сб","Вс"))</f>
        <v/>
      </c>
      <c r="C433" s="53">
        <f>IF(A433="","",YEAR(A433))</f>
        <v/>
      </c>
      <c r="D433" s="54">
        <f>IF(A433="","",INDEX(lst_months,MONTH(A433)))</f>
        <v/>
      </c>
      <c r="E433" s="55" t="n"/>
      <c r="F433" s="54">
        <f>IF(E433="","",IFERROR(IF(INDEX(lst_exp_item_cat,MATCH(E433,lst_exp_items,0))="","❔ Без категории",INDEX(lst_exp_item_cat,MATCH(E433,lst_exp_items,0))),"❔ Без категории"))</f>
        <v/>
      </c>
      <c r="G433" s="43" t="n"/>
      <c r="H433" s="56" t="n"/>
      <c r="I433" s="43" t="n"/>
      <c r="J433" s="57">
        <f>IF(OR(A433="",H433=""),"",IF(COUNTIFS(exp_year,C433,exp_month,D433,exp_item,E433,exp_status,"&lt;&gt;❌ Отменено")&gt;0,1,0))</f>
        <v/>
      </c>
    </row>
    <row r="434">
      <c r="A434" s="52" t="n"/>
      <c r="B434" s="53">
        <f>IF(A434="","",CHOOSE(WEEKDAY(A434,2),"Пн","Вт","Ср","Чт","Пт","Сб","Вс"))</f>
        <v/>
      </c>
      <c r="C434" s="53">
        <f>IF(A434="","",YEAR(A434))</f>
        <v/>
      </c>
      <c r="D434" s="54">
        <f>IF(A434="","",INDEX(lst_months,MONTH(A434)))</f>
        <v/>
      </c>
      <c r="E434" s="55" t="n"/>
      <c r="F434" s="54">
        <f>IF(E434="","",IFERROR(IF(INDEX(lst_exp_item_cat,MATCH(E434,lst_exp_items,0))="","❔ Без категории",INDEX(lst_exp_item_cat,MATCH(E434,lst_exp_items,0))),"❔ Без категории"))</f>
        <v/>
      </c>
      <c r="G434" s="43" t="n"/>
      <c r="H434" s="56" t="n"/>
      <c r="I434" s="43" t="n"/>
      <c r="J434" s="57">
        <f>IF(OR(A434="",H434=""),"",IF(COUNTIFS(exp_year,C434,exp_month,D434,exp_item,E434,exp_status,"&lt;&gt;❌ Отменено")&gt;0,1,0))</f>
        <v/>
      </c>
    </row>
    <row r="435">
      <c r="A435" s="52" t="n"/>
      <c r="B435" s="53">
        <f>IF(A435="","",CHOOSE(WEEKDAY(A435,2),"Пн","Вт","Ср","Чт","Пт","Сб","Вс"))</f>
        <v/>
      </c>
      <c r="C435" s="53">
        <f>IF(A435="","",YEAR(A435))</f>
        <v/>
      </c>
      <c r="D435" s="54">
        <f>IF(A435="","",INDEX(lst_months,MONTH(A435)))</f>
        <v/>
      </c>
      <c r="E435" s="55" t="n"/>
      <c r="F435" s="54">
        <f>IF(E435="","",IFERROR(IF(INDEX(lst_exp_item_cat,MATCH(E435,lst_exp_items,0))="","❔ Без категории",INDEX(lst_exp_item_cat,MATCH(E435,lst_exp_items,0))),"❔ Без категории"))</f>
        <v/>
      </c>
      <c r="G435" s="43" t="n"/>
      <c r="H435" s="56" t="n"/>
      <c r="I435" s="43" t="n"/>
      <c r="J435" s="57">
        <f>IF(OR(A435="",H435=""),"",IF(COUNTIFS(exp_year,C435,exp_month,D435,exp_item,E435,exp_status,"&lt;&gt;❌ Отменено")&gt;0,1,0))</f>
        <v/>
      </c>
    </row>
    <row r="436">
      <c r="A436" s="52" t="n"/>
      <c r="B436" s="53">
        <f>IF(A436="","",CHOOSE(WEEKDAY(A436,2),"Пн","Вт","Ср","Чт","Пт","Сб","Вс"))</f>
        <v/>
      </c>
      <c r="C436" s="53">
        <f>IF(A436="","",YEAR(A436))</f>
        <v/>
      </c>
      <c r="D436" s="54">
        <f>IF(A436="","",INDEX(lst_months,MONTH(A436)))</f>
        <v/>
      </c>
      <c r="E436" s="55" t="n"/>
      <c r="F436" s="54">
        <f>IF(E436="","",IFERROR(IF(INDEX(lst_exp_item_cat,MATCH(E436,lst_exp_items,0))="","❔ Без категории",INDEX(lst_exp_item_cat,MATCH(E436,lst_exp_items,0))),"❔ Без категории"))</f>
        <v/>
      </c>
      <c r="G436" s="43" t="n"/>
      <c r="H436" s="56" t="n"/>
      <c r="I436" s="43" t="n"/>
      <c r="J436" s="57">
        <f>IF(OR(A436="",H436=""),"",IF(COUNTIFS(exp_year,C436,exp_month,D436,exp_item,E436,exp_status,"&lt;&gt;❌ Отменено")&gt;0,1,0))</f>
        <v/>
      </c>
    </row>
    <row r="437">
      <c r="A437" s="52" t="n"/>
      <c r="B437" s="53">
        <f>IF(A437="","",CHOOSE(WEEKDAY(A437,2),"Пн","Вт","Ср","Чт","Пт","Сб","Вс"))</f>
        <v/>
      </c>
      <c r="C437" s="53">
        <f>IF(A437="","",YEAR(A437))</f>
        <v/>
      </c>
      <c r="D437" s="54">
        <f>IF(A437="","",INDEX(lst_months,MONTH(A437)))</f>
        <v/>
      </c>
      <c r="E437" s="55" t="n"/>
      <c r="F437" s="54">
        <f>IF(E437="","",IFERROR(IF(INDEX(lst_exp_item_cat,MATCH(E437,lst_exp_items,0))="","❔ Без категории",INDEX(lst_exp_item_cat,MATCH(E437,lst_exp_items,0))),"❔ Без категории"))</f>
        <v/>
      </c>
      <c r="G437" s="43" t="n"/>
      <c r="H437" s="56" t="n"/>
      <c r="I437" s="43" t="n"/>
      <c r="J437" s="57">
        <f>IF(OR(A437="",H437=""),"",IF(COUNTIFS(exp_year,C437,exp_month,D437,exp_item,E437,exp_status,"&lt;&gt;❌ Отменено")&gt;0,1,0))</f>
        <v/>
      </c>
    </row>
    <row r="438">
      <c r="A438" s="52" t="n"/>
      <c r="B438" s="53">
        <f>IF(A438="","",CHOOSE(WEEKDAY(A438,2),"Пн","Вт","Ср","Чт","Пт","Сб","Вс"))</f>
        <v/>
      </c>
      <c r="C438" s="53">
        <f>IF(A438="","",YEAR(A438))</f>
        <v/>
      </c>
      <c r="D438" s="54">
        <f>IF(A438="","",INDEX(lst_months,MONTH(A438)))</f>
        <v/>
      </c>
      <c r="E438" s="55" t="n"/>
      <c r="F438" s="54">
        <f>IF(E438="","",IFERROR(IF(INDEX(lst_exp_item_cat,MATCH(E438,lst_exp_items,0))="","❔ Без категории",INDEX(lst_exp_item_cat,MATCH(E438,lst_exp_items,0))),"❔ Без категории"))</f>
        <v/>
      </c>
      <c r="G438" s="43" t="n"/>
      <c r="H438" s="56" t="n"/>
      <c r="I438" s="43" t="n"/>
      <c r="J438" s="57">
        <f>IF(OR(A438="",H438=""),"",IF(COUNTIFS(exp_year,C438,exp_month,D438,exp_item,E438,exp_status,"&lt;&gt;❌ Отменено")&gt;0,1,0))</f>
        <v/>
      </c>
    </row>
    <row r="439">
      <c r="A439" s="52" t="n"/>
      <c r="B439" s="53">
        <f>IF(A439="","",CHOOSE(WEEKDAY(A439,2),"Пн","Вт","Ср","Чт","Пт","Сб","Вс"))</f>
        <v/>
      </c>
      <c r="C439" s="53">
        <f>IF(A439="","",YEAR(A439))</f>
        <v/>
      </c>
      <c r="D439" s="54">
        <f>IF(A439="","",INDEX(lst_months,MONTH(A439)))</f>
        <v/>
      </c>
      <c r="E439" s="55" t="n"/>
      <c r="F439" s="54">
        <f>IF(E439="","",IFERROR(IF(INDEX(lst_exp_item_cat,MATCH(E439,lst_exp_items,0))="","❔ Без категории",INDEX(lst_exp_item_cat,MATCH(E439,lst_exp_items,0))),"❔ Без категории"))</f>
        <v/>
      </c>
      <c r="G439" s="43" t="n"/>
      <c r="H439" s="56" t="n"/>
      <c r="I439" s="43" t="n"/>
      <c r="J439" s="57">
        <f>IF(OR(A439="",H439=""),"",IF(COUNTIFS(exp_year,C439,exp_month,D439,exp_item,E439,exp_status,"&lt;&gt;❌ Отменено")&gt;0,1,0))</f>
        <v/>
      </c>
    </row>
    <row r="440">
      <c r="A440" s="52" t="n"/>
      <c r="B440" s="53">
        <f>IF(A440="","",CHOOSE(WEEKDAY(A440,2),"Пн","Вт","Ср","Чт","Пт","Сб","Вс"))</f>
        <v/>
      </c>
      <c r="C440" s="53">
        <f>IF(A440="","",YEAR(A440))</f>
        <v/>
      </c>
      <c r="D440" s="54">
        <f>IF(A440="","",INDEX(lst_months,MONTH(A440)))</f>
        <v/>
      </c>
      <c r="E440" s="55" t="n"/>
      <c r="F440" s="54">
        <f>IF(E440="","",IFERROR(IF(INDEX(lst_exp_item_cat,MATCH(E440,lst_exp_items,0))="","❔ Без категории",INDEX(lst_exp_item_cat,MATCH(E440,lst_exp_items,0))),"❔ Без категории"))</f>
        <v/>
      </c>
      <c r="G440" s="43" t="n"/>
      <c r="H440" s="56" t="n"/>
      <c r="I440" s="43" t="n"/>
      <c r="J440" s="57">
        <f>IF(OR(A440="",H440=""),"",IF(COUNTIFS(exp_year,C440,exp_month,D440,exp_item,E440,exp_status,"&lt;&gt;❌ Отменено")&gt;0,1,0))</f>
        <v/>
      </c>
    </row>
    <row r="441">
      <c r="A441" s="52" t="n"/>
      <c r="B441" s="53">
        <f>IF(A441="","",CHOOSE(WEEKDAY(A441,2),"Пн","Вт","Ср","Чт","Пт","Сб","Вс"))</f>
        <v/>
      </c>
      <c r="C441" s="53">
        <f>IF(A441="","",YEAR(A441))</f>
        <v/>
      </c>
      <c r="D441" s="54">
        <f>IF(A441="","",INDEX(lst_months,MONTH(A441)))</f>
        <v/>
      </c>
      <c r="E441" s="55" t="n"/>
      <c r="F441" s="54">
        <f>IF(E441="","",IFERROR(IF(INDEX(lst_exp_item_cat,MATCH(E441,lst_exp_items,0))="","❔ Без категории",INDEX(lst_exp_item_cat,MATCH(E441,lst_exp_items,0))),"❔ Без категории"))</f>
        <v/>
      </c>
      <c r="G441" s="43" t="n"/>
      <c r="H441" s="56" t="n"/>
      <c r="I441" s="43" t="n"/>
      <c r="J441" s="57">
        <f>IF(OR(A441="",H441=""),"",IF(COUNTIFS(exp_year,C441,exp_month,D441,exp_item,E441,exp_status,"&lt;&gt;❌ Отменено")&gt;0,1,0))</f>
        <v/>
      </c>
    </row>
    <row r="442">
      <c r="A442" s="52" t="n"/>
      <c r="B442" s="53">
        <f>IF(A442="","",CHOOSE(WEEKDAY(A442,2),"Пн","Вт","Ср","Чт","Пт","Сб","Вс"))</f>
        <v/>
      </c>
      <c r="C442" s="53">
        <f>IF(A442="","",YEAR(A442))</f>
        <v/>
      </c>
      <c r="D442" s="54">
        <f>IF(A442="","",INDEX(lst_months,MONTH(A442)))</f>
        <v/>
      </c>
      <c r="E442" s="55" t="n"/>
      <c r="F442" s="54">
        <f>IF(E442="","",IFERROR(IF(INDEX(lst_exp_item_cat,MATCH(E442,lst_exp_items,0))="","❔ Без категории",INDEX(lst_exp_item_cat,MATCH(E442,lst_exp_items,0))),"❔ Без категории"))</f>
        <v/>
      </c>
      <c r="G442" s="43" t="n"/>
      <c r="H442" s="56" t="n"/>
      <c r="I442" s="43" t="n"/>
      <c r="J442" s="57">
        <f>IF(OR(A442="",H442=""),"",IF(COUNTIFS(exp_year,C442,exp_month,D442,exp_item,E442,exp_status,"&lt;&gt;❌ Отменено")&gt;0,1,0))</f>
        <v/>
      </c>
    </row>
    <row r="443">
      <c r="A443" s="52" t="n"/>
      <c r="B443" s="53">
        <f>IF(A443="","",CHOOSE(WEEKDAY(A443,2),"Пн","Вт","Ср","Чт","Пт","Сб","Вс"))</f>
        <v/>
      </c>
      <c r="C443" s="53">
        <f>IF(A443="","",YEAR(A443))</f>
        <v/>
      </c>
      <c r="D443" s="54">
        <f>IF(A443="","",INDEX(lst_months,MONTH(A443)))</f>
        <v/>
      </c>
      <c r="E443" s="55" t="n"/>
      <c r="F443" s="54">
        <f>IF(E443="","",IFERROR(IF(INDEX(lst_exp_item_cat,MATCH(E443,lst_exp_items,0))="","❔ Без категории",INDEX(lst_exp_item_cat,MATCH(E443,lst_exp_items,0))),"❔ Без категории"))</f>
        <v/>
      </c>
      <c r="G443" s="43" t="n"/>
      <c r="H443" s="56" t="n"/>
      <c r="I443" s="43" t="n"/>
      <c r="J443" s="57">
        <f>IF(OR(A443="",H443=""),"",IF(COUNTIFS(exp_year,C443,exp_month,D443,exp_item,E443,exp_status,"&lt;&gt;❌ Отменено")&gt;0,1,0))</f>
        <v/>
      </c>
    </row>
    <row r="444">
      <c r="A444" s="52" t="n"/>
      <c r="B444" s="53">
        <f>IF(A444="","",CHOOSE(WEEKDAY(A444,2),"Пн","Вт","Ср","Чт","Пт","Сб","Вс"))</f>
        <v/>
      </c>
      <c r="C444" s="53">
        <f>IF(A444="","",YEAR(A444))</f>
        <v/>
      </c>
      <c r="D444" s="54">
        <f>IF(A444="","",INDEX(lst_months,MONTH(A444)))</f>
        <v/>
      </c>
      <c r="E444" s="55" t="n"/>
      <c r="F444" s="54">
        <f>IF(E444="","",IFERROR(IF(INDEX(lst_exp_item_cat,MATCH(E444,lst_exp_items,0))="","❔ Без категории",INDEX(lst_exp_item_cat,MATCH(E444,lst_exp_items,0))),"❔ Без категории"))</f>
        <v/>
      </c>
      <c r="G444" s="43" t="n"/>
      <c r="H444" s="56" t="n"/>
      <c r="I444" s="43" t="n"/>
      <c r="J444" s="57">
        <f>IF(OR(A444="",H444=""),"",IF(COUNTIFS(exp_year,C444,exp_month,D444,exp_item,E444,exp_status,"&lt;&gt;❌ Отменено")&gt;0,1,0))</f>
        <v/>
      </c>
    </row>
    <row r="445">
      <c r="A445" s="52" t="n"/>
      <c r="B445" s="53">
        <f>IF(A445="","",CHOOSE(WEEKDAY(A445,2),"Пн","Вт","Ср","Чт","Пт","Сб","Вс"))</f>
        <v/>
      </c>
      <c r="C445" s="53">
        <f>IF(A445="","",YEAR(A445))</f>
        <v/>
      </c>
      <c r="D445" s="54">
        <f>IF(A445="","",INDEX(lst_months,MONTH(A445)))</f>
        <v/>
      </c>
      <c r="E445" s="55" t="n"/>
      <c r="F445" s="54">
        <f>IF(E445="","",IFERROR(IF(INDEX(lst_exp_item_cat,MATCH(E445,lst_exp_items,0))="","❔ Без категории",INDEX(lst_exp_item_cat,MATCH(E445,lst_exp_items,0))),"❔ Без категории"))</f>
        <v/>
      </c>
      <c r="G445" s="43" t="n"/>
      <c r="H445" s="56" t="n"/>
      <c r="I445" s="43" t="n"/>
      <c r="J445" s="57">
        <f>IF(OR(A445="",H445=""),"",IF(COUNTIFS(exp_year,C445,exp_month,D445,exp_item,E445,exp_status,"&lt;&gt;❌ Отменено")&gt;0,1,0))</f>
        <v/>
      </c>
    </row>
    <row r="446">
      <c r="A446" s="52" t="n"/>
      <c r="B446" s="53">
        <f>IF(A446="","",CHOOSE(WEEKDAY(A446,2),"Пн","Вт","Ср","Чт","Пт","Сб","Вс"))</f>
        <v/>
      </c>
      <c r="C446" s="53">
        <f>IF(A446="","",YEAR(A446))</f>
        <v/>
      </c>
      <c r="D446" s="54">
        <f>IF(A446="","",INDEX(lst_months,MONTH(A446)))</f>
        <v/>
      </c>
      <c r="E446" s="55" t="n"/>
      <c r="F446" s="54">
        <f>IF(E446="","",IFERROR(IF(INDEX(lst_exp_item_cat,MATCH(E446,lst_exp_items,0))="","❔ Без категории",INDEX(lst_exp_item_cat,MATCH(E446,lst_exp_items,0))),"❔ Без категории"))</f>
        <v/>
      </c>
      <c r="G446" s="43" t="n"/>
      <c r="H446" s="56" t="n"/>
      <c r="I446" s="43" t="n"/>
      <c r="J446" s="57">
        <f>IF(OR(A446="",H446=""),"",IF(COUNTIFS(exp_year,C446,exp_month,D446,exp_item,E446,exp_status,"&lt;&gt;❌ Отменено")&gt;0,1,0))</f>
        <v/>
      </c>
    </row>
    <row r="447">
      <c r="A447" s="52" t="n"/>
      <c r="B447" s="53">
        <f>IF(A447="","",CHOOSE(WEEKDAY(A447,2),"Пн","Вт","Ср","Чт","Пт","Сб","Вс"))</f>
        <v/>
      </c>
      <c r="C447" s="53">
        <f>IF(A447="","",YEAR(A447))</f>
        <v/>
      </c>
      <c r="D447" s="54">
        <f>IF(A447="","",INDEX(lst_months,MONTH(A447)))</f>
        <v/>
      </c>
      <c r="E447" s="55" t="n"/>
      <c r="F447" s="54">
        <f>IF(E447="","",IFERROR(IF(INDEX(lst_exp_item_cat,MATCH(E447,lst_exp_items,0))="","❔ Без категории",INDEX(lst_exp_item_cat,MATCH(E447,lst_exp_items,0))),"❔ Без категории"))</f>
        <v/>
      </c>
      <c r="G447" s="43" t="n"/>
      <c r="H447" s="56" t="n"/>
      <c r="I447" s="43" t="n"/>
      <c r="J447" s="57">
        <f>IF(OR(A447="",H447=""),"",IF(COUNTIFS(exp_year,C447,exp_month,D447,exp_item,E447,exp_status,"&lt;&gt;❌ Отменено")&gt;0,1,0))</f>
        <v/>
      </c>
    </row>
    <row r="448">
      <c r="A448" s="52" t="n"/>
      <c r="B448" s="53">
        <f>IF(A448="","",CHOOSE(WEEKDAY(A448,2),"Пн","Вт","Ср","Чт","Пт","Сб","Вс"))</f>
        <v/>
      </c>
      <c r="C448" s="53">
        <f>IF(A448="","",YEAR(A448))</f>
        <v/>
      </c>
      <c r="D448" s="54">
        <f>IF(A448="","",INDEX(lst_months,MONTH(A448)))</f>
        <v/>
      </c>
      <c r="E448" s="55" t="n"/>
      <c r="F448" s="54">
        <f>IF(E448="","",IFERROR(IF(INDEX(lst_exp_item_cat,MATCH(E448,lst_exp_items,0))="","❔ Без категории",INDEX(lst_exp_item_cat,MATCH(E448,lst_exp_items,0))),"❔ Без категории"))</f>
        <v/>
      </c>
      <c r="G448" s="43" t="n"/>
      <c r="H448" s="56" t="n"/>
      <c r="I448" s="43" t="n"/>
      <c r="J448" s="57">
        <f>IF(OR(A448="",H448=""),"",IF(COUNTIFS(exp_year,C448,exp_month,D448,exp_item,E448,exp_status,"&lt;&gt;❌ Отменено")&gt;0,1,0))</f>
        <v/>
      </c>
    </row>
    <row r="449">
      <c r="A449" s="52" t="n"/>
      <c r="B449" s="53">
        <f>IF(A449="","",CHOOSE(WEEKDAY(A449,2),"Пн","Вт","Ср","Чт","Пт","Сб","Вс"))</f>
        <v/>
      </c>
      <c r="C449" s="53">
        <f>IF(A449="","",YEAR(A449))</f>
        <v/>
      </c>
      <c r="D449" s="54">
        <f>IF(A449="","",INDEX(lst_months,MONTH(A449)))</f>
        <v/>
      </c>
      <c r="E449" s="55" t="n"/>
      <c r="F449" s="54">
        <f>IF(E449="","",IFERROR(IF(INDEX(lst_exp_item_cat,MATCH(E449,lst_exp_items,0))="","❔ Без категории",INDEX(lst_exp_item_cat,MATCH(E449,lst_exp_items,0))),"❔ Без категории"))</f>
        <v/>
      </c>
      <c r="G449" s="43" t="n"/>
      <c r="H449" s="56" t="n"/>
      <c r="I449" s="43" t="n"/>
      <c r="J449" s="57">
        <f>IF(OR(A449="",H449=""),"",IF(COUNTIFS(exp_year,C449,exp_month,D449,exp_item,E449,exp_status,"&lt;&gt;❌ Отменено")&gt;0,1,0))</f>
        <v/>
      </c>
    </row>
    <row r="450">
      <c r="A450" s="52" t="n"/>
      <c r="B450" s="53">
        <f>IF(A450="","",CHOOSE(WEEKDAY(A450,2),"Пн","Вт","Ср","Чт","Пт","Сб","Вс"))</f>
        <v/>
      </c>
      <c r="C450" s="53">
        <f>IF(A450="","",YEAR(A450))</f>
        <v/>
      </c>
      <c r="D450" s="54">
        <f>IF(A450="","",INDEX(lst_months,MONTH(A450)))</f>
        <v/>
      </c>
      <c r="E450" s="55" t="n"/>
      <c r="F450" s="54">
        <f>IF(E450="","",IFERROR(IF(INDEX(lst_exp_item_cat,MATCH(E450,lst_exp_items,0))="","❔ Без категории",INDEX(lst_exp_item_cat,MATCH(E450,lst_exp_items,0))),"❔ Без категории"))</f>
        <v/>
      </c>
      <c r="G450" s="43" t="n"/>
      <c r="H450" s="56" t="n"/>
      <c r="I450" s="43" t="n"/>
      <c r="J450" s="57">
        <f>IF(OR(A450="",H450=""),"",IF(COUNTIFS(exp_year,C450,exp_month,D450,exp_item,E450,exp_status,"&lt;&gt;❌ Отменено")&gt;0,1,0))</f>
        <v/>
      </c>
    </row>
    <row r="451">
      <c r="A451" s="52" t="n"/>
      <c r="B451" s="53">
        <f>IF(A451="","",CHOOSE(WEEKDAY(A451,2),"Пн","Вт","Ср","Чт","Пт","Сб","Вс"))</f>
        <v/>
      </c>
      <c r="C451" s="53">
        <f>IF(A451="","",YEAR(A451))</f>
        <v/>
      </c>
      <c r="D451" s="54">
        <f>IF(A451="","",INDEX(lst_months,MONTH(A451)))</f>
        <v/>
      </c>
      <c r="E451" s="55" t="n"/>
      <c r="F451" s="54">
        <f>IF(E451="","",IFERROR(IF(INDEX(lst_exp_item_cat,MATCH(E451,lst_exp_items,0))="","❔ Без категории",INDEX(lst_exp_item_cat,MATCH(E451,lst_exp_items,0))),"❔ Без категории"))</f>
        <v/>
      </c>
      <c r="G451" s="43" t="n"/>
      <c r="H451" s="56" t="n"/>
      <c r="I451" s="43" t="n"/>
      <c r="J451" s="57">
        <f>IF(OR(A451="",H451=""),"",IF(COUNTIFS(exp_year,C451,exp_month,D451,exp_item,E451,exp_status,"&lt;&gt;❌ Отменено")&gt;0,1,0))</f>
        <v/>
      </c>
    </row>
    <row r="452">
      <c r="A452" s="52" t="n"/>
      <c r="B452" s="53">
        <f>IF(A452="","",CHOOSE(WEEKDAY(A452,2),"Пн","Вт","Ср","Чт","Пт","Сб","Вс"))</f>
        <v/>
      </c>
      <c r="C452" s="53">
        <f>IF(A452="","",YEAR(A452))</f>
        <v/>
      </c>
      <c r="D452" s="54">
        <f>IF(A452="","",INDEX(lst_months,MONTH(A452)))</f>
        <v/>
      </c>
      <c r="E452" s="55" t="n"/>
      <c r="F452" s="54">
        <f>IF(E452="","",IFERROR(IF(INDEX(lst_exp_item_cat,MATCH(E452,lst_exp_items,0))="","❔ Без категории",INDEX(lst_exp_item_cat,MATCH(E452,lst_exp_items,0))),"❔ Без категории"))</f>
        <v/>
      </c>
      <c r="G452" s="43" t="n"/>
      <c r="H452" s="56" t="n"/>
      <c r="I452" s="43" t="n"/>
      <c r="J452" s="57">
        <f>IF(OR(A452="",H452=""),"",IF(COUNTIFS(exp_year,C452,exp_month,D452,exp_item,E452,exp_status,"&lt;&gt;❌ Отменено")&gt;0,1,0))</f>
        <v/>
      </c>
    </row>
    <row r="453">
      <c r="A453" s="52" t="n"/>
      <c r="B453" s="53">
        <f>IF(A453="","",CHOOSE(WEEKDAY(A453,2),"Пн","Вт","Ср","Чт","Пт","Сб","Вс"))</f>
        <v/>
      </c>
      <c r="C453" s="53">
        <f>IF(A453="","",YEAR(A453))</f>
        <v/>
      </c>
      <c r="D453" s="54">
        <f>IF(A453="","",INDEX(lst_months,MONTH(A453)))</f>
        <v/>
      </c>
      <c r="E453" s="55" t="n"/>
      <c r="F453" s="54">
        <f>IF(E453="","",IFERROR(IF(INDEX(lst_exp_item_cat,MATCH(E453,lst_exp_items,0))="","❔ Без категории",INDEX(lst_exp_item_cat,MATCH(E453,lst_exp_items,0))),"❔ Без категории"))</f>
        <v/>
      </c>
      <c r="G453" s="43" t="n"/>
      <c r="H453" s="56" t="n"/>
      <c r="I453" s="43" t="n"/>
      <c r="J453" s="57">
        <f>IF(OR(A453="",H453=""),"",IF(COUNTIFS(exp_year,C453,exp_month,D453,exp_item,E453,exp_status,"&lt;&gt;❌ Отменено")&gt;0,1,0))</f>
        <v/>
      </c>
    </row>
    <row r="454">
      <c r="A454" s="52" t="n"/>
      <c r="B454" s="53">
        <f>IF(A454="","",CHOOSE(WEEKDAY(A454,2),"Пн","Вт","Ср","Чт","Пт","Сб","Вс"))</f>
        <v/>
      </c>
      <c r="C454" s="53">
        <f>IF(A454="","",YEAR(A454))</f>
        <v/>
      </c>
      <c r="D454" s="54">
        <f>IF(A454="","",INDEX(lst_months,MONTH(A454)))</f>
        <v/>
      </c>
      <c r="E454" s="55" t="n"/>
      <c r="F454" s="54">
        <f>IF(E454="","",IFERROR(IF(INDEX(lst_exp_item_cat,MATCH(E454,lst_exp_items,0))="","❔ Без категории",INDEX(lst_exp_item_cat,MATCH(E454,lst_exp_items,0))),"❔ Без категории"))</f>
        <v/>
      </c>
      <c r="G454" s="43" t="n"/>
      <c r="H454" s="56" t="n"/>
      <c r="I454" s="43" t="n"/>
      <c r="J454" s="57">
        <f>IF(OR(A454="",H454=""),"",IF(COUNTIFS(exp_year,C454,exp_month,D454,exp_item,E454,exp_status,"&lt;&gt;❌ Отменено")&gt;0,1,0))</f>
        <v/>
      </c>
    </row>
    <row r="455">
      <c r="A455" s="52" t="n"/>
      <c r="B455" s="53">
        <f>IF(A455="","",CHOOSE(WEEKDAY(A455,2),"Пн","Вт","Ср","Чт","Пт","Сб","Вс"))</f>
        <v/>
      </c>
      <c r="C455" s="53">
        <f>IF(A455="","",YEAR(A455))</f>
        <v/>
      </c>
      <c r="D455" s="54">
        <f>IF(A455="","",INDEX(lst_months,MONTH(A455)))</f>
        <v/>
      </c>
      <c r="E455" s="55" t="n"/>
      <c r="F455" s="54">
        <f>IF(E455="","",IFERROR(IF(INDEX(lst_exp_item_cat,MATCH(E455,lst_exp_items,0))="","❔ Без категории",INDEX(lst_exp_item_cat,MATCH(E455,lst_exp_items,0))),"❔ Без категории"))</f>
        <v/>
      </c>
      <c r="G455" s="43" t="n"/>
      <c r="H455" s="56" t="n"/>
      <c r="I455" s="43" t="n"/>
      <c r="J455" s="57">
        <f>IF(OR(A455="",H455=""),"",IF(COUNTIFS(exp_year,C455,exp_month,D455,exp_item,E455,exp_status,"&lt;&gt;❌ Отменено")&gt;0,1,0))</f>
        <v/>
      </c>
    </row>
    <row r="456">
      <c r="A456" s="52" t="n"/>
      <c r="B456" s="53">
        <f>IF(A456="","",CHOOSE(WEEKDAY(A456,2),"Пн","Вт","Ср","Чт","Пт","Сб","Вс"))</f>
        <v/>
      </c>
      <c r="C456" s="53">
        <f>IF(A456="","",YEAR(A456))</f>
        <v/>
      </c>
      <c r="D456" s="54">
        <f>IF(A456="","",INDEX(lst_months,MONTH(A456)))</f>
        <v/>
      </c>
      <c r="E456" s="55" t="n"/>
      <c r="F456" s="54">
        <f>IF(E456="","",IFERROR(IF(INDEX(lst_exp_item_cat,MATCH(E456,lst_exp_items,0))="","❔ Без категории",INDEX(lst_exp_item_cat,MATCH(E456,lst_exp_items,0))),"❔ Без категории"))</f>
        <v/>
      </c>
      <c r="G456" s="43" t="n"/>
      <c r="H456" s="56" t="n"/>
      <c r="I456" s="43" t="n"/>
      <c r="J456" s="57">
        <f>IF(OR(A456="",H456=""),"",IF(COUNTIFS(exp_year,C456,exp_month,D456,exp_item,E456,exp_status,"&lt;&gt;❌ Отменено")&gt;0,1,0))</f>
        <v/>
      </c>
    </row>
    <row r="457">
      <c r="A457" s="52" t="n"/>
      <c r="B457" s="53">
        <f>IF(A457="","",CHOOSE(WEEKDAY(A457,2),"Пн","Вт","Ср","Чт","Пт","Сб","Вс"))</f>
        <v/>
      </c>
      <c r="C457" s="53">
        <f>IF(A457="","",YEAR(A457))</f>
        <v/>
      </c>
      <c r="D457" s="54">
        <f>IF(A457="","",INDEX(lst_months,MONTH(A457)))</f>
        <v/>
      </c>
      <c r="E457" s="55" t="n"/>
      <c r="F457" s="54">
        <f>IF(E457="","",IFERROR(IF(INDEX(lst_exp_item_cat,MATCH(E457,lst_exp_items,0))="","❔ Без категории",INDEX(lst_exp_item_cat,MATCH(E457,lst_exp_items,0))),"❔ Без категории"))</f>
        <v/>
      </c>
      <c r="G457" s="43" t="n"/>
      <c r="H457" s="56" t="n"/>
      <c r="I457" s="43" t="n"/>
      <c r="J457" s="57">
        <f>IF(OR(A457="",H457=""),"",IF(COUNTIFS(exp_year,C457,exp_month,D457,exp_item,E457,exp_status,"&lt;&gt;❌ Отменено")&gt;0,1,0))</f>
        <v/>
      </c>
    </row>
    <row r="458">
      <c r="A458" s="52" t="n"/>
      <c r="B458" s="53">
        <f>IF(A458="","",CHOOSE(WEEKDAY(A458,2),"Пн","Вт","Ср","Чт","Пт","Сб","Вс"))</f>
        <v/>
      </c>
      <c r="C458" s="53">
        <f>IF(A458="","",YEAR(A458))</f>
        <v/>
      </c>
      <c r="D458" s="54">
        <f>IF(A458="","",INDEX(lst_months,MONTH(A458)))</f>
        <v/>
      </c>
      <c r="E458" s="55" t="n"/>
      <c r="F458" s="54">
        <f>IF(E458="","",IFERROR(IF(INDEX(lst_exp_item_cat,MATCH(E458,lst_exp_items,0))="","❔ Без категории",INDEX(lst_exp_item_cat,MATCH(E458,lst_exp_items,0))),"❔ Без категории"))</f>
        <v/>
      </c>
      <c r="G458" s="43" t="n"/>
      <c r="H458" s="56" t="n"/>
      <c r="I458" s="43" t="n"/>
      <c r="J458" s="57">
        <f>IF(OR(A458="",H458=""),"",IF(COUNTIFS(exp_year,C458,exp_month,D458,exp_item,E458,exp_status,"&lt;&gt;❌ Отменено")&gt;0,1,0))</f>
        <v/>
      </c>
    </row>
    <row r="459">
      <c r="A459" s="52" t="n"/>
      <c r="B459" s="53">
        <f>IF(A459="","",CHOOSE(WEEKDAY(A459,2),"Пн","Вт","Ср","Чт","Пт","Сб","Вс"))</f>
        <v/>
      </c>
      <c r="C459" s="53">
        <f>IF(A459="","",YEAR(A459))</f>
        <v/>
      </c>
      <c r="D459" s="54">
        <f>IF(A459="","",INDEX(lst_months,MONTH(A459)))</f>
        <v/>
      </c>
      <c r="E459" s="55" t="n"/>
      <c r="F459" s="54">
        <f>IF(E459="","",IFERROR(IF(INDEX(lst_exp_item_cat,MATCH(E459,lst_exp_items,0))="","❔ Без категории",INDEX(lst_exp_item_cat,MATCH(E459,lst_exp_items,0))),"❔ Без категории"))</f>
        <v/>
      </c>
      <c r="G459" s="43" t="n"/>
      <c r="H459" s="56" t="n"/>
      <c r="I459" s="43" t="n"/>
      <c r="J459" s="57">
        <f>IF(OR(A459="",H459=""),"",IF(COUNTIFS(exp_year,C459,exp_month,D459,exp_item,E459,exp_status,"&lt;&gt;❌ Отменено")&gt;0,1,0))</f>
        <v/>
      </c>
    </row>
    <row r="460">
      <c r="A460" s="52" t="n"/>
      <c r="B460" s="53">
        <f>IF(A460="","",CHOOSE(WEEKDAY(A460,2),"Пн","Вт","Ср","Чт","Пт","Сб","Вс"))</f>
        <v/>
      </c>
      <c r="C460" s="53">
        <f>IF(A460="","",YEAR(A460))</f>
        <v/>
      </c>
      <c r="D460" s="54">
        <f>IF(A460="","",INDEX(lst_months,MONTH(A460)))</f>
        <v/>
      </c>
      <c r="E460" s="55" t="n"/>
      <c r="F460" s="54">
        <f>IF(E460="","",IFERROR(IF(INDEX(lst_exp_item_cat,MATCH(E460,lst_exp_items,0))="","❔ Без категории",INDEX(lst_exp_item_cat,MATCH(E460,lst_exp_items,0))),"❔ Без категории"))</f>
        <v/>
      </c>
      <c r="G460" s="43" t="n"/>
      <c r="H460" s="56" t="n"/>
      <c r="I460" s="43" t="n"/>
      <c r="J460" s="57">
        <f>IF(OR(A460="",H460=""),"",IF(COUNTIFS(exp_year,C460,exp_month,D460,exp_item,E460,exp_status,"&lt;&gt;❌ Отменено")&gt;0,1,0))</f>
        <v/>
      </c>
    </row>
    <row r="461">
      <c r="A461" s="52" t="n"/>
      <c r="B461" s="53">
        <f>IF(A461="","",CHOOSE(WEEKDAY(A461,2),"Пн","Вт","Ср","Чт","Пт","Сб","Вс"))</f>
        <v/>
      </c>
      <c r="C461" s="53">
        <f>IF(A461="","",YEAR(A461))</f>
        <v/>
      </c>
      <c r="D461" s="54">
        <f>IF(A461="","",INDEX(lst_months,MONTH(A461)))</f>
        <v/>
      </c>
      <c r="E461" s="55" t="n"/>
      <c r="F461" s="54">
        <f>IF(E461="","",IFERROR(IF(INDEX(lst_exp_item_cat,MATCH(E461,lst_exp_items,0))="","❔ Без категории",INDEX(lst_exp_item_cat,MATCH(E461,lst_exp_items,0))),"❔ Без категории"))</f>
        <v/>
      </c>
      <c r="G461" s="43" t="n"/>
      <c r="H461" s="56" t="n"/>
      <c r="I461" s="43" t="n"/>
      <c r="J461" s="57">
        <f>IF(OR(A461="",H461=""),"",IF(COUNTIFS(exp_year,C461,exp_month,D461,exp_item,E461,exp_status,"&lt;&gt;❌ Отменено")&gt;0,1,0))</f>
        <v/>
      </c>
    </row>
    <row r="462">
      <c r="A462" s="52" t="n"/>
      <c r="B462" s="53">
        <f>IF(A462="","",CHOOSE(WEEKDAY(A462,2),"Пн","Вт","Ср","Чт","Пт","Сб","Вс"))</f>
        <v/>
      </c>
      <c r="C462" s="53">
        <f>IF(A462="","",YEAR(A462))</f>
        <v/>
      </c>
      <c r="D462" s="54">
        <f>IF(A462="","",INDEX(lst_months,MONTH(A462)))</f>
        <v/>
      </c>
      <c r="E462" s="55" t="n"/>
      <c r="F462" s="54">
        <f>IF(E462="","",IFERROR(IF(INDEX(lst_exp_item_cat,MATCH(E462,lst_exp_items,0))="","❔ Без категории",INDEX(lst_exp_item_cat,MATCH(E462,lst_exp_items,0))),"❔ Без категории"))</f>
        <v/>
      </c>
      <c r="G462" s="43" t="n"/>
      <c r="H462" s="56" t="n"/>
      <c r="I462" s="43" t="n"/>
      <c r="J462" s="57">
        <f>IF(OR(A462="",H462=""),"",IF(COUNTIFS(exp_year,C462,exp_month,D462,exp_item,E462,exp_status,"&lt;&gt;❌ Отменено")&gt;0,1,0))</f>
        <v/>
      </c>
    </row>
    <row r="463">
      <c r="A463" s="52" t="n"/>
      <c r="B463" s="53">
        <f>IF(A463="","",CHOOSE(WEEKDAY(A463,2),"Пн","Вт","Ср","Чт","Пт","Сб","Вс"))</f>
        <v/>
      </c>
      <c r="C463" s="53">
        <f>IF(A463="","",YEAR(A463))</f>
        <v/>
      </c>
      <c r="D463" s="54">
        <f>IF(A463="","",INDEX(lst_months,MONTH(A463)))</f>
        <v/>
      </c>
      <c r="E463" s="55" t="n"/>
      <c r="F463" s="54">
        <f>IF(E463="","",IFERROR(IF(INDEX(lst_exp_item_cat,MATCH(E463,lst_exp_items,0))="","❔ Без категории",INDEX(lst_exp_item_cat,MATCH(E463,lst_exp_items,0))),"❔ Без категории"))</f>
        <v/>
      </c>
      <c r="G463" s="43" t="n"/>
      <c r="H463" s="56" t="n"/>
      <c r="I463" s="43" t="n"/>
      <c r="J463" s="57">
        <f>IF(OR(A463="",H463=""),"",IF(COUNTIFS(exp_year,C463,exp_month,D463,exp_item,E463,exp_status,"&lt;&gt;❌ Отменено")&gt;0,1,0))</f>
        <v/>
      </c>
    </row>
    <row r="464">
      <c r="A464" s="52" t="n"/>
      <c r="B464" s="53">
        <f>IF(A464="","",CHOOSE(WEEKDAY(A464,2),"Пн","Вт","Ср","Чт","Пт","Сб","Вс"))</f>
        <v/>
      </c>
      <c r="C464" s="53">
        <f>IF(A464="","",YEAR(A464))</f>
        <v/>
      </c>
      <c r="D464" s="54">
        <f>IF(A464="","",INDEX(lst_months,MONTH(A464)))</f>
        <v/>
      </c>
      <c r="E464" s="55" t="n"/>
      <c r="F464" s="54">
        <f>IF(E464="","",IFERROR(IF(INDEX(lst_exp_item_cat,MATCH(E464,lst_exp_items,0))="","❔ Без категории",INDEX(lst_exp_item_cat,MATCH(E464,lst_exp_items,0))),"❔ Без категории"))</f>
        <v/>
      </c>
      <c r="G464" s="43" t="n"/>
      <c r="H464" s="56" t="n"/>
      <c r="I464" s="43" t="n"/>
      <c r="J464" s="57">
        <f>IF(OR(A464="",H464=""),"",IF(COUNTIFS(exp_year,C464,exp_month,D464,exp_item,E464,exp_status,"&lt;&gt;❌ Отменено")&gt;0,1,0))</f>
        <v/>
      </c>
    </row>
    <row r="465">
      <c r="A465" s="52" t="n"/>
      <c r="B465" s="53">
        <f>IF(A465="","",CHOOSE(WEEKDAY(A465,2),"Пн","Вт","Ср","Чт","Пт","Сб","Вс"))</f>
        <v/>
      </c>
      <c r="C465" s="53">
        <f>IF(A465="","",YEAR(A465))</f>
        <v/>
      </c>
      <c r="D465" s="54">
        <f>IF(A465="","",INDEX(lst_months,MONTH(A465)))</f>
        <v/>
      </c>
      <c r="E465" s="55" t="n"/>
      <c r="F465" s="54">
        <f>IF(E465="","",IFERROR(IF(INDEX(lst_exp_item_cat,MATCH(E465,lst_exp_items,0))="","❔ Без категории",INDEX(lst_exp_item_cat,MATCH(E465,lst_exp_items,0))),"❔ Без категории"))</f>
        <v/>
      </c>
      <c r="G465" s="43" t="n"/>
      <c r="H465" s="56" t="n"/>
      <c r="I465" s="43" t="n"/>
      <c r="J465" s="57">
        <f>IF(OR(A465="",H465=""),"",IF(COUNTIFS(exp_year,C465,exp_month,D465,exp_item,E465,exp_status,"&lt;&gt;❌ Отменено")&gt;0,1,0))</f>
        <v/>
      </c>
    </row>
    <row r="466">
      <c r="A466" s="52" t="n"/>
      <c r="B466" s="53">
        <f>IF(A466="","",CHOOSE(WEEKDAY(A466,2),"Пн","Вт","Ср","Чт","Пт","Сб","Вс"))</f>
        <v/>
      </c>
      <c r="C466" s="53">
        <f>IF(A466="","",YEAR(A466))</f>
        <v/>
      </c>
      <c r="D466" s="54">
        <f>IF(A466="","",INDEX(lst_months,MONTH(A466)))</f>
        <v/>
      </c>
      <c r="E466" s="55" t="n"/>
      <c r="F466" s="54">
        <f>IF(E466="","",IFERROR(IF(INDEX(lst_exp_item_cat,MATCH(E466,lst_exp_items,0))="","❔ Без категории",INDEX(lst_exp_item_cat,MATCH(E466,lst_exp_items,0))),"❔ Без категории"))</f>
        <v/>
      </c>
      <c r="G466" s="43" t="n"/>
      <c r="H466" s="56" t="n"/>
      <c r="I466" s="43" t="n"/>
      <c r="J466" s="57">
        <f>IF(OR(A466="",H466=""),"",IF(COUNTIFS(exp_year,C466,exp_month,D466,exp_item,E466,exp_status,"&lt;&gt;❌ Отменено")&gt;0,1,0))</f>
        <v/>
      </c>
    </row>
    <row r="467">
      <c r="A467" s="52" t="n"/>
      <c r="B467" s="53">
        <f>IF(A467="","",CHOOSE(WEEKDAY(A467,2),"Пн","Вт","Ср","Чт","Пт","Сб","Вс"))</f>
        <v/>
      </c>
      <c r="C467" s="53">
        <f>IF(A467="","",YEAR(A467))</f>
        <v/>
      </c>
      <c r="D467" s="54">
        <f>IF(A467="","",INDEX(lst_months,MONTH(A467)))</f>
        <v/>
      </c>
      <c r="E467" s="55" t="n"/>
      <c r="F467" s="54">
        <f>IF(E467="","",IFERROR(IF(INDEX(lst_exp_item_cat,MATCH(E467,lst_exp_items,0))="","❔ Без категории",INDEX(lst_exp_item_cat,MATCH(E467,lst_exp_items,0))),"❔ Без категории"))</f>
        <v/>
      </c>
      <c r="G467" s="43" t="n"/>
      <c r="H467" s="56" t="n"/>
      <c r="I467" s="43" t="n"/>
      <c r="J467" s="57">
        <f>IF(OR(A467="",H467=""),"",IF(COUNTIFS(exp_year,C467,exp_month,D467,exp_item,E467,exp_status,"&lt;&gt;❌ Отменено")&gt;0,1,0))</f>
        <v/>
      </c>
    </row>
    <row r="468">
      <c r="A468" s="52" t="n"/>
      <c r="B468" s="53">
        <f>IF(A468="","",CHOOSE(WEEKDAY(A468,2),"Пн","Вт","Ср","Чт","Пт","Сб","Вс"))</f>
        <v/>
      </c>
      <c r="C468" s="53">
        <f>IF(A468="","",YEAR(A468))</f>
        <v/>
      </c>
      <c r="D468" s="54">
        <f>IF(A468="","",INDEX(lst_months,MONTH(A468)))</f>
        <v/>
      </c>
      <c r="E468" s="55" t="n"/>
      <c r="F468" s="54">
        <f>IF(E468="","",IFERROR(IF(INDEX(lst_exp_item_cat,MATCH(E468,lst_exp_items,0))="","❔ Без категории",INDEX(lst_exp_item_cat,MATCH(E468,lst_exp_items,0))),"❔ Без категории"))</f>
        <v/>
      </c>
      <c r="G468" s="43" t="n"/>
      <c r="H468" s="56" t="n"/>
      <c r="I468" s="43" t="n"/>
      <c r="J468" s="57">
        <f>IF(OR(A468="",H468=""),"",IF(COUNTIFS(exp_year,C468,exp_month,D468,exp_item,E468,exp_status,"&lt;&gt;❌ Отменено")&gt;0,1,0))</f>
        <v/>
      </c>
    </row>
    <row r="469">
      <c r="A469" s="52" t="n"/>
      <c r="B469" s="53">
        <f>IF(A469="","",CHOOSE(WEEKDAY(A469,2),"Пн","Вт","Ср","Чт","Пт","Сб","Вс"))</f>
        <v/>
      </c>
      <c r="C469" s="53">
        <f>IF(A469="","",YEAR(A469))</f>
        <v/>
      </c>
      <c r="D469" s="54">
        <f>IF(A469="","",INDEX(lst_months,MONTH(A469)))</f>
        <v/>
      </c>
      <c r="E469" s="55" t="n"/>
      <c r="F469" s="54">
        <f>IF(E469="","",IFERROR(IF(INDEX(lst_exp_item_cat,MATCH(E469,lst_exp_items,0))="","❔ Без категории",INDEX(lst_exp_item_cat,MATCH(E469,lst_exp_items,0))),"❔ Без категории"))</f>
        <v/>
      </c>
      <c r="G469" s="43" t="n"/>
      <c r="H469" s="56" t="n"/>
      <c r="I469" s="43" t="n"/>
      <c r="J469" s="57">
        <f>IF(OR(A469="",H469=""),"",IF(COUNTIFS(exp_year,C469,exp_month,D469,exp_item,E469,exp_status,"&lt;&gt;❌ Отменено")&gt;0,1,0))</f>
        <v/>
      </c>
    </row>
    <row r="470">
      <c r="A470" s="52" t="n"/>
      <c r="B470" s="53">
        <f>IF(A470="","",CHOOSE(WEEKDAY(A470,2),"Пн","Вт","Ср","Чт","Пт","Сб","Вс"))</f>
        <v/>
      </c>
      <c r="C470" s="53">
        <f>IF(A470="","",YEAR(A470))</f>
        <v/>
      </c>
      <c r="D470" s="54">
        <f>IF(A470="","",INDEX(lst_months,MONTH(A470)))</f>
        <v/>
      </c>
      <c r="E470" s="55" t="n"/>
      <c r="F470" s="54">
        <f>IF(E470="","",IFERROR(IF(INDEX(lst_exp_item_cat,MATCH(E470,lst_exp_items,0))="","❔ Без категории",INDEX(lst_exp_item_cat,MATCH(E470,lst_exp_items,0))),"❔ Без категории"))</f>
        <v/>
      </c>
      <c r="G470" s="43" t="n"/>
      <c r="H470" s="56" t="n"/>
      <c r="I470" s="43" t="n"/>
      <c r="J470" s="57">
        <f>IF(OR(A470="",H470=""),"",IF(COUNTIFS(exp_year,C470,exp_month,D470,exp_item,E470,exp_status,"&lt;&gt;❌ Отменено")&gt;0,1,0))</f>
        <v/>
      </c>
    </row>
    <row r="471">
      <c r="A471" s="52" t="n"/>
      <c r="B471" s="53">
        <f>IF(A471="","",CHOOSE(WEEKDAY(A471,2),"Пн","Вт","Ср","Чт","Пт","Сб","Вс"))</f>
        <v/>
      </c>
      <c r="C471" s="53">
        <f>IF(A471="","",YEAR(A471))</f>
        <v/>
      </c>
      <c r="D471" s="54">
        <f>IF(A471="","",INDEX(lst_months,MONTH(A471)))</f>
        <v/>
      </c>
      <c r="E471" s="55" t="n"/>
      <c r="F471" s="54">
        <f>IF(E471="","",IFERROR(IF(INDEX(lst_exp_item_cat,MATCH(E471,lst_exp_items,0))="","❔ Без категории",INDEX(lst_exp_item_cat,MATCH(E471,lst_exp_items,0))),"❔ Без категории"))</f>
        <v/>
      </c>
      <c r="G471" s="43" t="n"/>
      <c r="H471" s="56" t="n"/>
      <c r="I471" s="43" t="n"/>
      <c r="J471" s="57">
        <f>IF(OR(A471="",H471=""),"",IF(COUNTIFS(exp_year,C471,exp_month,D471,exp_item,E471,exp_status,"&lt;&gt;❌ Отменено")&gt;0,1,0))</f>
        <v/>
      </c>
    </row>
    <row r="472">
      <c r="A472" s="52" t="n"/>
      <c r="B472" s="53">
        <f>IF(A472="","",CHOOSE(WEEKDAY(A472,2),"Пн","Вт","Ср","Чт","Пт","Сб","Вс"))</f>
        <v/>
      </c>
      <c r="C472" s="53">
        <f>IF(A472="","",YEAR(A472))</f>
        <v/>
      </c>
      <c r="D472" s="54">
        <f>IF(A472="","",INDEX(lst_months,MONTH(A472)))</f>
        <v/>
      </c>
      <c r="E472" s="55" t="n"/>
      <c r="F472" s="54">
        <f>IF(E472="","",IFERROR(IF(INDEX(lst_exp_item_cat,MATCH(E472,lst_exp_items,0))="","❔ Без категории",INDEX(lst_exp_item_cat,MATCH(E472,lst_exp_items,0))),"❔ Без категории"))</f>
        <v/>
      </c>
      <c r="G472" s="43" t="n"/>
      <c r="H472" s="56" t="n"/>
      <c r="I472" s="43" t="n"/>
      <c r="J472" s="57">
        <f>IF(OR(A472="",H472=""),"",IF(COUNTIFS(exp_year,C472,exp_month,D472,exp_item,E472,exp_status,"&lt;&gt;❌ Отменено")&gt;0,1,0))</f>
        <v/>
      </c>
    </row>
    <row r="473">
      <c r="A473" s="52" t="n"/>
      <c r="B473" s="53">
        <f>IF(A473="","",CHOOSE(WEEKDAY(A473,2),"Пн","Вт","Ср","Чт","Пт","Сб","Вс"))</f>
        <v/>
      </c>
      <c r="C473" s="53">
        <f>IF(A473="","",YEAR(A473))</f>
        <v/>
      </c>
      <c r="D473" s="54">
        <f>IF(A473="","",INDEX(lst_months,MONTH(A473)))</f>
        <v/>
      </c>
      <c r="E473" s="55" t="n"/>
      <c r="F473" s="54">
        <f>IF(E473="","",IFERROR(IF(INDEX(lst_exp_item_cat,MATCH(E473,lst_exp_items,0))="","❔ Без категории",INDEX(lst_exp_item_cat,MATCH(E473,lst_exp_items,0))),"❔ Без категории"))</f>
        <v/>
      </c>
      <c r="G473" s="43" t="n"/>
      <c r="H473" s="56" t="n"/>
      <c r="I473" s="43" t="n"/>
      <c r="J473" s="57">
        <f>IF(OR(A473="",H473=""),"",IF(COUNTIFS(exp_year,C473,exp_month,D473,exp_item,E473,exp_status,"&lt;&gt;❌ Отменено")&gt;0,1,0))</f>
        <v/>
      </c>
    </row>
    <row r="474">
      <c r="A474" s="52" t="n"/>
      <c r="B474" s="53">
        <f>IF(A474="","",CHOOSE(WEEKDAY(A474,2),"Пн","Вт","Ср","Чт","Пт","Сб","Вс"))</f>
        <v/>
      </c>
      <c r="C474" s="53">
        <f>IF(A474="","",YEAR(A474))</f>
        <v/>
      </c>
      <c r="D474" s="54">
        <f>IF(A474="","",INDEX(lst_months,MONTH(A474)))</f>
        <v/>
      </c>
      <c r="E474" s="55" t="n"/>
      <c r="F474" s="54">
        <f>IF(E474="","",IFERROR(IF(INDEX(lst_exp_item_cat,MATCH(E474,lst_exp_items,0))="","❔ Без категории",INDEX(lst_exp_item_cat,MATCH(E474,lst_exp_items,0))),"❔ Без категории"))</f>
        <v/>
      </c>
      <c r="G474" s="43" t="n"/>
      <c r="H474" s="56" t="n"/>
      <c r="I474" s="43" t="n"/>
      <c r="J474" s="57">
        <f>IF(OR(A474="",H474=""),"",IF(COUNTIFS(exp_year,C474,exp_month,D474,exp_item,E474,exp_status,"&lt;&gt;❌ Отменено")&gt;0,1,0))</f>
        <v/>
      </c>
    </row>
    <row r="475">
      <c r="A475" s="52" t="n"/>
      <c r="B475" s="53">
        <f>IF(A475="","",CHOOSE(WEEKDAY(A475,2),"Пн","Вт","Ср","Чт","Пт","Сб","Вс"))</f>
        <v/>
      </c>
      <c r="C475" s="53">
        <f>IF(A475="","",YEAR(A475))</f>
        <v/>
      </c>
      <c r="D475" s="54">
        <f>IF(A475="","",INDEX(lst_months,MONTH(A475)))</f>
        <v/>
      </c>
      <c r="E475" s="55" t="n"/>
      <c r="F475" s="54">
        <f>IF(E475="","",IFERROR(IF(INDEX(lst_exp_item_cat,MATCH(E475,lst_exp_items,0))="","❔ Без категории",INDEX(lst_exp_item_cat,MATCH(E475,lst_exp_items,0))),"❔ Без категории"))</f>
        <v/>
      </c>
      <c r="G475" s="43" t="n"/>
      <c r="H475" s="56" t="n"/>
      <c r="I475" s="43" t="n"/>
      <c r="J475" s="57">
        <f>IF(OR(A475="",H475=""),"",IF(COUNTIFS(exp_year,C475,exp_month,D475,exp_item,E475,exp_status,"&lt;&gt;❌ Отменено")&gt;0,1,0))</f>
        <v/>
      </c>
    </row>
    <row r="476">
      <c r="A476" s="52" t="n"/>
      <c r="B476" s="53">
        <f>IF(A476="","",CHOOSE(WEEKDAY(A476,2),"Пн","Вт","Ср","Чт","Пт","Сб","Вс"))</f>
        <v/>
      </c>
      <c r="C476" s="53">
        <f>IF(A476="","",YEAR(A476))</f>
        <v/>
      </c>
      <c r="D476" s="54">
        <f>IF(A476="","",INDEX(lst_months,MONTH(A476)))</f>
        <v/>
      </c>
      <c r="E476" s="55" t="n"/>
      <c r="F476" s="54">
        <f>IF(E476="","",IFERROR(IF(INDEX(lst_exp_item_cat,MATCH(E476,lst_exp_items,0))="","❔ Без категории",INDEX(lst_exp_item_cat,MATCH(E476,lst_exp_items,0))),"❔ Без категории"))</f>
        <v/>
      </c>
      <c r="G476" s="43" t="n"/>
      <c r="H476" s="56" t="n"/>
      <c r="I476" s="43" t="n"/>
      <c r="J476" s="57">
        <f>IF(OR(A476="",H476=""),"",IF(COUNTIFS(exp_year,C476,exp_month,D476,exp_item,E476,exp_status,"&lt;&gt;❌ Отменено")&gt;0,1,0))</f>
        <v/>
      </c>
    </row>
    <row r="477">
      <c r="A477" s="52" t="n"/>
      <c r="B477" s="53">
        <f>IF(A477="","",CHOOSE(WEEKDAY(A477,2),"Пн","Вт","Ср","Чт","Пт","Сб","Вс"))</f>
        <v/>
      </c>
      <c r="C477" s="53">
        <f>IF(A477="","",YEAR(A477))</f>
        <v/>
      </c>
      <c r="D477" s="54">
        <f>IF(A477="","",INDEX(lst_months,MONTH(A477)))</f>
        <v/>
      </c>
      <c r="E477" s="55" t="n"/>
      <c r="F477" s="54">
        <f>IF(E477="","",IFERROR(IF(INDEX(lst_exp_item_cat,MATCH(E477,lst_exp_items,0))="","❔ Без категории",INDEX(lst_exp_item_cat,MATCH(E477,lst_exp_items,0))),"❔ Без категории"))</f>
        <v/>
      </c>
      <c r="G477" s="43" t="n"/>
      <c r="H477" s="56" t="n"/>
      <c r="I477" s="43" t="n"/>
      <c r="J477" s="57">
        <f>IF(OR(A477="",H477=""),"",IF(COUNTIFS(exp_year,C477,exp_month,D477,exp_item,E477,exp_status,"&lt;&gt;❌ Отменено")&gt;0,1,0))</f>
        <v/>
      </c>
    </row>
    <row r="478">
      <c r="A478" s="52" t="n"/>
      <c r="B478" s="53">
        <f>IF(A478="","",CHOOSE(WEEKDAY(A478,2),"Пн","Вт","Ср","Чт","Пт","Сб","Вс"))</f>
        <v/>
      </c>
      <c r="C478" s="53">
        <f>IF(A478="","",YEAR(A478))</f>
        <v/>
      </c>
      <c r="D478" s="54">
        <f>IF(A478="","",INDEX(lst_months,MONTH(A478)))</f>
        <v/>
      </c>
      <c r="E478" s="55" t="n"/>
      <c r="F478" s="54">
        <f>IF(E478="","",IFERROR(IF(INDEX(lst_exp_item_cat,MATCH(E478,lst_exp_items,0))="","❔ Без категории",INDEX(lst_exp_item_cat,MATCH(E478,lst_exp_items,0))),"❔ Без категории"))</f>
        <v/>
      </c>
      <c r="G478" s="43" t="n"/>
      <c r="H478" s="56" t="n"/>
      <c r="I478" s="43" t="n"/>
      <c r="J478" s="57">
        <f>IF(OR(A478="",H478=""),"",IF(COUNTIFS(exp_year,C478,exp_month,D478,exp_item,E478,exp_status,"&lt;&gt;❌ Отменено")&gt;0,1,0))</f>
        <v/>
      </c>
    </row>
    <row r="479">
      <c r="A479" s="52" t="n"/>
      <c r="B479" s="53">
        <f>IF(A479="","",CHOOSE(WEEKDAY(A479,2),"Пн","Вт","Ср","Чт","Пт","Сб","Вс"))</f>
        <v/>
      </c>
      <c r="C479" s="53">
        <f>IF(A479="","",YEAR(A479))</f>
        <v/>
      </c>
      <c r="D479" s="54">
        <f>IF(A479="","",INDEX(lst_months,MONTH(A479)))</f>
        <v/>
      </c>
      <c r="E479" s="55" t="n"/>
      <c r="F479" s="54">
        <f>IF(E479="","",IFERROR(IF(INDEX(lst_exp_item_cat,MATCH(E479,lst_exp_items,0))="","❔ Без категории",INDEX(lst_exp_item_cat,MATCH(E479,lst_exp_items,0))),"❔ Без категории"))</f>
        <v/>
      </c>
      <c r="G479" s="43" t="n"/>
      <c r="H479" s="56" t="n"/>
      <c r="I479" s="43" t="n"/>
      <c r="J479" s="57">
        <f>IF(OR(A479="",H479=""),"",IF(COUNTIFS(exp_year,C479,exp_month,D479,exp_item,E479,exp_status,"&lt;&gt;❌ Отменено")&gt;0,1,0))</f>
        <v/>
      </c>
    </row>
    <row r="480">
      <c r="A480" s="52" t="n"/>
      <c r="B480" s="53">
        <f>IF(A480="","",CHOOSE(WEEKDAY(A480,2),"Пн","Вт","Ср","Чт","Пт","Сб","Вс"))</f>
        <v/>
      </c>
      <c r="C480" s="53">
        <f>IF(A480="","",YEAR(A480))</f>
        <v/>
      </c>
      <c r="D480" s="54">
        <f>IF(A480="","",INDEX(lst_months,MONTH(A480)))</f>
        <v/>
      </c>
      <c r="E480" s="55" t="n"/>
      <c r="F480" s="54">
        <f>IF(E480="","",IFERROR(IF(INDEX(lst_exp_item_cat,MATCH(E480,lst_exp_items,0))="","❔ Без категории",INDEX(lst_exp_item_cat,MATCH(E480,lst_exp_items,0))),"❔ Без категории"))</f>
        <v/>
      </c>
      <c r="G480" s="43" t="n"/>
      <c r="H480" s="56" t="n"/>
      <c r="I480" s="43" t="n"/>
      <c r="J480" s="57">
        <f>IF(OR(A480="",H480=""),"",IF(COUNTIFS(exp_year,C480,exp_month,D480,exp_item,E480,exp_status,"&lt;&gt;❌ Отменено")&gt;0,1,0))</f>
        <v/>
      </c>
    </row>
    <row r="481">
      <c r="A481" s="52" t="n"/>
      <c r="B481" s="53">
        <f>IF(A481="","",CHOOSE(WEEKDAY(A481,2),"Пн","Вт","Ср","Чт","Пт","Сб","Вс"))</f>
        <v/>
      </c>
      <c r="C481" s="53">
        <f>IF(A481="","",YEAR(A481))</f>
        <v/>
      </c>
      <c r="D481" s="54">
        <f>IF(A481="","",INDEX(lst_months,MONTH(A481)))</f>
        <v/>
      </c>
      <c r="E481" s="55" t="n"/>
      <c r="F481" s="54">
        <f>IF(E481="","",IFERROR(IF(INDEX(lst_exp_item_cat,MATCH(E481,lst_exp_items,0))="","❔ Без категории",INDEX(lst_exp_item_cat,MATCH(E481,lst_exp_items,0))),"❔ Без категории"))</f>
        <v/>
      </c>
      <c r="G481" s="43" t="n"/>
      <c r="H481" s="56" t="n"/>
      <c r="I481" s="43" t="n"/>
      <c r="J481" s="57">
        <f>IF(OR(A481="",H481=""),"",IF(COUNTIFS(exp_year,C481,exp_month,D481,exp_item,E481,exp_status,"&lt;&gt;❌ Отменено")&gt;0,1,0))</f>
        <v/>
      </c>
    </row>
    <row r="482">
      <c r="A482" s="52" t="n"/>
      <c r="B482" s="53">
        <f>IF(A482="","",CHOOSE(WEEKDAY(A482,2),"Пн","Вт","Ср","Чт","Пт","Сб","Вс"))</f>
        <v/>
      </c>
      <c r="C482" s="53">
        <f>IF(A482="","",YEAR(A482))</f>
        <v/>
      </c>
      <c r="D482" s="54">
        <f>IF(A482="","",INDEX(lst_months,MONTH(A482)))</f>
        <v/>
      </c>
      <c r="E482" s="55" t="n"/>
      <c r="F482" s="54">
        <f>IF(E482="","",IFERROR(IF(INDEX(lst_exp_item_cat,MATCH(E482,lst_exp_items,0))="","❔ Без категории",INDEX(lst_exp_item_cat,MATCH(E482,lst_exp_items,0))),"❔ Без категории"))</f>
        <v/>
      </c>
      <c r="G482" s="43" t="n"/>
      <c r="H482" s="56" t="n"/>
      <c r="I482" s="43" t="n"/>
      <c r="J482" s="57">
        <f>IF(OR(A482="",H482=""),"",IF(COUNTIFS(exp_year,C482,exp_month,D482,exp_item,E482,exp_status,"&lt;&gt;❌ Отменено")&gt;0,1,0))</f>
        <v/>
      </c>
    </row>
    <row r="483">
      <c r="A483" s="52" t="n"/>
      <c r="B483" s="53">
        <f>IF(A483="","",CHOOSE(WEEKDAY(A483,2),"Пн","Вт","Ср","Чт","Пт","Сб","Вс"))</f>
        <v/>
      </c>
      <c r="C483" s="53">
        <f>IF(A483="","",YEAR(A483))</f>
        <v/>
      </c>
      <c r="D483" s="54">
        <f>IF(A483="","",INDEX(lst_months,MONTH(A483)))</f>
        <v/>
      </c>
      <c r="E483" s="55" t="n"/>
      <c r="F483" s="54">
        <f>IF(E483="","",IFERROR(IF(INDEX(lst_exp_item_cat,MATCH(E483,lst_exp_items,0))="","❔ Без категории",INDEX(lst_exp_item_cat,MATCH(E483,lst_exp_items,0))),"❔ Без категории"))</f>
        <v/>
      </c>
      <c r="G483" s="43" t="n"/>
      <c r="H483" s="56" t="n"/>
      <c r="I483" s="43" t="n"/>
      <c r="J483" s="57">
        <f>IF(OR(A483="",H483=""),"",IF(COUNTIFS(exp_year,C483,exp_month,D483,exp_item,E483,exp_status,"&lt;&gt;❌ Отменено")&gt;0,1,0))</f>
        <v/>
      </c>
    </row>
    <row r="484">
      <c r="A484" s="52" t="n"/>
      <c r="B484" s="53">
        <f>IF(A484="","",CHOOSE(WEEKDAY(A484,2),"Пн","Вт","Ср","Чт","Пт","Сб","Вс"))</f>
        <v/>
      </c>
      <c r="C484" s="53">
        <f>IF(A484="","",YEAR(A484))</f>
        <v/>
      </c>
      <c r="D484" s="54">
        <f>IF(A484="","",INDEX(lst_months,MONTH(A484)))</f>
        <v/>
      </c>
      <c r="E484" s="55" t="n"/>
      <c r="F484" s="54">
        <f>IF(E484="","",IFERROR(IF(INDEX(lst_exp_item_cat,MATCH(E484,lst_exp_items,0))="","❔ Без категории",INDEX(lst_exp_item_cat,MATCH(E484,lst_exp_items,0))),"❔ Без категории"))</f>
        <v/>
      </c>
      <c r="G484" s="43" t="n"/>
      <c r="H484" s="56" t="n"/>
      <c r="I484" s="43" t="n"/>
      <c r="J484" s="57">
        <f>IF(OR(A484="",H484=""),"",IF(COUNTIFS(exp_year,C484,exp_month,D484,exp_item,E484,exp_status,"&lt;&gt;❌ Отменено")&gt;0,1,0))</f>
        <v/>
      </c>
    </row>
    <row r="485">
      <c r="A485" s="52" t="n"/>
      <c r="B485" s="53">
        <f>IF(A485="","",CHOOSE(WEEKDAY(A485,2),"Пн","Вт","Ср","Чт","Пт","Сб","Вс"))</f>
        <v/>
      </c>
      <c r="C485" s="53">
        <f>IF(A485="","",YEAR(A485))</f>
        <v/>
      </c>
      <c r="D485" s="54">
        <f>IF(A485="","",INDEX(lst_months,MONTH(A485)))</f>
        <v/>
      </c>
      <c r="E485" s="55" t="n"/>
      <c r="F485" s="54">
        <f>IF(E485="","",IFERROR(IF(INDEX(lst_exp_item_cat,MATCH(E485,lst_exp_items,0))="","❔ Без категории",INDEX(lst_exp_item_cat,MATCH(E485,lst_exp_items,0))),"❔ Без категории"))</f>
        <v/>
      </c>
      <c r="G485" s="43" t="n"/>
      <c r="H485" s="56" t="n"/>
      <c r="I485" s="43" t="n"/>
      <c r="J485" s="57">
        <f>IF(OR(A485="",H485=""),"",IF(COUNTIFS(exp_year,C485,exp_month,D485,exp_item,E485,exp_status,"&lt;&gt;❌ Отменено")&gt;0,1,0))</f>
        <v/>
      </c>
    </row>
    <row r="486">
      <c r="A486" s="52" t="n"/>
      <c r="B486" s="53">
        <f>IF(A486="","",CHOOSE(WEEKDAY(A486,2),"Пн","Вт","Ср","Чт","Пт","Сб","Вс"))</f>
        <v/>
      </c>
      <c r="C486" s="53">
        <f>IF(A486="","",YEAR(A486))</f>
        <v/>
      </c>
      <c r="D486" s="54">
        <f>IF(A486="","",INDEX(lst_months,MONTH(A486)))</f>
        <v/>
      </c>
      <c r="E486" s="55" t="n"/>
      <c r="F486" s="54">
        <f>IF(E486="","",IFERROR(IF(INDEX(lst_exp_item_cat,MATCH(E486,lst_exp_items,0))="","❔ Без категории",INDEX(lst_exp_item_cat,MATCH(E486,lst_exp_items,0))),"❔ Без категории"))</f>
        <v/>
      </c>
      <c r="G486" s="43" t="n"/>
      <c r="H486" s="56" t="n"/>
      <c r="I486" s="43" t="n"/>
      <c r="J486" s="57">
        <f>IF(OR(A486="",H486=""),"",IF(COUNTIFS(exp_year,C486,exp_month,D486,exp_item,E486,exp_status,"&lt;&gt;❌ Отменено")&gt;0,1,0))</f>
        <v/>
      </c>
    </row>
    <row r="487">
      <c r="A487" s="52" t="n"/>
      <c r="B487" s="53">
        <f>IF(A487="","",CHOOSE(WEEKDAY(A487,2),"Пн","Вт","Ср","Чт","Пт","Сб","Вс"))</f>
        <v/>
      </c>
      <c r="C487" s="53">
        <f>IF(A487="","",YEAR(A487))</f>
        <v/>
      </c>
      <c r="D487" s="54">
        <f>IF(A487="","",INDEX(lst_months,MONTH(A487)))</f>
        <v/>
      </c>
      <c r="E487" s="55" t="n"/>
      <c r="F487" s="54">
        <f>IF(E487="","",IFERROR(IF(INDEX(lst_exp_item_cat,MATCH(E487,lst_exp_items,0))="","❔ Без категории",INDEX(lst_exp_item_cat,MATCH(E487,lst_exp_items,0))),"❔ Без категории"))</f>
        <v/>
      </c>
      <c r="G487" s="43" t="n"/>
      <c r="H487" s="56" t="n"/>
      <c r="I487" s="43" t="n"/>
      <c r="J487" s="57">
        <f>IF(OR(A487="",H487=""),"",IF(COUNTIFS(exp_year,C487,exp_month,D487,exp_item,E487,exp_status,"&lt;&gt;❌ Отменено")&gt;0,1,0))</f>
        <v/>
      </c>
    </row>
    <row r="488">
      <c r="A488" s="52" t="n"/>
      <c r="B488" s="53">
        <f>IF(A488="","",CHOOSE(WEEKDAY(A488,2),"Пн","Вт","Ср","Чт","Пт","Сб","Вс"))</f>
        <v/>
      </c>
      <c r="C488" s="53">
        <f>IF(A488="","",YEAR(A488))</f>
        <v/>
      </c>
      <c r="D488" s="54">
        <f>IF(A488="","",INDEX(lst_months,MONTH(A488)))</f>
        <v/>
      </c>
      <c r="E488" s="55" t="n"/>
      <c r="F488" s="54">
        <f>IF(E488="","",IFERROR(IF(INDEX(lst_exp_item_cat,MATCH(E488,lst_exp_items,0))="","❔ Без категории",INDEX(lst_exp_item_cat,MATCH(E488,lst_exp_items,0))),"❔ Без категории"))</f>
        <v/>
      </c>
      <c r="G488" s="43" t="n"/>
      <c r="H488" s="56" t="n"/>
      <c r="I488" s="43" t="n"/>
      <c r="J488" s="57">
        <f>IF(OR(A488="",H488=""),"",IF(COUNTIFS(exp_year,C488,exp_month,D488,exp_item,E488,exp_status,"&lt;&gt;❌ Отменено")&gt;0,1,0))</f>
        <v/>
      </c>
    </row>
    <row r="489">
      <c r="A489" s="52" t="n"/>
      <c r="B489" s="53">
        <f>IF(A489="","",CHOOSE(WEEKDAY(A489,2),"Пн","Вт","Ср","Чт","Пт","Сб","Вс"))</f>
        <v/>
      </c>
      <c r="C489" s="53">
        <f>IF(A489="","",YEAR(A489))</f>
        <v/>
      </c>
      <c r="D489" s="54">
        <f>IF(A489="","",INDEX(lst_months,MONTH(A489)))</f>
        <v/>
      </c>
      <c r="E489" s="55" t="n"/>
      <c r="F489" s="54">
        <f>IF(E489="","",IFERROR(IF(INDEX(lst_exp_item_cat,MATCH(E489,lst_exp_items,0))="","❔ Без категории",INDEX(lst_exp_item_cat,MATCH(E489,lst_exp_items,0))),"❔ Без категории"))</f>
        <v/>
      </c>
      <c r="G489" s="43" t="n"/>
      <c r="H489" s="56" t="n"/>
      <c r="I489" s="43" t="n"/>
      <c r="J489" s="57">
        <f>IF(OR(A489="",H489=""),"",IF(COUNTIFS(exp_year,C489,exp_month,D489,exp_item,E489,exp_status,"&lt;&gt;❌ Отменено")&gt;0,1,0))</f>
        <v/>
      </c>
    </row>
    <row r="490">
      <c r="A490" s="52" t="n"/>
      <c r="B490" s="53">
        <f>IF(A490="","",CHOOSE(WEEKDAY(A490,2),"Пн","Вт","Ср","Чт","Пт","Сб","Вс"))</f>
        <v/>
      </c>
      <c r="C490" s="53">
        <f>IF(A490="","",YEAR(A490))</f>
        <v/>
      </c>
      <c r="D490" s="54">
        <f>IF(A490="","",INDEX(lst_months,MONTH(A490)))</f>
        <v/>
      </c>
      <c r="E490" s="55" t="n"/>
      <c r="F490" s="54">
        <f>IF(E490="","",IFERROR(IF(INDEX(lst_exp_item_cat,MATCH(E490,lst_exp_items,0))="","❔ Без категории",INDEX(lst_exp_item_cat,MATCH(E490,lst_exp_items,0))),"❔ Без категории"))</f>
        <v/>
      </c>
      <c r="G490" s="43" t="n"/>
      <c r="H490" s="56" t="n"/>
      <c r="I490" s="43" t="n"/>
      <c r="J490" s="57">
        <f>IF(OR(A490="",H490=""),"",IF(COUNTIFS(exp_year,C490,exp_month,D490,exp_item,E490,exp_status,"&lt;&gt;❌ Отменено")&gt;0,1,0))</f>
        <v/>
      </c>
    </row>
    <row r="491">
      <c r="A491" s="52" t="n"/>
      <c r="B491" s="53">
        <f>IF(A491="","",CHOOSE(WEEKDAY(A491,2),"Пн","Вт","Ср","Чт","Пт","Сб","Вс"))</f>
        <v/>
      </c>
      <c r="C491" s="53">
        <f>IF(A491="","",YEAR(A491))</f>
        <v/>
      </c>
      <c r="D491" s="54">
        <f>IF(A491="","",INDEX(lst_months,MONTH(A491)))</f>
        <v/>
      </c>
      <c r="E491" s="55" t="n"/>
      <c r="F491" s="54">
        <f>IF(E491="","",IFERROR(IF(INDEX(lst_exp_item_cat,MATCH(E491,lst_exp_items,0))="","❔ Без категории",INDEX(lst_exp_item_cat,MATCH(E491,lst_exp_items,0))),"❔ Без категории"))</f>
        <v/>
      </c>
      <c r="G491" s="43" t="n"/>
      <c r="H491" s="56" t="n"/>
      <c r="I491" s="43" t="n"/>
      <c r="J491" s="57">
        <f>IF(OR(A491="",H491=""),"",IF(COUNTIFS(exp_year,C491,exp_month,D491,exp_item,E491,exp_status,"&lt;&gt;❌ Отменено")&gt;0,1,0))</f>
        <v/>
      </c>
    </row>
    <row r="492">
      <c r="A492" s="52" t="n"/>
      <c r="B492" s="53">
        <f>IF(A492="","",CHOOSE(WEEKDAY(A492,2),"Пн","Вт","Ср","Чт","Пт","Сб","Вс"))</f>
        <v/>
      </c>
      <c r="C492" s="53">
        <f>IF(A492="","",YEAR(A492))</f>
        <v/>
      </c>
      <c r="D492" s="54">
        <f>IF(A492="","",INDEX(lst_months,MONTH(A492)))</f>
        <v/>
      </c>
      <c r="E492" s="55" t="n"/>
      <c r="F492" s="54">
        <f>IF(E492="","",IFERROR(IF(INDEX(lst_exp_item_cat,MATCH(E492,lst_exp_items,0))="","❔ Без категории",INDEX(lst_exp_item_cat,MATCH(E492,lst_exp_items,0))),"❔ Без категории"))</f>
        <v/>
      </c>
      <c r="G492" s="43" t="n"/>
      <c r="H492" s="56" t="n"/>
      <c r="I492" s="43" t="n"/>
      <c r="J492" s="57">
        <f>IF(OR(A492="",H492=""),"",IF(COUNTIFS(exp_year,C492,exp_month,D492,exp_item,E492,exp_status,"&lt;&gt;❌ Отменено")&gt;0,1,0))</f>
        <v/>
      </c>
    </row>
    <row r="493">
      <c r="A493" s="52" t="n"/>
      <c r="B493" s="53">
        <f>IF(A493="","",CHOOSE(WEEKDAY(A493,2),"Пн","Вт","Ср","Чт","Пт","Сб","Вс"))</f>
        <v/>
      </c>
      <c r="C493" s="53">
        <f>IF(A493="","",YEAR(A493))</f>
        <v/>
      </c>
      <c r="D493" s="54">
        <f>IF(A493="","",INDEX(lst_months,MONTH(A493)))</f>
        <v/>
      </c>
      <c r="E493" s="55" t="n"/>
      <c r="F493" s="54">
        <f>IF(E493="","",IFERROR(IF(INDEX(lst_exp_item_cat,MATCH(E493,lst_exp_items,0))="","❔ Без категории",INDEX(lst_exp_item_cat,MATCH(E493,lst_exp_items,0))),"❔ Без категории"))</f>
        <v/>
      </c>
      <c r="G493" s="43" t="n"/>
      <c r="H493" s="56" t="n"/>
      <c r="I493" s="43" t="n"/>
      <c r="J493" s="57">
        <f>IF(OR(A493="",H493=""),"",IF(COUNTIFS(exp_year,C493,exp_month,D493,exp_item,E493,exp_status,"&lt;&gt;❌ Отменено")&gt;0,1,0))</f>
        <v/>
      </c>
    </row>
    <row r="494">
      <c r="A494" s="52" t="n"/>
      <c r="B494" s="53">
        <f>IF(A494="","",CHOOSE(WEEKDAY(A494,2),"Пн","Вт","Ср","Чт","Пт","Сб","Вс"))</f>
        <v/>
      </c>
      <c r="C494" s="53">
        <f>IF(A494="","",YEAR(A494))</f>
        <v/>
      </c>
      <c r="D494" s="54">
        <f>IF(A494="","",INDEX(lst_months,MONTH(A494)))</f>
        <v/>
      </c>
      <c r="E494" s="55" t="n"/>
      <c r="F494" s="54">
        <f>IF(E494="","",IFERROR(IF(INDEX(lst_exp_item_cat,MATCH(E494,lst_exp_items,0))="","❔ Без категории",INDEX(lst_exp_item_cat,MATCH(E494,lst_exp_items,0))),"❔ Без категории"))</f>
        <v/>
      </c>
      <c r="G494" s="43" t="n"/>
      <c r="H494" s="56" t="n"/>
      <c r="I494" s="43" t="n"/>
      <c r="J494" s="57">
        <f>IF(OR(A494="",H494=""),"",IF(COUNTIFS(exp_year,C494,exp_month,D494,exp_item,E494,exp_status,"&lt;&gt;❌ Отменено")&gt;0,1,0))</f>
        <v/>
      </c>
    </row>
    <row r="495">
      <c r="A495" s="52" t="n"/>
      <c r="B495" s="53">
        <f>IF(A495="","",CHOOSE(WEEKDAY(A495,2),"Пн","Вт","Ср","Чт","Пт","Сб","Вс"))</f>
        <v/>
      </c>
      <c r="C495" s="53">
        <f>IF(A495="","",YEAR(A495))</f>
        <v/>
      </c>
      <c r="D495" s="54">
        <f>IF(A495="","",INDEX(lst_months,MONTH(A495)))</f>
        <v/>
      </c>
      <c r="E495" s="55" t="n"/>
      <c r="F495" s="54">
        <f>IF(E495="","",IFERROR(IF(INDEX(lst_exp_item_cat,MATCH(E495,lst_exp_items,0))="","❔ Без категории",INDEX(lst_exp_item_cat,MATCH(E495,lst_exp_items,0))),"❔ Без категории"))</f>
        <v/>
      </c>
      <c r="G495" s="43" t="n"/>
      <c r="H495" s="56" t="n"/>
      <c r="I495" s="43" t="n"/>
      <c r="J495" s="57">
        <f>IF(OR(A495="",H495=""),"",IF(COUNTIFS(exp_year,C495,exp_month,D495,exp_item,E495,exp_status,"&lt;&gt;❌ Отменено")&gt;0,1,0))</f>
        <v/>
      </c>
    </row>
    <row r="496">
      <c r="A496" s="52" t="n"/>
      <c r="B496" s="53">
        <f>IF(A496="","",CHOOSE(WEEKDAY(A496,2),"Пн","Вт","Ср","Чт","Пт","Сб","Вс"))</f>
        <v/>
      </c>
      <c r="C496" s="53">
        <f>IF(A496="","",YEAR(A496))</f>
        <v/>
      </c>
      <c r="D496" s="54">
        <f>IF(A496="","",INDEX(lst_months,MONTH(A496)))</f>
        <v/>
      </c>
      <c r="E496" s="55" t="n"/>
      <c r="F496" s="54">
        <f>IF(E496="","",IFERROR(IF(INDEX(lst_exp_item_cat,MATCH(E496,lst_exp_items,0))="","❔ Без категории",INDEX(lst_exp_item_cat,MATCH(E496,lst_exp_items,0))),"❔ Без категории"))</f>
        <v/>
      </c>
      <c r="G496" s="43" t="n"/>
      <c r="H496" s="56" t="n"/>
      <c r="I496" s="43" t="n"/>
      <c r="J496" s="57">
        <f>IF(OR(A496="",H496=""),"",IF(COUNTIFS(exp_year,C496,exp_month,D496,exp_item,E496,exp_status,"&lt;&gt;❌ Отменено")&gt;0,1,0))</f>
        <v/>
      </c>
    </row>
    <row r="497">
      <c r="A497" s="52" t="n"/>
      <c r="B497" s="53">
        <f>IF(A497="","",CHOOSE(WEEKDAY(A497,2),"Пн","Вт","Ср","Чт","Пт","Сб","Вс"))</f>
        <v/>
      </c>
      <c r="C497" s="53">
        <f>IF(A497="","",YEAR(A497))</f>
        <v/>
      </c>
      <c r="D497" s="54">
        <f>IF(A497="","",INDEX(lst_months,MONTH(A497)))</f>
        <v/>
      </c>
      <c r="E497" s="55" t="n"/>
      <c r="F497" s="54">
        <f>IF(E497="","",IFERROR(IF(INDEX(lst_exp_item_cat,MATCH(E497,lst_exp_items,0))="","❔ Без категории",INDEX(lst_exp_item_cat,MATCH(E497,lst_exp_items,0))),"❔ Без категории"))</f>
        <v/>
      </c>
      <c r="G497" s="43" t="n"/>
      <c r="H497" s="56" t="n"/>
      <c r="I497" s="43" t="n"/>
      <c r="J497" s="57">
        <f>IF(OR(A497="",H497=""),"",IF(COUNTIFS(exp_year,C497,exp_month,D497,exp_item,E497,exp_status,"&lt;&gt;❌ Отменено")&gt;0,1,0))</f>
        <v/>
      </c>
    </row>
    <row r="498">
      <c r="A498" s="52" t="n"/>
      <c r="B498" s="53">
        <f>IF(A498="","",CHOOSE(WEEKDAY(A498,2),"Пн","Вт","Ср","Чт","Пт","Сб","Вс"))</f>
        <v/>
      </c>
      <c r="C498" s="53">
        <f>IF(A498="","",YEAR(A498))</f>
        <v/>
      </c>
      <c r="D498" s="54">
        <f>IF(A498="","",INDEX(lst_months,MONTH(A498)))</f>
        <v/>
      </c>
      <c r="E498" s="55" t="n"/>
      <c r="F498" s="54">
        <f>IF(E498="","",IFERROR(IF(INDEX(lst_exp_item_cat,MATCH(E498,lst_exp_items,0))="","❔ Без категории",INDEX(lst_exp_item_cat,MATCH(E498,lst_exp_items,0))),"❔ Без категории"))</f>
        <v/>
      </c>
      <c r="G498" s="43" t="n"/>
      <c r="H498" s="56" t="n"/>
      <c r="I498" s="43" t="n"/>
      <c r="J498" s="57">
        <f>IF(OR(A498="",H498=""),"",IF(COUNTIFS(exp_year,C498,exp_month,D498,exp_item,E498,exp_status,"&lt;&gt;❌ Отменено")&gt;0,1,0))</f>
        <v/>
      </c>
    </row>
    <row r="499">
      <c r="A499" s="52" t="n"/>
      <c r="B499" s="53">
        <f>IF(A499="","",CHOOSE(WEEKDAY(A499,2),"Пн","Вт","Ср","Чт","Пт","Сб","Вс"))</f>
        <v/>
      </c>
      <c r="C499" s="53">
        <f>IF(A499="","",YEAR(A499))</f>
        <v/>
      </c>
      <c r="D499" s="54">
        <f>IF(A499="","",INDEX(lst_months,MONTH(A499)))</f>
        <v/>
      </c>
      <c r="E499" s="55" t="n"/>
      <c r="F499" s="54">
        <f>IF(E499="","",IFERROR(IF(INDEX(lst_exp_item_cat,MATCH(E499,lst_exp_items,0))="","❔ Без категории",INDEX(lst_exp_item_cat,MATCH(E499,lst_exp_items,0))),"❔ Без категории"))</f>
        <v/>
      </c>
      <c r="G499" s="43" t="n"/>
      <c r="H499" s="56" t="n"/>
      <c r="I499" s="43" t="n"/>
      <c r="J499" s="57">
        <f>IF(OR(A499="",H499=""),"",IF(COUNTIFS(exp_year,C499,exp_month,D499,exp_item,E499,exp_status,"&lt;&gt;❌ Отменено")&gt;0,1,0))</f>
        <v/>
      </c>
    </row>
    <row r="500">
      <c r="A500" s="52" t="n"/>
      <c r="B500" s="53">
        <f>IF(A500="","",CHOOSE(WEEKDAY(A500,2),"Пн","Вт","Ср","Чт","Пт","Сб","Вс"))</f>
        <v/>
      </c>
      <c r="C500" s="53">
        <f>IF(A500="","",YEAR(A500))</f>
        <v/>
      </c>
      <c r="D500" s="54">
        <f>IF(A500="","",INDEX(lst_months,MONTH(A500)))</f>
        <v/>
      </c>
      <c r="E500" s="55" t="n"/>
      <c r="F500" s="54">
        <f>IF(E500="","",IFERROR(IF(INDEX(lst_exp_item_cat,MATCH(E500,lst_exp_items,0))="","❔ Без категории",INDEX(lst_exp_item_cat,MATCH(E500,lst_exp_items,0))),"❔ Без категории"))</f>
        <v/>
      </c>
      <c r="G500" s="43" t="n"/>
      <c r="H500" s="56" t="n"/>
      <c r="I500" s="43" t="n"/>
      <c r="J500" s="57">
        <f>IF(OR(A500="",H500=""),"",IF(COUNTIFS(exp_year,C500,exp_month,D500,exp_item,E500,exp_status,"&lt;&gt;❌ Отменено")&gt;0,1,0))</f>
        <v/>
      </c>
    </row>
    <row r="501">
      <c r="A501" s="52" t="n"/>
      <c r="B501" s="53">
        <f>IF(A501="","",CHOOSE(WEEKDAY(A501,2),"Пн","Вт","Ср","Чт","Пт","Сб","Вс"))</f>
        <v/>
      </c>
      <c r="C501" s="53">
        <f>IF(A501="","",YEAR(A501))</f>
        <v/>
      </c>
      <c r="D501" s="54">
        <f>IF(A501="","",INDEX(lst_months,MONTH(A501)))</f>
        <v/>
      </c>
      <c r="E501" s="55" t="n"/>
      <c r="F501" s="54">
        <f>IF(E501="","",IFERROR(IF(INDEX(lst_exp_item_cat,MATCH(E501,lst_exp_items,0))="","❔ Без категории",INDEX(lst_exp_item_cat,MATCH(E501,lst_exp_items,0))),"❔ Без категории"))</f>
        <v/>
      </c>
      <c r="G501" s="43" t="n"/>
      <c r="H501" s="56" t="n"/>
      <c r="I501" s="43" t="n"/>
      <c r="J501" s="57">
        <f>IF(OR(A501="",H501=""),"",IF(COUNTIFS(exp_year,C501,exp_month,D501,exp_item,E501,exp_status,"&lt;&gt;❌ Отменено")&gt;0,1,0))</f>
        <v/>
      </c>
    </row>
    <row r="502">
      <c r="A502" s="52" t="n"/>
      <c r="B502" s="53">
        <f>IF(A502="","",CHOOSE(WEEKDAY(A502,2),"Пн","Вт","Ср","Чт","Пт","Сб","Вс"))</f>
        <v/>
      </c>
      <c r="C502" s="53">
        <f>IF(A502="","",YEAR(A502))</f>
        <v/>
      </c>
      <c r="D502" s="54">
        <f>IF(A502="","",INDEX(lst_months,MONTH(A502)))</f>
        <v/>
      </c>
      <c r="E502" s="55" t="n"/>
      <c r="F502" s="54">
        <f>IF(E502="","",IFERROR(IF(INDEX(lst_exp_item_cat,MATCH(E502,lst_exp_items,0))="","❔ Без категории",INDEX(lst_exp_item_cat,MATCH(E502,lst_exp_items,0))),"❔ Без категории"))</f>
        <v/>
      </c>
      <c r="G502" s="43" t="n"/>
      <c r="H502" s="56" t="n"/>
      <c r="I502" s="43" t="n"/>
      <c r="J502" s="57">
        <f>IF(OR(A502="",H502=""),"",IF(COUNTIFS(exp_year,C502,exp_month,D502,exp_item,E502,exp_status,"&lt;&gt;❌ Отменено")&gt;0,1,0))</f>
        <v/>
      </c>
    </row>
    <row r="503">
      <c r="A503" s="52" t="n"/>
      <c r="B503" s="53">
        <f>IF(A503="","",CHOOSE(WEEKDAY(A503,2),"Пн","Вт","Ср","Чт","Пт","Сб","Вс"))</f>
        <v/>
      </c>
      <c r="C503" s="53">
        <f>IF(A503="","",YEAR(A503))</f>
        <v/>
      </c>
      <c r="D503" s="54">
        <f>IF(A503="","",INDEX(lst_months,MONTH(A503)))</f>
        <v/>
      </c>
      <c r="E503" s="55" t="n"/>
      <c r="F503" s="54">
        <f>IF(E503="","",IFERROR(IF(INDEX(lst_exp_item_cat,MATCH(E503,lst_exp_items,0))="","❔ Без категории",INDEX(lst_exp_item_cat,MATCH(E503,lst_exp_items,0))),"❔ Без категории"))</f>
        <v/>
      </c>
      <c r="G503" s="43" t="n"/>
      <c r="H503" s="56" t="n"/>
      <c r="I503" s="43" t="n"/>
      <c r="J503" s="57">
        <f>IF(OR(A503="",H503=""),"",IF(COUNTIFS(exp_year,C503,exp_month,D503,exp_item,E503,exp_status,"&lt;&gt;❌ Отменено")&gt;0,1,0))</f>
        <v/>
      </c>
    </row>
    <row r="504">
      <c r="A504" s="52" t="n"/>
      <c r="B504" s="53">
        <f>IF(A504="","",CHOOSE(WEEKDAY(A504,2),"Пн","Вт","Ср","Чт","Пт","Сб","Вс"))</f>
        <v/>
      </c>
      <c r="C504" s="53">
        <f>IF(A504="","",YEAR(A504))</f>
        <v/>
      </c>
      <c r="D504" s="54">
        <f>IF(A504="","",INDEX(lst_months,MONTH(A504)))</f>
        <v/>
      </c>
      <c r="E504" s="55" t="n"/>
      <c r="F504" s="54">
        <f>IF(E504="","",IFERROR(IF(INDEX(lst_exp_item_cat,MATCH(E504,lst_exp_items,0))="","❔ Без категории",INDEX(lst_exp_item_cat,MATCH(E504,lst_exp_items,0))),"❔ Без категории"))</f>
        <v/>
      </c>
      <c r="G504" s="43" t="n"/>
      <c r="H504" s="56" t="n"/>
      <c r="I504" s="43" t="n"/>
      <c r="J504" s="57">
        <f>IF(OR(A504="",H504=""),"",IF(COUNTIFS(exp_year,C504,exp_month,D504,exp_item,E504,exp_status,"&lt;&gt;❌ Отменено")&gt;0,1,0))</f>
        <v/>
      </c>
    </row>
    <row r="505">
      <c r="A505" s="52" t="n"/>
      <c r="B505" s="53">
        <f>IF(A505="","",CHOOSE(WEEKDAY(A505,2),"Пн","Вт","Ср","Чт","Пт","Сб","Вс"))</f>
        <v/>
      </c>
      <c r="C505" s="53">
        <f>IF(A505="","",YEAR(A505))</f>
        <v/>
      </c>
      <c r="D505" s="54">
        <f>IF(A505="","",INDEX(lst_months,MONTH(A505)))</f>
        <v/>
      </c>
      <c r="E505" s="55" t="n"/>
      <c r="F505" s="54">
        <f>IF(E505="","",IFERROR(IF(INDEX(lst_exp_item_cat,MATCH(E505,lst_exp_items,0))="","❔ Без категории",INDEX(lst_exp_item_cat,MATCH(E505,lst_exp_items,0))),"❔ Без категории"))</f>
        <v/>
      </c>
      <c r="G505" s="43" t="n"/>
      <c r="H505" s="56" t="n"/>
      <c r="I505" s="43" t="n"/>
      <c r="J505" s="57">
        <f>IF(OR(A505="",H505=""),"",IF(COUNTIFS(exp_year,C505,exp_month,D505,exp_item,E505,exp_status,"&lt;&gt;❌ Отменено")&gt;0,1,0))</f>
        <v/>
      </c>
    </row>
    <row r="506">
      <c r="A506" s="52" t="n"/>
      <c r="B506" s="53">
        <f>IF(A506="","",CHOOSE(WEEKDAY(A506,2),"Пн","Вт","Ср","Чт","Пт","Сб","Вс"))</f>
        <v/>
      </c>
      <c r="C506" s="53">
        <f>IF(A506="","",YEAR(A506))</f>
        <v/>
      </c>
      <c r="D506" s="54">
        <f>IF(A506="","",INDEX(lst_months,MONTH(A506)))</f>
        <v/>
      </c>
      <c r="E506" s="55" t="n"/>
      <c r="F506" s="54">
        <f>IF(E506="","",IFERROR(IF(INDEX(lst_exp_item_cat,MATCH(E506,lst_exp_items,0))="","❔ Без категории",INDEX(lst_exp_item_cat,MATCH(E506,lst_exp_items,0))),"❔ Без категории"))</f>
        <v/>
      </c>
      <c r="G506" s="43" t="n"/>
      <c r="H506" s="56" t="n"/>
      <c r="I506" s="43" t="n"/>
      <c r="J506" s="57">
        <f>IF(OR(A506="",H506=""),"",IF(COUNTIFS(exp_year,C506,exp_month,D506,exp_item,E506,exp_status,"&lt;&gt;❌ Отменено")&gt;0,1,0))</f>
        <v/>
      </c>
    </row>
    <row r="507">
      <c r="A507" s="52" t="n"/>
      <c r="B507" s="53">
        <f>IF(A507="","",CHOOSE(WEEKDAY(A507,2),"Пн","Вт","Ср","Чт","Пт","Сб","Вс"))</f>
        <v/>
      </c>
      <c r="C507" s="53">
        <f>IF(A507="","",YEAR(A507))</f>
        <v/>
      </c>
      <c r="D507" s="54">
        <f>IF(A507="","",INDEX(lst_months,MONTH(A507)))</f>
        <v/>
      </c>
      <c r="E507" s="55" t="n"/>
      <c r="F507" s="54">
        <f>IF(E507="","",IFERROR(IF(INDEX(lst_exp_item_cat,MATCH(E507,lst_exp_items,0))="","❔ Без категории",INDEX(lst_exp_item_cat,MATCH(E507,lst_exp_items,0))),"❔ Без категории"))</f>
        <v/>
      </c>
      <c r="G507" s="43" t="n"/>
      <c r="H507" s="56" t="n"/>
      <c r="I507" s="43" t="n"/>
      <c r="J507" s="57">
        <f>IF(OR(A507="",H507=""),"",IF(COUNTIFS(exp_year,C507,exp_month,D507,exp_item,E507,exp_status,"&lt;&gt;❌ Отменено")&gt;0,1,0))</f>
        <v/>
      </c>
    </row>
    <row r="508">
      <c r="A508" s="52" t="n"/>
      <c r="B508" s="53">
        <f>IF(A508="","",CHOOSE(WEEKDAY(A508,2),"Пн","Вт","Ср","Чт","Пт","Сб","Вс"))</f>
        <v/>
      </c>
      <c r="C508" s="53">
        <f>IF(A508="","",YEAR(A508))</f>
        <v/>
      </c>
      <c r="D508" s="54">
        <f>IF(A508="","",INDEX(lst_months,MONTH(A508)))</f>
        <v/>
      </c>
      <c r="E508" s="55" t="n"/>
      <c r="F508" s="54">
        <f>IF(E508="","",IFERROR(IF(INDEX(lst_exp_item_cat,MATCH(E508,lst_exp_items,0))="","❔ Без категории",INDEX(lst_exp_item_cat,MATCH(E508,lst_exp_items,0))),"❔ Без категории"))</f>
        <v/>
      </c>
      <c r="G508" s="43" t="n"/>
      <c r="H508" s="56" t="n"/>
      <c r="I508" s="43" t="n"/>
      <c r="J508" s="57">
        <f>IF(OR(A508="",H508=""),"",IF(COUNTIFS(exp_year,C508,exp_month,D508,exp_item,E508,exp_status,"&lt;&gt;❌ Отменено")&gt;0,1,0))</f>
        <v/>
      </c>
    </row>
    <row r="509">
      <c r="A509" s="52" t="n"/>
      <c r="B509" s="53">
        <f>IF(A509="","",CHOOSE(WEEKDAY(A509,2),"Пн","Вт","Ср","Чт","Пт","Сб","Вс"))</f>
        <v/>
      </c>
      <c r="C509" s="53">
        <f>IF(A509="","",YEAR(A509))</f>
        <v/>
      </c>
      <c r="D509" s="54">
        <f>IF(A509="","",INDEX(lst_months,MONTH(A509)))</f>
        <v/>
      </c>
      <c r="E509" s="55" t="n"/>
      <c r="F509" s="54">
        <f>IF(E509="","",IFERROR(IF(INDEX(lst_exp_item_cat,MATCH(E509,lst_exp_items,0))="","❔ Без категории",INDEX(lst_exp_item_cat,MATCH(E509,lst_exp_items,0))),"❔ Без категории"))</f>
        <v/>
      </c>
      <c r="G509" s="43" t="n"/>
      <c r="H509" s="56" t="n"/>
      <c r="I509" s="43" t="n"/>
      <c r="J509" s="57">
        <f>IF(OR(A509="",H509=""),"",IF(COUNTIFS(exp_year,C509,exp_month,D509,exp_item,E509,exp_status,"&lt;&gt;❌ Отменено")&gt;0,1,0))</f>
        <v/>
      </c>
    </row>
    <row r="510">
      <c r="A510" s="52" t="n"/>
      <c r="B510" s="53">
        <f>IF(A510="","",CHOOSE(WEEKDAY(A510,2),"Пн","Вт","Ср","Чт","Пт","Сб","Вс"))</f>
        <v/>
      </c>
      <c r="C510" s="53">
        <f>IF(A510="","",YEAR(A510))</f>
        <v/>
      </c>
      <c r="D510" s="54">
        <f>IF(A510="","",INDEX(lst_months,MONTH(A510)))</f>
        <v/>
      </c>
      <c r="E510" s="55" t="n"/>
      <c r="F510" s="54">
        <f>IF(E510="","",IFERROR(IF(INDEX(lst_exp_item_cat,MATCH(E510,lst_exp_items,0))="","❔ Без категории",INDEX(lst_exp_item_cat,MATCH(E510,lst_exp_items,0))),"❔ Без категории"))</f>
        <v/>
      </c>
      <c r="G510" s="43" t="n"/>
      <c r="H510" s="56" t="n"/>
      <c r="I510" s="43" t="n"/>
      <c r="J510" s="57">
        <f>IF(OR(A510="",H510=""),"",IF(COUNTIFS(exp_year,C510,exp_month,D510,exp_item,E510,exp_status,"&lt;&gt;❌ Отменено")&gt;0,1,0))</f>
        <v/>
      </c>
    </row>
    <row r="511">
      <c r="A511" s="52" t="n"/>
      <c r="B511" s="53">
        <f>IF(A511="","",CHOOSE(WEEKDAY(A511,2),"Пн","Вт","Ср","Чт","Пт","Сб","Вс"))</f>
        <v/>
      </c>
      <c r="C511" s="53">
        <f>IF(A511="","",YEAR(A511))</f>
        <v/>
      </c>
      <c r="D511" s="54">
        <f>IF(A511="","",INDEX(lst_months,MONTH(A511)))</f>
        <v/>
      </c>
      <c r="E511" s="55" t="n"/>
      <c r="F511" s="54">
        <f>IF(E511="","",IFERROR(IF(INDEX(lst_exp_item_cat,MATCH(E511,lst_exp_items,0))="","❔ Без категории",INDEX(lst_exp_item_cat,MATCH(E511,lst_exp_items,0))),"❔ Без категории"))</f>
        <v/>
      </c>
      <c r="G511" s="43" t="n"/>
      <c r="H511" s="56" t="n"/>
      <c r="I511" s="43" t="n"/>
      <c r="J511" s="57">
        <f>IF(OR(A511="",H511=""),"",IF(COUNTIFS(exp_year,C511,exp_month,D511,exp_item,E511,exp_status,"&lt;&gt;❌ Отменено")&gt;0,1,0))</f>
        <v/>
      </c>
    </row>
    <row r="512">
      <c r="A512" s="52" t="n"/>
      <c r="B512" s="53">
        <f>IF(A512="","",CHOOSE(WEEKDAY(A512,2),"Пн","Вт","Ср","Чт","Пт","Сб","Вс"))</f>
        <v/>
      </c>
      <c r="C512" s="53">
        <f>IF(A512="","",YEAR(A512))</f>
        <v/>
      </c>
      <c r="D512" s="54">
        <f>IF(A512="","",INDEX(lst_months,MONTH(A512)))</f>
        <v/>
      </c>
      <c r="E512" s="55" t="n"/>
      <c r="F512" s="54">
        <f>IF(E512="","",IFERROR(IF(INDEX(lst_exp_item_cat,MATCH(E512,lst_exp_items,0))="","❔ Без категории",INDEX(lst_exp_item_cat,MATCH(E512,lst_exp_items,0))),"❔ Без категории"))</f>
        <v/>
      </c>
      <c r="G512" s="43" t="n"/>
      <c r="H512" s="56" t="n"/>
      <c r="I512" s="43" t="n"/>
      <c r="J512" s="57">
        <f>IF(OR(A512="",H512=""),"",IF(COUNTIFS(exp_year,C512,exp_month,D512,exp_item,E512,exp_status,"&lt;&gt;❌ Отменено")&gt;0,1,0))</f>
        <v/>
      </c>
    </row>
    <row r="513">
      <c r="A513" s="52" t="n"/>
      <c r="B513" s="53">
        <f>IF(A513="","",CHOOSE(WEEKDAY(A513,2),"Пн","Вт","Ср","Чт","Пт","Сб","Вс"))</f>
        <v/>
      </c>
      <c r="C513" s="53">
        <f>IF(A513="","",YEAR(A513))</f>
        <v/>
      </c>
      <c r="D513" s="54">
        <f>IF(A513="","",INDEX(lst_months,MONTH(A513)))</f>
        <v/>
      </c>
      <c r="E513" s="55" t="n"/>
      <c r="F513" s="54">
        <f>IF(E513="","",IFERROR(IF(INDEX(lst_exp_item_cat,MATCH(E513,lst_exp_items,0))="","❔ Без категории",INDEX(lst_exp_item_cat,MATCH(E513,lst_exp_items,0))),"❔ Без категории"))</f>
        <v/>
      </c>
      <c r="G513" s="43" t="n"/>
      <c r="H513" s="56" t="n"/>
      <c r="I513" s="43" t="n"/>
      <c r="J513" s="57">
        <f>IF(OR(A513="",H513=""),"",IF(COUNTIFS(exp_year,C513,exp_month,D513,exp_item,E513,exp_status,"&lt;&gt;❌ Отменено")&gt;0,1,0))</f>
        <v/>
      </c>
    </row>
    <row r="514">
      <c r="A514" s="52" t="n"/>
      <c r="B514" s="53">
        <f>IF(A514="","",CHOOSE(WEEKDAY(A514,2),"Пн","Вт","Ср","Чт","Пт","Сб","Вс"))</f>
        <v/>
      </c>
      <c r="C514" s="53">
        <f>IF(A514="","",YEAR(A514))</f>
        <v/>
      </c>
      <c r="D514" s="54">
        <f>IF(A514="","",INDEX(lst_months,MONTH(A514)))</f>
        <v/>
      </c>
      <c r="E514" s="55" t="n"/>
      <c r="F514" s="54">
        <f>IF(E514="","",IFERROR(IF(INDEX(lst_exp_item_cat,MATCH(E514,lst_exp_items,0))="","❔ Без категории",INDEX(lst_exp_item_cat,MATCH(E514,lst_exp_items,0))),"❔ Без категории"))</f>
        <v/>
      </c>
      <c r="G514" s="43" t="n"/>
      <c r="H514" s="56" t="n"/>
      <c r="I514" s="43" t="n"/>
      <c r="J514" s="57">
        <f>IF(OR(A514="",H514=""),"",IF(COUNTIFS(exp_year,C514,exp_month,D514,exp_item,E514,exp_status,"&lt;&gt;❌ Отменено")&gt;0,1,0))</f>
        <v/>
      </c>
    </row>
    <row r="515">
      <c r="A515" s="52" t="n"/>
      <c r="B515" s="53">
        <f>IF(A515="","",CHOOSE(WEEKDAY(A515,2),"Пн","Вт","Ср","Чт","Пт","Сб","Вс"))</f>
        <v/>
      </c>
      <c r="C515" s="53">
        <f>IF(A515="","",YEAR(A515))</f>
        <v/>
      </c>
      <c r="D515" s="54">
        <f>IF(A515="","",INDEX(lst_months,MONTH(A515)))</f>
        <v/>
      </c>
      <c r="E515" s="55" t="n"/>
      <c r="F515" s="54">
        <f>IF(E515="","",IFERROR(IF(INDEX(lst_exp_item_cat,MATCH(E515,lst_exp_items,0))="","❔ Без категории",INDEX(lst_exp_item_cat,MATCH(E515,lst_exp_items,0))),"❔ Без категории"))</f>
        <v/>
      </c>
      <c r="G515" s="43" t="n"/>
      <c r="H515" s="56" t="n"/>
      <c r="I515" s="43" t="n"/>
      <c r="J515" s="57">
        <f>IF(OR(A515="",H515=""),"",IF(COUNTIFS(exp_year,C515,exp_month,D515,exp_item,E515,exp_status,"&lt;&gt;❌ Отменено")&gt;0,1,0))</f>
        <v/>
      </c>
    </row>
    <row r="516">
      <c r="A516" s="52" t="n"/>
      <c r="B516" s="53">
        <f>IF(A516="","",CHOOSE(WEEKDAY(A516,2),"Пн","Вт","Ср","Чт","Пт","Сб","Вс"))</f>
        <v/>
      </c>
      <c r="C516" s="53">
        <f>IF(A516="","",YEAR(A516))</f>
        <v/>
      </c>
      <c r="D516" s="54">
        <f>IF(A516="","",INDEX(lst_months,MONTH(A516)))</f>
        <v/>
      </c>
      <c r="E516" s="55" t="n"/>
      <c r="F516" s="54">
        <f>IF(E516="","",IFERROR(IF(INDEX(lst_exp_item_cat,MATCH(E516,lst_exp_items,0))="","❔ Без категории",INDEX(lst_exp_item_cat,MATCH(E516,lst_exp_items,0))),"❔ Без категории"))</f>
        <v/>
      </c>
      <c r="G516" s="43" t="n"/>
      <c r="H516" s="56" t="n"/>
      <c r="I516" s="43" t="n"/>
      <c r="J516" s="57">
        <f>IF(OR(A516="",H516=""),"",IF(COUNTIFS(exp_year,C516,exp_month,D516,exp_item,E516,exp_status,"&lt;&gt;❌ Отменено")&gt;0,1,0))</f>
        <v/>
      </c>
    </row>
    <row r="517">
      <c r="A517" s="52" t="n"/>
      <c r="B517" s="53">
        <f>IF(A517="","",CHOOSE(WEEKDAY(A517,2),"Пн","Вт","Ср","Чт","Пт","Сб","Вс"))</f>
        <v/>
      </c>
      <c r="C517" s="53">
        <f>IF(A517="","",YEAR(A517))</f>
        <v/>
      </c>
      <c r="D517" s="54">
        <f>IF(A517="","",INDEX(lst_months,MONTH(A517)))</f>
        <v/>
      </c>
      <c r="E517" s="55" t="n"/>
      <c r="F517" s="54">
        <f>IF(E517="","",IFERROR(IF(INDEX(lst_exp_item_cat,MATCH(E517,lst_exp_items,0))="","❔ Без категории",INDEX(lst_exp_item_cat,MATCH(E517,lst_exp_items,0))),"❔ Без категории"))</f>
        <v/>
      </c>
      <c r="G517" s="43" t="n"/>
      <c r="H517" s="56" t="n"/>
      <c r="I517" s="43" t="n"/>
      <c r="J517" s="57">
        <f>IF(OR(A517="",H517=""),"",IF(COUNTIFS(exp_year,C517,exp_month,D517,exp_item,E517,exp_status,"&lt;&gt;❌ Отменено")&gt;0,1,0))</f>
        <v/>
      </c>
    </row>
    <row r="518">
      <c r="A518" s="52" t="n"/>
      <c r="B518" s="53">
        <f>IF(A518="","",CHOOSE(WEEKDAY(A518,2),"Пн","Вт","Ср","Чт","Пт","Сб","Вс"))</f>
        <v/>
      </c>
      <c r="C518" s="53">
        <f>IF(A518="","",YEAR(A518))</f>
        <v/>
      </c>
      <c r="D518" s="54">
        <f>IF(A518="","",INDEX(lst_months,MONTH(A518)))</f>
        <v/>
      </c>
      <c r="E518" s="55" t="n"/>
      <c r="F518" s="54">
        <f>IF(E518="","",IFERROR(IF(INDEX(lst_exp_item_cat,MATCH(E518,lst_exp_items,0))="","❔ Без категории",INDEX(lst_exp_item_cat,MATCH(E518,lst_exp_items,0))),"❔ Без категории"))</f>
        <v/>
      </c>
      <c r="G518" s="43" t="n"/>
      <c r="H518" s="56" t="n"/>
      <c r="I518" s="43" t="n"/>
      <c r="J518" s="57">
        <f>IF(OR(A518="",H518=""),"",IF(COUNTIFS(exp_year,C518,exp_month,D518,exp_item,E518,exp_status,"&lt;&gt;❌ Отменено")&gt;0,1,0))</f>
        <v/>
      </c>
    </row>
    <row r="519">
      <c r="A519" s="52" t="n"/>
      <c r="B519" s="53">
        <f>IF(A519="","",CHOOSE(WEEKDAY(A519,2),"Пн","Вт","Ср","Чт","Пт","Сб","Вс"))</f>
        <v/>
      </c>
      <c r="C519" s="53">
        <f>IF(A519="","",YEAR(A519))</f>
        <v/>
      </c>
      <c r="D519" s="54">
        <f>IF(A519="","",INDEX(lst_months,MONTH(A519)))</f>
        <v/>
      </c>
      <c r="E519" s="55" t="n"/>
      <c r="F519" s="54">
        <f>IF(E519="","",IFERROR(IF(INDEX(lst_exp_item_cat,MATCH(E519,lst_exp_items,0))="","❔ Без категории",INDEX(lst_exp_item_cat,MATCH(E519,lst_exp_items,0))),"❔ Без категории"))</f>
        <v/>
      </c>
      <c r="G519" s="43" t="n"/>
      <c r="H519" s="56" t="n"/>
      <c r="I519" s="43" t="n"/>
      <c r="J519" s="57">
        <f>IF(OR(A519="",H519=""),"",IF(COUNTIFS(exp_year,C519,exp_month,D519,exp_item,E519,exp_status,"&lt;&gt;❌ Отменено")&gt;0,1,0))</f>
        <v/>
      </c>
    </row>
    <row r="520">
      <c r="A520" s="52" t="n"/>
      <c r="B520" s="53">
        <f>IF(A520="","",CHOOSE(WEEKDAY(A520,2),"Пн","Вт","Ср","Чт","Пт","Сб","Вс"))</f>
        <v/>
      </c>
      <c r="C520" s="53">
        <f>IF(A520="","",YEAR(A520))</f>
        <v/>
      </c>
      <c r="D520" s="54">
        <f>IF(A520="","",INDEX(lst_months,MONTH(A520)))</f>
        <v/>
      </c>
      <c r="E520" s="55" t="n"/>
      <c r="F520" s="54">
        <f>IF(E520="","",IFERROR(IF(INDEX(lst_exp_item_cat,MATCH(E520,lst_exp_items,0))="","❔ Без категории",INDEX(lst_exp_item_cat,MATCH(E520,lst_exp_items,0))),"❔ Без категории"))</f>
        <v/>
      </c>
      <c r="G520" s="43" t="n"/>
      <c r="H520" s="56" t="n"/>
      <c r="I520" s="43" t="n"/>
      <c r="J520" s="57">
        <f>IF(OR(A520="",H520=""),"",IF(COUNTIFS(exp_year,C520,exp_month,D520,exp_item,E520,exp_status,"&lt;&gt;❌ Отменено")&gt;0,1,0))</f>
        <v/>
      </c>
    </row>
    <row r="521">
      <c r="A521" s="52" t="n"/>
      <c r="B521" s="53">
        <f>IF(A521="","",CHOOSE(WEEKDAY(A521,2),"Пн","Вт","Ср","Чт","Пт","Сб","Вс"))</f>
        <v/>
      </c>
      <c r="C521" s="53">
        <f>IF(A521="","",YEAR(A521))</f>
        <v/>
      </c>
      <c r="D521" s="54">
        <f>IF(A521="","",INDEX(lst_months,MONTH(A521)))</f>
        <v/>
      </c>
      <c r="E521" s="55" t="n"/>
      <c r="F521" s="54">
        <f>IF(E521="","",IFERROR(IF(INDEX(lst_exp_item_cat,MATCH(E521,lst_exp_items,0))="","❔ Без категории",INDEX(lst_exp_item_cat,MATCH(E521,lst_exp_items,0))),"❔ Без категории"))</f>
        <v/>
      </c>
      <c r="G521" s="43" t="n"/>
      <c r="H521" s="56" t="n"/>
      <c r="I521" s="43" t="n"/>
      <c r="J521" s="57">
        <f>IF(OR(A521="",H521=""),"",IF(COUNTIFS(exp_year,C521,exp_month,D521,exp_item,E521,exp_status,"&lt;&gt;❌ Отменено")&gt;0,1,0))</f>
        <v/>
      </c>
    </row>
    <row r="522">
      <c r="A522" s="52" t="n"/>
      <c r="B522" s="53">
        <f>IF(A522="","",CHOOSE(WEEKDAY(A522,2),"Пн","Вт","Ср","Чт","Пт","Сб","Вс"))</f>
        <v/>
      </c>
      <c r="C522" s="53">
        <f>IF(A522="","",YEAR(A522))</f>
        <v/>
      </c>
      <c r="D522" s="54">
        <f>IF(A522="","",INDEX(lst_months,MONTH(A522)))</f>
        <v/>
      </c>
      <c r="E522" s="55" t="n"/>
      <c r="F522" s="54">
        <f>IF(E522="","",IFERROR(IF(INDEX(lst_exp_item_cat,MATCH(E522,lst_exp_items,0))="","❔ Без категории",INDEX(lst_exp_item_cat,MATCH(E522,lst_exp_items,0))),"❔ Без категории"))</f>
        <v/>
      </c>
      <c r="G522" s="43" t="n"/>
      <c r="H522" s="56" t="n"/>
      <c r="I522" s="43" t="n"/>
      <c r="J522" s="57">
        <f>IF(OR(A522="",H522=""),"",IF(COUNTIFS(exp_year,C522,exp_month,D522,exp_item,E522,exp_status,"&lt;&gt;❌ Отменено")&gt;0,1,0))</f>
        <v/>
      </c>
    </row>
    <row r="523">
      <c r="A523" s="52" t="n"/>
      <c r="B523" s="53">
        <f>IF(A523="","",CHOOSE(WEEKDAY(A523,2),"Пн","Вт","Ср","Чт","Пт","Сб","Вс"))</f>
        <v/>
      </c>
      <c r="C523" s="53">
        <f>IF(A523="","",YEAR(A523))</f>
        <v/>
      </c>
      <c r="D523" s="54">
        <f>IF(A523="","",INDEX(lst_months,MONTH(A523)))</f>
        <v/>
      </c>
      <c r="E523" s="55" t="n"/>
      <c r="F523" s="54">
        <f>IF(E523="","",IFERROR(IF(INDEX(lst_exp_item_cat,MATCH(E523,lst_exp_items,0))="","❔ Без категории",INDEX(lst_exp_item_cat,MATCH(E523,lst_exp_items,0))),"❔ Без категории"))</f>
        <v/>
      </c>
      <c r="G523" s="43" t="n"/>
      <c r="H523" s="56" t="n"/>
      <c r="I523" s="43" t="n"/>
      <c r="J523" s="57">
        <f>IF(OR(A523="",H523=""),"",IF(COUNTIFS(exp_year,C523,exp_month,D523,exp_item,E523,exp_status,"&lt;&gt;❌ Отменено")&gt;0,1,0))</f>
        <v/>
      </c>
    </row>
    <row r="524">
      <c r="A524" s="52" t="n"/>
      <c r="B524" s="53">
        <f>IF(A524="","",CHOOSE(WEEKDAY(A524,2),"Пн","Вт","Ср","Чт","Пт","Сб","Вс"))</f>
        <v/>
      </c>
      <c r="C524" s="53">
        <f>IF(A524="","",YEAR(A524))</f>
        <v/>
      </c>
      <c r="D524" s="54">
        <f>IF(A524="","",INDEX(lst_months,MONTH(A524)))</f>
        <v/>
      </c>
      <c r="E524" s="55" t="n"/>
      <c r="F524" s="54">
        <f>IF(E524="","",IFERROR(IF(INDEX(lst_exp_item_cat,MATCH(E524,lst_exp_items,0))="","❔ Без категории",INDEX(lst_exp_item_cat,MATCH(E524,lst_exp_items,0))),"❔ Без категории"))</f>
        <v/>
      </c>
      <c r="G524" s="43" t="n"/>
      <c r="H524" s="56" t="n"/>
      <c r="I524" s="43" t="n"/>
      <c r="J524" s="57">
        <f>IF(OR(A524="",H524=""),"",IF(COUNTIFS(exp_year,C524,exp_month,D524,exp_item,E524,exp_status,"&lt;&gt;❌ Отменено")&gt;0,1,0))</f>
        <v/>
      </c>
    </row>
    <row r="525">
      <c r="A525" s="52" t="n"/>
      <c r="B525" s="53">
        <f>IF(A525="","",CHOOSE(WEEKDAY(A525,2),"Пн","Вт","Ср","Чт","Пт","Сб","Вс"))</f>
        <v/>
      </c>
      <c r="C525" s="53">
        <f>IF(A525="","",YEAR(A525))</f>
        <v/>
      </c>
      <c r="D525" s="54">
        <f>IF(A525="","",INDEX(lst_months,MONTH(A525)))</f>
        <v/>
      </c>
      <c r="E525" s="55" t="n"/>
      <c r="F525" s="54">
        <f>IF(E525="","",IFERROR(IF(INDEX(lst_exp_item_cat,MATCH(E525,lst_exp_items,0))="","❔ Без категории",INDEX(lst_exp_item_cat,MATCH(E525,lst_exp_items,0))),"❔ Без категории"))</f>
        <v/>
      </c>
      <c r="G525" s="43" t="n"/>
      <c r="H525" s="56" t="n"/>
      <c r="I525" s="43" t="n"/>
      <c r="J525" s="57">
        <f>IF(OR(A525="",H525=""),"",IF(COUNTIFS(exp_year,C525,exp_month,D525,exp_item,E525,exp_status,"&lt;&gt;❌ Отменено")&gt;0,1,0))</f>
        <v/>
      </c>
    </row>
    <row r="526">
      <c r="A526" s="52" t="n"/>
      <c r="B526" s="53">
        <f>IF(A526="","",CHOOSE(WEEKDAY(A526,2),"Пн","Вт","Ср","Чт","Пт","Сб","Вс"))</f>
        <v/>
      </c>
      <c r="C526" s="53">
        <f>IF(A526="","",YEAR(A526))</f>
        <v/>
      </c>
      <c r="D526" s="54">
        <f>IF(A526="","",INDEX(lst_months,MONTH(A526)))</f>
        <v/>
      </c>
      <c r="E526" s="55" t="n"/>
      <c r="F526" s="54">
        <f>IF(E526="","",IFERROR(IF(INDEX(lst_exp_item_cat,MATCH(E526,lst_exp_items,0))="","❔ Без категории",INDEX(lst_exp_item_cat,MATCH(E526,lst_exp_items,0))),"❔ Без категории"))</f>
        <v/>
      </c>
      <c r="G526" s="43" t="n"/>
      <c r="H526" s="56" t="n"/>
      <c r="I526" s="43" t="n"/>
      <c r="J526" s="57">
        <f>IF(OR(A526="",H526=""),"",IF(COUNTIFS(exp_year,C526,exp_month,D526,exp_item,E526,exp_status,"&lt;&gt;❌ Отменено")&gt;0,1,0))</f>
        <v/>
      </c>
    </row>
    <row r="527">
      <c r="A527" s="52" t="n"/>
      <c r="B527" s="53">
        <f>IF(A527="","",CHOOSE(WEEKDAY(A527,2),"Пн","Вт","Ср","Чт","Пт","Сб","Вс"))</f>
        <v/>
      </c>
      <c r="C527" s="53">
        <f>IF(A527="","",YEAR(A527))</f>
        <v/>
      </c>
      <c r="D527" s="54">
        <f>IF(A527="","",INDEX(lst_months,MONTH(A527)))</f>
        <v/>
      </c>
      <c r="E527" s="55" t="n"/>
      <c r="F527" s="54">
        <f>IF(E527="","",IFERROR(IF(INDEX(lst_exp_item_cat,MATCH(E527,lst_exp_items,0))="","❔ Без категории",INDEX(lst_exp_item_cat,MATCH(E527,lst_exp_items,0))),"❔ Без категории"))</f>
        <v/>
      </c>
      <c r="G527" s="43" t="n"/>
      <c r="H527" s="56" t="n"/>
      <c r="I527" s="43" t="n"/>
      <c r="J527" s="57">
        <f>IF(OR(A527="",H527=""),"",IF(COUNTIFS(exp_year,C527,exp_month,D527,exp_item,E527,exp_status,"&lt;&gt;❌ Отменено")&gt;0,1,0))</f>
        <v/>
      </c>
    </row>
    <row r="528">
      <c r="A528" s="52" t="n"/>
      <c r="B528" s="53">
        <f>IF(A528="","",CHOOSE(WEEKDAY(A528,2),"Пн","Вт","Ср","Чт","Пт","Сб","Вс"))</f>
        <v/>
      </c>
      <c r="C528" s="53">
        <f>IF(A528="","",YEAR(A528))</f>
        <v/>
      </c>
      <c r="D528" s="54">
        <f>IF(A528="","",INDEX(lst_months,MONTH(A528)))</f>
        <v/>
      </c>
      <c r="E528" s="55" t="n"/>
      <c r="F528" s="54">
        <f>IF(E528="","",IFERROR(IF(INDEX(lst_exp_item_cat,MATCH(E528,lst_exp_items,0))="","❔ Без категории",INDEX(lst_exp_item_cat,MATCH(E528,lst_exp_items,0))),"❔ Без категории"))</f>
        <v/>
      </c>
      <c r="G528" s="43" t="n"/>
      <c r="H528" s="56" t="n"/>
      <c r="I528" s="43" t="n"/>
      <c r="J528" s="57">
        <f>IF(OR(A528="",H528=""),"",IF(COUNTIFS(exp_year,C528,exp_month,D528,exp_item,E528,exp_status,"&lt;&gt;❌ Отменено")&gt;0,1,0))</f>
        <v/>
      </c>
    </row>
    <row r="529">
      <c r="A529" s="52" t="n"/>
      <c r="B529" s="53">
        <f>IF(A529="","",CHOOSE(WEEKDAY(A529,2),"Пн","Вт","Ср","Чт","Пт","Сб","Вс"))</f>
        <v/>
      </c>
      <c r="C529" s="53">
        <f>IF(A529="","",YEAR(A529))</f>
        <v/>
      </c>
      <c r="D529" s="54">
        <f>IF(A529="","",INDEX(lst_months,MONTH(A529)))</f>
        <v/>
      </c>
      <c r="E529" s="55" t="n"/>
      <c r="F529" s="54">
        <f>IF(E529="","",IFERROR(IF(INDEX(lst_exp_item_cat,MATCH(E529,lst_exp_items,0))="","❔ Без категории",INDEX(lst_exp_item_cat,MATCH(E529,lst_exp_items,0))),"❔ Без категории"))</f>
        <v/>
      </c>
      <c r="G529" s="43" t="n"/>
      <c r="H529" s="56" t="n"/>
      <c r="I529" s="43" t="n"/>
      <c r="J529" s="57">
        <f>IF(OR(A529="",H529=""),"",IF(COUNTIFS(exp_year,C529,exp_month,D529,exp_item,E529,exp_status,"&lt;&gt;❌ Отменено")&gt;0,1,0))</f>
        <v/>
      </c>
    </row>
    <row r="530">
      <c r="A530" s="52" t="n"/>
      <c r="B530" s="53">
        <f>IF(A530="","",CHOOSE(WEEKDAY(A530,2),"Пн","Вт","Ср","Чт","Пт","Сб","Вс"))</f>
        <v/>
      </c>
      <c r="C530" s="53">
        <f>IF(A530="","",YEAR(A530))</f>
        <v/>
      </c>
      <c r="D530" s="54">
        <f>IF(A530="","",INDEX(lst_months,MONTH(A530)))</f>
        <v/>
      </c>
      <c r="E530" s="55" t="n"/>
      <c r="F530" s="54">
        <f>IF(E530="","",IFERROR(IF(INDEX(lst_exp_item_cat,MATCH(E530,lst_exp_items,0))="","❔ Без категории",INDEX(lst_exp_item_cat,MATCH(E530,lst_exp_items,0))),"❔ Без категории"))</f>
        <v/>
      </c>
      <c r="G530" s="43" t="n"/>
      <c r="H530" s="56" t="n"/>
      <c r="I530" s="43" t="n"/>
      <c r="J530" s="57">
        <f>IF(OR(A530="",H530=""),"",IF(COUNTIFS(exp_year,C530,exp_month,D530,exp_item,E530,exp_status,"&lt;&gt;❌ Отменено")&gt;0,1,0))</f>
        <v/>
      </c>
    </row>
    <row r="531">
      <c r="A531" s="52" t="n"/>
      <c r="B531" s="53">
        <f>IF(A531="","",CHOOSE(WEEKDAY(A531,2),"Пн","Вт","Ср","Чт","Пт","Сб","Вс"))</f>
        <v/>
      </c>
      <c r="C531" s="53">
        <f>IF(A531="","",YEAR(A531))</f>
        <v/>
      </c>
      <c r="D531" s="54">
        <f>IF(A531="","",INDEX(lst_months,MONTH(A531)))</f>
        <v/>
      </c>
      <c r="E531" s="55" t="n"/>
      <c r="F531" s="54">
        <f>IF(E531="","",IFERROR(IF(INDEX(lst_exp_item_cat,MATCH(E531,lst_exp_items,0))="","❔ Без категории",INDEX(lst_exp_item_cat,MATCH(E531,lst_exp_items,0))),"❔ Без категории"))</f>
        <v/>
      </c>
      <c r="G531" s="43" t="n"/>
      <c r="H531" s="56" t="n"/>
      <c r="I531" s="43" t="n"/>
      <c r="J531" s="57">
        <f>IF(OR(A531="",H531=""),"",IF(COUNTIFS(exp_year,C531,exp_month,D531,exp_item,E531,exp_status,"&lt;&gt;❌ Отменено")&gt;0,1,0))</f>
        <v/>
      </c>
    </row>
    <row r="532">
      <c r="A532" s="52" t="n"/>
      <c r="B532" s="53">
        <f>IF(A532="","",CHOOSE(WEEKDAY(A532,2),"Пн","Вт","Ср","Чт","Пт","Сб","Вс"))</f>
        <v/>
      </c>
      <c r="C532" s="53">
        <f>IF(A532="","",YEAR(A532))</f>
        <v/>
      </c>
      <c r="D532" s="54">
        <f>IF(A532="","",INDEX(lst_months,MONTH(A532)))</f>
        <v/>
      </c>
      <c r="E532" s="55" t="n"/>
      <c r="F532" s="54">
        <f>IF(E532="","",IFERROR(IF(INDEX(lst_exp_item_cat,MATCH(E532,lst_exp_items,0))="","❔ Без категории",INDEX(lst_exp_item_cat,MATCH(E532,lst_exp_items,0))),"❔ Без категории"))</f>
        <v/>
      </c>
      <c r="G532" s="43" t="n"/>
      <c r="H532" s="56" t="n"/>
      <c r="I532" s="43" t="n"/>
      <c r="J532" s="57">
        <f>IF(OR(A532="",H532=""),"",IF(COUNTIFS(exp_year,C532,exp_month,D532,exp_item,E532,exp_status,"&lt;&gt;❌ Отменено")&gt;0,1,0))</f>
        <v/>
      </c>
    </row>
    <row r="533">
      <c r="A533" s="52" t="n"/>
      <c r="B533" s="53">
        <f>IF(A533="","",CHOOSE(WEEKDAY(A533,2),"Пн","Вт","Ср","Чт","Пт","Сб","Вс"))</f>
        <v/>
      </c>
      <c r="C533" s="53">
        <f>IF(A533="","",YEAR(A533))</f>
        <v/>
      </c>
      <c r="D533" s="54">
        <f>IF(A533="","",INDEX(lst_months,MONTH(A533)))</f>
        <v/>
      </c>
      <c r="E533" s="55" t="n"/>
      <c r="F533" s="54">
        <f>IF(E533="","",IFERROR(IF(INDEX(lst_exp_item_cat,MATCH(E533,lst_exp_items,0))="","❔ Без категории",INDEX(lst_exp_item_cat,MATCH(E533,lst_exp_items,0))),"❔ Без категории"))</f>
        <v/>
      </c>
      <c r="G533" s="43" t="n"/>
      <c r="H533" s="56" t="n"/>
      <c r="I533" s="43" t="n"/>
      <c r="J533" s="57">
        <f>IF(OR(A533="",H533=""),"",IF(COUNTIFS(exp_year,C533,exp_month,D533,exp_item,E533,exp_status,"&lt;&gt;❌ Отменено")&gt;0,1,0))</f>
        <v/>
      </c>
    </row>
    <row r="534">
      <c r="A534" s="52" t="n"/>
      <c r="B534" s="53">
        <f>IF(A534="","",CHOOSE(WEEKDAY(A534,2),"Пн","Вт","Ср","Чт","Пт","Сб","Вс"))</f>
        <v/>
      </c>
      <c r="C534" s="53">
        <f>IF(A534="","",YEAR(A534))</f>
        <v/>
      </c>
      <c r="D534" s="54">
        <f>IF(A534="","",INDEX(lst_months,MONTH(A534)))</f>
        <v/>
      </c>
      <c r="E534" s="55" t="n"/>
      <c r="F534" s="54">
        <f>IF(E534="","",IFERROR(IF(INDEX(lst_exp_item_cat,MATCH(E534,lst_exp_items,0))="","❔ Без категории",INDEX(lst_exp_item_cat,MATCH(E534,lst_exp_items,0))),"❔ Без категории"))</f>
        <v/>
      </c>
      <c r="G534" s="43" t="n"/>
      <c r="H534" s="56" t="n"/>
      <c r="I534" s="43" t="n"/>
      <c r="J534" s="57">
        <f>IF(OR(A534="",H534=""),"",IF(COUNTIFS(exp_year,C534,exp_month,D534,exp_item,E534,exp_status,"&lt;&gt;❌ Отменено")&gt;0,1,0))</f>
        <v/>
      </c>
    </row>
    <row r="535">
      <c r="A535" s="52" t="n"/>
      <c r="B535" s="53">
        <f>IF(A535="","",CHOOSE(WEEKDAY(A535,2),"Пн","Вт","Ср","Чт","Пт","Сб","Вс"))</f>
        <v/>
      </c>
      <c r="C535" s="53">
        <f>IF(A535="","",YEAR(A535))</f>
        <v/>
      </c>
      <c r="D535" s="54">
        <f>IF(A535="","",INDEX(lst_months,MONTH(A535)))</f>
        <v/>
      </c>
      <c r="E535" s="55" t="n"/>
      <c r="F535" s="54">
        <f>IF(E535="","",IFERROR(IF(INDEX(lst_exp_item_cat,MATCH(E535,lst_exp_items,0))="","❔ Без категории",INDEX(lst_exp_item_cat,MATCH(E535,lst_exp_items,0))),"❔ Без категории"))</f>
        <v/>
      </c>
      <c r="G535" s="43" t="n"/>
      <c r="H535" s="56" t="n"/>
      <c r="I535" s="43" t="n"/>
      <c r="J535" s="57">
        <f>IF(OR(A535="",H535=""),"",IF(COUNTIFS(exp_year,C535,exp_month,D535,exp_item,E535,exp_status,"&lt;&gt;❌ Отменено")&gt;0,1,0))</f>
        <v/>
      </c>
    </row>
    <row r="536">
      <c r="A536" s="52" t="n"/>
      <c r="B536" s="53">
        <f>IF(A536="","",CHOOSE(WEEKDAY(A536,2),"Пн","Вт","Ср","Чт","Пт","Сб","Вс"))</f>
        <v/>
      </c>
      <c r="C536" s="53">
        <f>IF(A536="","",YEAR(A536))</f>
        <v/>
      </c>
      <c r="D536" s="54">
        <f>IF(A536="","",INDEX(lst_months,MONTH(A536)))</f>
        <v/>
      </c>
      <c r="E536" s="55" t="n"/>
      <c r="F536" s="54">
        <f>IF(E536="","",IFERROR(IF(INDEX(lst_exp_item_cat,MATCH(E536,lst_exp_items,0))="","❔ Без категории",INDEX(lst_exp_item_cat,MATCH(E536,lst_exp_items,0))),"❔ Без категории"))</f>
        <v/>
      </c>
      <c r="G536" s="43" t="n"/>
      <c r="H536" s="56" t="n"/>
      <c r="I536" s="43" t="n"/>
      <c r="J536" s="57">
        <f>IF(OR(A536="",H536=""),"",IF(COUNTIFS(exp_year,C536,exp_month,D536,exp_item,E536,exp_status,"&lt;&gt;❌ Отменено")&gt;0,1,0))</f>
        <v/>
      </c>
    </row>
    <row r="537">
      <c r="A537" s="52" t="n"/>
      <c r="B537" s="53">
        <f>IF(A537="","",CHOOSE(WEEKDAY(A537,2),"Пн","Вт","Ср","Чт","Пт","Сб","Вс"))</f>
        <v/>
      </c>
      <c r="C537" s="53">
        <f>IF(A537="","",YEAR(A537))</f>
        <v/>
      </c>
      <c r="D537" s="54">
        <f>IF(A537="","",INDEX(lst_months,MONTH(A537)))</f>
        <v/>
      </c>
      <c r="E537" s="55" t="n"/>
      <c r="F537" s="54">
        <f>IF(E537="","",IFERROR(IF(INDEX(lst_exp_item_cat,MATCH(E537,lst_exp_items,0))="","❔ Без категории",INDEX(lst_exp_item_cat,MATCH(E537,lst_exp_items,0))),"❔ Без категории"))</f>
        <v/>
      </c>
      <c r="G537" s="43" t="n"/>
      <c r="H537" s="56" t="n"/>
      <c r="I537" s="43" t="n"/>
      <c r="J537" s="57">
        <f>IF(OR(A537="",H537=""),"",IF(COUNTIFS(exp_year,C537,exp_month,D537,exp_item,E537,exp_status,"&lt;&gt;❌ Отменено")&gt;0,1,0))</f>
        <v/>
      </c>
    </row>
    <row r="538">
      <c r="A538" s="52" t="n"/>
      <c r="B538" s="53">
        <f>IF(A538="","",CHOOSE(WEEKDAY(A538,2),"Пн","Вт","Ср","Чт","Пт","Сб","Вс"))</f>
        <v/>
      </c>
      <c r="C538" s="53">
        <f>IF(A538="","",YEAR(A538))</f>
        <v/>
      </c>
      <c r="D538" s="54">
        <f>IF(A538="","",INDEX(lst_months,MONTH(A538)))</f>
        <v/>
      </c>
      <c r="E538" s="55" t="n"/>
      <c r="F538" s="54">
        <f>IF(E538="","",IFERROR(IF(INDEX(lst_exp_item_cat,MATCH(E538,lst_exp_items,0))="","❔ Без категории",INDEX(lst_exp_item_cat,MATCH(E538,lst_exp_items,0))),"❔ Без категории"))</f>
        <v/>
      </c>
      <c r="G538" s="43" t="n"/>
      <c r="H538" s="56" t="n"/>
      <c r="I538" s="43" t="n"/>
      <c r="J538" s="57">
        <f>IF(OR(A538="",H538=""),"",IF(COUNTIFS(exp_year,C538,exp_month,D538,exp_item,E538,exp_status,"&lt;&gt;❌ Отменено")&gt;0,1,0))</f>
        <v/>
      </c>
    </row>
    <row r="539">
      <c r="A539" s="52" t="n"/>
      <c r="B539" s="53">
        <f>IF(A539="","",CHOOSE(WEEKDAY(A539,2),"Пн","Вт","Ср","Чт","Пт","Сб","Вс"))</f>
        <v/>
      </c>
      <c r="C539" s="53">
        <f>IF(A539="","",YEAR(A539))</f>
        <v/>
      </c>
      <c r="D539" s="54">
        <f>IF(A539="","",INDEX(lst_months,MONTH(A539)))</f>
        <v/>
      </c>
      <c r="E539" s="55" t="n"/>
      <c r="F539" s="54">
        <f>IF(E539="","",IFERROR(IF(INDEX(lst_exp_item_cat,MATCH(E539,lst_exp_items,0))="","❔ Без категории",INDEX(lst_exp_item_cat,MATCH(E539,lst_exp_items,0))),"❔ Без категории"))</f>
        <v/>
      </c>
      <c r="G539" s="43" t="n"/>
      <c r="H539" s="56" t="n"/>
      <c r="I539" s="43" t="n"/>
      <c r="J539" s="57">
        <f>IF(OR(A539="",H539=""),"",IF(COUNTIFS(exp_year,C539,exp_month,D539,exp_item,E539,exp_status,"&lt;&gt;❌ Отменено")&gt;0,1,0))</f>
        <v/>
      </c>
    </row>
    <row r="540">
      <c r="A540" s="52" t="n"/>
      <c r="B540" s="53">
        <f>IF(A540="","",CHOOSE(WEEKDAY(A540,2),"Пн","Вт","Ср","Чт","Пт","Сб","Вс"))</f>
        <v/>
      </c>
      <c r="C540" s="53">
        <f>IF(A540="","",YEAR(A540))</f>
        <v/>
      </c>
      <c r="D540" s="54">
        <f>IF(A540="","",INDEX(lst_months,MONTH(A540)))</f>
        <v/>
      </c>
      <c r="E540" s="55" t="n"/>
      <c r="F540" s="54">
        <f>IF(E540="","",IFERROR(IF(INDEX(lst_exp_item_cat,MATCH(E540,lst_exp_items,0))="","❔ Без категории",INDEX(lst_exp_item_cat,MATCH(E540,lst_exp_items,0))),"❔ Без категории"))</f>
        <v/>
      </c>
      <c r="G540" s="43" t="n"/>
      <c r="H540" s="56" t="n"/>
      <c r="I540" s="43" t="n"/>
      <c r="J540" s="57">
        <f>IF(OR(A540="",H540=""),"",IF(COUNTIFS(exp_year,C540,exp_month,D540,exp_item,E540,exp_status,"&lt;&gt;❌ Отменено")&gt;0,1,0))</f>
        <v/>
      </c>
    </row>
    <row r="541">
      <c r="A541" s="52" t="n"/>
      <c r="B541" s="53">
        <f>IF(A541="","",CHOOSE(WEEKDAY(A541,2),"Пн","Вт","Ср","Чт","Пт","Сб","Вс"))</f>
        <v/>
      </c>
      <c r="C541" s="53">
        <f>IF(A541="","",YEAR(A541))</f>
        <v/>
      </c>
      <c r="D541" s="54">
        <f>IF(A541="","",INDEX(lst_months,MONTH(A541)))</f>
        <v/>
      </c>
      <c r="E541" s="55" t="n"/>
      <c r="F541" s="54">
        <f>IF(E541="","",IFERROR(IF(INDEX(lst_exp_item_cat,MATCH(E541,lst_exp_items,0))="","❔ Без категории",INDEX(lst_exp_item_cat,MATCH(E541,lst_exp_items,0))),"❔ Без категории"))</f>
        <v/>
      </c>
      <c r="G541" s="43" t="n"/>
      <c r="H541" s="56" t="n"/>
      <c r="I541" s="43" t="n"/>
      <c r="J541" s="57">
        <f>IF(OR(A541="",H541=""),"",IF(COUNTIFS(exp_year,C541,exp_month,D541,exp_item,E541,exp_status,"&lt;&gt;❌ Отменено")&gt;0,1,0))</f>
        <v/>
      </c>
    </row>
    <row r="542">
      <c r="A542" s="52" t="n"/>
      <c r="B542" s="53">
        <f>IF(A542="","",CHOOSE(WEEKDAY(A542,2),"Пн","Вт","Ср","Чт","Пт","Сб","Вс"))</f>
        <v/>
      </c>
      <c r="C542" s="53">
        <f>IF(A542="","",YEAR(A542))</f>
        <v/>
      </c>
      <c r="D542" s="54">
        <f>IF(A542="","",INDEX(lst_months,MONTH(A542)))</f>
        <v/>
      </c>
      <c r="E542" s="55" t="n"/>
      <c r="F542" s="54">
        <f>IF(E542="","",IFERROR(IF(INDEX(lst_exp_item_cat,MATCH(E542,lst_exp_items,0))="","❔ Без категории",INDEX(lst_exp_item_cat,MATCH(E542,lst_exp_items,0))),"❔ Без категории"))</f>
        <v/>
      </c>
      <c r="G542" s="43" t="n"/>
      <c r="H542" s="56" t="n"/>
      <c r="I542" s="43" t="n"/>
      <c r="J542" s="57">
        <f>IF(OR(A542="",H542=""),"",IF(COUNTIFS(exp_year,C542,exp_month,D542,exp_item,E542,exp_status,"&lt;&gt;❌ Отменено")&gt;0,1,0))</f>
        <v/>
      </c>
    </row>
    <row r="543">
      <c r="A543" s="52" t="n"/>
      <c r="B543" s="53">
        <f>IF(A543="","",CHOOSE(WEEKDAY(A543,2),"Пн","Вт","Ср","Чт","Пт","Сб","Вс"))</f>
        <v/>
      </c>
      <c r="C543" s="53">
        <f>IF(A543="","",YEAR(A543))</f>
        <v/>
      </c>
      <c r="D543" s="54">
        <f>IF(A543="","",INDEX(lst_months,MONTH(A543)))</f>
        <v/>
      </c>
      <c r="E543" s="55" t="n"/>
      <c r="F543" s="54">
        <f>IF(E543="","",IFERROR(IF(INDEX(lst_exp_item_cat,MATCH(E543,lst_exp_items,0))="","❔ Без категории",INDEX(lst_exp_item_cat,MATCH(E543,lst_exp_items,0))),"❔ Без категории"))</f>
        <v/>
      </c>
      <c r="G543" s="43" t="n"/>
      <c r="H543" s="56" t="n"/>
      <c r="I543" s="43" t="n"/>
      <c r="J543" s="57">
        <f>IF(OR(A543="",H543=""),"",IF(COUNTIFS(exp_year,C543,exp_month,D543,exp_item,E543,exp_status,"&lt;&gt;❌ Отменено")&gt;0,1,0))</f>
        <v/>
      </c>
    </row>
    <row r="544">
      <c r="A544" s="52" t="n"/>
      <c r="B544" s="53">
        <f>IF(A544="","",CHOOSE(WEEKDAY(A544,2),"Пн","Вт","Ср","Чт","Пт","Сб","Вс"))</f>
        <v/>
      </c>
      <c r="C544" s="53">
        <f>IF(A544="","",YEAR(A544))</f>
        <v/>
      </c>
      <c r="D544" s="54">
        <f>IF(A544="","",INDEX(lst_months,MONTH(A544)))</f>
        <v/>
      </c>
      <c r="E544" s="55" t="n"/>
      <c r="F544" s="54">
        <f>IF(E544="","",IFERROR(IF(INDEX(lst_exp_item_cat,MATCH(E544,lst_exp_items,0))="","❔ Без категории",INDEX(lst_exp_item_cat,MATCH(E544,lst_exp_items,0))),"❔ Без категории"))</f>
        <v/>
      </c>
      <c r="G544" s="43" t="n"/>
      <c r="H544" s="56" t="n"/>
      <c r="I544" s="43" t="n"/>
      <c r="J544" s="57">
        <f>IF(OR(A544="",H544=""),"",IF(COUNTIFS(exp_year,C544,exp_month,D544,exp_item,E544,exp_status,"&lt;&gt;❌ Отменено")&gt;0,1,0))</f>
        <v/>
      </c>
    </row>
    <row r="545">
      <c r="A545" s="52" t="n"/>
      <c r="B545" s="53">
        <f>IF(A545="","",CHOOSE(WEEKDAY(A545,2),"Пн","Вт","Ср","Чт","Пт","Сб","Вс"))</f>
        <v/>
      </c>
      <c r="C545" s="53">
        <f>IF(A545="","",YEAR(A545))</f>
        <v/>
      </c>
      <c r="D545" s="54">
        <f>IF(A545="","",INDEX(lst_months,MONTH(A545)))</f>
        <v/>
      </c>
      <c r="E545" s="55" t="n"/>
      <c r="F545" s="54">
        <f>IF(E545="","",IFERROR(IF(INDEX(lst_exp_item_cat,MATCH(E545,lst_exp_items,0))="","❔ Без категории",INDEX(lst_exp_item_cat,MATCH(E545,lst_exp_items,0))),"❔ Без категории"))</f>
        <v/>
      </c>
      <c r="G545" s="43" t="n"/>
      <c r="H545" s="56" t="n"/>
      <c r="I545" s="43" t="n"/>
      <c r="J545" s="57">
        <f>IF(OR(A545="",H545=""),"",IF(COUNTIFS(exp_year,C545,exp_month,D545,exp_item,E545,exp_status,"&lt;&gt;❌ Отменено")&gt;0,1,0))</f>
        <v/>
      </c>
    </row>
    <row r="546">
      <c r="A546" s="52" t="n"/>
      <c r="B546" s="53">
        <f>IF(A546="","",CHOOSE(WEEKDAY(A546,2),"Пн","Вт","Ср","Чт","Пт","Сб","Вс"))</f>
        <v/>
      </c>
      <c r="C546" s="53">
        <f>IF(A546="","",YEAR(A546))</f>
        <v/>
      </c>
      <c r="D546" s="54">
        <f>IF(A546="","",INDEX(lst_months,MONTH(A546)))</f>
        <v/>
      </c>
      <c r="E546" s="55" t="n"/>
      <c r="F546" s="54">
        <f>IF(E546="","",IFERROR(IF(INDEX(lst_exp_item_cat,MATCH(E546,lst_exp_items,0))="","❔ Без категории",INDEX(lst_exp_item_cat,MATCH(E546,lst_exp_items,0))),"❔ Без категории"))</f>
        <v/>
      </c>
      <c r="G546" s="43" t="n"/>
      <c r="H546" s="56" t="n"/>
      <c r="I546" s="43" t="n"/>
      <c r="J546" s="57">
        <f>IF(OR(A546="",H546=""),"",IF(COUNTIFS(exp_year,C546,exp_month,D546,exp_item,E546,exp_status,"&lt;&gt;❌ Отменено")&gt;0,1,0))</f>
        <v/>
      </c>
    </row>
    <row r="547">
      <c r="A547" s="52" t="n"/>
      <c r="B547" s="53">
        <f>IF(A547="","",CHOOSE(WEEKDAY(A547,2),"Пн","Вт","Ср","Чт","Пт","Сб","Вс"))</f>
        <v/>
      </c>
      <c r="C547" s="53">
        <f>IF(A547="","",YEAR(A547))</f>
        <v/>
      </c>
      <c r="D547" s="54">
        <f>IF(A547="","",INDEX(lst_months,MONTH(A547)))</f>
        <v/>
      </c>
      <c r="E547" s="55" t="n"/>
      <c r="F547" s="54">
        <f>IF(E547="","",IFERROR(IF(INDEX(lst_exp_item_cat,MATCH(E547,lst_exp_items,0))="","❔ Без категории",INDEX(lst_exp_item_cat,MATCH(E547,lst_exp_items,0))),"❔ Без категории"))</f>
        <v/>
      </c>
      <c r="G547" s="43" t="n"/>
      <c r="H547" s="56" t="n"/>
      <c r="I547" s="43" t="n"/>
      <c r="J547" s="57">
        <f>IF(OR(A547="",H547=""),"",IF(COUNTIFS(exp_year,C547,exp_month,D547,exp_item,E547,exp_status,"&lt;&gt;❌ Отменено")&gt;0,1,0))</f>
        <v/>
      </c>
    </row>
    <row r="548">
      <c r="A548" s="52" t="n"/>
      <c r="B548" s="53">
        <f>IF(A548="","",CHOOSE(WEEKDAY(A548,2),"Пн","Вт","Ср","Чт","Пт","Сб","Вс"))</f>
        <v/>
      </c>
      <c r="C548" s="53">
        <f>IF(A548="","",YEAR(A548))</f>
        <v/>
      </c>
      <c r="D548" s="54">
        <f>IF(A548="","",INDEX(lst_months,MONTH(A548)))</f>
        <v/>
      </c>
      <c r="E548" s="55" t="n"/>
      <c r="F548" s="54">
        <f>IF(E548="","",IFERROR(IF(INDEX(lst_exp_item_cat,MATCH(E548,lst_exp_items,0))="","❔ Без категории",INDEX(lst_exp_item_cat,MATCH(E548,lst_exp_items,0))),"❔ Без категории"))</f>
        <v/>
      </c>
      <c r="G548" s="43" t="n"/>
      <c r="H548" s="56" t="n"/>
      <c r="I548" s="43" t="n"/>
      <c r="J548" s="57">
        <f>IF(OR(A548="",H548=""),"",IF(COUNTIFS(exp_year,C548,exp_month,D548,exp_item,E548,exp_status,"&lt;&gt;❌ Отменено")&gt;0,1,0))</f>
        <v/>
      </c>
    </row>
    <row r="549">
      <c r="A549" s="52" t="n"/>
      <c r="B549" s="53">
        <f>IF(A549="","",CHOOSE(WEEKDAY(A549,2),"Пн","Вт","Ср","Чт","Пт","Сб","Вс"))</f>
        <v/>
      </c>
      <c r="C549" s="53">
        <f>IF(A549="","",YEAR(A549))</f>
        <v/>
      </c>
      <c r="D549" s="54">
        <f>IF(A549="","",INDEX(lst_months,MONTH(A549)))</f>
        <v/>
      </c>
      <c r="E549" s="55" t="n"/>
      <c r="F549" s="54">
        <f>IF(E549="","",IFERROR(IF(INDEX(lst_exp_item_cat,MATCH(E549,lst_exp_items,0))="","❔ Без категории",INDEX(lst_exp_item_cat,MATCH(E549,lst_exp_items,0))),"❔ Без категории"))</f>
        <v/>
      </c>
      <c r="G549" s="43" t="n"/>
      <c r="H549" s="56" t="n"/>
      <c r="I549" s="43" t="n"/>
      <c r="J549" s="57">
        <f>IF(OR(A549="",H549=""),"",IF(COUNTIFS(exp_year,C549,exp_month,D549,exp_item,E549,exp_status,"&lt;&gt;❌ Отменено")&gt;0,1,0))</f>
        <v/>
      </c>
    </row>
    <row r="550">
      <c r="A550" s="52" t="n"/>
      <c r="B550" s="53">
        <f>IF(A550="","",CHOOSE(WEEKDAY(A550,2),"Пн","Вт","Ср","Чт","Пт","Сб","Вс"))</f>
        <v/>
      </c>
      <c r="C550" s="53">
        <f>IF(A550="","",YEAR(A550))</f>
        <v/>
      </c>
      <c r="D550" s="54">
        <f>IF(A550="","",INDEX(lst_months,MONTH(A550)))</f>
        <v/>
      </c>
      <c r="E550" s="55" t="n"/>
      <c r="F550" s="54">
        <f>IF(E550="","",IFERROR(IF(INDEX(lst_exp_item_cat,MATCH(E550,lst_exp_items,0))="","❔ Без категории",INDEX(lst_exp_item_cat,MATCH(E550,lst_exp_items,0))),"❔ Без категории"))</f>
        <v/>
      </c>
      <c r="G550" s="43" t="n"/>
      <c r="H550" s="56" t="n"/>
      <c r="I550" s="43" t="n"/>
      <c r="J550" s="57">
        <f>IF(OR(A550="",H550=""),"",IF(COUNTIFS(exp_year,C550,exp_month,D550,exp_item,E550,exp_status,"&lt;&gt;❌ Отменено")&gt;0,1,0))</f>
        <v/>
      </c>
    </row>
    <row r="551">
      <c r="A551" s="52" t="n"/>
      <c r="B551" s="53">
        <f>IF(A551="","",CHOOSE(WEEKDAY(A551,2),"Пн","Вт","Ср","Чт","Пт","Сб","Вс"))</f>
        <v/>
      </c>
      <c r="C551" s="53">
        <f>IF(A551="","",YEAR(A551))</f>
        <v/>
      </c>
      <c r="D551" s="54">
        <f>IF(A551="","",INDEX(lst_months,MONTH(A551)))</f>
        <v/>
      </c>
      <c r="E551" s="55" t="n"/>
      <c r="F551" s="54">
        <f>IF(E551="","",IFERROR(IF(INDEX(lst_exp_item_cat,MATCH(E551,lst_exp_items,0))="","❔ Без категории",INDEX(lst_exp_item_cat,MATCH(E551,lst_exp_items,0))),"❔ Без категории"))</f>
        <v/>
      </c>
      <c r="G551" s="43" t="n"/>
      <c r="H551" s="56" t="n"/>
      <c r="I551" s="43" t="n"/>
      <c r="J551" s="57">
        <f>IF(OR(A551="",H551=""),"",IF(COUNTIFS(exp_year,C551,exp_month,D551,exp_item,E551,exp_status,"&lt;&gt;❌ Отменено")&gt;0,1,0))</f>
        <v/>
      </c>
    </row>
    <row r="552">
      <c r="A552" s="52" t="n"/>
      <c r="B552" s="53">
        <f>IF(A552="","",CHOOSE(WEEKDAY(A552,2),"Пн","Вт","Ср","Чт","Пт","Сб","Вс"))</f>
        <v/>
      </c>
      <c r="C552" s="53">
        <f>IF(A552="","",YEAR(A552))</f>
        <v/>
      </c>
      <c r="D552" s="54">
        <f>IF(A552="","",INDEX(lst_months,MONTH(A552)))</f>
        <v/>
      </c>
      <c r="E552" s="55" t="n"/>
      <c r="F552" s="54">
        <f>IF(E552="","",IFERROR(IF(INDEX(lst_exp_item_cat,MATCH(E552,lst_exp_items,0))="","❔ Без категории",INDEX(lst_exp_item_cat,MATCH(E552,lst_exp_items,0))),"❔ Без категории"))</f>
        <v/>
      </c>
      <c r="G552" s="43" t="n"/>
      <c r="H552" s="56" t="n"/>
      <c r="I552" s="43" t="n"/>
      <c r="J552" s="57">
        <f>IF(OR(A552="",H552=""),"",IF(COUNTIFS(exp_year,C552,exp_month,D552,exp_item,E552,exp_status,"&lt;&gt;❌ Отменено")&gt;0,1,0))</f>
        <v/>
      </c>
    </row>
    <row r="553">
      <c r="A553" s="52" t="n"/>
      <c r="B553" s="53">
        <f>IF(A553="","",CHOOSE(WEEKDAY(A553,2),"Пн","Вт","Ср","Чт","Пт","Сб","Вс"))</f>
        <v/>
      </c>
      <c r="C553" s="53">
        <f>IF(A553="","",YEAR(A553))</f>
        <v/>
      </c>
      <c r="D553" s="54">
        <f>IF(A553="","",INDEX(lst_months,MONTH(A553)))</f>
        <v/>
      </c>
      <c r="E553" s="55" t="n"/>
      <c r="F553" s="54">
        <f>IF(E553="","",IFERROR(IF(INDEX(lst_exp_item_cat,MATCH(E553,lst_exp_items,0))="","❔ Без категории",INDEX(lst_exp_item_cat,MATCH(E553,lst_exp_items,0))),"❔ Без категории"))</f>
        <v/>
      </c>
      <c r="G553" s="43" t="n"/>
      <c r="H553" s="56" t="n"/>
      <c r="I553" s="43" t="n"/>
      <c r="J553" s="57">
        <f>IF(OR(A553="",H553=""),"",IF(COUNTIFS(exp_year,C553,exp_month,D553,exp_item,E553,exp_status,"&lt;&gt;❌ Отменено")&gt;0,1,0))</f>
        <v/>
      </c>
    </row>
    <row r="554">
      <c r="A554" s="52" t="n"/>
      <c r="B554" s="53">
        <f>IF(A554="","",CHOOSE(WEEKDAY(A554,2),"Пн","Вт","Ср","Чт","Пт","Сб","Вс"))</f>
        <v/>
      </c>
      <c r="C554" s="53">
        <f>IF(A554="","",YEAR(A554))</f>
        <v/>
      </c>
      <c r="D554" s="54">
        <f>IF(A554="","",INDEX(lst_months,MONTH(A554)))</f>
        <v/>
      </c>
      <c r="E554" s="55" t="n"/>
      <c r="F554" s="54">
        <f>IF(E554="","",IFERROR(IF(INDEX(lst_exp_item_cat,MATCH(E554,lst_exp_items,0))="","❔ Без категории",INDEX(lst_exp_item_cat,MATCH(E554,lst_exp_items,0))),"❔ Без категории"))</f>
        <v/>
      </c>
      <c r="G554" s="43" t="n"/>
      <c r="H554" s="56" t="n"/>
      <c r="I554" s="43" t="n"/>
      <c r="J554" s="57">
        <f>IF(OR(A554="",H554=""),"",IF(COUNTIFS(exp_year,C554,exp_month,D554,exp_item,E554,exp_status,"&lt;&gt;❌ Отменено")&gt;0,1,0))</f>
        <v/>
      </c>
    </row>
    <row r="555">
      <c r="A555" s="52" t="n"/>
      <c r="B555" s="53">
        <f>IF(A555="","",CHOOSE(WEEKDAY(A555,2),"Пн","Вт","Ср","Чт","Пт","Сб","Вс"))</f>
        <v/>
      </c>
      <c r="C555" s="53">
        <f>IF(A555="","",YEAR(A555))</f>
        <v/>
      </c>
      <c r="D555" s="54">
        <f>IF(A555="","",INDEX(lst_months,MONTH(A555)))</f>
        <v/>
      </c>
      <c r="E555" s="55" t="n"/>
      <c r="F555" s="54">
        <f>IF(E555="","",IFERROR(IF(INDEX(lst_exp_item_cat,MATCH(E555,lst_exp_items,0))="","❔ Без категории",INDEX(lst_exp_item_cat,MATCH(E555,lst_exp_items,0))),"❔ Без категории"))</f>
        <v/>
      </c>
      <c r="G555" s="43" t="n"/>
      <c r="H555" s="56" t="n"/>
      <c r="I555" s="43" t="n"/>
      <c r="J555" s="57">
        <f>IF(OR(A555="",H555=""),"",IF(COUNTIFS(exp_year,C555,exp_month,D555,exp_item,E555,exp_status,"&lt;&gt;❌ Отменено")&gt;0,1,0))</f>
        <v/>
      </c>
    </row>
    <row r="556">
      <c r="A556" s="52" t="n"/>
      <c r="B556" s="53">
        <f>IF(A556="","",CHOOSE(WEEKDAY(A556,2),"Пн","Вт","Ср","Чт","Пт","Сб","Вс"))</f>
        <v/>
      </c>
      <c r="C556" s="53">
        <f>IF(A556="","",YEAR(A556))</f>
        <v/>
      </c>
      <c r="D556" s="54">
        <f>IF(A556="","",INDEX(lst_months,MONTH(A556)))</f>
        <v/>
      </c>
      <c r="E556" s="55" t="n"/>
      <c r="F556" s="54">
        <f>IF(E556="","",IFERROR(IF(INDEX(lst_exp_item_cat,MATCH(E556,lst_exp_items,0))="","❔ Без категории",INDEX(lst_exp_item_cat,MATCH(E556,lst_exp_items,0))),"❔ Без категории"))</f>
        <v/>
      </c>
      <c r="G556" s="43" t="n"/>
      <c r="H556" s="56" t="n"/>
      <c r="I556" s="43" t="n"/>
      <c r="J556" s="57">
        <f>IF(OR(A556="",H556=""),"",IF(COUNTIFS(exp_year,C556,exp_month,D556,exp_item,E556,exp_status,"&lt;&gt;❌ Отменено")&gt;0,1,0))</f>
        <v/>
      </c>
    </row>
    <row r="557">
      <c r="A557" s="52" t="n"/>
      <c r="B557" s="53">
        <f>IF(A557="","",CHOOSE(WEEKDAY(A557,2),"Пн","Вт","Ср","Чт","Пт","Сб","Вс"))</f>
        <v/>
      </c>
      <c r="C557" s="53">
        <f>IF(A557="","",YEAR(A557))</f>
        <v/>
      </c>
      <c r="D557" s="54">
        <f>IF(A557="","",INDEX(lst_months,MONTH(A557)))</f>
        <v/>
      </c>
      <c r="E557" s="55" t="n"/>
      <c r="F557" s="54">
        <f>IF(E557="","",IFERROR(IF(INDEX(lst_exp_item_cat,MATCH(E557,lst_exp_items,0))="","❔ Без категории",INDEX(lst_exp_item_cat,MATCH(E557,lst_exp_items,0))),"❔ Без категории"))</f>
        <v/>
      </c>
      <c r="G557" s="43" t="n"/>
      <c r="H557" s="56" t="n"/>
      <c r="I557" s="43" t="n"/>
      <c r="J557" s="57">
        <f>IF(OR(A557="",H557=""),"",IF(COUNTIFS(exp_year,C557,exp_month,D557,exp_item,E557,exp_status,"&lt;&gt;❌ Отменено")&gt;0,1,0))</f>
        <v/>
      </c>
    </row>
    <row r="558">
      <c r="A558" s="52" t="n"/>
      <c r="B558" s="53">
        <f>IF(A558="","",CHOOSE(WEEKDAY(A558,2),"Пн","Вт","Ср","Чт","Пт","Сб","Вс"))</f>
        <v/>
      </c>
      <c r="C558" s="53">
        <f>IF(A558="","",YEAR(A558))</f>
        <v/>
      </c>
      <c r="D558" s="54">
        <f>IF(A558="","",INDEX(lst_months,MONTH(A558)))</f>
        <v/>
      </c>
      <c r="E558" s="55" t="n"/>
      <c r="F558" s="54">
        <f>IF(E558="","",IFERROR(IF(INDEX(lst_exp_item_cat,MATCH(E558,lst_exp_items,0))="","❔ Без категории",INDEX(lst_exp_item_cat,MATCH(E558,lst_exp_items,0))),"❔ Без категории"))</f>
        <v/>
      </c>
      <c r="G558" s="43" t="n"/>
      <c r="H558" s="56" t="n"/>
      <c r="I558" s="43" t="n"/>
      <c r="J558" s="57">
        <f>IF(OR(A558="",H558=""),"",IF(COUNTIFS(exp_year,C558,exp_month,D558,exp_item,E558,exp_status,"&lt;&gt;❌ Отменено")&gt;0,1,0))</f>
        <v/>
      </c>
    </row>
    <row r="559">
      <c r="A559" s="52" t="n"/>
      <c r="B559" s="53">
        <f>IF(A559="","",CHOOSE(WEEKDAY(A559,2),"Пн","Вт","Ср","Чт","Пт","Сб","Вс"))</f>
        <v/>
      </c>
      <c r="C559" s="53">
        <f>IF(A559="","",YEAR(A559))</f>
        <v/>
      </c>
      <c r="D559" s="54">
        <f>IF(A559="","",INDEX(lst_months,MONTH(A559)))</f>
        <v/>
      </c>
      <c r="E559" s="55" t="n"/>
      <c r="F559" s="54">
        <f>IF(E559="","",IFERROR(IF(INDEX(lst_exp_item_cat,MATCH(E559,lst_exp_items,0))="","❔ Без категории",INDEX(lst_exp_item_cat,MATCH(E559,lst_exp_items,0))),"❔ Без категории"))</f>
        <v/>
      </c>
      <c r="G559" s="43" t="n"/>
      <c r="H559" s="56" t="n"/>
      <c r="I559" s="43" t="n"/>
      <c r="J559" s="57">
        <f>IF(OR(A559="",H559=""),"",IF(COUNTIFS(exp_year,C559,exp_month,D559,exp_item,E559,exp_status,"&lt;&gt;❌ Отменено")&gt;0,1,0))</f>
        <v/>
      </c>
    </row>
    <row r="560">
      <c r="A560" s="52" t="n"/>
      <c r="B560" s="53">
        <f>IF(A560="","",CHOOSE(WEEKDAY(A560,2),"Пн","Вт","Ср","Чт","Пт","Сб","Вс"))</f>
        <v/>
      </c>
      <c r="C560" s="53">
        <f>IF(A560="","",YEAR(A560))</f>
        <v/>
      </c>
      <c r="D560" s="54">
        <f>IF(A560="","",INDEX(lst_months,MONTH(A560)))</f>
        <v/>
      </c>
      <c r="E560" s="55" t="n"/>
      <c r="F560" s="54">
        <f>IF(E560="","",IFERROR(IF(INDEX(lst_exp_item_cat,MATCH(E560,lst_exp_items,0))="","❔ Без категории",INDEX(lst_exp_item_cat,MATCH(E560,lst_exp_items,0))),"❔ Без категории"))</f>
        <v/>
      </c>
      <c r="G560" s="43" t="n"/>
      <c r="H560" s="56" t="n"/>
      <c r="I560" s="43" t="n"/>
      <c r="J560" s="57">
        <f>IF(OR(A560="",H560=""),"",IF(COUNTIFS(exp_year,C560,exp_month,D560,exp_item,E560,exp_status,"&lt;&gt;❌ Отменено")&gt;0,1,0))</f>
        <v/>
      </c>
    </row>
    <row r="561">
      <c r="A561" s="52" t="n"/>
      <c r="B561" s="53">
        <f>IF(A561="","",CHOOSE(WEEKDAY(A561,2),"Пн","Вт","Ср","Чт","Пт","Сб","Вс"))</f>
        <v/>
      </c>
      <c r="C561" s="53">
        <f>IF(A561="","",YEAR(A561))</f>
        <v/>
      </c>
      <c r="D561" s="54">
        <f>IF(A561="","",INDEX(lst_months,MONTH(A561)))</f>
        <v/>
      </c>
      <c r="E561" s="55" t="n"/>
      <c r="F561" s="54">
        <f>IF(E561="","",IFERROR(IF(INDEX(lst_exp_item_cat,MATCH(E561,lst_exp_items,0))="","❔ Без категории",INDEX(lst_exp_item_cat,MATCH(E561,lst_exp_items,0))),"❔ Без категории"))</f>
        <v/>
      </c>
      <c r="G561" s="43" t="n"/>
      <c r="H561" s="56" t="n"/>
      <c r="I561" s="43" t="n"/>
      <c r="J561" s="57">
        <f>IF(OR(A561="",H561=""),"",IF(COUNTIFS(exp_year,C561,exp_month,D561,exp_item,E561,exp_status,"&lt;&gt;❌ Отменено")&gt;0,1,0))</f>
        <v/>
      </c>
    </row>
    <row r="562">
      <c r="A562" s="52" t="n"/>
      <c r="B562" s="53">
        <f>IF(A562="","",CHOOSE(WEEKDAY(A562,2),"Пн","Вт","Ср","Чт","Пт","Сб","Вс"))</f>
        <v/>
      </c>
      <c r="C562" s="53">
        <f>IF(A562="","",YEAR(A562))</f>
        <v/>
      </c>
      <c r="D562" s="54">
        <f>IF(A562="","",INDEX(lst_months,MONTH(A562)))</f>
        <v/>
      </c>
      <c r="E562" s="55" t="n"/>
      <c r="F562" s="54">
        <f>IF(E562="","",IFERROR(IF(INDEX(lst_exp_item_cat,MATCH(E562,lst_exp_items,0))="","❔ Без категории",INDEX(lst_exp_item_cat,MATCH(E562,lst_exp_items,0))),"❔ Без категории"))</f>
        <v/>
      </c>
      <c r="G562" s="43" t="n"/>
      <c r="H562" s="56" t="n"/>
      <c r="I562" s="43" t="n"/>
      <c r="J562" s="57">
        <f>IF(OR(A562="",H562=""),"",IF(COUNTIFS(exp_year,C562,exp_month,D562,exp_item,E562,exp_status,"&lt;&gt;❌ Отменено")&gt;0,1,0))</f>
        <v/>
      </c>
    </row>
    <row r="563">
      <c r="A563" s="52" t="n"/>
      <c r="B563" s="53">
        <f>IF(A563="","",CHOOSE(WEEKDAY(A563,2),"Пн","Вт","Ср","Чт","Пт","Сб","Вс"))</f>
        <v/>
      </c>
      <c r="C563" s="53">
        <f>IF(A563="","",YEAR(A563))</f>
        <v/>
      </c>
      <c r="D563" s="54">
        <f>IF(A563="","",INDEX(lst_months,MONTH(A563)))</f>
        <v/>
      </c>
      <c r="E563" s="55" t="n"/>
      <c r="F563" s="54">
        <f>IF(E563="","",IFERROR(IF(INDEX(lst_exp_item_cat,MATCH(E563,lst_exp_items,0))="","❔ Без категории",INDEX(lst_exp_item_cat,MATCH(E563,lst_exp_items,0))),"❔ Без категории"))</f>
        <v/>
      </c>
      <c r="G563" s="43" t="n"/>
      <c r="H563" s="56" t="n"/>
      <c r="I563" s="43" t="n"/>
      <c r="J563" s="57">
        <f>IF(OR(A563="",H563=""),"",IF(COUNTIFS(exp_year,C563,exp_month,D563,exp_item,E563,exp_status,"&lt;&gt;❌ Отменено")&gt;0,1,0))</f>
        <v/>
      </c>
    </row>
    <row r="564">
      <c r="A564" s="52" t="n"/>
      <c r="B564" s="53">
        <f>IF(A564="","",CHOOSE(WEEKDAY(A564,2),"Пн","Вт","Ср","Чт","Пт","Сб","Вс"))</f>
        <v/>
      </c>
      <c r="C564" s="53">
        <f>IF(A564="","",YEAR(A564))</f>
        <v/>
      </c>
      <c r="D564" s="54">
        <f>IF(A564="","",INDEX(lst_months,MONTH(A564)))</f>
        <v/>
      </c>
      <c r="E564" s="55" t="n"/>
      <c r="F564" s="54">
        <f>IF(E564="","",IFERROR(IF(INDEX(lst_exp_item_cat,MATCH(E564,lst_exp_items,0))="","❔ Без категории",INDEX(lst_exp_item_cat,MATCH(E564,lst_exp_items,0))),"❔ Без категории"))</f>
        <v/>
      </c>
      <c r="G564" s="43" t="n"/>
      <c r="H564" s="56" t="n"/>
      <c r="I564" s="43" t="n"/>
      <c r="J564" s="57">
        <f>IF(OR(A564="",H564=""),"",IF(COUNTIFS(exp_year,C564,exp_month,D564,exp_item,E564,exp_status,"&lt;&gt;❌ Отменено")&gt;0,1,0))</f>
        <v/>
      </c>
    </row>
    <row r="565">
      <c r="A565" s="52" t="n"/>
      <c r="B565" s="53">
        <f>IF(A565="","",CHOOSE(WEEKDAY(A565,2),"Пн","Вт","Ср","Чт","Пт","Сб","Вс"))</f>
        <v/>
      </c>
      <c r="C565" s="53">
        <f>IF(A565="","",YEAR(A565))</f>
        <v/>
      </c>
      <c r="D565" s="54">
        <f>IF(A565="","",INDEX(lst_months,MONTH(A565)))</f>
        <v/>
      </c>
      <c r="E565" s="55" t="n"/>
      <c r="F565" s="54">
        <f>IF(E565="","",IFERROR(IF(INDEX(lst_exp_item_cat,MATCH(E565,lst_exp_items,0))="","❔ Без категории",INDEX(lst_exp_item_cat,MATCH(E565,lst_exp_items,0))),"❔ Без категории"))</f>
        <v/>
      </c>
      <c r="G565" s="43" t="n"/>
      <c r="H565" s="56" t="n"/>
      <c r="I565" s="43" t="n"/>
      <c r="J565" s="57">
        <f>IF(OR(A565="",H565=""),"",IF(COUNTIFS(exp_year,C565,exp_month,D565,exp_item,E565,exp_status,"&lt;&gt;❌ Отменено")&gt;0,1,0))</f>
        <v/>
      </c>
    </row>
    <row r="566">
      <c r="A566" s="52" t="n"/>
      <c r="B566" s="53">
        <f>IF(A566="","",CHOOSE(WEEKDAY(A566,2),"Пн","Вт","Ср","Чт","Пт","Сб","Вс"))</f>
        <v/>
      </c>
      <c r="C566" s="53">
        <f>IF(A566="","",YEAR(A566))</f>
        <v/>
      </c>
      <c r="D566" s="54">
        <f>IF(A566="","",INDEX(lst_months,MONTH(A566)))</f>
        <v/>
      </c>
      <c r="E566" s="55" t="n"/>
      <c r="F566" s="54">
        <f>IF(E566="","",IFERROR(IF(INDEX(lst_exp_item_cat,MATCH(E566,lst_exp_items,0))="","❔ Без категории",INDEX(lst_exp_item_cat,MATCH(E566,lst_exp_items,0))),"❔ Без категории"))</f>
        <v/>
      </c>
      <c r="G566" s="43" t="n"/>
      <c r="H566" s="56" t="n"/>
      <c r="I566" s="43" t="n"/>
      <c r="J566" s="57">
        <f>IF(OR(A566="",H566=""),"",IF(COUNTIFS(exp_year,C566,exp_month,D566,exp_item,E566,exp_status,"&lt;&gt;❌ Отменено")&gt;0,1,0))</f>
        <v/>
      </c>
    </row>
    <row r="567">
      <c r="A567" s="52" t="n"/>
      <c r="B567" s="53">
        <f>IF(A567="","",CHOOSE(WEEKDAY(A567,2),"Пн","Вт","Ср","Чт","Пт","Сб","Вс"))</f>
        <v/>
      </c>
      <c r="C567" s="53">
        <f>IF(A567="","",YEAR(A567))</f>
        <v/>
      </c>
      <c r="D567" s="54">
        <f>IF(A567="","",INDEX(lst_months,MONTH(A567)))</f>
        <v/>
      </c>
      <c r="E567" s="55" t="n"/>
      <c r="F567" s="54">
        <f>IF(E567="","",IFERROR(IF(INDEX(lst_exp_item_cat,MATCH(E567,lst_exp_items,0))="","❔ Без категории",INDEX(lst_exp_item_cat,MATCH(E567,lst_exp_items,0))),"❔ Без категории"))</f>
        <v/>
      </c>
      <c r="G567" s="43" t="n"/>
      <c r="H567" s="56" t="n"/>
      <c r="I567" s="43" t="n"/>
      <c r="J567" s="57">
        <f>IF(OR(A567="",H567=""),"",IF(COUNTIFS(exp_year,C567,exp_month,D567,exp_item,E567,exp_status,"&lt;&gt;❌ Отменено")&gt;0,1,0))</f>
        <v/>
      </c>
    </row>
    <row r="568">
      <c r="A568" s="52" t="n"/>
      <c r="B568" s="53">
        <f>IF(A568="","",CHOOSE(WEEKDAY(A568,2),"Пн","Вт","Ср","Чт","Пт","Сб","Вс"))</f>
        <v/>
      </c>
      <c r="C568" s="53">
        <f>IF(A568="","",YEAR(A568))</f>
        <v/>
      </c>
      <c r="D568" s="54">
        <f>IF(A568="","",INDEX(lst_months,MONTH(A568)))</f>
        <v/>
      </c>
      <c r="E568" s="55" t="n"/>
      <c r="F568" s="54">
        <f>IF(E568="","",IFERROR(IF(INDEX(lst_exp_item_cat,MATCH(E568,lst_exp_items,0))="","❔ Без категории",INDEX(lst_exp_item_cat,MATCH(E568,lst_exp_items,0))),"❔ Без категории"))</f>
        <v/>
      </c>
      <c r="G568" s="43" t="n"/>
      <c r="H568" s="56" t="n"/>
      <c r="I568" s="43" t="n"/>
      <c r="J568" s="57">
        <f>IF(OR(A568="",H568=""),"",IF(COUNTIFS(exp_year,C568,exp_month,D568,exp_item,E568,exp_status,"&lt;&gt;❌ Отменено")&gt;0,1,0))</f>
        <v/>
      </c>
    </row>
    <row r="569">
      <c r="A569" s="52" t="n"/>
      <c r="B569" s="53">
        <f>IF(A569="","",CHOOSE(WEEKDAY(A569,2),"Пн","Вт","Ср","Чт","Пт","Сб","Вс"))</f>
        <v/>
      </c>
      <c r="C569" s="53">
        <f>IF(A569="","",YEAR(A569))</f>
        <v/>
      </c>
      <c r="D569" s="54">
        <f>IF(A569="","",INDEX(lst_months,MONTH(A569)))</f>
        <v/>
      </c>
      <c r="E569" s="55" t="n"/>
      <c r="F569" s="54">
        <f>IF(E569="","",IFERROR(IF(INDEX(lst_exp_item_cat,MATCH(E569,lst_exp_items,0))="","❔ Без категории",INDEX(lst_exp_item_cat,MATCH(E569,lst_exp_items,0))),"❔ Без категории"))</f>
        <v/>
      </c>
      <c r="G569" s="43" t="n"/>
      <c r="H569" s="56" t="n"/>
      <c r="I569" s="43" t="n"/>
      <c r="J569" s="57">
        <f>IF(OR(A569="",H569=""),"",IF(COUNTIFS(exp_year,C569,exp_month,D569,exp_item,E569,exp_status,"&lt;&gt;❌ Отменено")&gt;0,1,0))</f>
        <v/>
      </c>
    </row>
    <row r="570">
      <c r="A570" s="52" t="n"/>
      <c r="B570" s="53">
        <f>IF(A570="","",CHOOSE(WEEKDAY(A570,2),"Пн","Вт","Ср","Чт","Пт","Сб","Вс"))</f>
        <v/>
      </c>
      <c r="C570" s="53">
        <f>IF(A570="","",YEAR(A570))</f>
        <v/>
      </c>
      <c r="D570" s="54">
        <f>IF(A570="","",INDEX(lst_months,MONTH(A570)))</f>
        <v/>
      </c>
      <c r="E570" s="55" t="n"/>
      <c r="F570" s="54">
        <f>IF(E570="","",IFERROR(IF(INDEX(lst_exp_item_cat,MATCH(E570,lst_exp_items,0))="","❔ Без категории",INDEX(lst_exp_item_cat,MATCH(E570,lst_exp_items,0))),"❔ Без категории"))</f>
        <v/>
      </c>
      <c r="G570" s="43" t="n"/>
      <c r="H570" s="56" t="n"/>
      <c r="I570" s="43" t="n"/>
      <c r="J570" s="57">
        <f>IF(OR(A570="",H570=""),"",IF(COUNTIFS(exp_year,C570,exp_month,D570,exp_item,E570,exp_status,"&lt;&gt;❌ Отменено")&gt;0,1,0))</f>
        <v/>
      </c>
    </row>
    <row r="571">
      <c r="A571" s="52" t="n"/>
      <c r="B571" s="53">
        <f>IF(A571="","",CHOOSE(WEEKDAY(A571,2),"Пн","Вт","Ср","Чт","Пт","Сб","Вс"))</f>
        <v/>
      </c>
      <c r="C571" s="53">
        <f>IF(A571="","",YEAR(A571))</f>
        <v/>
      </c>
      <c r="D571" s="54">
        <f>IF(A571="","",INDEX(lst_months,MONTH(A571)))</f>
        <v/>
      </c>
      <c r="E571" s="55" t="n"/>
      <c r="F571" s="54">
        <f>IF(E571="","",IFERROR(IF(INDEX(lst_exp_item_cat,MATCH(E571,lst_exp_items,0))="","❔ Без категории",INDEX(lst_exp_item_cat,MATCH(E571,lst_exp_items,0))),"❔ Без категории"))</f>
        <v/>
      </c>
      <c r="G571" s="43" t="n"/>
      <c r="H571" s="56" t="n"/>
      <c r="I571" s="43" t="n"/>
      <c r="J571" s="57">
        <f>IF(OR(A571="",H571=""),"",IF(COUNTIFS(exp_year,C571,exp_month,D571,exp_item,E571,exp_status,"&lt;&gt;❌ Отменено")&gt;0,1,0))</f>
        <v/>
      </c>
    </row>
    <row r="572">
      <c r="A572" s="52" t="n"/>
      <c r="B572" s="53">
        <f>IF(A572="","",CHOOSE(WEEKDAY(A572,2),"Пн","Вт","Ср","Чт","Пт","Сб","Вс"))</f>
        <v/>
      </c>
      <c r="C572" s="53">
        <f>IF(A572="","",YEAR(A572))</f>
        <v/>
      </c>
      <c r="D572" s="54">
        <f>IF(A572="","",INDEX(lst_months,MONTH(A572)))</f>
        <v/>
      </c>
      <c r="E572" s="55" t="n"/>
      <c r="F572" s="54">
        <f>IF(E572="","",IFERROR(IF(INDEX(lst_exp_item_cat,MATCH(E572,lst_exp_items,0))="","❔ Без категории",INDEX(lst_exp_item_cat,MATCH(E572,lst_exp_items,0))),"❔ Без категории"))</f>
        <v/>
      </c>
      <c r="G572" s="43" t="n"/>
      <c r="H572" s="56" t="n"/>
      <c r="I572" s="43" t="n"/>
      <c r="J572" s="57">
        <f>IF(OR(A572="",H572=""),"",IF(COUNTIFS(exp_year,C572,exp_month,D572,exp_item,E572,exp_status,"&lt;&gt;❌ Отменено")&gt;0,1,0))</f>
        <v/>
      </c>
    </row>
    <row r="573">
      <c r="A573" s="52" t="n"/>
      <c r="B573" s="53">
        <f>IF(A573="","",CHOOSE(WEEKDAY(A573,2),"Пн","Вт","Ср","Чт","Пт","Сб","Вс"))</f>
        <v/>
      </c>
      <c r="C573" s="53">
        <f>IF(A573="","",YEAR(A573))</f>
        <v/>
      </c>
      <c r="D573" s="54">
        <f>IF(A573="","",INDEX(lst_months,MONTH(A573)))</f>
        <v/>
      </c>
      <c r="E573" s="55" t="n"/>
      <c r="F573" s="54">
        <f>IF(E573="","",IFERROR(IF(INDEX(lst_exp_item_cat,MATCH(E573,lst_exp_items,0))="","❔ Без категории",INDEX(lst_exp_item_cat,MATCH(E573,lst_exp_items,0))),"❔ Без категории"))</f>
        <v/>
      </c>
      <c r="G573" s="43" t="n"/>
      <c r="H573" s="56" t="n"/>
      <c r="I573" s="43" t="n"/>
      <c r="J573" s="57">
        <f>IF(OR(A573="",H573=""),"",IF(COUNTIFS(exp_year,C573,exp_month,D573,exp_item,E573,exp_status,"&lt;&gt;❌ Отменено")&gt;0,1,0))</f>
        <v/>
      </c>
    </row>
    <row r="574">
      <c r="A574" s="52" t="n"/>
      <c r="B574" s="53">
        <f>IF(A574="","",CHOOSE(WEEKDAY(A574,2),"Пн","Вт","Ср","Чт","Пт","Сб","Вс"))</f>
        <v/>
      </c>
      <c r="C574" s="53">
        <f>IF(A574="","",YEAR(A574))</f>
        <v/>
      </c>
      <c r="D574" s="54">
        <f>IF(A574="","",INDEX(lst_months,MONTH(A574)))</f>
        <v/>
      </c>
      <c r="E574" s="55" t="n"/>
      <c r="F574" s="54">
        <f>IF(E574="","",IFERROR(IF(INDEX(lst_exp_item_cat,MATCH(E574,lst_exp_items,0))="","❔ Без категории",INDEX(lst_exp_item_cat,MATCH(E574,lst_exp_items,0))),"❔ Без категории"))</f>
        <v/>
      </c>
      <c r="G574" s="43" t="n"/>
      <c r="H574" s="56" t="n"/>
      <c r="I574" s="43" t="n"/>
      <c r="J574" s="57">
        <f>IF(OR(A574="",H574=""),"",IF(COUNTIFS(exp_year,C574,exp_month,D574,exp_item,E574,exp_status,"&lt;&gt;❌ Отменено")&gt;0,1,0))</f>
        <v/>
      </c>
    </row>
    <row r="575">
      <c r="A575" s="52" t="n"/>
      <c r="B575" s="53">
        <f>IF(A575="","",CHOOSE(WEEKDAY(A575,2),"Пн","Вт","Ср","Чт","Пт","Сб","Вс"))</f>
        <v/>
      </c>
      <c r="C575" s="53">
        <f>IF(A575="","",YEAR(A575))</f>
        <v/>
      </c>
      <c r="D575" s="54">
        <f>IF(A575="","",INDEX(lst_months,MONTH(A575)))</f>
        <v/>
      </c>
      <c r="E575" s="55" t="n"/>
      <c r="F575" s="54">
        <f>IF(E575="","",IFERROR(IF(INDEX(lst_exp_item_cat,MATCH(E575,lst_exp_items,0))="","❔ Без категории",INDEX(lst_exp_item_cat,MATCH(E575,lst_exp_items,0))),"❔ Без категории"))</f>
        <v/>
      </c>
      <c r="G575" s="43" t="n"/>
      <c r="H575" s="56" t="n"/>
      <c r="I575" s="43" t="n"/>
      <c r="J575" s="57">
        <f>IF(OR(A575="",H575=""),"",IF(COUNTIFS(exp_year,C575,exp_month,D575,exp_item,E575,exp_status,"&lt;&gt;❌ Отменено")&gt;0,1,0))</f>
        <v/>
      </c>
    </row>
    <row r="576">
      <c r="A576" s="52" t="n"/>
      <c r="B576" s="53">
        <f>IF(A576="","",CHOOSE(WEEKDAY(A576,2),"Пн","Вт","Ср","Чт","Пт","Сб","Вс"))</f>
        <v/>
      </c>
      <c r="C576" s="53">
        <f>IF(A576="","",YEAR(A576))</f>
        <v/>
      </c>
      <c r="D576" s="54">
        <f>IF(A576="","",INDEX(lst_months,MONTH(A576)))</f>
        <v/>
      </c>
      <c r="E576" s="55" t="n"/>
      <c r="F576" s="54">
        <f>IF(E576="","",IFERROR(IF(INDEX(lst_exp_item_cat,MATCH(E576,lst_exp_items,0))="","❔ Без категории",INDEX(lst_exp_item_cat,MATCH(E576,lst_exp_items,0))),"❔ Без категории"))</f>
        <v/>
      </c>
      <c r="G576" s="43" t="n"/>
      <c r="H576" s="56" t="n"/>
      <c r="I576" s="43" t="n"/>
      <c r="J576" s="57">
        <f>IF(OR(A576="",H576=""),"",IF(COUNTIFS(exp_year,C576,exp_month,D576,exp_item,E576,exp_status,"&lt;&gt;❌ Отменено")&gt;0,1,0))</f>
        <v/>
      </c>
    </row>
    <row r="577">
      <c r="A577" s="52" t="n"/>
      <c r="B577" s="53">
        <f>IF(A577="","",CHOOSE(WEEKDAY(A577,2),"Пн","Вт","Ср","Чт","Пт","Сб","Вс"))</f>
        <v/>
      </c>
      <c r="C577" s="53">
        <f>IF(A577="","",YEAR(A577))</f>
        <v/>
      </c>
      <c r="D577" s="54">
        <f>IF(A577="","",INDEX(lst_months,MONTH(A577)))</f>
        <v/>
      </c>
      <c r="E577" s="55" t="n"/>
      <c r="F577" s="54">
        <f>IF(E577="","",IFERROR(IF(INDEX(lst_exp_item_cat,MATCH(E577,lst_exp_items,0))="","❔ Без категории",INDEX(lst_exp_item_cat,MATCH(E577,lst_exp_items,0))),"❔ Без категории"))</f>
        <v/>
      </c>
      <c r="G577" s="43" t="n"/>
      <c r="H577" s="56" t="n"/>
      <c r="I577" s="43" t="n"/>
      <c r="J577" s="57">
        <f>IF(OR(A577="",H577=""),"",IF(COUNTIFS(exp_year,C577,exp_month,D577,exp_item,E577,exp_status,"&lt;&gt;❌ Отменено")&gt;0,1,0))</f>
        <v/>
      </c>
    </row>
    <row r="578">
      <c r="A578" s="52" t="n"/>
      <c r="B578" s="53">
        <f>IF(A578="","",CHOOSE(WEEKDAY(A578,2),"Пн","Вт","Ср","Чт","Пт","Сб","Вс"))</f>
        <v/>
      </c>
      <c r="C578" s="53">
        <f>IF(A578="","",YEAR(A578))</f>
        <v/>
      </c>
      <c r="D578" s="54">
        <f>IF(A578="","",INDEX(lst_months,MONTH(A578)))</f>
        <v/>
      </c>
      <c r="E578" s="55" t="n"/>
      <c r="F578" s="54">
        <f>IF(E578="","",IFERROR(IF(INDEX(lst_exp_item_cat,MATCH(E578,lst_exp_items,0))="","❔ Без категории",INDEX(lst_exp_item_cat,MATCH(E578,lst_exp_items,0))),"❔ Без категории"))</f>
        <v/>
      </c>
      <c r="G578" s="43" t="n"/>
      <c r="H578" s="56" t="n"/>
      <c r="I578" s="43" t="n"/>
      <c r="J578" s="57">
        <f>IF(OR(A578="",H578=""),"",IF(COUNTIFS(exp_year,C578,exp_month,D578,exp_item,E578,exp_status,"&lt;&gt;❌ Отменено")&gt;0,1,0))</f>
        <v/>
      </c>
    </row>
    <row r="579">
      <c r="A579" s="52" t="n"/>
      <c r="B579" s="53">
        <f>IF(A579="","",CHOOSE(WEEKDAY(A579,2),"Пн","Вт","Ср","Чт","Пт","Сб","Вс"))</f>
        <v/>
      </c>
      <c r="C579" s="53">
        <f>IF(A579="","",YEAR(A579))</f>
        <v/>
      </c>
      <c r="D579" s="54">
        <f>IF(A579="","",INDEX(lst_months,MONTH(A579)))</f>
        <v/>
      </c>
      <c r="E579" s="55" t="n"/>
      <c r="F579" s="54">
        <f>IF(E579="","",IFERROR(IF(INDEX(lst_exp_item_cat,MATCH(E579,lst_exp_items,0))="","❔ Без категории",INDEX(lst_exp_item_cat,MATCH(E579,lst_exp_items,0))),"❔ Без категории"))</f>
        <v/>
      </c>
      <c r="G579" s="43" t="n"/>
      <c r="H579" s="56" t="n"/>
      <c r="I579" s="43" t="n"/>
      <c r="J579" s="57">
        <f>IF(OR(A579="",H579=""),"",IF(COUNTIFS(exp_year,C579,exp_month,D579,exp_item,E579,exp_status,"&lt;&gt;❌ Отменено")&gt;0,1,0))</f>
        <v/>
      </c>
    </row>
    <row r="580">
      <c r="A580" s="52" t="n"/>
      <c r="B580" s="53">
        <f>IF(A580="","",CHOOSE(WEEKDAY(A580,2),"Пн","Вт","Ср","Чт","Пт","Сб","Вс"))</f>
        <v/>
      </c>
      <c r="C580" s="53">
        <f>IF(A580="","",YEAR(A580))</f>
        <v/>
      </c>
      <c r="D580" s="54">
        <f>IF(A580="","",INDEX(lst_months,MONTH(A580)))</f>
        <v/>
      </c>
      <c r="E580" s="55" t="n"/>
      <c r="F580" s="54">
        <f>IF(E580="","",IFERROR(IF(INDEX(lst_exp_item_cat,MATCH(E580,lst_exp_items,0))="","❔ Без категории",INDEX(lst_exp_item_cat,MATCH(E580,lst_exp_items,0))),"❔ Без категории"))</f>
        <v/>
      </c>
      <c r="G580" s="43" t="n"/>
      <c r="H580" s="56" t="n"/>
      <c r="I580" s="43" t="n"/>
      <c r="J580" s="57">
        <f>IF(OR(A580="",H580=""),"",IF(COUNTIFS(exp_year,C580,exp_month,D580,exp_item,E580,exp_status,"&lt;&gt;❌ Отменено")&gt;0,1,0))</f>
        <v/>
      </c>
    </row>
    <row r="581">
      <c r="A581" s="52" t="n"/>
      <c r="B581" s="53">
        <f>IF(A581="","",CHOOSE(WEEKDAY(A581,2),"Пн","Вт","Ср","Чт","Пт","Сб","Вс"))</f>
        <v/>
      </c>
      <c r="C581" s="53">
        <f>IF(A581="","",YEAR(A581))</f>
        <v/>
      </c>
      <c r="D581" s="54">
        <f>IF(A581="","",INDEX(lst_months,MONTH(A581)))</f>
        <v/>
      </c>
      <c r="E581" s="55" t="n"/>
      <c r="F581" s="54">
        <f>IF(E581="","",IFERROR(IF(INDEX(lst_exp_item_cat,MATCH(E581,lst_exp_items,0))="","❔ Без категории",INDEX(lst_exp_item_cat,MATCH(E581,lst_exp_items,0))),"❔ Без категории"))</f>
        <v/>
      </c>
      <c r="G581" s="43" t="n"/>
      <c r="H581" s="56" t="n"/>
      <c r="I581" s="43" t="n"/>
      <c r="J581" s="57">
        <f>IF(OR(A581="",H581=""),"",IF(COUNTIFS(exp_year,C581,exp_month,D581,exp_item,E581,exp_status,"&lt;&gt;❌ Отменено")&gt;0,1,0))</f>
        <v/>
      </c>
    </row>
    <row r="582">
      <c r="A582" s="52" t="n"/>
      <c r="B582" s="53">
        <f>IF(A582="","",CHOOSE(WEEKDAY(A582,2),"Пн","Вт","Ср","Чт","Пт","Сб","Вс"))</f>
        <v/>
      </c>
      <c r="C582" s="53">
        <f>IF(A582="","",YEAR(A582))</f>
        <v/>
      </c>
      <c r="D582" s="54">
        <f>IF(A582="","",INDEX(lst_months,MONTH(A582)))</f>
        <v/>
      </c>
      <c r="E582" s="55" t="n"/>
      <c r="F582" s="54">
        <f>IF(E582="","",IFERROR(IF(INDEX(lst_exp_item_cat,MATCH(E582,lst_exp_items,0))="","❔ Без категории",INDEX(lst_exp_item_cat,MATCH(E582,lst_exp_items,0))),"❔ Без категории"))</f>
        <v/>
      </c>
      <c r="G582" s="43" t="n"/>
      <c r="H582" s="56" t="n"/>
      <c r="I582" s="43" t="n"/>
      <c r="J582" s="57">
        <f>IF(OR(A582="",H582=""),"",IF(COUNTIFS(exp_year,C582,exp_month,D582,exp_item,E582,exp_status,"&lt;&gt;❌ Отменено")&gt;0,1,0))</f>
        <v/>
      </c>
    </row>
    <row r="583">
      <c r="A583" s="52" t="n"/>
      <c r="B583" s="53">
        <f>IF(A583="","",CHOOSE(WEEKDAY(A583,2),"Пн","Вт","Ср","Чт","Пт","Сб","Вс"))</f>
        <v/>
      </c>
      <c r="C583" s="53">
        <f>IF(A583="","",YEAR(A583))</f>
        <v/>
      </c>
      <c r="D583" s="54">
        <f>IF(A583="","",INDEX(lst_months,MONTH(A583)))</f>
        <v/>
      </c>
      <c r="E583" s="55" t="n"/>
      <c r="F583" s="54">
        <f>IF(E583="","",IFERROR(IF(INDEX(lst_exp_item_cat,MATCH(E583,lst_exp_items,0))="","❔ Без категории",INDEX(lst_exp_item_cat,MATCH(E583,lst_exp_items,0))),"❔ Без категории"))</f>
        <v/>
      </c>
      <c r="G583" s="43" t="n"/>
      <c r="H583" s="56" t="n"/>
      <c r="I583" s="43" t="n"/>
      <c r="J583" s="57">
        <f>IF(OR(A583="",H583=""),"",IF(COUNTIFS(exp_year,C583,exp_month,D583,exp_item,E583,exp_status,"&lt;&gt;❌ Отменено")&gt;0,1,0))</f>
        <v/>
      </c>
    </row>
    <row r="584">
      <c r="A584" s="52" t="n"/>
      <c r="B584" s="53">
        <f>IF(A584="","",CHOOSE(WEEKDAY(A584,2),"Пн","Вт","Ср","Чт","Пт","Сб","Вс"))</f>
        <v/>
      </c>
      <c r="C584" s="53">
        <f>IF(A584="","",YEAR(A584))</f>
        <v/>
      </c>
      <c r="D584" s="54">
        <f>IF(A584="","",INDEX(lst_months,MONTH(A584)))</f>
        <v/>
      </c>
      <c r="E584" s="55" t="n"/>
      <c r="F584" s="54">
        <f>IF(E584="","",IFERROR(IF(INDEX(lst_exp_item_cat,MATCH(E584,lst_exp_items,0))="","❔ Без категории",INDEX(lst_exp_item_cat,MATCH(E584,lst_exp_items,0))),"❔ Без категории"))</f>
        <v/>
      </c>
      <c r="G584" s="43" t="n"/>
      <c r="H584" s="56" t="n"/>
      <c r="I584" s="43" t="n"/>
      <c r="J584" s="57">
        <f>IF(OR(A584="",H584=""),"",IF(COUNTIFS(exp_year,C584,exp_month,D584,exp_item,E584,exp_status,"&lt;&gt;❌ Отменено")&gt;0,1,0))</f>
        <v/>
      </c>
    </row>
    <row r="585">
      <c r="A585" s="52" t="n"/>
      <c r="B585" s="53">
        <f>IF(A585="","",CHOOSE(WEEKDAY(A585,2),"Пн","Вт","Ср","Чт","Пт","Сб","Вс"))</f>
        <v/>
      </c>
      <c r="C585" s="53">
        <f>IF(A585="","",YEAR(A585))</f>
        <v/>
      </c>
      <c r="D585" s="54">
        <f>IF(A585="","",INDEX(lst_months,MONTH(A585)))</f>
        <v/>
      </c>
      <c r="E585" s="55" t="n"/>
      <c r="F585" s="54">
        <f>IF(E585="","",IFERROR(IF(INDEX(lst_exp_item_cat,MATCH(E585,lst_exp_items,0))="","❔ Без категории",INDEX(lst_exp_item_cat,MATCH(E585,lst_exp_items,0))),"❔ Без категории"))</f>
        <v/>
      </c>
      <c r="G585" s="43" t="n"/>
      <c r="H585" s="56" t="n"/>
      <c r="I585" s="43" t="n"/>
      <c r="J585" s="57">
        <f>IF(OR(A585="",H585=""),"",IF(COUNTIFS(exp_year,C585,exp_month,D585,exp_item,E585,exp_status,"&lt;&gt;❌ Отменено")&gt;0,1,0))</f>
        <v/>
      </c>
    </row>
    <row r="586">
      <c r="A586" s="52" t="n"/>
      <c r="B586" s="53">
        <f>IF(A586="","",CHOOSE(WEEKDAY(A586,2),"Пн","Вт","Ср","Чт","Пт","Сб","Вс"))</f>
        <v/>
      </c>
      <c r="C586" s="53">
        <f>IF(A586="","",YEAR(A586))</f>
        <v/>
      </c>
      <c r="D586" s="54">
        <f>IF(A586="","",INDEX(lst_months,MONTH(A586)))</f>
        <v/>
      </c>
      <c r="E586" s="55" t="n"/>
      <c r="F586" s="54">
        <f>IF(E586="","",IFERROR(IF(INDEX(lst_exp_item_cat,MATCH(E586,lst_exp_items,0))="","❔ Без категории",INDEX(lst_exp_item_cat,MATCH(E586,lst_exp_items,0))),"❔ Без категории"))</f>
        <v/>
      </c>
      <c r="G586" s="43" t="n"/>
      <c r="H586" s="56" t="n"/>
      <c r="I586" s="43" t="n"/>
      <c r="J586" s="57">
        <f>IF(OR(A586="",H586=""),"",IF(COUNTIFS(exp_year,C586,exp_month,D586,exp_item,E586,exp_status,"&lt;&gt;❌ Отменено")&gt;0,1,0))</f>
        <v/>
      </c>
    </row>
    <row r="587">
      <c r="A587" s="52" t="n"/>
      <c r="B587" s="53">
        <f>IF(A587="","",CHOOSE(WEEKDAY(A587,2),"Пн","Вт","Ср","Чт","Пт","Сб","Вс"))</f>
        <v/>
      </c>
      <c r="C587" s="53">
        <f>IF(A587="","",YEAR(A587))</f>
        <v/>
      </c>
      <c r="D587" s="54">
        <f>IF(A587="","",INDEX(lst_months,MONTH(A587)))</f>
        <v/>
      </c>
      <c r="E587" s="55" t="n"/>
      <c r="F587" s="54">
        <f>IF(E587="","",IFERROR(IF(INDEX(lst_exp_item_cat,MATCH(E587,lst_exp_items,0))="","❔ Без категории",INDEX(lst_exp_item_cat,MATCH(E587,lst_exp_items,0))),"❔ Без категории"))</f>
        <v/>
      </c>
      <c r="G587" s="43" t="n"/>
      <c r="H587" s="56" t="n"/>
      <c r="I587" s="43" t="n"/>
      <c r="J587" s="57">
        <f>IF(OR(A587="",H587=""),"",IF(COUNTIFS(exp_year,C587,exp_month,D587,exp_item,E587,exp_status,"&lt;&gt;❌ Отменено")&gt;0,1,0))</f>
        <v/>
      </c>
    </row>
    <row r="588">
      <c r="A588" s="52" t="n"/>
      <c r="B588" s="53">
        <f>IF(A588="","",CHOOSE(WEEKDAY(A588,2),"Пн","Вт","Ср","Чт","Пт","Сб","Вс"))</f>
        <v/>
      </c>
      <c r="C588" s="53">
        <f>IF(A588="","",YEAR(A588))</f>
        <v/>
      </c>
      <c r="D588" s="54">
        <f>IF(A588="","",INDEX(lst_months,MONTH(A588)))</f>
        <v/>
      </c>
      <c r="E588" s="55" t="n"/>
      <c r="F588" s="54">
        <f>IF(E588="","",IFERROR(IF(INDEX(lst_exp_item_cat,MATCH(E588,lst_exp_items,0))="","❔ Без категории",INDEX(lst_exp_item_cat,MATCH(E588,lst_exp_items,0))),"❔ Без категории"))</f>
        <v/>
      </c>
      <c r="G588" s="43" t="n"/>
      <c r="H588" s="56" t="n"/>
      <c r="I588" s="43" t="n"/>
      <c r="J588" s="57">
        <f>IF(OR(A588="",H588=""),"",IF(COUNTIFS(exp_year,C588,exp_month,D588,exp_item,E588,exp_status,"&lt;&gt;❌ Отменено")&gt;0,1,0))</f>
        <v/>
      </c>
    </row>
    <row r="589">
      <c r="A589" s="52" t="n"/>
      <c r="B589" s="53">
        <f>IF(A589="","",CHOOSE(WEEKDAY(A589,2),"Пн","Вт","Ср","Чт","Пт","Сб","Вс"))</f>
        <v/>
      </c>
      <c r="C589" s="53">
        <f>IF(A589="","",YEAR(A589))</f>
        <v/>
      </c>
      <c r="D589" s="54">
        <f>IF(A589="","",INDEX(lst_months,MONTH(A589)))</f>
        <v/>
      </c>
      <c r="E589" s="55" t="n"/>
      <c r="F589" s="54">
        <f>IF(E589="","",IFERROR(IF(INDEX(lst_exp_item_cat,MATCH(E589,lst_exp_items,0))="","❔ Без категории",INDEX(lst_exp_item_cat,MATCH(E589,lst_exp_items,0))),"❔ Без категории"))</f>
        <v/>
      </c>
      <c r="G589" s="43" t="n"/>
      <c r="H589" s="56" t="n"/>
      <c r="I589" s="43" t="n"/>
      <c r="J589" s="57">
        <f>IF(OR(A589="",H589=""),"",IF(COUNTIFS(exp_year,C589,exp_month,D589,exp_item,E589,exp_status,"&lt;&gt;❌ Отменено")&gt;0,1,0))</f>
        <v/>
      </c>
    </row>
    <row r="590">
      <c r="A590" s="52" t="n"/>
      <c r="B590" s="53">
        <f>IF(A590="","",CHOOSE(WEEKDAY(A590,2),"Пн","Вт","Ср","Чт","Пт","Сб","Вс"))</f>
        <v/>
      </c>
      <c r="C590" s="53">
        <f>IF(A590="","",YEAR(A590))</f>
        <v/>
      </c>
      <c r="D590" s="54">
        <f>IF(A590="","",INDEX(lst_months,MONTH(A590)))</f>
        <v/>
      </c>
      <c r="E590" s="55" t="n"/>
      <c r="F590" s="54">
        <f>IF(E590="","",IFERROR(IF(INDEX(lst_exp_item_cat,MATCH(E590,lst_exp_items,0))="","❔ Без категории",INDEX(lst_exp_item_cat,MATCH(E590,lst_exp_items,0))),"❔ Без категории"))</f>
        <v/>
      </c>
      <c r="G590" s="43" t="n"/>
      <c r="H590" s="56" t="n"/>
      <c r="I590" s="43" t="n"/>
      <c r="J590" s="57">
        <f>IF(OR(A590="",H590=""),"",IF(COUNTIFS(exp_year,C590,exp_month,D590,exp_item,E590,exp_status,"&lt;&gt;❌ Отменено")&gt;0,1,0))</f>
        <v/>
      </c>
    </row>
    <row r="591">
      <c r="A591" s="52" t="n"/>
      <c r="B591" s="53">
        <f>IF(A591="","",CHOOSE(WEEKDAY(A591,2),"Пн","Вт","Ср","Чт","Пт","Сб","Вс"))</f>
        <v/>
      </c>
      <c r="C591" s="53">
        <f>IF(A591="","",YEAR(A591))</f>
        <v/>
      </c>
      <c r="D591" s="54">
        <f>IF(A591="","",INDEX(lst_months,MONTH(A591)))</f>
        <v/>
      </c>
      <c r="E591" s="55" t="n"/>
      <c r="F591" s="54">
        <f>IF(E591="","",IFERROR(IF(INDEX(lst_exp_item_cat,MATCH(E591,lst_exp_items,0))="","❔ Без категории",INDEX(lst_exp_item_cat,MATCH(E591,lst_exp_items,0))),"❔ Без категории"))</f>
        <v/>
      </c>
      <c r="G591" s="43" t="n"/>
      <c r="H591" s="56" t="n"/>
      <c r="I591" s="43" t="n"/>
      <c r="J591" s="57">
        <f>IF(OR(A591="",H591=""),"",IF(COUNTIFS(exp_year,C591,exp_month,D591,exp_item,E591,exp_status,"&lt;&gt;❌ Отменено")&gt;0,1,0))</f>
        <v/>
      </c>
    </row>
    <row r="592">
      <c r="A592" s="52" t="n"/>
      <c r="B592" s="53">
        <f>IF(A592="","",CHOOSE(WEEKDAY(A592,2),"Пн","Вт","Ср","Чт","Пт","Сб","Вс"))</f>
        <v/>
      </c>
      <c r="C592" s="53">
        <f>IF(A592="","",YEAR(A592))</f>
        <v/>
      </c>
      <c r="D592" s="54">
        <f>IF(A592="","",INDEX(lst_months,MONTH(A592)))</f>
        <v/>
      </c>
      <c r="E592" s="55" t="n"/>
      <c r="F592" s="54">
        <f>IF(E592="","",IFERROR(IF(INDEX(lst_exp_item_cat,MATCH(E592,lst_exp_items,0))="","❔ Без категории",INDEX(lst_exp_item_cat,MATCH(E592,lst_exp_items,0))),"❔ Без категории"))</f>
        <v/>
      </c>
      <c r="G592" s="43" t="n"/>
      <c r="H592" s="56" t="n"/>
      <c r="I592" s="43" t="n"/>
      <c r="J592" s="57">
        <f>IF(OR(A592="",H592=""),"",IF(COUNTIFS(exp_year,C592,exp_month,D592,exp_item,E592,exp_status,"&lt;&gt;❌ Отменено")&gt;0,1,0))</f>
        <v/>
      </c>
    </row>
    <row r="593">
      <c r="A593" s="52" t="n"/>
      <c r="B593" s="53">
        <f>IF(A593="","",CHOOSE(WEEKDAY(A593,2),"Пн","Вт","Ср","Чт","Пт","Сб","Вс"))</f>
        <v/>
      </c>
      <c r="C593" s="53">
        <f>IF(A593="","",YEAR(A593))</f>
        <v/>
      </c>
      <c r="D593" s="54">
        <f>IF(A593="","",INDEX(lst_months,MONTH(A593)))</f>
        <v/>
      </c>
      <c r="E593" s="55" t="n"/>
      <c r="F593" s="54">
        <f>IF(E593="","",IFERROR(IF(INDEX(lst_exp_item_cat,MATCH(E593,lst_exp_items,0))="","❔ Без категории",INDEX(lst_exp_item_cat,MATCH(E593,lst_exp_items,0))),"❔ Без категории"))</f>
        <v/>
      </c>
      <c r="G593" s="43" t="n"/>
      <c r="H593" s="56" t="n"/>
      <c r="I593" s="43" t="n"/>
      <c r="J593" s="57">
        <f>IF(OR(A593="",H593=""),"",IF(COUNTIFS(exp_year,C593,exp_month,D593,exp_item,E593,exp_status,"&lt;&gt;❌ Отменено")&gt;0,1,0))</f>
        <v/>
      </c>
    </row>
    <row r="594">
      <c r="A594" s="52" t="n"/>
      <c r="B594" s="53">
        <f>IF(A594="","",CHOOSE(WEEKDAY(A594,2),"Пн","Вт","Ср","Чт","Пт","Сб","Вс"))</f>
        <v/>
      </c>
      <c r="C594" s="53">
        <f>IF(A594="","",YEAR(A594))</f>
        <v/>
      </c>
      <c r="D594" s="54">
        <f>IF(A594="","",INDEX(lst_months,MONTH(A594)))</f>
        <v/>
      </c>
      <c r="E594" s="55" t="n"/>
      <c r="F594" s="54">
        <f>IF(E594="","",IFERROR(IF(INDEX(lst_exp_item_cat,MATCH(E594,lst_exp_items,0))="","❔ Без категории",INDEX(lst_exp_item_cat,MATCH(E594,lst_exp_items,0))),"❔ Без категории"))</f>
        <v/>
      </c>
      <c r="G594" s="43" t="n"/>
      <c r="H594" s="56" t="n"/>
      <c r="I594" s="43" t="n"/>
      <c r="J594" s="57">
        <f>IF(OR(A594="",H594=""),"",IF(COUNTIFS(exp_year,C594,exp_month,D594,exp_item,E594,exp_status,"&lt;&gt;❌ Отменено")&gt;0,1,0))</f>
        <v/>
      </c>
    </row>
    <row r="595">
      <c r="A595" s="52" t="n"/>
      <c r="B595" s="53">
        <f>IF(A595="","",CHOOSE(WEEKDAY(A595,2),"Пн","Вт","Ср","Чт","Пт","Сб","Вс"))</f>
        <v/>
      </c>
      <c r="C595" s="53">
        <f>IF(A595="","",YEAR(A595))</f>
        <v/>
      </c>
      <c r="D595" s="54">
        <f>IF(A595="","",INDEX(lst_months,MONTH(A595)))</f>
        <v/>
      </c>
      <c r="E595" s="55" t="n"/>
      <c r="F595" s="54">
        <f>IF(E595="","",IFERROR(IF(INDEX(lst_exp_item_cat,MATCH(E595,lst_exp_items,0))="","❔ Без категории",INDEX(lst_exp_item_cat,MATCH(E595,lst_exp_items,0))),"❔ Без категории"))</f>
        <v/>
      </c>
      <c r="G595" s="43" t="n"/>
      <c r="H595" s="56" t="n"/>
      <c r="I595" s="43" t="n"/>
      <c r="J595" s="57">
        <f>IF(OR(A595="",H595=""),"",IF(COUNTIFS(exp_year,C595,exp_month,D595,exp_item,E595,exp_status,"&lt;&gt;❌ Отменено")&gt;0,1,0))</f>
        <v/>
      </c>
    </row>
    <row r="596">
      <c r="A596" s="52" t="n"/>
      <c r="B596" s="53">
        <f>IF(A596="","",CHOOSE(WEEKDAY(A596,2),"Пн","Вт","Ср","Чт","Пт","Сб","Вс"))</f>
        <v/>
      </c>
      <c r="C596" s="53">
        <f>IF(A596="","",YEAR(A596))</f>
        <v/>
      </c>
      <c r="D596" s="54">
        <f>IF(A596="","",INDEX(lst_months,MONTH(A596)))</f>
        <v/>
      </c>
      <c r="E596" s="55" t="n"/>
      <c r="F596" s="54">
        <f>IF(E596="","",IFERROR(IF(INDEX(lst_exp_item_cat,MATCH(E596,lst_exp_items,0))="","❔ Без категории",INDEX(lst_exp_item_cat,MATCH(E596,lst_exp_items,0))),"❔ Без категории"))</f>
        <v/>
      </c>
      <c r="G596" s="43" t="n"/>
      <c r="H596" s="56" t="n"/>
      <c r="I596" s="43" t="n"/>
      <c r="J596" s="57">
        <f>IF(OR(A596="",H596=""),"",IF(COUNTIFS(exp_year,C596,exp_month,D596,exp_item,E596,exp_status,"&lt;&gt;❌ Отменено")&gt;0,1,0))</f>
        <v/>
      </c>
    </row>
    <row r="597">
      <c r="A597" s="52" t="n"/>
      <c r="B597" s="53">
        <f>IF(A597="","",CHOOSE(WEEKDAY(A597,2),"Пн","Вт","Ср","Чт","Пт","Сб","Вс"))</f>
        <v/>
      </c>
      <c r="C597" s="53">
        <f>IF(A597="","",YEAR(A597))</f>
        <v/>
      </c>
      <c r="D597" s="54">
        <f>IF(A597="","",INDEX(lst_months,MONTH(A597)))</f>
        <v/>
      </c>
      <c r="E597" s="55" t="n"/>
      <c r="F597" s="54">
        <f>IF(E597="","",IFERROR(IF(INDEX(lst_exp_item_cat,MATCH(E597,lst_exp_items,0))="","❔ Без категории",INDEX(lst_exp_item_cat,MATCH(E597,lst_exp_items,0))),"❔ Без категории"))</f>
        <v/>
      </c>
      <c r="G597" s="43" t="n"/>
      <c r="H597" s="56" t="n"/>
      <c r="I597" s="43" t="n"/>
      <c r="J597" s="57">
        <f>IF(OR(A597="",H597=""),"",IF(COUNTIFS(exp_year,C597,exp_month,D597,exp_item,E597,exp_status,"&lt;&gt;❌ Отменено")&gt;0,1,0))</f>
        <v/>
      </c>
    </row>
    <row r="598">
      <c r="A598" s="52" t="n"/>
      <c r="B598" s="53">
        <f>IF(A598="","",CHOOSE(WEEKDAY(A598,2),"Пн","Вт","Ср","Чт","Пт","Сб","Вс"))</f>
        <v/>
      </c>
      <c r="C598" s="53">
        <f>IF(A598="","",YEAR(A598))</f>
        <v/>
      </c>
      <c r="D598" s="54">
        <f>IF(A598="","",INDEX(lst_months,MONTH(A598)))</f>
        <v/>
      </c>
      <c r="E598" s="55" t="n"/>
      <c r="F598" s="54">
        <f>IF(E598="","",IFERROR(IF(INDEX(lst_exp_item_cat,MATCH(E598,lst_exp_items,0))="","❔ Без категории",INDEX(lst_exp_item_cat,MATCH(E598,lst_exp_items,0))),"❔ Без категории"))</f>
        <v/>
      </c>
      <c r="G598" s="43" t="n"/>
      <c r="H598" s="56" t="n"/>
      <c r="I598" s="43" t="n"/>
      <c r="J598" s="57">
        <f>IF(OR(A598="",H598=""),"",IF(COUNTIFS(exp_year,C598,exp_month,D598,exp_item,E598,exp_status,"&lt;&gt;❌ Отменено")&gt;0,1,0))</f>
        <v/>
      </c>
    </row>
    <row r="599">
      <c r="A599" s="52" t="n"/>
      <c r="B599" s="53">
        <f>IF(A599="","",CHOOSE(WEEKDAY(A599,2),"Пн","Вт","Ср","Чт","Пт","Сб","Вс"))</f>
        <v/>
      </c>
      <c r="C599" s="53">
        <f>IF(A599="","",YEAR(A599))</f>
        <v/>
      </c>
      <c r="D599" s="54">
        <f>IF(A599="","",INDEX(lst_months,MONTH(A599)))</f>
        <v/>
      </c>
      <c r="E599" s="55" t="n"/>
      <c r="F599" s="54">
        <f>IF(E599="","",IFERROR(IF(INDEX(lst_exp_item_cat,MATCH(E599,lst_exp_items,0))="","❔ Без категории",INDEX(lst_exp_item_cat,MATCH(E599,lst_exp_items,0))),"❔ Без категории"))</f>
        <v/>
      </c>
      <c r="G599" s="43" t="n"/>
      <c r="H599" s="56" t="n"/>
      <c r="I599" s="43" t="n"/>
      <c r="J599" s="57">
        <f>IF(OR(A599="",H599=""),"",IF(COUNTIFS(exp_year,C599,exp_month,D599,exp_item,E599,exp_status,"&lt;&gt;❌ Отменено")&gt;0,1,0))</f>
        <v/>
      </c>
    </row>
    <row r="600">
      <c r="A600" s="52" t="n"/>
      <c r="B600" s="53">
        <f>IF(A600="","",CHOOSE(WEEKDAY(A600,2),"Пн","Вт","Ср","Чт","Пт","Сб","Вс"))</f>
        <v/>
      </c>
      <c r="C600" s="53">
        <f>IF(A600="","",YEAR(A600))</f>
        <v/>
      </c>
      <c r="D600" s="54">
        <f>IF(A600="","",INDEX(lst_months,MONTH(A600)))</f>
        <v/>
      </c>
      <c r="E600" s="55" t="n"/>
      <c r="F600" s="54">
        <f>IF(E600="","",IFERROR(IF(INDEX(lst_exp_item_cat,MATCH(E600,lst_exp_items,0))="","❔ Без категории",INDEX(lst_exp_item_cat,MATCH(E600,lst_exp_items,0))),"❔ Без категории"))</f>
        <v/>
      </c>
      <c r="G600" s="43" t="n"/>
      <c r="H600" s="56" t="n"/>
      <c r="I600" s="43" t="n"/>
      <c r="J600" s="57">
        <f>IF(OR(A600="",H600=""),"",IF(COUNTIFS(exp_year,C600,exp_month,D600,exp_item,E600,exp_status,"&lt;&gt;❌ Отменено")&gt;0,1,0))</f>
        <v/>
      </c>
    </row>
    <row r="601">
      <c r="A601" s="52" t="n"/>
      <c r="B601" s="53">
        <f>IF(A601="","",CHOOSE(WEEKDAY(A601,2),"Пн","Вт","Ср","Чт","Пт","Сб","Вс"))</f>
        <v/>
      </c>
      <c r="C601" s="53">
        <f>IF(A601="","",YEAR(A601))</f>
        <v/>
      </c>
      <c r="D601" s="54">
        <f>IF(A601="","",INDEX(lst_months,MONTH(A601)))</f>
        <v/>
      </c>
      <c r="E601" s="55" t="n"/>
      <c r="F601" s="54">
        <f>IF(E601="","",IFERROR(IF(INDEX(lst_exp_item_cat,MATCH(E601,lst_exp_items,0))="","❔ Без категории",INDEX(lst_exp_item_cat,MATCH(E601,lst_exp_items,0))),"❔ Без категории"))</f>
        <v/>
      </c>
      <c r="G601" s="43" t="n"/>
      <c r="H601" s="56" t="n"/>
      <c r="I601" s="43" t="n"/>
      <c r="J601" s="57">
        <f>IF(OR(A601="",H601=""),"",IF(COUNTIFS(exp_year,C601,exp_month,D601,exp_item,E601,exp_status,"&lt;&gt;❌ Отменено")&gt;0,1,0))</f>
        <v/>
      </c>
    </row>
    <row r="602">
      <c r="A602" s="52" t="n"/>
      <c r="B602" s="53">
        <f>IF(A602="","",CHOOSE(WEEKDAY(A602,2),"Пн","Вт","Ср","Чт","Пт","Сб","Вс"))</f>
        <v/>
      </c>
      <c r="C602" s="53">
        <f>IF(A602="","",YEAR(A602))</f>
        <v/>
      </c>
      <c r="D602" s="54">
        <f>IF(A602="","",INDEX(lst_months,MONTH(A602)))</f>
        <v/>
      </c>
      <c r="E602" s="55" t="n"/>
      <c r="F602" s="54">
        <f>IF(E602="","",IFERROR(IF(INDEX(lst_exp_item_cat,MATCH(E602,lst_exp_items,0))="","❔ Без категории",INDEX(lst_exp_item_cat,MATCH(E602,lst_exp_items,0))),"❔ Без категории"))</f>
        <v/>
      </c>
      <c r="G602" s="43" t="n"/>
      <c r="H602" s="56" t="n"/>
      <c r="I602" s="43" t="n"/>
      <c r="J602" s="57">
        <f>IF(OR(A602="",H602=""),"",IF(COUNTIFS(exp_year,C602,exp_month,D602,exp_item,E602,exp_status,"&lt;&gt;❌ Отменено")&gt;0,1,0))</f>
        <v/>
      </c>
    </row>
    <row r="603">
      <c r="A603" s="52" t="n"/>
      <c r="B603" s="53">
        <f>IF(A603="","",CHOOSE(WEEKDAY(A603,2),"Пн","Вт","Ср","Чт","Пт","Сб","Вс"))</f>
        <v/>
      </c>
      <c r="C603" s="53">
        <f>IF(A603="","",YEAR(A603))</f>
        <v/>
      </c>
      <c r="D603" s="54">
        <f>IF(A603="","",INDEX(lst_months,MONTH(A603)))</f>
        <v/>
      </c>
      <c r="E603" s="55" t="n"/>
      <c r="F603" s="54">
        <f>IF(E603="","",IFERROR(IF(INDEX(lst_exp_item_cat,MATCH(E603,lst_exp_items,0))="","❔ Без категории",INDEX(lst_exp_item_cat,MATCH(E603,lst_exp_items,0))),"❔ Без категории"))</f>
        <v/>
      </c>
      <c r="G603" s="43" t="n"/>
      <c r="H603" s="56" t="n"/>
      <c r="I603" s="43" t="n"/>
      <c r="J603" s="57">
        <f>IF(OR(A603="",H603=""),"",IF(COUNTIFS(exp_year,C603,exp_month,D603,exp_item,E603,exp_status,"&lt;&gt;❌ Отменено")&gt;0,1,0))</f>
        <v/>
      </c>
    </row>
    <row r="604">
      <c r="A604" s="52" t="n"/>
      <c r="B604" s="53">
        <f>IF(A604="","",CHOOSE(WEEKDAY(A604,2),"Пн","Вт","Ср","Чт","Пт","Сб","Вс"))</f>
        <v/>
      </c>
      <c r="C604" s="53">
        <f>IF(A604="","",YEAR(A604))</f>
        <v/>
      </c>
      <c r="D604" s="54">
        <f>IF(A604="","",INDEX(lst_months,MONTH(A604)))</f>
        <v/>
      </c>
      <c r="E604" s="55" t="n"/>
      <c r="F604" s="54">
        <f>IF(E604="","",IFERROR(IF(INDEX(lst_exp_item_cat,MATCH(E604,lst_exp_items,0))="","❔ Без категории",INDEX(lst_exp_item_cat,MATCH(E604,lst_exp_items,0))),"❔ Без категории"))</f>
        <v/>
      </c>
      <c r="G604" s="43" t="n"/>
      <c r="H604" s="56" t="n"/>
      <c r="I604" s="43" t="n"/>
      <c r="J604" s="57">
        <f>IF(OR(A604="",H604=""),"",IF(COUNTIFS(exp_year,C604,exp_month,D604,exp_item,E604,exp_status,"&lt;&gt;❌ Отменено")&gt;0,1,0))</f>
        <v/>
      </c>
    </row>
    <row r="605">
      <c r="A605" s="52" t="n"/>
      <c r="B605" s="53">
        <f>IF(A605="","",CHOOSE(WEEKDAY(A605,2),"Пн","Вт","Ср","Чт","Пт","Сб","Вс"))</f>
        <v/>
      </c>
      <c r="C605" s="53">
        <f>IF(A605="","",YEAR(A605))</f>
        <v/>
      </c>
      <c r="D605" s="54">
        <f>IF(A605="","",INDEX(lst_months,MONTH(A605)))</f>
        <v/>
      </c>
      <c r="E605" s="55" t="n"/>
      <c r="F605" s="54">
        <f>IF(E605="","",IFERROR(IF(INDEX(lst_exp_item_cat,MATCH(E605,lst_exp_items,0))="","❔ Без категории",INDEX(lst_exp_item_cat,MATCH(E605,lst_exp_items,0))),"❔ Без категории"))</f>
        <v/>
      </c>
      <c r="G605" s="43" t="n"/>
      <c r="H605" s="56" t="n"/>
      <c r="I605" s="43" t="n"/>
      <c r="J605" s="57">
        <f>IF(OR(A605="",H605=""),"",IF(COUNTIFS(exp_year,C605,exp_month,D605,exp_item,E605,exp_status,"&lt;&gt;❌ Отменено")&gt;0,1,0))</f>
        <v/>
      </c>
    </row>
    <row r="606">
      <c r="A606" s="52" t="n"/>
      <c r="B606" s="53">
        <f>IF(A606="","",CHOOSE(WEEKDAY(A606,2),"Пн","Вт","Ср","Чт","Пт","Сб","Вс"))</f>
        <v/>
      </c>
      <c r="C606" s="53">
        <f>IF(A606="","",YEAR(A606))</f>
        <v/>
      </c>
      <c r="D606" s="54">
        <f>IF(A606="","",INDEX(lst_months,MONTH(A606)))</f>
        <v/>
      </c>
      <c r="E606" s="55" t="n"/>
      <c r="F606" s="54">
        <f>IF(E606="","",IFERROR(IF(INDEX(lst_exp_item_cat,MATCH(E606,lst_exp_items,0))="","❔ Без категории",INDEX(lst_exp_item_cat,MATCH(E606,lst_exp_items,0))),"❔ Без категории"))</f>
        <v/>
      </c>
      <c r="G606" s="43" t="n"/>
      <c r="H606" s="56" t="n"/>
      <c r="I606" s="43" t="n"/>
      <c r="J606" s="57">
        <f>IF(OR(A606="",H606=""),"",IF(COUNTIFS(exp_year,C606,exp_month,D606,exp_item,E606,exp_status,"&lt;&gt;❌ Отменено")&gt;0,1,0))</f>
        <v/>
      </c>
    </row>
    <row r="607">
      <c r="A607" s="52" t="n"/>
      <c r="B607" s="53">
        <f>IF(A607="","",CHOOSE(WEEKDAY(A607,2),"Пн","Вт","Ср","Чт","Пт","Сб","Вс"))</f>
        <v/>
      </c>
      <c r="C607" s="53">
        <f>IF(A607="","",YEAR(A607))</f>
        <v/>
      </c>
      <c r="D607" s="54">
        <f>IF(A607="","",INDEX(lst_months,MONTH(A607)))</f>
        <v/>
      </c>
      <c r="E607" s="55" t="n"/>
      <c r="F607" s="54">
        <f>IF(E607="","",IFERROR(IF(INDEX(lst_exp_item_cat,MATCH(E607,lst_exp_items,0))="","❔ Без категории",INDEX(lst_exp_item_cat,MATCH(E607,lst_exp_items,0))),"❔ Без категории"))</f>
        <v/>
      </c>
      <c r="G607" s="43" t="n"/>
      <c r="H607" s="56" t="n"/>
      <c r="I607" s="43" t="n"/>
      <c r="J607" s="57">
        <f>IF(OR(A607="",H607=""),"",IF(COUNTIFS(exp_year,C607,exp_month,D607,exp_item,E607,exp_status,"&lt;&gt;❌ Отменено")&gt;0,1,0))</f>
        <v/>
      </c>
    </row>
    <row r="608">
      <c r="A608" s="52" t="n"/>
      <c r="B608" s="53">
        <f>IF(A608="","",CHOOSE(WEEKDAY(A608,2),"Пн","Вт","Ср","Чт","Пт","Сб","Вс"))</f>
        <v/>
      </c>
      <c r="C608" s="53">
        <f>IF(A608="","",YEAR(A608))</f>
        <v/>
      </c>
      <c r="D608" s="54">
        <f>IF(A608="","",INDEX(lst_months,MONTH(A608)))</f>
        <v/>
      </c>
      <c r="E608" s="55" t="n"/>
      <c r="F608" s="54">
        <f>IF(E608="","",IFERROR(IF(INDEX(lst_exp_item_cat,MATCH(E608,lst_exp_items,0))="","❔ Без категории",INDEX(lst_exp_item_cat,MATCH(E608,lst_exp_items,0))),"❔ Без категории"))</f>
        <v/>
      </c>
      <c r="G608" s="43" t="n"/>
      <c r="H608" s="56" t="n"/>
      <c r="I608" s="43" t="n"/>
      <c r="J608" s="57">
        <f>IF(OR(A608="",H608=""),"",IF(COUNTIFS(exp_year,C608,exp_month,D608,exp_item,E608,exp_status,"&lt;&gt;❌ Отменено")&gt;0,1,0))</f>
        <v/>
      </c>
    </row>
    <row r="609">
      <c r="A609" s="52" t="n"/>
      <c r="B609" s="53">
        <f>IF(A609="","",CHOOSE(WEEKDAY(A609,2),"Пн","Вт","Ср","Чт","Пт","Сб","Вс"))</f>
        <v/>
      </c>
      <c r="C609" s="53">
        <f>IF(A609="","",YEAR(A609))</f>
        <v/>
      </c>
      <c r="D609" s="54">
        <f>IF(A609="","",INDEX(lst_months,MONTH(A609)))</f>
        <v/>
      </c>
      <c r="E609" s="55" t="n"/>
      <c r="F609" s="54">
        <f>IF(E609="","",IFERROR(IF(INDEX(lst_exp_item_cat,MATCH(E609,lst_exp_items,0))="","❔ Без категории",INDEX(lst_exp_item_cat,MATCH(E609,lst_exp_items,0))),"❔ Без категории"))</f>
        <v/>
      </c>
      <c r="G609" s="43" t="n"/>
      <c r="H609" s="56" t="n"/>
      <c r="I609" s="43" t="n"/>
      <c r="J609" s="57">
        <f>IF(OR(A609="",H609=""),"",IF(COUNTIFS(exp_year,C609,exp_month,D609,exp_item,E609,exp_status,"&lt;&gt;❌ Отменено")&gt;0,1,0))</f>
        <v/>
      </c>
    </row>
    <row r="610">
      <c r="A610" s="52" t="n"/>
      <c r="B610" s="53">
        <f>IF(A610="","",CHOOSE(WEEKDAY(A610,2),"Пн","Вт","Ср","Чт","Пт","Сб","Вс"))</f>
        <v/>
      </c>
      <c r="C610" s="53">
        <f>IF(A610="","",YEAR(A610))</f>
        <v/>
      </c>
      <c r="D610" s="54">
        <f>IF(A610="","",INDEX(lst_months,MONTH(A610)))</f>
        <v/>
      </c>
      <c r="E610" s="55" t="n"/>
      <c r="F610" s="54">
        <f>IF(E610="","",IFERROR(IF(INDEX(lst_exp_item_cat,MATCH(E610,lst_exp_items,0))="","❔ Без категории",INDEX(lst_exp_item_cat,MATCH(E610,lst_exp_items,0))),"❔ Без категории"))</f>
        <v/>
      </c>
      <c r="G610" s="43" t="n"/>
      <c r="H610" s="56" t="n"/>
      <c r="I610" s="43" t="n"/>
      <c r="J610" s="57">
        <f>IF(OR(A610="",H610=""),"",IF(COUNTIFS(exp_year,C610,exp_month,D610,exp_item,E610,exp_status,"&lt;&gt;❌ Отменено")&gt;0,1,0))</f>
        <v/>
      </c>
    </row>
    <row r="611">
      <c r="A611" s="52" t="n"/>
      <c r="B611" s="53">
        <f>IF(A611="","",CHOOSE(WEEKDAY(A611,2),"Пн","Вт","Ср","Чт","Пт","Сб","Вс"))</f>
        <v/>
      </c>
      <c r="C611" s="53">
        <f>IF(A611="","",YEAR(A611))</f>
        <v/>
      </c>
      <c r="D611" s="54">
        <f>IF(A611="","",INDEX(lst_months,MONTH(A611)))</f>
        <v/>
      </c>
      <c r="E611" s="55" t="n"/>
      <c r="F611" s="54">
        <f>IF(E611="","",IFERROR(IF(INDEX(lst_exp_item_cat,MATCH(E611,lst_exp_items,0))="","❔ Без категории",INDEX(lst_exp_item_cat,MATCH(E611,lst_exp_items,0))),"❔ Без категории"))</f>
        <v/>
      </c>
      <c r="G611" s="43" t="n"/>
      <c r="H611" s="56" t="n"/>
      <c r="I611" s="43" t="n"/>
      <c r="J611" s="57">
        <f>IF(OR(A611="",H611=""),"",IF(COUNTIFS(exp_year,C611,exp_month,D611,exp_item,E611,exp_status,"&lt;&gt;❌ Отменено")&gt;0,1,0))</f>
        <v/>
      </c>
    </row>
    <row r="612">
      <c r="A612" s="52" t="n"/>
      <c r="B612" s="53">
        <f>IF(A612="","",CHOOSE(WEEKDAY(A612,2),"Пн","Вт","Ср","Чт","Пт","Сб","Вс"))</f>
        <v/>
      </c>
      <c r="C612" s="53">
        <f>IF(A612="","",YEAR(A612))</f>
        <v/>
      </c>
      <c r="D612" s="54">
        <f>IF(A612="","",INDEX(lst_months,MONTH(A612)))</f>
        <v/>
      </c>
      <c r="E612" s="55" t="n"/>
      <c r="F612" s="54">
        <f>IF(E612="","",IFERROR(IF(INDEX(lst_exp_item_cat,MATCH(E612,lst_exp_items,0))="","❔ Без категории",INDEX(lst_exp_item_cat,MATCH(E612,lst_exp_items,0))),"❔ Без категории"))</f>
        <v/>
      </c>
      <c r="G612" s="43" t="n"/>
      <c r="H612" s="56" t="n"/>
      <c r="I612" s="43" t="n"/>
      <c r="J612" s="57">
        <f>IF(OR(A612="",H612=""),"",IF(COUNTIFS(exp_year,C612,exp_month,D612,exp_item,E612,exp_status,"&lt;&gt;❌ Отменено")&gt;0,1,0))</f>
        <v/>
      </c>
    </row>
    <row r="613">
      <c r="A613" s="52" t="n"/>
      <c r="B613" s="53">
        <f>IF(A613="","",CHOOSE(WEEKDAY(A613,2),"Пн","Вт","Ср","Чт","Пт","Сб","Вс"))</f>
        <v/>
      </c>
      <c r="C613" s="53">
        <f>IF(A613="","",YEAR(A613))</f>
        <v/>
      </c>
      <c r="D613" s="54">
        <f>IF(A613="","",INDEX(lst_months,MONTH(A613)))</f>
        <v/>
      </c>
      <c r="E613" s="55" t="n"/>
      <c r="F613" s="54">
        <f>IF(E613="","",IFERROR(IF(INDEX(lst_exp_item_cat,MATCH(E613,lst_exp_items,0))="","❔ Без категории",INDEX(lst_exp_item_cat,MATCH(E613,lst_exp_items,0))),"❔ Без категории"))</f>
        <v/>
      </c>
      <c r="G613" s="43" t="n"/>
      <c r="H613" s="56" t="n"/>
      <c r="I613" s="43" t="n"/>
      <c r="J613" s="57">
        <f>IF(OR(A613="",H613=""),"",IF(COUNTIFS(exp_year,C613,exp_month,D613,exp_item,E613,exp_status,"&lt;&gt;❌ Отменено")&gt;0,1,0))</f>
        <v/>
      </c>
    </row>
    <row r="614">
      <c r="A614" s="52" t="n"/>
      <c r="B614" s="53">
        <f>IF(A614="","",CHOOSE(WEEKDAY(A614,2),"Пн","Вт","Ср","Чт","Пт","Сб","Вс"))</f>
        <v/>
      </c>
      <c r="C614" s="53">
        <f>IF(A614="","",YEAR(A614))</f>
        <v/>
      </c>
      <c r="D614" s="54">
        <f>IF(A614="","",INDEX(lst_months,MONTH(A614)))</f>
        <v/>
      </c>
      <c r="E614" s="55" t="n"/>
      <c r="F614" s="54">
        <f>IF(E614="","",IFERROR(IF(INDEX(lst_exp_item_cat,MATCH(E614,lst_exp_items,0))="","❔ Без категории",INDEX(lst_exp_item_cat,MATCH(E614,lst_exp_items,0))),"❔ Без категории"))</f>
        <v/>
      </c>
      <c r="G614" s="43" t="n"/>
      <c r="H614" s="56" t="n"/>
      <c r="I614" s="43" t="n"/>
      <c r="J614" s="57">
        <f>IF(OR(A614="",H614=""),"",IF(COUNTIFS(exp_year,C614,exp_month,D614,exp_item,E614,exp_status,"&lt;&gt;❌ Отменено")&gt;0,1,0))</f>
        <v/>
      </c>
    </row>
    <row r="615">
      <c r="A615" s="52" t="n"/>
      <c r="B615" s="53">
        <f>IF(A615="","",CHOOSE(WEEKDAY(A615,2),"Пн","Вт","Ср","Чт","Пт","Сб","Вс"))</f>
        <v/>
      </c>
      <c r="C615" s="53">
        <f>IF(A615="","",YEAR(A615))</f>
        <v/>
      </c>
      <c r="D615" s="54">
        <f>IF(A615="","",INDEX(lst_months,MONTH(A615)))</f>
        <v/>
      </c>
      <c r="E615" s="55" t="n"/>
      <c r="F615" s="54">
        <f>IF(E615="","",IFERROR(IF(INDEX(lst_exp_item_cat,MATCH(E615,lst_exp_items,0))="","❔ Без категории",INDEX(lst_exp_item_cat,MATCH(E615,lst_exp_items,0))),"❔ Без категории"))</f>
        <v/>
      </c>
      <c r="G615" s="43" t="n"/>
      <c r="H615" s="56" t="n"/>
      <c r="I615" s="43" t="n"/>
      <c r="J615" s="57">
        <f>IF(OR(A615="",H615=""),"",IF(COUNTIFS(exp_year,C615,exp_month,D615,exp_item,E615,exp_status,"&lt;&gt;❌ Отменено")&gt;0,1,0))</f>
        <v/>
      </c>
    </row>
    <row r="616">
      <c r="A616" s="52" t="n"/>
      <c r="B616" s="53">
        <f>IF(A616="","",CHOOSE(WEEKDAY(A616,2),"Пн","Вт","Ср","Чт","Пт","Сб","Вс"))</f>
        <v/>
      </c>
      <c r="C616" s="53">
        <f>IF(A616="","",YEAR(A616))</f>
        <v/>
      </c>
      <c r="D616" s="54">
        <f>IF(A616="","",INDEX(lst_months,MONTH(A616)))</f>
        <v/>
      </c>
      <c r="E616" s="55" t="n"/>
      <c r="F616" s="54">
        <f>IF(E616="","",IFERROR(IF(INDEX(lst_exp_item_cat,MATCH(E616,lst_exp_items,0))="","❔ Без категории",INDEX(lst_exp_item_cat,MATCH(E616,lst_exp_items,0))),"❔ Без категории"))</f>
        <v/>
      </c>
      <c r="G616" s="43" t="n"/>
      <c r="H616" s="56" t="n"/>
      <c r="I616" s="43" t="n"/>
      <c r="J616" s="57">
        <f>IF(OR(A616="",H616=""),"",IF(COUNTIFS(exp_year,C616,exp_month,D616,exp_item,E616,exp_status,"&lt;&gt;❌ Отменено")&gt;0,1,0))</f>
        <v/>
      </c>
    </row>
    <row r="617">
      <c r="A617" s="52" t="n"/>
      <c r="B617" s="53">
        <f>IF(A617="","",CHOOSE(WEEKDAY(A617,2),"Пн","Вт","Ср","Чт","Пт","Сб","Вс"))</f>
        <v/>
      </c>
      <c r="C617" s="53">
        <f>IF(A617="","",YEAR(A617))</f>
        <v/>
      </c>
      <c r="D617" s="54">
        <f>IF(A617="","",INDEX(lst_months,MONTH(A617)))</f>
        <v/>
      </c>
      <c r="E617" s="55" t="n"/>
      <c r="F617" s="54">
        <f>IF(E617="","",IFERROR(IF(INDEX(lst_exp_item_cat,MATCH(E617,lst_exp_items,0))="","❔ Без категории",INDEX(lst_exp_item_cat,MATCH(E617,lst_exp_items,0))),"❔ Без категории"))</f>
        <v/>
      </c>
      <c r="G617" s="43" t="n"/>
      <c r="H617" s="56" t="n"/>
      <c r="I617" s="43" t="n"/>
      <c r="J617" s="57">
        <f>IF(OR(A617="",H617=""),"",IF(COUNTIFS(exp_year,C617,exp_month,D617,exp_item,E617,exp_status,"&lt;&gt;❌ Отменено")&gt;0,1,0))</f>
        <v/>
      </c>
    </row>
    <row r="618">
      <c r="A618" s="52" t="n"/>
      <c r="B618" s="53">
        <f>IF(A618="","",CHOOSE(WEEKDAY(A618,2),"Пн","Вт","Ср","Чт","Пт","Сб","Вс"))</f>
        <v/>
      </c>
      <c r="C618" s="53">
        <f>IF(A618="","",YEAR(A618))</f>
        <v/>
      </c>
      <c r="D618" s="54">
        <f>IF(A618="","",INDEX(lst_months,MONTH(A618)))</f>
        <v/>
      </c>
      <c r="E618" s="55" t="n"/>
      <c r="F618" s="54">
        <f>IF(E618="","",IFERROR(IF(INDEX(lst_exp_item_cat,MATCH(E618,lst_exp_items,0))="","❔ Без категории",INDEX(lst_exp_item_cat,MATCH(E618,lst_exp_items,0))),"❔ Без категории"))</f>
        <v/>
      </c>
      <c r="G618" s="43" t="n"/>
      <c r="H618" s="56" t="n"/>
      <c r="I618" s="43" t="n"/>
      <c r="J618" s="57">
        <f>IF(OR(A618="",H618=""),"",IF(COUNTIFS(exp_year,C618,exp_month,D618,exp_item,E618,exp_status,"&lt;&gt;❌ Отменено")&gt;0,1,0))</f>
        <v/>
      </c>
    </row>
    <row r="619">
      <c r="A619" s="52" t="n"/>
      <c r="B619" s="53">
        <f>IF(A619="","",CHOOSE(WEEKDAY(A619,2),"Пн","Вт","Ср","Чт","Пт","Сб","Вс"))</f>
        <v/>
      </c>
      <c r="C619" s="53">
        <f>IF(A619="","",YEAR(A619))</f>
        <v/>
      </c>
      <c r="D619" s="54">
        <f>IF(A619="","",INDEX(lst_months,MONTH(A619)))</f>
        <v/>
      </c>
      <c r="E619" s="55" t="n"/>
      <c r="F619" s="54">
        <f>IF(E619="","",IFERROR(IF(INDEX(lst_exp_item_cat,MATCH(E619,lst_exp_items,0))="","❔ Без категории",INDEX(lst_exp_item_cat,MATCH(E619,lst_exp_items,0))),"❔ Без категории"))</f>
        <v/>
      </c>
      <c r="G619" s="43" t="n"/>
      <c r="H619" s="56" t="n"/>
      <c r="I619" s="43" t="n"/>
      <c r="J619" s="57">
        <f>IF(OR(A619="",H619=""),"",IF(COUNTIFS(exp_year,C619,exp_month,D619,exp_item,E619,exp_status,"&lt;&gt;❌ Отменено")&gt;0,1,0))</f>
        <v/>
      </c>
    </row>
    <row r="620">
      <c r="A620" s="52" t="n"/>
      <c r="B620" s="53">
        <f>IF(A620="","",CHOOSE(WEEKDAY(A620,2),"Пн","Вт","Ср","Чт","Пт","Сб","Вс"))</f>
        <v/>
      </c>
      <c r="C620" s="53">
        <f>IF(A620="","",YEAR(A620))</f>
        <v/>
      </c>
      <c r="D620" s="54">
        <f>IF(A620="","",INDEX(lst_months,MONTH(A620)))</f>
        <v/>
      </c>
      <c r="E620" s="55" t="n"/>
      <c r="F620" s="54">
        <f>IF(E620="","",IFERROR(IF(INDEX(lst_exp_item_cat,MATCH(E620,lst_exp_items,0))="","❔ Без категории",INDEX(lst_exp_item_cat,MATCH(E620,lst_exp_items,0))),"❔ Без категории"))</f>
        <v/>
      </c>
      <c r="G620" s="43" t="n"/>
      <c r="H620" s="56" t="n"/>
      <c r="I620" s="43" t="n"/>
      <c r="J620" s="57">
        <f>IF(OR(A620="",H620=""),"",IF(COUNTIFS(exp_year,C620,exp_month,D620,exp_item,E620,exp_status,"&lt;&gt;❌ Отменено")&gt;0,1,0))</f>
        <v/>
      </c>
    </row>
    <row r="621">
      <c r="A621" s="52" t="n"/>
      <c r="B621" s="53">
        <f>IF(A621="","",CHOOSE(WEEKDAY(A621,2),"Пн","Вт","Ср","Чт","Пт","Сб","Вс"))</f>
        <v/>
      </c>
      <c r="C621" s="53">
        <f>IF(A621="","",YEAR(A621))</f>
        <v/>
      </c>
      <c r="D621" s="54">
        <f>IF(A621="","",INDEX(lst_months,MONTH(A621)))</f>
        <v/>
      </c>
      <c r="E621" s="55" t="n"/>
      <c r="F621" s="54">
        <f>IF(E621="","",IFERROR(IF(INDEX(lst_exp_item_cat,MATCH(E621,lst_exp_items,0))="","❔ Без категории",INDEX(lst_exp_item_cat,MATCH(E621,lst_exp_items,0))),"❔ Без категории"))</f>
        <v/>
      </c>
      <c r="G621" s="43" t="n"/>
      <c r="H621" s="56" t="n"/>
      <c r="I621" s="43" t="n"/>
      <c r="J621" s="57">
        <f>IF(OR(A621="",H621=""),"",IF(COUNTIFS(exp_year,C621,exp_month,D621,exp_item,E621,exp_status,"&lt;&gt;❌ Отменено")&gt;0,1,0))</f>
        <v/>
      </c>
    </row>
    <row r="622">
      <c r="A622" s="52" t="n"/>
      <c r="B622" s="53">
        <f>IF(A622="","",CHOOSE(WEEKDAY(A622,2),"Пн","Вт","Ср","Чт","Пт","Сб","Вс"))</f>
        <v/>
      </c>
      <c r="C622" s="53">
        <f>IF(A622="","",YEAR(A622))</f>
        <v/>
      </c>
      <c r="D622" s="54">
        <f>IF(A622="","",INDEX(lst_months,MONTH(A622)))</f>
        <v/>
      </c>
      <c r="E622" s="55" t="n"/>
      <c r="F622" s="54">
        <f>IF(E622="","",IFERROR(IF(INDEX(lst_exp_item_cat,MATCH(E622,lst_exp_items,0))="","❔ Без категории",INDEX(lst_exp_item_cat,MATCH(E622,lst_exp_items,0))),"❔ Без категории"))</f>
        <v/>
      </c>
      <c r="G622" s="43" t="n"/>
      <c r="H622" s="56" t="n"/>
      <c r="I622" s="43" t="n"/>
      <c r="J622" s="57">
        <f>IF(OR(A622="",H622=""),"",IF(COUNTIFS(exp_year,C622,exp_month,D622,exp_item,E622,exp_status,"&lt;&gt;❌ Отменено")&gt;0,1,0))</f>
        <v/>
      </c>
    </row>
    <row r="623">
      <c r="A623" s="52" t="n"/>
      <c r="B623" s="53">
        <f>IF(A623="","",CHOOSE(WEEKDAY(A623,2),"Пн","Вт","Ср","Чт","Пт","Сб","Вс"))</f>
        <v/>
      </c>
      <c r="C623" s="53">
        <f>IF(A623="","",YEAR(A623))</f>
        <v/>
      </c>
      <c r="D623" s="54">
        <f>IF(A623="","",INDEX(lst_months,MONTH(A623)))</f>
        <v/>
      </c>
      <c r="E623" s="55" t="n"/>
      <c r="F623" s="54">
        <f>IF(E623="","",IFERROR(IF(INDEX(lst_exp_item_cat,MATCH(E623,lst_exp_items,0))="","❔ Без категории",INDEX(lst_exp_item_cat,MATCH(E623,lst_exp_items,0))),"❔ Без категории"))</f>
        <v/>
      </c>
      <c r="G623" s="43" t="n"/>
      <c r="H623" s="56" t="n"/>
      <c r="I623" s="43" t="n"/>
      <c r="J623" s="57">
        <f>IF(OR(A623="",H623=""),"",IF(COUNTIFS(exp_year,C623,exp_month,D623,exp_item,E623,exp_status,"&lt;&gt;❌ Отменено")&gt;0,1,0))</f>
        <v/>
      </c>
    </row>
    <row r="624">
      <c r="A624" s="52" t="n"/>
      <c r="B624" s="53">
        <f>IF(A624="","",CHOOSE(WEEKDAY(A624,2),"Пн","Вт","Ср","Чт","Пт","Сб","Вс"))</f>
        <v/>
      </c>
      <c r="C624" s="53">
        <f>IF(A624="","",YEAR(A624))</f>
        <v/>
      </c>
      <c r="D624" s="54">
        <f>IF(A624="","",INDEX(lst_months,MONTH(A624)))</f>
        <v/>
      </c>
      <c r="E624" s="55" t="n"/>
      <c r="F624" s="54">
        <f>IF(E624="","",IFERROR(IF(INDEX(lst_exp_item_cat,MATCH(E624,lst_exp_items,0))="","❔ Без категории",INDEX(lst_exp_item_cat,MATCH(E624,lst_exp_items,0))),"❔ Без категории"))</f>
        <v/>
      </c>
      <c r="G624" s="43" t="n"/>
      <c r="H624" s="56" t="n"/>
      <c r="I624" s="43" t="n"/>
      <c r="J624" s="57">
        <f>IF(OR(A624="",H624=""),"",IF(COUNTIFS(exp_year,C624,exp_month,D624,exp_item,E624,exp_status,"&lt;&gt;❌ Отменено")&gt;0,1,0))</f>
        <v/>
      </c>
    </row>
    <row r="625">
      <c r="A625" s="52" t="n"/>
      <c r="B625" s="53">
        <f>IF(A625="","",CHOOSE(WEEKDAY(A625,2),"Пн","Вт","Ср","Чт","Пт","Сб","Вс"))</f>
        <v/>
      </c>
      <c r="C625" s="53">
        <f>IF(A625="","",YEAR(A625))</f>
        <v/>
      </c>
      <c r="D625" s="54">
        <f>IF(A625="","",INDEX(lst_months,MONTH(A625)))</f>
        <v/>
      </c>
      <c r="E625" s="55" t="n"/>
      <c r="F625" s="54">
        <f>IF(E625="","",IFERROR(IF(INDEX(lst_exp_item_cat,MATCH(E625,lst_exp_items,0))="","❔ Без категории",INDEX(lst_exp_item_cat,MATCH(E625,lst_exp_items,0))),"❔ Без категории"))</f>
        <v/>
      </c>
      <c r="G625" s="43" t="n"/>
      <c r="H625" s="56" t="n"/>
      <c r="I625" s="43" t="n"/>
      <c r="J625" s="57">
        <f>IF(OR(A625="",H625=""),"",IF(COUNTIFS(exp_year,C625,exp_month,D625,exp_item,E625,exp_status,"&lt;&gt;❌ Отменено")&gt;0,1,0))</f>
        <v/>
      </c>
    </row>
    <row r="626">
      <c r="A626" s="52" t="n"/>
      <c r="B626" s="53">
        <f>IF(A626="","",CHOOSE(WEEKDAY(A626,2),"Пн","Вт","Ср","Чт","Пт","Сб","Вс"))</f>
        <v/>
      </c>
      <c r="C626" s="53">
        <f>IF(A626="","",YEAR(A626))</f>
        <v/>
      </c>
      <c r="D626" s="54">
        <f>IF(A626="","",INDEX(lst_months,MONTH(A626)))</f>
        <v/>
      </c>
      <c r="E626" s="55" t="n"/>
      <c r="F626" s="54">
        <f>IF(E626="","",IFERROR(IF(INDEX(lst_exp_item_cat,MATCH(E626,lst_exp_items,0))="","❔ Без категории",INDEX(lst_exp_item_cat,MATCH(E626,lst_exp_items,0))),"❔ Без категории"))</f>
        <v/>
      </c>
      <c r="G626" s="43" t="n"/>
      <c r="H626" s="56" t="n"/>
      <c r="I626" s="43" t="n"/>
      <c r="J626" s="57">
        <f>IF(OR(A626="",H626=""),"",IF(COUNTIFS(exp_year,C626,exp_month,D626,exp_item,E626,exp_status,"&lt;&gt;❌ Отменено")&gt;0,1,0))</f>
        <v/>
      </c>
    </row>
    <row r="627">
      <c r="A627" s="52" t="n"/>
      <c r="B627" s="53">
        <f>IF(A627="","",CHOOSE(WEEKDAY(A627,2),"Пн","Вт","Ср","Чт","Пт","Сб","Вс"))</f>
        <v/>
      </c>
      <c r="C627" s="53">
        <f>IF(A627="","",YEAR(A627))</f>
        <v/>
      </c>
      <c r="D627" s="54">
        <f>IF(A627="","",INDEX(lst_months,MONTH(A627)))</f>
        <v/>
      </c>
      <c r="E627" s="55" t="n"/>
      <c r="F627" s="54">
        <f>IF(E627="","",IFERROR(IF(INDEX(lst_exp_item_cat,MATCH(E627,lst_exp_items,0))="","❔ Без категории",INDEX(lst_exp_item_cat,MATCH(E627,lst_exp_items,0))),"❔ Без категории"))</f>
        <v/>
      </c>
      <c r="G627" s="43" t="n"/>
      <c r="H627" s="56" t="n"/>
      <c r="I627" s="43" t="n"/>
      <c r="J627" s="57">
        <f>IF(OR(A627="",H627=""),"",IF(COUNTIFS(exp_year,C627,exp_month,D627,exp_item,E627,exp_status,"&lt;&gt;❌ Отменено")&gt;0,1,0))</f>
        <v/>
      </c>
    </row>
    <row r="628">
      <c r="A628" s="52" t="n"/>
      <c r="B628" s="53">
        <f>IF(A628="","",CHOOSE(WEEKDAY(A628,2),"Пн","Вт","Ср","Чт","Пт","Сб","Вс"))</f>
        <v/>
      </c>
      <c r="C628" s="53">
        <f>IF(A628="","",YEAR(A628))</f>
        <v/>
      </c>
      <c r="D628" s="54">
        <f>IF(A628="","",INDEX(lst_months,MONTH(A628)))</f>
        <v/>
      </c>
      <c r="E628" s="55" t="n"/>
      <c r="F628" s="54">
        <f>IF(E628="","",IFERROR(IF(INDEX(lst_exp_item_cat,MATCH(E628,lst_exp_items,0))="","❔ Без категории",INDEX(lst_exp_item_cat,MATCH(E628,lst_exp_items,0))),"❔ Без категории"))</f>
        <v/>
      </c>
      <c r="G628" s="43" t="n"/>
      <c r="H628" s="56" t="n"/>
      <c r="I628" s="43" t="n"/>
      <c r="J628" s="57">
        <f>IF(OR(A628="",H628=""),"",IF(COUNTIFS(exp_year,C628,exp_month,D628,exp_item,E628,exp_status,"&lt;&gt;❌ Отменено")&gt;0,1,0))</f>
        <v/>
      </c>
    </row>
    <row r="629">
      <c r="A629" s="52" t="n"/>
      <c r="B629" s="53">
        <f>IF(A629="","",CHOOSE(WEEKDAY(A629,2),"Пн","Вт","Ср","Чт","Пт","Сб","Вс"))</f>
        <v/>
      </c>
      <c r="C629" s="53">
        <f>IF(A629="","",YEAR(A629))</f>
        <v/>
      </c>
      <c r="D629" s="54">
        <f>IF(A629="","",INDEX(lst_months,MONTH(A629)))</f>
        <v/>
      </c>
      <c r="E629" s="55" t="n"/>
      <c r="F629" s="54">
        <f>IF(E629="","",IFERROR(IF(INDEX(lst_exp_item_cat,MATCH(E629,lst_exp_items,0))="","❔ Без категории",INDEX(lst_exp_item_cat,MATCH(E629,lst_exp_items,0))),"❔ Без категории"))</f>
        <v/>
      </c>
      <c r="G629" s="43" t="n"/>
      <c r="H629" s="56" t="n"/>
      <c r="I629" s="43" t="n"/>
      <c r="J629" s="57">
        <f>IF(OR(A629="",H629=""),"",IF(COUNTIFS(exp_year,C629,exp_month,D629,exp_item,E629,exp_status,"&lt;&gt;❌ Отменено")&gt;0,1,0))</f>
        <v/>
      </c>
    </row>
    <row r="630">
      <c r="A630" s="52" t="n"/>
      <c r="B630" s="53">
        <f>IF(A630="","",CHOOSE(WEEKDAY(A630,2),"Пн","Вт","Ср","Чт","Пт","Сб","Вс"))</f>
        <v/>
      </c>
      <c r="C630" s="53">
        <f>IF(A630="","",YEAR(A630))</f>
        <v/>
      </c>
      <c r="D630" s="54">
        <f>IF(A630="","",INDEX(lst_months,MONTH(A630)))</f>
        <v/>
      </c>
      <c r="E630" s="55" t="n"/>
      <c r="F630" s="54">
        <f>IF(E630="","",IFERROR(IF(INDEX(lst_exp_item_cat,MATCH(E630,lst_exp_items,0))="","❔ Без категории",INDEX(lst_exp_item_cat,MATCH(E630,lst_exp_items,0))),"❔ Без категории"))</f>
        <v/>
      </c>
      <c r="G630" s="43" t="n"/>
      <c r="H630" s="56" t="n"/>
      <c r="I630" s="43" t="n"/>
      <c r="J630" s="57">
        <f>IF(OR(A630="",H630=""),"",IF(COUNTIFS(exp_year,C630,exp_month,D630,exp_item,E630,exp_status,"&lt;&gt;❌ Отменено")&gt;0,1,0))</f>
        <v/>
      </c>
    </row>
    <row r="631">
      <c r="A631" s="52" t="n"/>
      <c r="B631" s="53">
        <f>IF(A631="","",CHOOSE(WEEKDAY(A631,2),"Пн","Вт","Ср","Чт","Пт","Сб","Вс"))</f>
        <v/>
      </c>
      <c r="C631" s="53">
        <f>IF(A631="","",YEAR(A631))</f>
        <v/>
      </c>
      <c r="D631" s="54">
        <f>IF(A631="","",INDEX(lst_months,MONTH(A631)))</f>
        <v/>
      </c>
      <c r="E631" s="55" t="n"/>
      <c r="F631" s="54">
        <f>IF(E631="","",IFERROR(IF(INDEX(lst_exp_item_cat,MATCH(E631,lst_exp_items,0))="","❔ Без категории",INDEX(lst_exp_item_cat,MATCH(E631,lst_exp_items,0))),"❔ Без категории"))</f>
        <v/>
      </c>
      <c r="G631" s="43" t="n"/>
      <c r="H631" s="56" t="n"/>
      <c r="I631" s="43" t="n"/>
      <c r="J631" s="57">
        <f>IF(OR(A631="",H631=""),"",IF(COUNTIFS(exp_year,C631,exp_month,D631,exp_item,E631,exp_status,"&lt;&gt;❌ Отменено")&gt;0,1,0))</f>
        <v/>
      </c>
    </row>
    <row r="632">
      <c r="A632" s="52" t="n"/>
      <c r="B632" s="53">
        <f>IF(A632="","",CHOOSE(WEEKDAY(A632,2),"Пн","Вт","Ср","Чт","Пт","Сб","Вс"))</f>
        <v/>
      </c>
      <c r="C632" s="53">
        <f>IF(A632="","",YEAR(A632))</f>
        <v/>
      </c>
      <c r="D632" s="54">
        <f>IF(A632="","",INDEX(lst_months,MONTH(A632)))</f>
        <v/>
      </c>
      <c r="E632" s="55" t="n"/>
      <c r="F632" s="54">
        <f>IF(E632="","",IFERROR(IF(INDEX(lst_exp_item_cat,MATCH(E632,lst_exp_items,0))="","❔ Без категории",INDEX(lst_exp_item_cat,MATCH(E632,lst_exp_items,0))),"❔ Без категории"))</f>
        <v/>
      </c>
      <c r="G632" s="43" t="n"/>
      <c r="H632" s="56" t="n"/>
      <c r="I632" s="43" t="n"/>
      <c r="J632" s="57">
        <f>IF(OR(A632="",H632=""),"",IF(COUNTIFS(exp_year,C632,exp_month,D632,exp_item,E632,exp_status,"&lt;&gt;❌ Отменено")&gt;0,1,0))</f>
        <v/>
      </c>
    </row>
    <row r="633">
      <c r="A633" s="52" t="n"/>
      <c r="B633" s="53">
        <f>IF(A633="","",CHOOSE(WEEKDAY(A633,2),"Пн","Вт","Ср","Чт","Пт","Сб","Вс"))</f>
        <v/>
      </c>
      <c r="C633" s="53">
        <f>IF(A633="","",YEAR(A633))</f>
        <v/>
      </c>
      <c r="D633" s="54">
        <f>IF(A633="","",INDEX(lst_months,MONTH(A633)))</f>
        <v/>
      </c>
      <c r="E633" s="55" t="n"/>
      <c r="F633" s="54">
        <f>IF(E633="","",IFERROR(IF(INDEX(lst_exp_item_cat,MATCH(E633,lst_exp_items,0))="","❔ Без категории",INDEX(lst_exp_item_cat,MATCH(E633,lst_exp_items,0))),"❔ Без категории"))</f>
        <v/>
      </c>
      <c r="G633" s="43" t="n"/>
      <c r="H633" s="56" t="n"/>
      <c r="I633" s="43" t="n"/>
      <c r="J633" s="57">
        <f>IF(OR(A633="",H633=""),"",IF(COUNTIFS(exp_year,C633,exp_month,D633,exp_item,E633,exp_status,"&lt;&gt;❌ Отменено")&gt;0,1,0))</f>
        <v/>
      </c>
    </row>
    <row r="634">
      <c r="A634" s="52" t="n"/>
      <c r="B634" s="53">
        <f>IF(A634="","",CHOOSE(WEEKDAY(A634,2),"Пн","Вт","Ср","Чт","Пт","Сб","Вс"))</f>
        <v/>
      </c>
      <c r="C634" s="53">
        <f>IF(A634="","",YEAR(A634))</f>
        <v/>
      </c>
      <c r="D634" s="54">
        <f>IF(A634="","",INDEX(lst_months,MONTH(A634)))</f>
        <v/>
      </c>
      <c r="E634" s="55" t="n"/>
      <c r="F634" s="54">
        <f>IF(E634="","",IFERROR(IF(INDEX(lst_exp_item_cat,MATCH(E634,lst_exp_items,0))="","❔ Без категории",INDEX(lst_exp_item_cat,MATCH(E634,lst_exp_items,0))),"❔ Без категории"))</f>
        <v/>
      </c>
      <c r="G634" s="43" t="n"/>
      <c r="H634" s="56" t="n"/>
      <c r="I634" s="43" t="n"/>
      <c r="J634" s="57">
        <f>IF(OR(A634="",H634=""),"",IF(COUNTIFS(exp_year,C634,exp_month,D634,exp_item,E634,exp_status,"&lt;&gt;❌ Отменено")&gt;0,1,0))</f>
        <v/>
      </c>
    </row>
    <row r="635">
      <c r="A635" s="52" t="n"/>
      <c r="B635" s="53">
        <f>IF(A635="","",CHOOSE(WEEKDAY(A635,2),"Пн","Вт","Ср","Чт","Пт","Сб","Вс"))</f>
        <v/>
      </c>
      <c r="C635" s="53">
        <f>IF(A635="","",YEAR(A635))</f>
        <v/>
      </c>
      <c r="D635" s="54">
        <f>IF(A635="","",INDEX(lst_months,MONTH(A635)))</f>
        <v/>
      </c>
      <c r="E635" s="55" t="n"/>
      <c r="F635" s="54">
        <f>IF(E635="","",IFERROR(IF(INDEX(lst_exp_item_cat,MATCH(E635,lst_exp_items,0))="","❔ Без категории",INDEX(lst_exp_item_cat,MATCH(E635,lst_exp_items,0))),"❔ Без категории"))</f>
        <v/>
      </c>
      <c r="G635" s="43" t="n"/>
      <c r="H635" s="56" t="n"/>
      <c r="I635" s="43" t="n"/>
      <c r="J635" s="57">
        <f>IF(OR(A635="",H635=""),"",IF(COUNTIFS(exp_year,C635,exp_month,D635,exp_item,E635,exp_status,"&lt;&gt;❌ Отменено")&gt;0,1,0))</f>
        <v/>
      </c>
    </row>
    <row r="636">
      <c r="A636" s="52" t="n"/>
      <c r="B636" s="53">
        <f>IF(A636="","",CHOOSE(WEEKDAY(A636,2),"Пн","Вт","Ср","Чт","Пт","Сб","Вс"))</f>
        <v/>
      </c>
      <c r="C636" s="53">
        <f>IF(A636="","",YEAR(A636))</f>
        <v/>
      </c>
      <c r="D636" s="54">
        <f>IF(A636="","",INDEX(lst_months,MONTH(A636)))</f>
        <v/>
      </c>
      <c r="E636" s="55" t="n"/>
      <c r="F636" s="54">
        <f>IF(E636="","",IFERROR(IF(INDEX(lst_exp_item_cat,MATCH(E636,lst_exp_items,0))="","❔ Без категории",INDEX(lst_exp_item_cat,MATCH(E636,lst_exp_items,0))),"❔ Без категории"))</f>
        <v/>
      </c>
      <c r="G636" s="43" t="n"/>
      <c r="H636" s="56" t="n"/>
      <c r="I636" s="43" t="n"/>
      <c r="J636" s="57">
        <f>IF(OR(A636="",H636=""),"",IF(COUNTIFS(exp_year,C636,exp_month,D636,exp_item,E636,exp_status,"&lt;&gt;❌ Отменено")&gt;0,1,0))</f>
        <v/>
      </c>
    </row>
    <row r="637">
      <c r="A637" s="52" t="n"/>
      <c r="B637" s="53">
        <f>IF(A637="","",CHOOSE(WEEKDAY(A637,2),"Пн","Вт","Ср","Чт","Пт","Сб","Вс"))</f>
        <v/>
      </c>
      <c r="C637" s="53">
        <f>IF(A637="","",YEAR(A637))</f>
        <v/>
      </c>
      <c r="D637" s="54">
        <f>IF(A637="","",INDEX(lst_months,MONTH(A637)))</f>
        <v/>
      </c>
      <c r="E637" s="55" t="n"/>
      <c r="F637" s="54">
        <f>IF(E637="","",IFERROR(IF(INDEX(lst_exp_item_cat,MATCH(E637,lst_exp_items,0))="","❔ Без категории",INDEX(lst_exp_item_cat,MATCH(E637,lst_exp_items,0))),"❔ Без категории"))</f>
        <v/>
      </c>
      <c r="G637" s="43" t="n"/>
      <c r="H637" s="56" t="n"/>
      <c r="I637" s="43" t="n"/>
      <c r="J637" s="57">
        <f>IF(OR(A637="",H637=""),"",IF(COUNTIFS(exp_year,C637,exp_month,D637,exp_item,E637,exp_status,"&lt;&gt;❌ Отменено")&gt;0,1,0))</f>
        <v/>
      </c>
    </row>
    <row r="638">
      <c r="A638" s="52" t="n"/>
      <c r="B638" s="53">
        <f>IF(A638="","",CHOOSE(WEEKDAY(A638,2),"Пн","Вт","Ср","Чт","Пт","Сб","Вс"))</f>
        <v/>
      </c>
      <c r="C638" s="53">
        <f>IF(A638="","",YEAR(A638))</f>
        <v/>
      </c>
      <c r="D638" s="54">
        <f>IF(A638="","",INDEX(lst_months,MONTH(A638)))</f>
        <v/>
      </c>
      <c r="E638" s="55" t="n"/>
      <c r="F638" s="54">
        <f>IF(E638="","",IFERROR(IF(INDEX(lst_exp_item_cat,MATCH(E638,lst_exp_items,0))="","❔ Без категории",INDEX(lst_exp_item_cat,MATCH(E638,lst_exp_items,0))),"❔ Без категории"))</f>
        <v/>
      </c>
      <c r="G638" s="43" t="n"/>
      <c r="H638" s="56" t="n"/>
      <c r="I638" s="43" t="n"/>
      <c r="J638" s="57">
        <f>IF(OR(A638="",H638=""),"",IF(COUNTIFS(exp_year,C638,exp_month,D638,exp_item,E638,exp_status,"&lt;&gt;❌ Отменено")&gt;0,1,0))</f>
        <v/>
      </c>
    </row>
    <row r="639">
      <c r="A639" s="52" t="n"/>
      <c r="B639" s="53">
        <f>IF(A639="","",CHOOSE(WEEKDAY(A639,2),"Пн","Вт","Ср","Чт","Пт","Сб","Вс"))</f>
        <v/>
      </c>
      <c r="C639" s="53">
        <f>IF(A639="","",YEAR(A639))</f>
        <v/>
      </c>
      <c r="D639" s="54">
        <f>IF(A639="","",INDEX(lst_months,MONTH(A639)))</f>
        <v/>
      </c>
      <c r="E639" s="55" t="n"/>
      <c r="F639" s="54">
        <f>IF(E639="","",IFERROR(IF(INDEX(lst_exp_item_cat,MATCH(E639,lst_exp_items,0))="","❔ Без категории",INDEX(lst_exp_item_cat,MATCH(E639,lst_exp_items,0))),"❔ Без категории"))</f>
        <v/>
      </c>
      <c r="G639" s="43" t="n"/>
      <c r="H639" s="56" t="n"/>
      <c r="I639" s="43" t="n"/>
      <c r="J639" s="57">
        <f>IF(OR(A639="",H639=""),"",IF(COUNTIFS(exp_year,C639,exp_month,D639,exp_item,E639,exp_status,"&lt;&gt;❌ Отменено")&gt;0,1,0))</f>
        <v/>
      </c>
    </row>
    <row r="640">
      <c r="A640" s="52" t="n"/>
      <c r="B640" s="53">
        <f>IF(A640="","",CHOOSE(WEEKDAY(A640,2),"Пн","Вт","Ср","Чт","Пт","Сб","Вс"))</f>
        <v/>
      </c>
      <c r="C640" s="53">
        <f>IF(A640="","",YEAR(A640))</f>
        <v/>
      </c>
      <c r="D640" s="54">
        <f>IF(A640="","",INDEX(lst_months,MONTH(A640)))</f>
        <v/>
      </c>
      <c r="E640" s="55" t="n"/>
      <c r="F640" s="54">
        <f>IF(E640="","",IFERROR(IF(INDEX(lst_exp_item_cat,MATCH(E640,lst_exp_items,0))="","❔ Без категории",INDEX(lst_exp_item_cat,MATCH(E640,lst_exp_items,0))),"❔ Без категории"))</f>
        <v/>
      </c>
      <c r="G640" s="43" t="n"/>
      <c r="H640" s="56" t="n"/>
      <c r="I640" s="43" t="n"/>
      <c r="J640" s="57">
        <f>IF(OR(A640="",H640=""),"",IF(COUNTIFS(exp_year,C640,exp_month,D640,exp_item,E640,exp_status,"&lt;&gt;❌ Отменено")&gt;0,1,0))</f>
        <v/>
      </c>
    </row>
    <row r="641">
      <c r="A641" s="52" t="n"/>
      <c r="B641" s="53">
        <f>IF(A641="","",CHOOSE(WEEKDAY(A641,2),"Пн","Вт","Ср","Чт","Пт","Сб","Вс"))</f>
        <v/>
      </c>
      <c r="C641" s="53">
        <f>IF(A641="","",YEAR(A641))</f>
        <v/>
      </c>
      <c r="D641" s="54">
        <f>IF(A641="","",INDEX(lst_months,MONTH(A641)))</f>
        <v/>
      </c>
      <c r="E641" s="55" t="n"/>
      <c r="F641" s="54">
        <f>IF(E641="","",IFERROR(IF(INDEX(lst_exp_item_cat,MATCH(E641,lst_exp_items,0))="","❔ Без категории",INDEX(lst_exp_item_cat,MATCH(E641,lst_exp_items,0))),"❔ Без категории"))</f>
        <v/>
      </c>
      <c r="G641" s="43" t="n"/>
      <c r="H641" s="56" t="n"/>
      <c r="I641" s="43" t="n"/>
      <c r="J641" s="57">
        <f>IF(OR(A641="",H641=""),"",IF(COUNTIFS(exp_year,C641,exp_month,D641,exp_item,E641,exp_status,"&lt;&gt;❌ Отменено")&gt;0,1,0))</f>
        <v/>
      </c>
    </row>
    <row r="642">
      <c r="A642" s="52" t="n"/>
      <c r="B642" s="53">
        <f>IF(A642="","",CHOOSE(WEEKDAY(A642,2),"Пн","Вт","Ср","Чт","Пт","Сб","Вс"))</f>
        <v/>
      </c>
      <c r="C642" s="53">
        <f>IF(A642="","",YEAR(A642))</f>
        <v/>
      </c>
      <c r="D642" s="54">
        <f>IF(A642="","",INDEX(lst_months,MONTH(A642)))</f>
        <v/>
      </c>
      <c r="E642" s="55" t="n"/>
      <c r="F642" s="54">
        <f>IF(E642="","",IFERROR(IF(INDEX(lst_exp_item_cat,MATCH(E642,lst_exp_items,0))="","❔ Без категории",INDEX(lst_exp_item_cat,MATCH(E642,lst_exp_items,0))),"❔ Без категории"))</f>
        <v/>
      </c>
      <c r="G642" s="43" t="n"/>
      <c r="H642" s="56" t="n"/>
      <c r="I642" s="43" t="n"/>
      <c r="J642" s="57">
        <f>IF(OR(A642="",H642=""),"",IF(COUNTIFS(exp_year,C642,exp_month,D642,exp_item,E642,exp_status,"&lt;&gt;❌ Отменено")&gt;0,1,0))</f>
        <v/>
      </c>
    </row>
    <row r="643">
      <c r="A643" s="52" t="n"/>
      <c r="B643" s="53">
        <f>IF(A643="","",CHOOSE(WEEKDAY(A643,2),"Пн","Вт","Ср","Чт","Пт","Сб","Вс"))</f>
        <v/>
      </c>
      <c r="C643" s="53">
        <f>IF(A643="","",YEAR(A643))</f>
        <v/>
      </c>
      <c r="D643" s="54">
        <f>IF(A643="","",INDEX(lst_months,MONTH(A643)))</f>
        <v/>
      </c>
      <c r="E643" s="55" t="n"/>
      <c r="F643" s="54">
        <f>IF(E643="","",IFERROR(IF(INDEX(lst_exp_item_cat,MATCH(E643,lst_exp_items,0))="","❔ Без категории",INDEX(lst_exp_item_cat,MATCH(E643,lst_exp_items,0))),"❔ Без категории"))</f>
        <v/>
      </c>
      <c r="G643" s="43" t="n"/>
      <c r="H643" s="56" t="n"/>
      <c r="I643" s="43" t="n"/>
      <c r="J643" s="57">
        <f>IF(OR(A643="",H643=""),"",IF(COUNTIFS(exp_year,C643,exp_month,D643,exp_item,E643,exp_status,"&lt;&gt;❌ Отменено")&gt;0,1,0))</f>
        <v/>
      </c>
    </row>
    <row r="644">
      <c r="A644" s="52" t="n"/>
      <c r="B644" s="53">
        <f>IF(A644="","",CHOOSE(WEEKDAY(A644,2),"Пн","Вт","Ср","Чт","Пт","Сб","Вс"))</f>
        <v/>
      </c>
      <c r="C644" s="53">
        <f>IF(A644="","",YEAR(A644))</f>
        <v/>
      </c>
      <c r="D644" s="54">
        <f>IF(A644="","",INDEX(lst_months,MONTH(A644)))</f>
        <v/>
      </c>
      <c r="E644" s="55" t="n"/>
      <c r="F644" s="54">
        <f>IF(E644="","",IFERROR(IF(INDEX(lst_exp_item_cat,MATCH(E644,lst_exp_items,0))="","❔ Без категории",INDEX(lst_exp_item_cat,MATCH(E644,lst_exp_items,0))),"❔ Без категории"))</f>
        <v/>
      </c>
      <c r="G644" s="43" t="n"/>
      <c r="H644" s="56" t="n"/>
      <c r="I644" s="43" t="n"/>
      <c r="J644" s="57">
        <f>IF(OR(A644="",H644=""),"",IF(COUNTIFS(exp_year,C644,exp_month,D644,exp_item,E644,exp_status,"&lt;&gt;❌ Отменено")&gt;0,1,0))</f>
        <v/>
      </c>
    </row>
    <row r="645">
      <c r="A645" s="52" t="n"/>
      <c r="B645" s="53">
        <f>IF(A645="","",CHOOSE(WEEKDAY(A645,2),"Пн","Вт","Ср","Чт","Пт","Сб","Вс"))</f>
        <v/>
      </c>
      <c r="C645" s="53">
        <f>IF(A645="","",YEAR(A645))</f>
        <v/>
      </c>
      <c r="D645" s="54">
        <f>IF(A645="","",INDEX(lst_months,MONTH(A645)))</f>
        <v/>
      </c>
      <c r="E645" s="55" t="n"/>
      <c r="F645" s="54">
        <f>IF(E645="","",IFERROR(IF(INDEX(lst_exp_item_cat,MATCH(E645,lst_exp_items,0))="","❔ Без категории",INDEX(lst_exp_item_cat,MATCH(E645,lst_exp_items,0))),"❔ Без категории"))</f>
        <v/>
      </c>
      <c r="G645" s="43" t="n"/>
      <c r="H645" s="56" t="n"/>
      <c r="I645" s="43" t="n"/>
      <c r="J645" s="57">
        <f>IF(OR(A645="",H645=""),"",IF(COUNTIFS(exp_year,C645,exp_month,D645,exp_item,E645,exp_status,"&lt;&gt;❌ Отменено")&gt;0,1,0))</f>
        <v/>
      </c>
    </row>
    <row r="646">
      <c r="A646" s="52" t="n"/>
      <c r="B646" s="53">
        <f>IF(A646="","",CHOOSE(WEEKDAY(A646,2),"Пн","Вт","Ср","Чт","Пт","Сб","Вс"))</f>
        <v/>
      </c>
      <c r="C646" s="53">
        <f>IF(A646="","",YEAR(A646))</f>
        <v/>
      </c>
      <c r="D646" s="54">
        <f>IF(A646="","",INDEX(lst_months,MONTH(A646)))</f>
        <v/>
      </c>
      <c r="E646" s="55" t="n"/>
      <c r="F646" s="54">
        <f>IF(E646="","",IFERROR(IF(INDEX(lst_exp_item_cat,MATCH(E646,lst_exp_items,0))="","❔ Без категории",INDEX(lst_exp_item_cat,MATCH(E646,lst_exp_items,0))),"❔ Без категории"))</f>
        <v/>
      </c>
      <c r="G646" s="43" t="n"/>
      <c r="H646" s="56" t="n"/>
      <c r="I646" s="43" t="n"/>
      <c r="J646" s="57">
        <f>IF(OR(A646="",H646=""),"",IF(COUNTIFS(exp_year,C646,exp_month,D646,exp_item,E646,exp_status,"&lt;&gt;❌ Отменено")&gt;0,1,0))</f>
        <v/>
      </c>
    </row>
    <row r="647">
      <c r="A647" s="52" t="n"/>
      <c r="B647" s="53">
        <f>IF(A647="","",CHOOSE(WEEKDAY(A647,2),"Пн","Вт","Ср","Чт","Пт","Сб","Вс"))</f>
        <v/>
      </c>
      <c r="C647" s="53">
        <f>IF(A647="","",YEAR(A647))</f>
        <v/>
      </c>
      <c r="D647" s="54">
        <f>IF(A647="","",INDEX(lst_months,MONTH(A647)))</f>
        <v/>
      </c>
      <c r="E647" s="55" t="n"/>
      <c r="F647" s="54">
        <f>IF(E647="","",IFERROR(IF(INDEX(lst_exp_item_cat,MATCH(E647,lst_exp_items,0))="","❔ Без категории",INDEX(lst_exp_item_cat,MATCH(E647,lst_exp_items,0))),"❔ Без категории"))</f>
        <v/>
      </c>
      <c r="G647" s="43" t="n"/>
      <c r="H647" s="56" t="n"/>
      <c r="I647" s="43" t="n"/>
      <c r="J647" s="57">
        <f>IF(OR(A647="",H647=""),"",IF(COUNTIFS(exp_year,C647,exp_month,D647,exp_item,E647,exp_status,"&lt;&gt;❌ Отменено")&gt;0,1,0))</f>
        <v/>
      </c>
    </row>
    <row r="648">
      <c r="A648" s="52" t="n"/>
      <c r="B648" s="53">
        <f>IF(A648="","",CHOOSE(WEEKDAY(A648,2),"Пн","Вт","Ср","Чт","Пт","Сб","Вс"))</f>
        <v/>
      </c>
      <c r="C648" s="53">
        <f>IF(A648="","",YEAR(A648))</f>
        <v/>
      </c>
      <c r="D648" s="54">
        <f>IF(A648="","",INDEX(lst_months,MONTH(A648)))</f>
        <v/>
      </c>
      <c r="E648" s="55" t="n"/>
      <c r="F648" s="54">
        <f>IF(E648="","",IFERROR(IF(INDEX(lst_exp_item_cat,MATCH(E648,lst_exp_items,0))="","❔ Без категории",INDEX(lst_exp_item_cat,MATCH(E648,lst_exp_items,0))),"❔ Без категории"))</f>
        <v/>
      </c>
      <c r="G648" s="43" t="n"/>
      <c r="H648" s="56" t="n"/>
      <c r="I648" s="43" t="n"/>
      <c r="J648" s="57">
        <f>IF(OR(A648="",H648=""),"",IF(COUNTIFS(exp_year,C648,exp_month,D648,exp_item,E648,exp_status,"&lt;&gt;❌ Отменено")&gt;0,1,0))</f>
        <v/>
      </c>
    </row>
    <row r="649">
      <c r="A649" s="52" t="n"/>
      <c r="B649" s="53">
        <f>IF(A649="","",CHOOSE(WEEKDAY(A649,2),"Пн","Вт","Ср","Чт","Пт","Сб","Вс"))</f>
        <v/>
      </c>
      <c r="C649" s="53">
        <f>IF(A649="","",YEAR(A649))</f>
        <v/>
      </c>
      <c r="D649" s="54">
        <f>IF(A649="","",INDEX(lst_months,MONTH(A649)))</f>
        <v/>
      </c>
      <c r="E649" s="55" t="n"/>
      <c r="F649" s="54">
        <f>IF(E649="","",IFERROR(IF(INDEX(lst_exp_item_cat,MATCH(E649,lst_exp_items,0))="","❔ Без категории",INDEX(lst_exp_item_cat,MATCH(E649,lst_exp_items,0))),"❔ Без категории"))</f>
        <v/>
      </c>
      <c r="G649" s="43" t="n"/>
      <c r="H649" s="56" t="n"/>
      <c r="I649" s="43" t="n"/>
      <c r="J649" s="57">
        <f>IF(OR(A649="",H649=""),"",IF(COUNTIFS(exp_year,C649,exp_month,D649,exp_item,E649,exp_status,"&lt;&gt;❌ Отменено")&gt;0,1,0))</f>
        <v/>
      </c>
    </row>
    <row r="650">
      <c r="A650" s="52" t="n"/>
      <c r="B650" s="53">
        <f>IF(A650="","",CHOOSE(WEEKDAY(A650,2),"Пн","Вт","Ср","Чт","Пт","Сб","Вс"))</f>
        <v/>
      </c>
      <c r="C650" s="53">
        <f>IF(A650="","",YEAR(A650))</f>
        <v/>
      </c>
      <c r="D650" s="54">
        <f>IF(A650="","",INDEX(lst_months,MONTH(A650)))</f>
        <v/>
      </c>
      <c r="E650" s="55" t="n"/>
      <c r="F650" s="54">
        <f>IF(E650="","",IFERROR(IF(INDEX(lst_exp_item_cat,MATCH(E650,lst_exp_items,0))="","❔ Без категории",INDEX(lst_exp_item_cat,MATCH(E650,lst_exp_items,0))),"❔ Без категории"))</f>
        <v/>
      </c>
      <c r="G650" s="43" t="n"/>
      <c r="H650" s="56" t="n"/>
      <c r="I650" s="43" t="n"/>
      <c r="J650" s="57">
        <f>IF(OR(A650="",H650=""),"",IF(COUNTIFS(exp_year,C650,exp_month,D650,exp_item,E650,exp_status,"&lt;&gt;❌ Отменено")&gt;0,1,0))</f>
        <v/>
      </c>
    </row>
    <row r="651">
      <c r="A651" s="52" t="n"/>
      <c r="B651" s="53">
        <f>IF(A651="","",CHOOSE(WEEKDAY(A651,2),"Пн","Вт","Ср","Чт","Пт","Сб","Вс"))</f>
        <v/>
      </c>
      <c r="C651" s="53">
        <f>IF(A651="","",YEAR(A651))</f>
        <v/>
      </c>
      <c r="D651" s="54">
        <f>IF(A651="","",INDEX(lst_months,MONTH(A651)))</f>
        <v/>
      </c>
      <c r="E651" s="55" t="n"/>
      <c r="F651" s="54">
        <f>IF(E651="","",IFERROR(IF(INDEX(lst_exp_item_cat,MATCH(E651,lst_exp_items,0))="","❔ Без категории",INDEX(lst_exp_item_cat,MATCH(E651,lst_exp_items,0))),"❔ Без категории"))</f>
        <v/>
      </c>
      <c r="G651" s="43" t="n"/>
      <c r="H651" s="56" t="n"/>
      <c r="I651" s="43" t="n"/>
      <c r="J651" s="57">
        <f>IF(OR(A651="",H651=""),"",IF(COUNTIFS(exp_year,C651,exp_month,D651,exp_item,E651,exp_status,"&lt;&gt;❌ Отменено")&gt;0,1,0))</f>
        <v/>
      </c>
    </row>
    <row r="652">
      <c r="A652" s="52" t="n"/>
      <c r="B652" s="53">
        <f>IF(A652="","",CHOOSE(WEEKDAY(A652,2),"Пн","Вт","Ср","Чт","Пт","Сб","Вс"))</f>
        <v/>
      </c>
      <c r="C652" s="53">
        <f>IF(A652="","",YEAR(A652))</f>
        <v/>
      </c>
      <c r="D652" s="54">
        <f>IF(A652="","",INDEX(lst_months,MONTH(A652)))</f>
        <v/>
      </c>
      <c r="E652" s="55" t="n"/>
      <c r="F652" s="54">
        <f>IF(E652="","",IFERROR(IF(INDEX(lst_exp_item_cat,MATCH(E652,lst_exp_items,0))="","❔ Без категории",INDEX(lst_exp_item_cat,MATCH(E652,lst_exp_items,0))),"❔ Без категории"))</f>
        <v/>
      </c>
      <c r="G652" s="43" t="n"/>
      <c r="H652" s="56" t="n"/>
      <c r="I652" s="43" t="n"/>
      <c r="J652" s="57">
        <f>IF(OR(A652="",H652=""),"",IF(COUNTIFS(exp_year,C652,exp_month,D652,exp_item,E652,exp_status,"&lt;&gt;❌ Отменено")&gt;0,1,0))</f>
        <v/>
      </c>
    </row>
    <row r="653">
      <c r="A653" s="52" t="n"/>
      <c r="B653" s="53">
        <f>IF(A653="","",CHOOSE(WEEKDAY(A653,2),"Пн","Вт","Ср","Чт","Пт","Сб","Вс"))</f>
        <v/>
      </c>
      <c r="C653" s="53">
        <f>IF(A653="","",YEAR(A653))</f>
        <v/>
      </c>
      <c r="D653" s="54">
        <f>IF(A653="","",INDEX(lst_months,MONTH(A653)))</f>
        <v/>
      </c>
      <c r="E653" s="55" t="n"/>
      <c r="F653" s="54">
        <f>IF(E653="","",IFERROR(IF(INDEX(lst_exp_item_cat,MATCH(E653,lst_exp_items,0))="","❔ Без категории",INDEX(lst_exp_item_cat,MATCH(E653,lst_exp_items,0))),"❔ Без категории"))</f>
        <v/>
      </c>
      <c r="G653" s="43" t="n"/>
      <c r="H653" s="56" t="n"/>
      <c r="I653" s="43" t="n"/>
      <c r="J653" s="57">
        <f>IF(OR(A653="",H653=""),"",IF(COUNTIFS(exp_year,C653,exp_month,D653,exp_item,E653,exp_status,"&lt;&gt;❌ Отменено")&gt;0,1,0))</f>
        <v/>
      </c>
    </row>
    <row r="654">
      <c r="A654" s="52" t="n"/>
      <c r="B654" s="53">
        <f>IF(A654="","",CHOOSE(WEEKDAY(A654,2),"Пн","Вт","Ср","Чт","Пт","Сб","Вс"))</f>
        <v/>
      </c>
      <c r="C654" s="53">
        <f>IF(A654="","",YEAR(A654))</f>
        <v/>
      </c>
      <c r="D654" s="54">
        <f>IF(A654="","",INDEX(lst_months,MONTH(A654)))</f>
        <v/>
      </c>
      <c r="E654" s="55" t="n"/>
      <c r="F654" s="54">
        <f>IF(E654="","",IFERROR(IF(INDEX(lst_exp_item_cat,MATCH(E654,lst_exp_items,0))="","❔ Без категории",INDEX(lst_exp_item_cat,MATCH(E654,lst_exp_items,0))),"❔ Без категории"))</f>
        <v/>
      </c>
      <c r="G654" s="43" t="n"/>
      <c r="H654" s="56" t="n"/>
      <c r="I654" s="43" t="n"/>
      <c r="J654" s="57">
        <f>IF(OR(A654="",H654=""),"",IF(COUNTIFS(exp_year,C654,exp_month,D654,exp_item,E654,exp_status,"&lt;&gt;❌ Отменено")&gt;0,1,0))</f>
        <v/>
      </c>
    </row>
    <row r="655">
      <c r="A655" s="52" t="n"/>
      <c r="B655" s="53">
        <f>IF(A655="","",CHOOSE(WEEKDAY(A655,2),"Пн","Вт","Ср","Чт","Пт","Сб","Вс"))</f>
        <v/>
      </c>
      <c r="C655" s="53">
        <f>IF(A655="","",YEAR(A655))</f>
        <v/>
      </c>
      <c r="D655" s="54">
        <f>IF(A655="","",INDEX(lst_months,MONTH(A655)))</f>
        <v/>
      </c>
      <c r="E655" s="55" t="n"/>
      <c r="F655" s="54">
        <f>IF(E655="","",IFERROR(IF(INDEX(lst_exp_item_cat,MATCH(E655,lst_exp_items,0))="","❔ Без категории",INDEX(lst_exp_item_cat,MATCH(E655,lst_exp_items,0))),"❔ Без категории"))</f>
        <v/>
      </c>
      <c r="G655" s="43" t="n"/>
      <c r="H655" s="56" t="n"/>
      <c r="I655" s="43" t="n"/>
      <c r="J655" s="57">
        <f>IF(OR(A655="",H655=""),"",IF(COUNTIFS(exp_year,C655,exp_month,D655,exp_item,E655,exp_status,"&lt;&gt;❌ Отменено")&gt;0,1,0))</f>
        <v/>
      </c>
    </row>
    <row r="656">
      <c r="A656" s="52" t="n"/>
      <c r="B656" s="53">
        <f>IF(A656="","",CHOOSE(WEEKDAY(A656,2),"Пн","Вт","Ср","Чт","Пт","Сб","Вс"))</f>
        <v/>
      </c>
      <c r="C656" s="53">
        <f>IF(A656="","",YEAR(A656))</f>
        <v/>
      </c>
      <c r="D656" s="54">
        <f>IF(A656="","",INDEX(lst_months,MONTH(A656)))</f>
        <v/>
      </c>
      <c r="E656" s="55" t="n"/>
      <c r="F656" s="54">
        <f>IF(E656="","",IFERROR(IF(INDEX(lst_exp_item_cat,MATCH(E656,lst_exp_items,0))="","❔ Без категории",INDEX(lst_exp_item_cat,MATCH(E656,lst_exp_items,0))),"❔ Без категории"))</f>
        <v/>
      </c>
      <c r="G656" s="43" t="n"/>
      <c r="H656" s="56" t="n"/>
      <c r="I656" s="43" t="n"/>
      <c r="J656" s="57">
        <f>IF(OR(A656="",H656=""),"",IF(COUNTIFS(exp_year,C656,exp_month,D656,exp_item,E656,exp_status,"&lt;&gt;❌ Отменено")&gt;0,1,0))</f>
        <v/>
      </c>
    </row>
    <row r="657">
      <c r="A657" s="52" t="n"/>
      <c r="B657" s="53">
        <f>IF(A657="","",CHOOSE(WEEKDAY(A657,2),"Пн","Вт","Ср","Чт","Пт","Сб","Вс"))</f>
        <v/>
      </c>
      <c r="C657" s="53">
        <f>IF(A657="","",YEAR(A657))</f>
        <v/>
      </c>
      <c r="D657" s="54">
        <f>IF(A657="","",INDEX(lst_months,MONTH(A657)))</f>
        <v/>
      </c>
      <c r="E657" s="55" t="n"/>
      <c r="F657" s="54">
        <f>IF(E657="","",IFERROR(IF(INDEX(lst_exp_item_cat,MATCH(E657,lst_exp_items,0))="","❔ Без категории",INDEX(lst_exp_item_cat,MATCH(E657,lst_exp_items,0))),"❔ Без категории"))</f>
        <v/>
      </c>
      <c r="G657" s="43" t="n"/>
      <c r="H657" s="56" t="n"/>
      <c r="I657" s="43" t="n"/>
      <c r="J657" s="57">
        <f>IF(OR(A657="",H657=""),"",IF(COUNTIFS(exp_year,C657,exp_month,D657,exp_item,E657,exp_status,"&lt;&gt;❌ Отменено")&gt;0,1,0))</f>
        <v/>
      </c>
    </row>
    <row r="658">
      <c r="A658" s="52" t="n"/>
      <c r="B658" s="53">
        <f>IF(A658="","",CHOOSE(WEEKDAY(A658,2),"Пн","Вт","Ср","Чт","Пт","Сб","Вс"))</f>
        <v/>
      </c>
      <c r="C658" s="53">
        <f>IF(A658="","",YEAR(A658))</f>
        <v/>
      </c>
      <c r="D658" s="54">
        <f>IF(A658="","",INDEX(lst_months,MONTH(A658)))</f>
        <v/>
      </c>
      <c r="E658" s="55" t="n"/>
      <c r="F658" s="54">
        <f>IF(E658="","",IFERROR(IF(INDEX(lst_exp_item_cat,MATCH(E658,lst_exp_items,0))="","❔ Без категории",INDEX(lst_exp_item_cat,MATCH(E658,lst_exp_items,0))),"❔ Без категории"))</f>
        <v/>
      </c>
      <c r="G658" s="43" t="n"/>
      <c r="H658" s="56" t="n"/>
      <c r="I658" s="43" t="n"/>
      <c r="J658" s="57">
        <f>IF(OR(A658="",H658=""),"",IF(COUNTIFS(exp_year,C658,exp_month,D658,exp_item,E658,exp_status,"&lt;&gt;❌ Отменено")&gt;0,1,0))</f>
        <v/>
      </c>
    </row>
    <row r="659">
      <c r="A659" s="52" t="n"/>
      <c r="B659" s="53">
        <f>IF(A659="","",CHOOSE(WEEKDAY(A659,2),"Пн","Вт","Ср","Чт","Пт","Сб","Вс"))</f>
        <v/>
      </c>
      <c r="C659" s="53">
        <f>IF(A659="","",YEAR(A659))</f>
        <v/>
      </c>
      <c r="D659" s="54">
        <f>IF(A659="","",INDEX(lst_months,MONTH(A659)))</f>
        <v/>
      </c>
      <c r="E659" s="55" t="n"/>
      <c r="F659" s="54">
        <f>IF(E659="","",IFERROR(IF(INDEX(lst_exp_item_cat,MATCH(E659,lst_exp_items,0))="","❔ Без категории",INDEX(lst_exp_item_cat,MATCH(E659,lst_exp_items,0))),"❔ Без категории"))</f>
        <v/>
      </c>
      <c r="G659" s="43" t="n"/>
      <c r="H659" s="56" t="n"/>
      <c r="I659" s="43" t="n"/>
      <c r="J659" s="57">
        <f>IF(OR(A659="",H659=""),"",IF(COUNTIFS(exp_year,C659,exp_month,D659,exp_item,E659,exp_status,"&lt;&gt;❌ Отменено")&gt;0,1,0))</f>
        <v/>
      </c>
    </row>
    <row r="660">
      <c r="A660" s="52" t="n"/>
      <c r="B660" s="53">
        <f>IF(A660="","",CHOOSE(WEEKDAY(A660,2),"Пн","Вт","Ср","Чт","Пт","Сб","Вс"))</f>
        <v/>
      </c>
      <c r="C660" s="53">
        <f>IF(A660="","",YEAR(A660))</f>
        <v/>
      </c>
      <c r="D660" s="54">
        <f>IF(A660="","",INDEX(lst_months,MONTH(A660)))</f>
        <v/>
      </c>
      <c r="E660" s="55" t="n"/>
      <c r="F660" s="54">
        <f>IF(E660="","",IFERROR(IF(INDEX(lst_exp_item_cat,MATCH(E660,lst_exp_items,0))="","❔ Без категории",INDEX(lst_exp_item_cat,MATCH(E660,lst_exp_items,0))),"❔ Без категории"))</f>
        <v/>
      </c>
      <c r="G660" s="43" t="n"/>
      <c r="H660" s="56" t="n"/>
      <c r="I660" s="43" t="n"/>
      <c r="J660" s="57">
        <f>IF(OR(A660="",H660=""),"",IF(COUNTIFS(exp_year,C660,exp_month,D660,exp_item,E660,exp_status,"&lt;&gt;❌ Отменено")&gt;0,1,0))</f>
        <v/>
      </c>
    </row>
    <row r="661">
      <c r="A661" s="52" t="n"/>
      <c r="B661" s="53">
        <f>IF(A661="","",CHOOSE(WEEKDAY(A661,2),"Пн","Вт","Ср","Чт","Пт","Сб","Вс"))</f>
        <v/>
      </c>
      <c r="C661" s="53">
        <f>IF(A661="","",YEAR(A661))</f>
        <v/>
      </c>
      <c r="D661" s="54">
        <f>IF(A661="","",INDEX(lst_months,MONTH(A661)))</f>
        <v/>
      </c>
      <c r="E661" s="55" t="n"/>
      <c r="F661" s="54">
        <f>IF(E661="","",IFERROR(IF(INDEX(lst_exp_item_cat,MATCH(E661,lst_exp_items,0))="","❔ Без категории",INDEX(lst_exp_item_cat,MATCH(E661,lst_exp_items,0))),"❔ Без категории"))</f>
        <v/>
      </c>
      <c r="G661" s="43" t="n"/>
      <c r="H661" s="56" t="n"/>
      <c r="I661" s="43" t="n"/>
      <c r="J661" s="57">
        <f>IF(OR(A661="",H661=""),"",IF(COUNTIFS(exp_year,C661,exp_month,D661,exp_item,E661,exp_status,"&lt;&gt;❌ Отменено")&gt;0,1,0))</f>
        <v/>
      </c>
    </row>
    <row r="662">
      <c r="A662" s="52" t="n"/>
      <c r="B662" s="53">
        <f>IF(A662="","",CHOOSE(WEEKDAY(A662,2),"Пн","Вт","Ср","Чт","Пт","Сб","Вс"))</f>
        <v/>
      </c>
      <c r="C662" s="53">
        <f>IF(A662="","",YEAR(A662))</f>
        <v/>
      </c>
      <c r="D662" s="54">
        <f>IF(A662="","",INDEX(lst_months,MONTH(A662)))</f>
        <v/>
      </c>
      <c r="E662" s="55" t="n"/>
      <c r="F662" s="54">
        <f>IF(E662="","",IFERROR(IF(INDEX(lst_exp_item_cat,MATCH(E662,lst_exp_items,0))="","❔ Без категории",INDEX(lst_exp_item_cat,MATCH(E662,lst_exp_items,0))),"❔ Без категории"))</f>
        <v/>
      </c>
      <c r="G662" s="43" t="n"/>
      <c r="H662" s="56" t="n"/>
      <c r="I662" s="43" t="n"/>
      <c r="J662" s="57">
        <f>IF(OR(A662="",H662=""),"",IF(COUNTIFS(exp_year,C662,exp_month,D662,exp_item,E662,exp_status,"&lt;&gt;❌ Отменено")&gt;0,1,0))</f>
        <v/>
      </c>
    </row>
    <row r="663">
      <c r="A663" s="52" t="n"/>
      <c r="B663" s="53">
        <f>IF(A663="","",CHOOSE(WEEKDAY(A663,2),"Пн","Вт","Ср","Чт","Пт","Сб","Вс"))</f>
        <v/>
      </c>
      <c r="C663" s="53">
        <f>IF(A663="","",YEAR(A663))</f>
        <v/>
      </c>
      <c r="D663" s="54">
        <f>IF(A663="","",INDEX(lst_months,MONTH(A663)))</f>
        <v/>
      </c>
      <c r="E663" s="55" t="n"/>
      <c r="F663" s="54">
        <f>IF(E663="","",IFERROR(IF(INDEX(lst_exp_item_cat,MATCH(E663,lst_exp_items,0))="","❔ Без категории",INDEX(lst_exp_item_cat,MATCH(E663,lst_exp_items,0))),"❔ Без категории"))</f>
        <v/>
      </c>
      <c r="G663" s="43" t="n"/>
      <c r="H663" s="56" t="n"/>
      <c r="I663" s="43" t="n"/>
      <c r="J663" s="57">
        <f>IF(OR(A663="",H663=""),"",IF(COUNTIFS(exp_year,C663,exp_month,D663,exp_item,E663,exp_status,"&lt;&gt;❌ Отменено")&gt;0,1,0))</f>
        <v/>
      </c>
    </row>
    <row r="664">
      <c r="A664" s="52" t="n"/>
      <c r="B664" s="53">
        <f>IF(A664="","",CHOOSE(WEEKDAY(A664,2),"Пн","Вт","Ср","Чт","Пт","Сб","Вс"))</f>
        <v/>
      </c>
      <c r="C664" s="53">
        <f>IF(A664="","",YEAR(A664))</f>
        <v/>
      </c>
      <c r="D664" s="54">
        <f>IF(A664="","",INDEX(lst_months,MONTH(A664)))</f>
        <v/>
      </c>
      <c r="E664" s="55" t="n"/>
      <c r="F664" s="54">
        <f>IF(E664="","",IFERROR(IF(INDEX(lst_exp_item_cat,MATCH(E664,lst_exp_items,0))="","❔ Без категории",INDEX(lst_exp_item_cat,MATCH(E664,lst_exp_items,0))),"❔ Без категории"))</f>
        <v/>
      </c>
      <c r="G664" s="43" t="n"/>
      <c r="H664" s="56" t="n"/>
      <c r="I664" s="43" t="n"/>
      <c r="J664" s="57">
        <f>IF(OR(A664="",H664=""),"",IF(COUNTIFS(exp_year,C664,exp_month,D664,exp_item,E664,exp_status,"&lt;&gt;❌ Отменено")&gt;0,1,0))</f>
        <v/>
      </c>
    </row>
    <row r="665">
      <c r="A665" s="52" t="n"/>
      <c r="B665" s="53">
        <f>IF(A665="","",CHOOSE(WEEKDAY(A665,2),"Пн","Вт","Ср","Чт","Пт","Сб","Вс"))</f>
        <v/>
      </c>
      <c r="C665" s="53">
        <f>IF(A665="","",YEAR(A665))</f>
        <v/>
      </c>
      <c r="D665" s="54">
        <f>IF(A665="","",INDEX(lst_months,MONTH(A665)))</f>
        <v/>
      </c>
      <c r="E665" s="55" t="n"/>
      <c r="F665" s="54">
        <f>IF(E665="","",IFERROR(IF(INDEX(lst_exp_item_cat,MATCH(E665,lst_exp_items,0))="","❔ Без категории",INDEX(lst_exp_item_cat,MATCH(E665,lst_exp_items,0))),"❔ Без категории"))</f>
        <v/>
      </c>
      <c r="G665" s="43" t="n"/>
      <c r="H665" s="56" t="n"/>
      <c r="I665" s="43" t="n"/>
      <c r="J665" s="57">
        <f>IF(OR(A665="",H665=""),"",IF(COUNTIFS(exp_year,C665,exp_month,D665,exp_item,E665,exp_status,"&lt;&gt;❌ Отменено")&gt;0,1,0))</f>
        <v/>
      </c>
    </row>
    <row r="666">
      <c r="A666" s="52" t="n"/>
      <c r="B666" s="53">
        <f>IF(A666="","",CHOOSE(WEEKDAY(A666,2),"Пн","Вт","Ср","Чт","Пт","Сб","Вс"))</f>
        <v/>
      </c>
      <c r="C666" s="53">
        <f>IF(A666="","",YEAR(A666))</f>
        <v/>
      </c>
      <c r="D666" s="54">
        <f>IF(A666="","",INDEX(lst_months,MONTH(A666)))</f>
        <v/>
      </c>
      <c r="E666" s="55" t="n"/>
      <c r="F666" s="54">
        <f>IF(E666="","",IFERROR(IF(INDEX(lst_exp_item_cat,MATCH(E666,lst_exp_items,0))="","❔ Без категории",INDEX(lst_exp_item_cat,MATCH(E666,lst_exp_items,0))),"❔ Без категории"))</f>
        <v/>
      </c>
      <c r="G666" s="43" t="n"/>
      <c r="H666" s="56" t="n"/>
      <c r="I666" s="43" t="n"/>
      <c r="J666" s="57">
        <f>IF(OR(A666="",H666=""),"",IF(COUNTIFS(exp_year,C666,exp_month,D666,exp_item,E666,exp_status,"&lt;&gt;❌ Отменено")&gt;0,1,0))</f>
        <v/>
      </c>
    </row>
    <row r="667">
      <c r="A667" s="52" t="n"/>
      <c r="B667" s="53">
        <f>IF(A667="","",CHOOSE(WEEKDAY(A667,2),"Пн","Вт","Ср","Чт","Пт","Сб","Вс"))</f>
        <v/>
      </c>
      <c r="C667" s="53">
        <f>IF(A667="","",YEAR(A667))</f>
        <v/>
      </c>
      <c r="D667" s="54">
        <f>IF(A667="","",INDEX(lst_months,MONTH(A667)))</f>
        <v/>
      </c>
      <c r="E667" s="55" t="n"/>
      <c r="F667" s="54">
        <f>IF(E667="","",IFERROR(IF(INDEX(lst_exp_item_cat,MATCH(E667,lst_exp_items,0))="","❔ Без категории",INDEX(lst_exp_item_cat,MATCH(E667,lst_exp_items,0))),"❔ Без категории"))</f>
        <v/>
      </c>
      <c r="G667" s="43" t="n"/>
      <c r="H667" s="56" t="n"/>
      <c r="I667" s="43" t="n"/>
      <c r="J667" s="57">
        <f>IF(OR(A667="",H667=""),"",IF(COUNTIFS(exp_year,C667,exp_month,D667,exp_item,E667,exp_status,"&lt;&gt;❌ Отменено")&gt;0,1,0))</f>
        <v/>
      </c>
    </row>
    <row r="668">
      <c r="A668" s="52" t="n"/>
      <c r="B668" s="53">
        <f>IF(A668="","",CHOOSE(WEEKDAY(A668,2),"Пн","Вт","Ср","Чт","Пт","Сб","Вс"))</f>
        <v/>
      </c>
      <c r="C668" s="53">
        <f>IF(A668="","",YEAR(A668))</f>
        <v/>
      </c>
      <c r="D668" s="54">
        <f>IF(A668="","",INDEX(lst_months,MONTH(A668)))</f>
        <v/>
      </c>
      <c r="E668" s="55" t="n"/>
      <c r="F668" s="54">
        <f>IF(E668="","",IFERROR(IF(INDEX(lst_exp_item_cat,MATCH(E668,lst_exp_items,0))="","❔ Без категории",INDEX(lst_exp_item_cat,MATCH(E668,lst_exp_items,0))),"❔ Без категории"))</f>
        <v/>
      </c>
      <c r="G668" s="43" t="n"/>
      <c r="H668" s="56" t="n"/>
      <c r="I668" s="43" t="n"/>
      <c r="J668" s="57">
        <f>IF(OR(A668="",H668=""),"",IF(COUNTIFS(exp_year,C668,exp_month,D668,exp_item,E668,exp_status,"&lt;&gt;❌ Отменено")&gt;0,1,0))</f>
        <v/>
      </c>
    </row>
    <row r="669">
      <c r="A669" s="52" t="n"/>
      <c r="B669" s="53">
        <f>IF(A669="","",CHOOSE(WEEKDAY(A669,2),"Пн","Вт","Ср","Чт","Пт","Сб","Вс"))</f>
        <v/>
      </c>
      <c r="C669" s="53">
        <f>IF(A669="","",YEAR(A669))</f>
        <v/>
      </c>
      <c r="D669" s="54">
        <f>IF(A669="","",INDEX(lst_months,MONTH(A669)))</f>
        <v/>
      </c>
      <c r="E669" s="55" t="n"/>
      <c r="F669" s="54">
        <f>IF(E669="","",IFERROR(IF(INDEX(lst_exp_item_cat,MATCH(E669,lst_exp_items,0))="","❔ Без категории",INDEX(lst_exp_item_cat,MATCH(E669,lst_exp_items,0))),"❔ Без категории"))</f>
        <v/>
      </c>
      <c r="G669" s="43" t="n"/>
      <c r="H669" s="56" t="n"/>
      <c r="I669" s="43" t="n"/>
      <c r="J669" s="57">
        <f>IF(OR(A669="",H669=""),"",IF(COUNTIFS(exp_year,C669,exp_month,D669,exp_item,E669,exp_status,"&lt;&gt;❌ Отменено")&gt;0,1,0))</f>
        <v/>
      </c>
    </row>
    <row r="670">
      <c r="A670" s="52" t="n"/>
      <c r="B670" s="53">
        <f>IF(A670="","",CHOOSE(WEEKDAY(A670,2),"Пн","Вт","Ср","Чт","Пт","Сб","Вс"))</f>
        <v/>
      </c>
      <c r="C670" s="53">
        <f>IF(A670="","",YEAR(A670))</f>
        <v/>
      </c>
      <c r="D670" s="54">
        <f>IF(A670="","",INDEX(lst_months,MONTH(A670)))</f>
        <v/>
      </c>
      <c r="E670" s="55" t="n"/>
      <c r="F670" s="54">
        <f>IF(E670="","",IFERROR(IF(INDEX(lst_exp_item_cat,MATCH(E670,lst_exp_items,0))="","❔ Без категории",INDEX(lst_exp_item_cat,MATCH(E670,lst_exp_items,0))),"❔ Без категории"))</f>
        <v/>
      </c>
      <c r="G670" s="43" t="n"/>
      <c r="H670" s="56" t="n"/>
      <c r="I670" s="43" t="n"/>
      <c r="J670" s="57">
        <f>IF(OR(A670="",H670=""),"",IF(COUNTIFS(exp_year,C670,exp_month,D670,exp_item,E670,exp_status,"&lt;&gt;❌ Отменено")&gt;0,1,0))</f>
        <v/>
      </c>
    </row>
    <row r="671">
      <c r="A671" s="52" t="n"/>
      <c r="B671" s="53">
        <f>IF(A671="","",CHOOSE(WEEKDAY(A671,2),"Пн","Вт","Ср","Чт","Пт","Сб","Вс"))</f>
        <v/>
      </c>
      <c r="C671" s="53">
        <f>IF(A671="","",YEAR(A671))</f>
        <v/>
      </c>
      <c r="D671" s="54">
        <f>IF(A671="","",INDEX(lst_months,MONTH(A671)))</f>
        <v/>
      </c>
      <c r="E671" s="55" t="n"/>
      <c r="F671" s="54">
        <f>IF(E671="","",IFERROR(IF(INDEX(lst_exp_item_cat,MATCH(E671,lst_exp_items,0))="","❔ Без категории",INDEX(lst_exp_item_cat,MATCH(E671,lst_exp_items,0))),"❔ Без категории"))</f>
        <v/>
      </c>
      <c r="G671" s="43" t="n"/>
      <c r="H671" s="56" t="n"/>
      <c r="I671" s="43" t="n"/>
      <c r="J671" s="57">
        <f>IF(OR(A671="",H671=""),"",IF(COUNTIFS(exp_year,C671,exp_month,D671,exp_item,E671,exp_status,"&lt;&gt;❌ Отменено")&gt;0,1,0))</f>
        <v/>
      </c>
    </row>
    <row r="672">
      <c r="A672" s="52" t="n"/>
      <c r="B672" s="53">
        <f>IF(A672="","",CHOOSE(WEEKDAY(A672,2),"Пн","Вт","Ср","Чт","Пт","Сб","Вс"))</f>
        <v/>
      </c>
      <c r="C672" s="53">
        <f>IF(A672="","",YEAR(A672))</f>
        <v/>
      </c>
      <c r="D672" s="54">
        <f>IF(A672="","",INDEX(lst_months,MONTH(A672)))</f>
        <v/>
      </c>
      <c r="E672" s="55" t="n"/>
      <c r="F672" s="54">
        <f>IF(E672="","",IFERROR(IF(INDEX(lst_exp_item_cat,MATCH(E672,lst_exp_items,0))="","❔ Без категории",INDEX(lst_exp_item_cat,MATCH(E672,lst_exp_items,0))),"❔ Без категории"))</f>
        <v/>
      </c>
      <c r="G672" s="43" t="n"/>
      <c r="H672" s="56" t="n"/>
      <c r="I672" s="43" t="n"/>
      <c r="J672" s="57">
        <f>IF(OR(A672="",H672=""),"",IF(COUNTIFS(exp_year,C672,exp_month,D672,exp_item,E672,exp_status,"&lt;&gt;❌ Отменено")&gt;0,1,0))</f>
        <v/>
      </c>
    </row>
    <row r="673">
      <c r="A673" s="52" t="n"/>
      <c r="B673" s="53">
        <f>IF(A673="","",CHOOSE(WEEKDAY(A673,2),"Пн","Вт","Ср","Чт","Пт","Сб","Вс"))</f>
        <v/>
      </c>
      <c r="C673" s="53">
        <f>IF(A673="","",YEAR(A673))</f>
        <v/>
      </c>
      <c r="D673" s="54">
        <f>IF(A673="","",INDEX(lst_months,MONTH(A673)))</f>
        <v/>
      </c>
      <c r="E673" s="55" t="n"/>
      <c r="F673" s="54">
        <f>IF(E673="","",IFERROR(IF(INDEX(lst_exp_item_cat,MATCH(E673,lst_exp_items,0))="","❔ Без категории",INDEX(lst_exp_item_cat,MATCH(E673,lst_exp_items,0))),"❔ Без категории"))</f>
        <v/>
      </c>
      <c r="G673" s="43" t="n"/>
      <c r="H673" s="56" t="n"/>
      <c r="I673" s="43" t="n"/>
      <c r="J673" s="57">
        <f>IF(OR(A673="",H673=""),"",IF(COUNTIFS(exp_year,C673,exp_month,D673,exp_item,E673,exp_status,"&lt;&gt;❌ Отменено")&gt;0,1,0))</f>
        <v/>
      </c>
    </row>
    <row r="674">
      <c r="A674" s="52" t="n"/>
      <c r="B674" s="53">
        <f>IF(A674="","",CHOOSE(WEEKDAY(A674,2),"Пн","Вт","Ср","Чт","Пт","Сб","Вс"))</f>
        <v/>
      </c>
      <c r="C674" s="53">
        <f>IF(A674="","",YEAR(A674))</f>
        <v/>
      </c>
      <c r="D674" s="54">
        <f>IF(A674="","",INDEX(lst_months,MONTH(A674)))</f>
        <v/>
      </c>
      <c r="E674" s="55" t="n"/>
      <c r="F674" s="54">
        <f>IF(E674="","",IFERROR(IF(INDEX(lst_exp_item_cat,MATCH(E674,lst_exp_items,0))="","❔ Без категории",INDEX(lst_exp_item_cat,MATCH(E674,lst_exp_items,0))),"❔ Без категории"))</f>
        <v/>
      </c>
      <c r="G674" s="43" t="n"/>
      <c r="H674" s="56" t="n"/>
      <c r="I674" s="43" t="n"/>
      <c r="J674" s="57">
        <f>IF(OR(A674="",H674=""),"",IF(COUNTIFS(exp_year,C674,exp_month,D674,exp_item,E674,exp_status,"&lt;&gt;❌ Отменено")&gt;0,1,0))</f>
        <v/>
      </c>
    </row>
    <row r="675">
      <c r="A675" s="52" t="n"/>
      <c r="B675" s="53">
        <f>IF(A675="","",CHOOSE(WEEKDAY(A675,2),"Пн","Вт","Ср","Чт","Пт","Сб","Вс"))</f>
        <v/>
      </c>
      <c r="C675" s="53">
        <f>IF(A675="","",YEAR(A675))</f>
        <v/>
      </c>
      <c r="D675" s="54">
        <f>IF(A675="","",INDEX(lst_months,MONTH(A675)))</f>
        <v/>
      </c>
      <c r="E675" s="55" t="n"/>
      <c r="F675" s="54">
        <f>IF(E675="","",IFERROR(IF(INDEX(lst_exp_item_cat,MATCH(E675,lst_exp_items,0))="","❔ Без категории",INDEX(lst_exp_item_cat,MATCH(E675,lst_exp_items,0))),"❔ Без категории"))</f>
        <v/>
      </c>
      <c r="G675" s="43" t="n"/>
      <c r="H675" s="56" t="n"/>
      <c r="I675" s="43" t="n"/>
      <c r="J675" s="57">
        <f>IF(OR(A675="",H675=""),"",IF(COUNTIFS(exp_year,C675,exp_month,D675,exp_item,E675,exp_status,"&lt;&gt;❌ Отменено")&gt;0,1,0))</f>
        <v/>
      </c>
    </row>
    <row r="676">
      <c r="A676" s="52" t="n"/>
      <c r="B676" s="53">
        <f>IF(A676="","",CHOOSE(WEEKDAY(A676,2),"Пн","Вт","Ср","Чт","Пт","Сб","Вс"))</f>
        <v/>
      </c>
      <c r="C676" s="53">
        <f>IF(A676="","",YEAR(A676))</f>
        <v/>
      </c>
      <c r="D676" s="54">
        <f>IF(A676="","",INDEX(lst_months,MONTH(A676)))</f>
        <v/>
      </c>
      <c r="E676" s="55" t="n"/>
      <c r="F676" s="54">
        <f>IF(E676="","",IFERROR(IF(INDEX(lst_exp_item_cat,MATCH(E676,lst_exp_items,0))="","❔ Без категории",INDEX(lst_exp_item_cat,MATCH(E676,lst_exp_items,0))),"❔ Без категории"))</f>
        <v/>
      </c>
      <c r="G676" s="43" t="n"/>
      <c r="H676" s="56" t="n"/>
      <c r="I676" s="43" t="n"/>
      <c r="J676" s="57">
        <f>IF(OR(A676="",H676=""),"",IF(COUNTIFS(exp_year,C676,exp_month,D676,exp_item,E676,exp_status,"&lt;&gt;❌ Отменено")&gt;0,1,0))</f>
        <v/>
      </c>
    </row>
    <row r="677">
      <c r="A677" s="52" t="n"/>
      <c r="B677" s="53">
        <f>IF(A677="","",CHOOSE(WEEKDAY(A677,2),"Пн","Вт","Ср","Чт","Пт","Сб","Вс"))</f>
        <v/>
      </c>
      <c r="C677" s="53">
        <f>IF(A677="","",YEAR(A677))</f>
        <v/>
      </c>
      <c r="D677" s="54">
        <f>IF(A677="","",INDEX(lst_months,MONTH(A677)))</f>
        <v/>
      </c>
      <c r="E677" s="55" t="n"/>
      <c r="F677" s="54">
        <f>IF(E677="","",IFERROR(IF(INDEX(lst_exp_item_cat,MATCH(E677,lst_exp_items,0))="","❔ Без категории",INDEX(lst_exp_item_cat,MATCH(E677,lst_exp_items,0))),"❔ Без категории"))</f>
        <v/>
      </c>
      <c r="G677" s="43" t="n"/>
      <c r="H677" s="56" t="n"/>
      <c r="I677" s="43" t="n"/>
      <c r="J677" s="57">
        <f>IF(OR(A677="",H677=""),"",IF(COUNTIFS(exp_year,C677,exp_month,D677,exp_item,E677,exp_status,"&lt;&gt;❌ Отменено")&gt;0,1,0))</f>
        <v/>
      </c>
    </row>
    <row r="678">
      <c r="A678" s="52" t="n"/>
      <c r="B678" s="53">
        <f>IF(A678="","",CHOOSE(WEEKDAY(A678,2),"Пн","Вт","Ср","Чт","Пт","Сб","Вс"))</f>
        <v/>
      </c>
      <c r="C678" s="53">
        <f>IF(A678="","",YEAR(A678))</f>
        <v/>
      </c>
      <c r="D678" s="54">
        <f>IF(A678="","",INDEX(lst_months,MONTH(A678)))</f>
        <v/>
      </c>
      <c r="E678" s="55" t="n"/>
      <c r="F678" s="54">
        <f>IF(E678="","",IFERROR(IF(INDEX(lst_exp_item_cat,MATCH(E678,lst_exp_items,0))="","❔ Без категории",INDEX(lst_exp_item_cat,MATCH(E678,lst_exp_items,0))),"❔ Без категории"))</f>
        <v/>
      </c>
      <c r="G678" s="43" t="n"/>
      <c r="H678" s="56" t="n"/>
      <c r="I678" s="43" t="n"/>
      <c r="J678" s="57">
        <f>IF(OR(A678="",H678=""),"",IF(COUNTIFS(exp_year,C678,exp_month,D678,exp_item,E678,exp_status,"&lt;&gt;❌ Отменено")&gt;0,1,0))</f>
        <v/>
      </c>
    </row>
    <row r="679">
      <c r="A679" s="52" t="n"/>
      <c r="B679" s="53">
        <f>IF(A679="","",CHOOSE(WEEKDAY(A679,2),"Пн","Вт","Ср","Чт","Пт","Сб","Вс"))</f>
        <v/>
      </c>
      <c r="C679" s="53">
        <f>IF(A679="","",YEAR(A679))</f>
        <v/>
      </c>
      <c r="D679" s="54">
        <f>IF(A679="","",INDEX(lst_months,MONTH(A679)))</f>
        <v/>
      </c>
      <c r="E679" s="55" t="n"/>
      <c r="F679" s="54">
        <f>IF(E679="","",IFERROR(IF(INDEX(lst_exp_item_cat,MATCH(E679,lst_exp_items,0))="","❔ Без категории",INDEX(lst_exp_item_cat,MATCH(E679,lst_exp_items,0))),"❔ Без категории"))</f>
        <v/>
      </c>
      <c r="G679" s="43" t="n"/>
      <c r="H679" s="56" t="n"/>
      <c r="I679" s="43" t="n"/>
      <c r="J679" s="57">
        <f>IF(OR(A679="",H679=""),"",IF(COUNTIFS(exp_year,C679,exp_month,D679,exp_item,E679,exp_status,"&lt;&gt;❌ Отменено")&gt;0,1,0))</f>
        <v/>
      </c>
    </row>
    <row r="680">
      <c r="A680" s="52" t="n"/>
      <c r="B680" s="53">
        <f>IF(A680="","",CHOOSE(WEEKDAY(A680,2),"Пн","Вт","Ср","Чт","Пт","Сб","Вс"))</f>
        <v/>
      </c>
      <c r="C680" s="53">
        <f>IF(A680="","",YEAR(A680))</f>
        <v/>
      </c>
      <c r="D680" s="54">
        <f>IF(A680="","",INDEX(lst_months,MONTH(A680)))</f>
        <v/>
      </c>
      <c r="E680" s="55" t="n"/>
      <c r="F680" s="54">
        <f>IF(E680="","",IFERROR(IF(INDEX(lst_exp_item_cat,MATCH(E680,lst_exp_items,0))="","❔ Без категории",INDEX(lst_exp_item_cat,MATCH(E680,lst_exp_items,0))),"❔ Без категории"))</f>
        <v/>
      </c>
      <c r="G680" s="43" t="n"/>
      <c r="H680" s="56" t="n"/>
      <c r="I680" s="43" t="n"/>
      <c r="J680" s="57">
        <f>IF(OR(A680="",H680=""),"",IF(COUNTIFS(exp_year,C680,exp_month,D680,exp_item,E680,exp_status,"&lt;&gt;❌ Отменено")&gt;0,1,0))</f>
        <v/>
      </c>
    </row>
    <row r="681">
      <c r="A681" s="52" t="n"/>
      <c r="B681" s="53">
        <f>IF(A681="","",CHOOSE(WEEKDAY(A681,2),"Пн","Вт","Ср","Чт","Пт","Сб","Вс"))</f>
        <v/>
      </c>
      <c r="C681" s="53">
        <f>IF(A681="","",YEAR(A681))</f>
        <v/>
      </c>
      <c r="D681" s="54">
        <f>IF(A681="","",INDEX(lst_months,MONTH(A681)))</f>
        <v/>
      </c>
      <c r="E681" s="55" t="n"/>
      <c r="F681" s="54">
        <f>IF(E681="","",IFERROR(IF(INDEX(lst_exp_item_cat,MATCH(E681,lst_exp_items,0))="","❔ Без категории",INDEX(lst_exp_item_cat,MATCH(E681,lst_exp_items,0))),"❔ Без категории"))</f>
        <v/>
      </c>
      <c r="G681" s="43" t="n"/>
      <c r="H681" s="56" t="n"/>
      <c r="I681" s="43" t="n"/>
      <c r="J681" s="57">
        <f>IF(OR(A681="",H681=""),"",IF(COUNTIFS(exp_year,C681,exp_month,D681,exp_item,E681,exp_status,"&lt;&gt;❌ Отменено")&gt;0,1,0))</f>
        <v/>
      </c>
    </row>
    <row r="682">
      <c r="A682" s="52" t="n"/>
      <c r="B682" s="53">
        <f>IF(A682="","",CHOOSE(WEEKDAY(A682,2),"Пн","Вт","Ср","Чт","Пт","Сб","Вс"))</f>
        <v/>
      </c>
      <c r="C682" s="53">
        <f>IF(A682="","",YEAR(A682))</f>
        <v/>
      </c>
      <c r="D682" s="54">
        <f>IF(A682="","",INDEX(lst_months,MONTH(A682)))</f>
        <v/>
      </c>
      <c r="E682" s="55" t="n"/>
      <c r="F682" s="54">
        <f>IF(E682="","",IFERROR(IF(INDEX(lst_exp_item_cat,MATCH(E682,lst_exp_items,0))="","❔ Без категории",INDEX(lst_exp_item_cat,MATCH(E682,lst_exp_items,0))),"❔ Без категории"))</f>
        <v/>
      </c>
      <c r="G682" s="43" t="n"/>
      <c r="H682" s="56" t="n"/>
      <c r="I682" s="43" t="n"/>
      <c r="J682" s="57">
        <f>IF(OR(A682="",H682=""),"",IF(COUNTIFS(exp_year,C682,exp_month,D682,exp_item,E682,exp_status,"&lt;&gt;❌ Отменено")&gt;0,1,0))</f>
        <v/>
      </c>
    </row>
    <row r="683">
      <c r="A683" s="52" t="n"/>
      <c r="B683" s="53">
        <f>IF(A683="","",CHOOSE(WEEKDAY(A683,2),"Пн","Вт","Ср","Чт","Пт","Сб","Вс"))</f>
        <v/>
      </c>
      <c r="C683" s="53">
        <f>IF(A683="","",YEAR(A683))</f>
        <v/>
      </c>
      <c r="D683" s="54">
        <f>IF(A683="","",INDEX(lst_months,MONTH(A683)))</f>
        <v/>
      </c>
      <c r="E683" s="55" t="n"/>
      <c r="F683" s="54">
        <f>IF(E683="","",IFERROR(IF(INDEX(lst_exp_item_cat,MATCH(E683,lst_exp_items,0))="","❔ Без категории",INDEX(lst_exp_item_cat,MATCH(E683,lst_exp_items,0))),"❔ Без категории"))</f>
        <v/>
      </c>
      <c r="G683" s="43" t="n"/>
      <c r="H683" s="56" t="n"/>
      <c r="I683" s="43" t="n"/>
      <c r="J683" s="57">
        <f>IF(OR(A683="",H683=""),"",IF(COUNTIFS(exp_year,C683,exp_month,D683,exp_item,E683,exp_status,"&lt;&gt;❌ Отменено")&gt;0,1,0))</f>
        <v/>
      </c>
    </row>
    <row r="684">
      <c r="A684" s="52" t="n"/>
      <c r="B684" s="53">
        <f>IF(A684="","",CHOOSE(WEEKDAY(A684,2),"Пн","Вт","Ср","Чт","Пт","Сб","Вс"))</f>
        <v/>
      </c>
      <c r="C684" s="53">
        <f>IF(A684="","",YEAR(A684))</f>
        <v/>
      </c>
      <c r="D684" s="54">
        <f>IF(A684="","",INDEX(lst_months,MONTH(A684)))</f>
        <v/>
      </c>
      <c r="E684" s="55" t="n"/>
      <c r="F684" s="54">
        <f>IF(E684="","",IFERROR(IF(INDEX(lst_exp_item_cat,MATCH(E684,lst_exp_items,0))="","❔ Без категории",INDEX(lst_exp_item_cat,MATCH(E684,lst_exp_items,0))),"❔ Без категории"))</f>
        <v/>
      </c>
      <c r="G684" s="43" t="n"/>
      <c r="H684" s="56" t="n"/>
      <c r="I684" s="43" t="n"/>
      <c r="J684" s="57">
        <f>IF(OR(A684="",H684=""),"",IF(COUNTIFS(exp_year,C684,exp_month,D684,exp_item,E684,exp_status,"&lt;&gt;❌ Отменено")&gt;0,1,0))</f>
        <v/>
      </c>
    </row>
    <row r="685">
      <c r="A685" s="52" t="n"/>
      <c r="B685" s="53">
        <f>IF(A685="","",CHOOSE(WEEKDAY(A685,2),"Пн","Вт","Ср","Чт","Пт","Сб","Вс"))</f>
        <v/>
      </c>
      <c r="C685" s="53">
        <f>IF(A685="","",YEAR(A685))</f>
        <v/>
      </c>
      <c r="D685" s="54">
        <f>IF(A685="","",INDEX(lst_months,MONTH(A685)))</f>
        <v/>
      </c>
      <c r="E685" s="55" t="n"/>
      <c r="F685" s="54">
        <f>IF(E685="","",IFERROR(IF(INDEX(lst_exp_item_cat,MATCH(E685,lst_exp_items,0))="","❔ Без категории",INDEX(lst_exp_item_cat,MATCH(E685,lst_exp_items,0))),"❔ Без категории"))</f>
        <v/>
      </c>
      <c r="G685" s="43" t="n"/>
      <c r="H685" s="56" t="n"/>
      <c r="I685" s="43" t="n"/>
      <c r="J685" s="57">
        <f>IF(OR(A685="",H685=""),"",IF(COUNTIFS(exp_year,C685,exp_month,D685,exp_item,E685,exp_status,"&lt;&gt;❌ Отменено")&gt;0,1,0))</f>
        <v/>
      </c>
    </row>
    <row r="686">
      <c r="A686" s="52" t="n"/>
      <c r="B686" s="53">
        <f>IF(A686="","",CHOOSE(WEEKDAY(A686,2),"Пн","Вт","Ср","Чт","Пт","Сб","Вс"))</f>
        <v/>
      </c>
      <c r="C686" s="53">
        <f>IF(A686="","",YEAR(A686))</f>
        <v/>
      </c>
      <c r="D686" s="54">
        <f>IF(A686="","",INDEX(lst_months,MONTH(A686)))</f>
        <v/>
      </c>
      <c r="E686" s="55" t="n"/>
      <c r="F686" s="54">
        <f>IF(E686="","",IFERROR(IF(INDEX(lst_exp_item_cat,MATCH(E686,lst_exp_items,0))="","❔ Без категории",INDEX(lst_exp_item_cat,MATCH(E686,lst_exp_items,0))),"❔ Без категории"))</f>
        <v/>
      </c>
      <c r="G686" s="43" t="n"/>
      <c r="H686" s="56" t="n"/>
      <c r="I686" s="43" t="n"/>
      <c r="J686" s="57">
        <f>IF(OR(A686="",H686=""),"",IF(COUNTIFS(exp_year,C686,exp_month,D686,exp_item,E686,exp_status,"&lt;&gt;❌ Отменено")&gt;0,1,0))</f>
        <v/>
      </c>
    </row>
    <row r="687">
      <c r="A687" s="52" t="n"/>
      <c r="B687" s="53">
        <f>IF(A687="","",CHOOSE(WEEKDAY(A687,2),"Пн","Вт","Ср","Чт","Пт","Сб","Вс"))</f>
        <v/>
      </c>
      <c r="C687" s="53">
        <f>IF(A687="","",YEAR(A687))</f>
        <v/>
      </c>
      <c r="D687" s="54">
        <f>IF(A687="","",INDEX(lst_months,MONTH(A687)))</f>
        <v/>
      </c>
      <c r="E687" s="55" t="n"/>
      <c r="F687" s="54">
        <f>IF(E687="","",IFERROR(IF(INDEX(lst_exp_item_cat,MATCH(E687,lst_exp_items,0))="","❔ Без категории",INDEX(lst_exp_item_cat,MATCH(E687,lst_exp_items,0))),"❔ Без категории"))</f>
        <v/>
      </c>
      <c r="G687" s="43" t="n"/>
      <c r="H687" s="56" t="n"/>
      <c r="I687" s="43" t="n"/>
      <c r="J687" s="57">
        <f>IF(OR(A687="",H687=""),"",IF(COUNTIFS(exp_year,C687,exp_month,D687,exp_item,E687,exp_status,"&lt;&gt;❌ Отменено")&gt;0,1,0))</f>
        <v/>
      </c>
    </row>
    <row r="688">
      <c r="A688" s="52" t="n"/>
      <c r="B688" s="53">
        <f>IF(A688="","",CHOOSE(WEEKDAY(A688,2),"Пн","Вт","Ср","Чт","Пт","Сб","Вс"))</f>
        <v/>
      </c>
      <c r="C688" s="53">
        <f>IF(A688="","",YEAR(A688))</f>
        <v/>
      </c>
      <c r="D688" s="54">
        <f>IF(A688="","",INDEX(lst_months,MONTH(A688)))</f>
        <v/>
      </c>
      <c r="E688" s="55" t="n"/>
      <c r="F688" s="54">
        <f>IF(E688="","",IFERROR(IF(INDEX(lst_exp_item_cat,MATCH(E688,lst_exp_items,0))="","❔ Без категории",INDEX(lst_exp_item_cat,MATCH(E688,lst_exp_items,0))),"❔ Без категории"))</f>
        <v/>
      </c>
      <c r="G688" s="43" t="n"/>
      <c r="H688" s="56" t="n"/>
      <c r="I688" s="43" t="n"/>
      <c r="J688" s="57">
        <f>IF(OR(A688="",H688=""),"",IF(COUNTIFS(exp_year,C688,exp_month,D688,exp_item,E688,exp_status,"&lt;&gt;❌ Отменено")&gt;0,1,0))</f>
        <v/>
      </c>
    </row>
    <row r="689">
      <c r="A689" s="52" t="n"/>
      <c r="B689" s="53">
        <f>IF(A689="","",CHOOSE(WEEKDAY(A689,2),"Пн","Вт","Ср","Чт","Пт","Сб","Вс"))</f>
        <v/>
      </c>
      <c r="C689" s="53">
        <f>IF(A689="","",YEAR(A689))</f>
        <v/>
      </c>
      <c r="D689" s="54">
        <f>IF(A689="","",INDEX(lst_months,MONTH(A689)))</f>
        <v/>
      </c>
      <c r="E689" s="55" t="n"/>
      <c r="F689" s="54">
        <f>IF(E689="","",IFERROR(IF(INDEX(lst_exp_item_cat,MATCH(E689,lst_exp_items,0))="","❔ Без категории",INDEX(lst_exp_item_cat,MATCH(E689,lst_exp_items,0))),"❔ Без категории"))</f>
        <v/>
      </c>
      <c r="G689" s="43" t="n"/>
      <c r="H689" s="56" t="n"/>
      <c r="I689" s="43" t="n"/>
      <c r="J689" s="57">
        <f>IF(OR(A689="",H689=""),"",IF(COUNTIFS(exp_year,C689,exp_month,D689,exp_item,E689,exp_status,"&lt;&gt;❌ Отменено")&gt;0,1,0))</f>
        <v/>
      </c>
    </row>
    <row r="690">
      <c r="A690" s="52" t="n"/>
      <c r="B690" s="53">
        <f>IF(A690="","",CHOOSE(WEEKDAY(A690,2),"Пн","Вт","Ср","Чт","Пт","Сб","Вс"))</f>
        <v/>
      </c>
      <c r="C690" s="53">
        <f>IF(A690="","",YEAR(A690))</f>
        <v/>
      </c>
      <c r="D690" s="54">
        <f>IF(A690="","",INDEX(lst_months,MONTH(A690)))</f>
        <v/>
      </c>
      <c r="E690" s="55" t="n"/>
      <c r="F690" s="54">
        <f>IF(E690="","",IFERROR(IF(INDEX(lst_exp_item_cat,MATCH(E690,lst_exp_items,0))="","❔ Без категории",INDEX(lst_exp_item_cat,MATCH(E690,lst_exp_items,0))),"❔ Без категории"))</f>
        <v/>
      </c>
      <c r="G690" s="43" t="n"/>
      <c r="H690" s="56" t="n"/>
      <c r="I690" s="43" t="n"/>
      <c r="J690" s="57">
        <f>IF(OR(A690="",H690=""),"",IF(COUNTIFS(exp_year,C690,exp_month,D690,exp_item,E690,exp_status,"&lt;&gt;❌ Отменено")&gt;0,1,0))</f>
        <v/>
      </c>
    </row>
    <row r="691">
      <c r="A691" s="52" t="n"/>
      <c r="B691" s="53">
        <f>IF(A691="","",CHOOSE(WEEKDAY(A691,2),"Пн","Вт","Ср","Чт","Пт","Сб","Вс"))</f>
        <v/>
      </c>
      <c r="C691" s="53">
        <f>IF(A691="","",YEAR(A691))</f>
        <v/>
      </c>
      <c r="D691" s="54">
        <f>IF(A691="","",INDEX(lst_months,MONTH(A691)))</f>
        <v/>
      </c>
      <c r="E691" s="55" t="n"/>
      <c r="F691" s="54">
        <f>IF(E691="","",IFERROR(IF(INDEX(lst_exp_item_cat,MATCH(E691,lst_exp_items,0))="","❔ Без категории",INDEX(lst_exp_item_cat,MATCH(E691,lst_exp_items,0))),"❔ Без категории"))</f>
        <v/>
      </c>
      <c r="G691" s="43" t="n"/>
      <c r="H691" s="56" t="n"/>
      <c r="I691" s="43" t="n"/>
      <c r="J691" s="57">
        <f>IF(OR(A691="",H691=""),"",IF(COUNTIFS(exp_year,C691,exp_month,D691,exp_item,E691,exp_status,"&lt;&gt;❌ Отменено")&gt;0,1,0))</f>
        <v/>
      </c>
    </row>
    <row r="692">
      <c r="A692" s="52" t="n"/>
      <c r="B692" s="53">
        <f>IF(A692="","",CHOOSE(WEEKDAY(A692,2),"Пн","Вт","Ср","Чт","Пт","Сб","Вс"))</f>
        <v/>
      </c>
      <c r="C692" s="53">
        <f>IF(A692="","",YEAR(A692))</f>
        <v/>
      </c>
      <c r="D692" s="54">
        <f>IF(A692="","",INDEX(lst_months,MONTH(A692)))</f>
        <v/>
      </c>
      <c r="E692" s="55" t="n"/>
      <c r="F692" s="54">
        <f>IF(E692="","",IFERROR(IF(INDEX(lst_exp_item_cat,MATCH(E692,lst_exp_items,0))="","❔ Без категории",INDEX(lst_exp_item_cat,MATCH(E692,lst_exp_items,0))),"❔ Без категории"))</f>
        <v/>
      </c>
      <c r="G692" s="43" t="n"/>
      <c r="H692" s="56" t="n"/>
      <c r="I692" s="43" t="n"/>
      <c r="J692" s="57">
        <f>IF(OR(A692="",H692=""),"",IF(COUNTIFS(exp_year,C692,exp_month,D692,exp_item,E692,exp_status,"&lt;&gt;❌ Отменено")&gt;0,1,0))</f>
        <v/>
      </c>
    </row>
    <row r="693">
      <c r="A693" s="52" t="n"/>
      <c r="B693" s="53">
        <f>IF(A693="","",CHOOSE(WEEKDAY(A693,2),"Пн","Вт","Ср","Чт","Пт","Сб","Вс"))</f>
        <v/>
      </c>
      <c r="C693" s="53">
        <f>IF(A693="","",YEAR(A693))</f>
        <v/>
      </c>
      <c r="D693" s="54">
        <f>IF(A693="","",INDEX(lst_months,MONTH(A693)))</f>
        <v/>
      </c>
      <c r="E693" s="55" t="n"/>
      <c r="F693" s="54">
        <f>IF(E693="","",IFERROR(IF(INDEX(lst_exp_item_cat,MATCH(E693,lst_exp_items,0))="","❔ Без категории",INDEX(lst_exp_item_cat,MATCH(E693,lst_exp_items,0))),"❔ Без категории"))</f>
        <v/>
      </c>
      <c r="G693" s="43" t="n"/>
      <c r="H693" s="56" t="n"/>
      <c r="I693" s="43" t="n"/>
      <c r="J693" s="57">
        <f>IF(OR(A693="",H693=""),"",IF(COUNTIFS(exp_year,C693,exp_month,D693,exp_item,E693,exp_status,"&lt;&gt;❌ Отменено")&gt;0,1,0))</f>
        <v/>
      </c>
    </row>
    <row r="694">
      <c r="A694" s="52" t="n"/>
      <c r="B694" s="53">
        <f>IF(A694="","",CHOOSE(WEEKDAY(A694,2),"Пн","Вт","Ср","Чт","Пт","Сб","Вс"))</f>
        <v/>
      </c>
      <c r="C694" s="53">
        <f>IF(A694="","",YEAR(A694))</f>
        <v/>
      </c>
      <c r="D694" s="54">
        <f>IF(A694="","",INDEX(lst_months,MONTH(A694)))</f>
        <v/>
      </c>
      <c r="E694" s="55" t="n"/>
      <c r="F694" s="54">
        <f>IF(E694="","",IFERROR(IF(INDEX(lst_exp_item_cat,MATCH(E694,lst_exp_items,0))="","❔ Без категории",INDEX(lst_exp_item_cat,MATCH(E694,lst_exp_items,0))),"❔ Без категории"))</f>
        <v/>
      </c>
      <c r="G694" s="43" t="n"/>
      <c r="H694" s="56" t="n"/>
      <c r="I694" s="43" t="n"/>
      <c r="J694" s="57">
        <f>IF(OR(A694="",H694=""),"",IF(COUNTIFS(exp_year,C694,exp_month,D694,exp_item,E694,exp_status,"&lt;&gt;❌ Отменено")&gt;0,1,0))</f>
        <v/>
      </c>
    </row>
    <row r="695">
      <c r="A695" s="52" t="n"/>
      <c r="B695" s="53">
        <f>IF(A695="","",CHOOSE(WEEKDAY(A695,2),"Пн","Вт","Ср","Чт","Пт","Сб","Вс"))</f>
        <v/>
      </c>
      <c r="C695" s="53">
        <f>IF(A695="","",YEAR(A695))</f>
        <v/>
      </c>
      <c r="D695" s="54">
        <f>IF(A695="","",INDEX(lst_months,MONTH(A695)))</f>
        <v/>
      </c>
      <c r="E695" s="55" t="n"/>
      <c r="F695" s="54">
        <f>IF(E695="","",IFERROR(IF(INDEX(lst_exp_item_cat,MATCH(E695,lst_exp_items,0))="","❔ Без категории",INDEX(lst_exp_item_cat,MATCH(E695,lst_exp_items,0))),"❔ Без категории"))</f>
        <v/>
      </c>
      <c r="G695" s="43" t="n"/>
      <c r="H695" s="56" t="n"/>
      <c r="I695" s="43" t="n"/>
      <c r="J695" s="57">
        <f>IF(OR(A695="",H695=""),"",IF(COUNTIFS(exp_year,C695,exp_month,D695,exp_item,E695,exp_status,"&lt;&gt;❌ Отменено")&gt;0,1,0))</f>
        <v/>
      </c>
    </row>
    <row r="696">
      <c r="A696" s="52" t="n"/>
      <c r="B696" s="53">
        <f>IF(A696="","",CHOOSE(WEEKDAY(A696,2),"Пн","Вт","Ср","Чт","Пт","Сб","Вс"))</f>
        <v/>
      </c>
      <c r="C696" s="53">
        <f>IF(A696="","",YEAR(A696))</f>
        <v/>
      </c>
      <c r="D696" s="54">
        <f>IF(A696="","",INDEX(lst_months,MONTH(A696)))</f>
        <v/>
      </c>
      <c r="E696" s="55" t="n"/>
      <c r="F696" s="54">
        <f>IF(E696="","",IFERROR(IF(INDEX(lst_exp_item_cat,MATCH(E696,lst_exp_items,0))="","❔ Без категории",INDEX(lst_exp_item_cat,MATCH(E696,lst_exp_items,0))),"❔ Без категории"))</f>
        <v/>
      </c>
      <c r="G696" s="43" t="n"/>
      <c r="H696" s="56" t="n"/>
      <c r="I696" s="43" t="n"/>
      <c r="J696" s="57">
        <f>IF(OR(A696="",H696=""),"",IF(COUNTIFS(exp_year,C696,exp_month,D696,exp_item,E696,exp_status,"&lt;&gt;❌ Отменено")&gt;0,1,0))</f>
        <v/>
      </c>
    </row>
    <row r="697">
      <c r="A697" s="52" t="n"/>
      <c r="B697" s="53">
        <f>IF(A697="","",CHOOSE(WEEKDAY(A697,2),"Пн","Вт","Ср","Чт","Пт","Сб","Вс"))</f>
        <v/>
      </c>
      <c r="C697" s="53">
        <f>IF(A697="","",YEAR(A697))</f>
        <v/>
      </c>
      <c r="D697" s="54">
        <f>IF(A697="","",INDEX(lst_months,MONTH(A697)))</f>
        <v/>
      </c>
      <c r="E697" s="55" t="n"/>
      <c r="F697" s="54">
        <f>IF(E697="","",IFERROR(IF(INDEX(lst_exp_item_cat,MATCH(E697,lst_exp_items,0))="","❔ Без категории",INDEX(lst_exp_item_cat,MATCH(E697,lst_exp_items,0))),"❔ Без категории"))</f>
        <v/>
      </c>
      <c r="G697" s="43" t="n"/>
      <c r="H697" s="56" t="n"/>
      <c r="I697" s="43" t="n"/>
      <c r="J697" s="57">
        <f>IF(OR(A697="",H697=""),"",IF(COUNTIFS(exp_year,C697,exp_month,D697,exp_item,E697,exp_status,"&lt;&gt;❌ Отменено")&gt;0,1,0))</f>
        <v/>
      </c>
    </row>
    <row r="698">
      <c r="A698" s="52" t="n"/>
      <c r="B698" s="53">
        <f>IF(A698="","",CHOOSE(WEEKDAY(A698,2),"Пн","Вт","Ср","Чт","Пт","Сб","Вс"))</f>
        <v/>
      </c>
      <c r="C698" s="53">
        <f>IF(A698="","",YEAR(A698))</f>
        <v/>
      </c>
      <c r="D698" s="54">
        <f>IF(A698="","",INDEX(lst_months,MONTH(A698)))</f>
        <v/>
      </c>
      <c r="E698" s="55" t="n"/>
      <c r="F698" s="54">
        <f>IF(E698="","",IFERROR(IF(INDEX(lst_exp_item_cat,MATCH(E698,lst_exp_items,0))="","❔ Без категории",INDEX(lst_exp_item_cat,MATCH(E698,lst_exp_items,0))),"❔ Без категории"))</f>
        <v/>
      </c>
      <c r="G698" s="43" t="n"/>
      <c r="H698" s="56" t="n"/>
      <c r="I698" s="43" t="n"/>
      <c r="J698" s="57">
        <f>IF(OR(A698="",H698=""),"",IF(COUNTIFS(exp_year,C698,exp_month,D698,exp_item,E698,exp_status,"&lt;&gt;❌ Отменено")&gt;0,1,0))</f>
        <v/>
      </c>
    </row>
    <row r="699">
      <c r="A699" s="52" t="n"/>
      <c r="B699" s="53">
        <f>IF(A699="","",CHOOSE(WEEKDAY(A699,2),"Пн","Вт","Ср","Чт","Пт","Сб","Вс"))</f>
        <v/>
      </c>
      <c r="C699" s="53">
        <f>IF(A699="","",YEAR(A699))</f>
        <v/>
      </c>
      <c r="D699" s="54">
        <f>IF(A699="","",INDEX(lst_months,MONTH(A699)))</f>
        <v/>
      </c>
      <c r="E699" s="55" t="n"/>
      <c r="F699" s="54">
        <f>IF(E699="","",IFERROR(IF(INDEX(lst_exp_item_cat,MATCH(E699,lst_exp_items,0))="","❔ Без категории",INDEX(lst_exp_item_cat,MATCH(E699,lst_exp_items,0))),"❔ Без категории"))</f>
        <v/>
      </c>
      <c r="G699" s="43" t="n"/>
      <c r="H699" s="56" t="n"/>
      <c r="I699" s="43" t="n"/>
      <c r="J699" s="57">
        <f>IF(OR(A699="",H699=""),"",IF(COUNTIFS(exp_year,C699,exp_month,D699,exp_item,E699,exp_status,"&lt;&gt;❌ Отменено")&gt;0,1,0))</f>
        <v/>
      </c>
    </row>
    <row r="700">
      <c r="A700" s="52" t="n"/>
      <c r="B700" s="53">
        <f>IF(A700="","",CHOOSE(WEEKDAY(A700,2),"Пн","Вт","Ср","Чт","Пт","Сб","Вс"))</f>
        <v/>
      </c>
      <c r="C700" s="53">
        <f>IF(A700="","",YEAR(A700))</f>
        <v/>
      </c>
      <c r="D700" s="54">
        <f>IF(A700="","",INDEX(lst_months,MONTH(A700)))</f>
        <v/>
      </c>
      <c r="E700" s="55" t="n"/>
      <c r="F700" s="54">
        <f>IF(E700="","",IFERROR(IF(INDEX(lst_exp_item_cat,MATCH(E700,lst_exp_items,0))="","❔ Без категории",INDEX(lst_exp_item_cat,MATCH(E700,lst_exp_items,0))),"❔ Без категории"))</f>
        <v/>
      </c>
      <c r="G700" s="43" t="n"/>
      <c r="H700" s="56" t="n"/>
      <c r="I700" s="43" t="n"/>
      <c r="J700" s="57">
        <f>IF(OR(A700="",H700=""),"",IF(COUNTIFS(exp_year,C700,exp_month,D700,exp_item,E700,exp_status,"&lt;&gt;❌ Отменено")&gt;0,1,0))</f>
        <v/>
      </c>
    </row>
    <row r="701">
      <c r="A701" s="52" t="n"/>
      <c r="B701" s="53">
        <f>IF(A701="","",CHOOSE(WEEKDAY(A701,2),"Пн","Вт","Ср","Чт","Пт","Сб","Вс"))</f>
        <v/>
      </c>
      <c r="C701" s="53">
        <f>IF(A701="","",YEAR(A701))</f>
        <v/>
      </c>
      <c r="D701" s="54">
        <f>IF(A701="","",INDEX(lst_months,MONTH(A701)))</f>
        <v/>
      </c>
      <c r="E701" s="55" t="n"/>
      <c r="F701" s="54">
        <f>IF(E701="","",IFERROR(IF(INDEX(lst_exp_item_cat,MATCH(E701,lst_exp_items,0))="","❔ Без категории",INDEX(lst_exp_item_cat,MATCH(E701,lst_exp_items,0))),"❔ Без категории"))</f>
        <v/>
      </c>
      <c r="G701" s="43" t="n"/>
      <c r="H701" s="56" t="n"/>
      <c r="I701" s="43" t="n"/>
      <c r="J701" s="57">
        <f>IF(OR(A701="",H701=""),"",IF(COUNTIFS(exp_year,C701,exp_month,D701,exp_item,E701,exp_status,"&lt;&gt;❌ Отменено")&gt;0,1,0))</f>
        <v/>
      </c>
    </row>
    <row r="702">
      <c r="A702" s="52" t="n"/>
      <c r="B702" s="53">
        <f>IF(A702="","",CHOOSE(WEEKDAY(A702,2),"Пн","Вт","Ср","Чт","Пт","Сб","Вс"))</f>
        <v/>
      </c>
      <c r="C702" s="53">
        <f>IF(A702="","",YEAR(A702))</f>
        <v/>
      </c>
      <c r="D702" s="54">
        <f>IF(A702="","",INDEX(lst_months,MONTH(A702)))</f>
        <v/>
      </c>
      <c r="E702" s="55" t="n"/>
      <c r="F702" s="54">
        <f>IF(E702="","",IFERROR(IF(INDEX(lst_exp_item_cat,MATCH(E702,lst_exp_items,0))="","❔ Без категории",INDEX(lst_exp_item_cat,MATCH(E702,lst_exp_items,0))),"❔ Без категории"))</f>
        <v/>
      </c>
      <c r="G702" s="43" t="n"/>
      <c r="H702" s="56" t="n"/>
      <c r="I702" s="43" t="n"/>
      <c r="J702" s="57">
        <f>IF(OR(A702="",H702=""),"",IF(COUNTIFS(exp_year,C702,exp_month,D702,exp_item,E702,exp_status,"&lt;&gt;❌ Отменено")&gt;0,1,0))</f>
        <v/>
      </c>
    </row>
    <row r="703">
      <c r="A703" s="52" t="n"/>
      <c r="B703" s="53">
        <f>IF(A703="","",CHOOSE(WEEKDAY(A703,2),"Пн","Вт","Ср","Чт","Пт","Сб","Вс"))</f>
        <v/>
      </c>
      <c r="C703" s="53">
        <f>IF(A703="","",YEAR(A703))</f>
        <v/>
      </c>
      <c r="D703" s="54">
        <f>IF(A703="","",INDEX(lst_months,MONTH(A703)))</f>
        <v/>
      </c>
      <c r="E703" s="55" t="n"/>
      <c r="F703" s="54">
        <f>IF(E703="","",IFERROR(IF(INDEX(lst_exp_item_cat,MATCH(E703,lst_exp_items,0))="","❔ Без категории",INDEX(lst_exp_item_cat,MATCH(E703,lst_exp_items,0))),"❔ Без категории"))</f>
        <v/>
      </c>
      <c r="G703" s="43" t="n"/>
      <c r="H703" s="56" t="n"/>
      <c r="I703" s="43" t="n"/>
      <c r="J703" s="57">
        <f>IF(OR(A703="",H703=""),"",IF(COUNTIFS(exp_year,C703,exp_month,D703,exp_item,E703,exp_status,"&lt;&gt;❌ Отменено")&gt;0,1,0))</f>
        <v/>
      </c>
    </row>
    <row r="704">
      <c r="A704" s="52" t="n"/>
      <c r="B704" s="53">
        <f>IF(A704="","",CHOOSE(WEEKDAY(A704,2),"Пн","Вт","Ср","Чт","Пт","Сб","Вс"))</f>
        <v/>
      </c>
      <c r="C704" s="53">
        <f>IF(A704="","",YEAR(A704))</f>
        <v/>
      </c>
      <c r="D704" s="54">
        <f>IF(A704="","",INDEX(lst_months,MONTH(A704)))</f>
        <v/>
      </c>
      <c r="E704" s="55" t="n"/>
      <c r="F704" s="54">
        <f>IF(E704="","",IFERROR(IF(INDEX(lst_exp_item_cat,MATCH(E704,lst_exp_items,0))="","❔ Без категории",INDEX(lst_exp_item_cat,MATCH(E704,lst_exp_items,0))),"❔ Без категории"))</f>
        <v/>
      </c>
      <c r="G704" s="43" t="n"/>
      <c r="H704" s="56" t="n"/>
      <c r="I704" s="43" t="n"/>
      <c r="J704" s="57">
        <f>IF(OR(A704="",H704=""),"",IF(COUNTIFS(exp_year,C704,exp_month,D704,exp_item,E704,exp_status,"&lt;&gt;❌ Отменено")&gt;0,1,0))</f>
        <v/>
      </c>
    </row>
    <row r="705">
      <c r="A705" s="52" t="n"/>
      <c r="B705" s="53">
        <f>IF(A705="","",CHOOSE(WEEKDAY(A705,2),"Пн","Вт","Ср","Чт","Пт","Сб","Вс"))</f>
        <v/>
      </c>
      <c r="C705" s="53">
        <f>IF(A705="","",YEAR(A705))</f>
        <v/>
      </c>
      <c r="D705" s="54">
        <f>IF(A705="","",INDEX(lst_months,MONTH(A705)))</f>
        <v/>
      </c>
      <c r="E705" s="55" t="n"/>
      <c r="F705" s="54">
        <f>IF(E705="","",IFERROR(IF(INDEX(lst_exp_item_cat,MATCH(E705,lst_exp_items,0))="","❔ Без категории",INDEX(lst_exp_item_cat,MATCH(E705,lst_exp_items,0))),"❔ Без категории"))</f>
        <v/>
      </c>
      <c r="G705" s="43" t="n"/>
      <c r="H705" s="56" t="n"/>
      <c r="I705" s="43" t="n"/>
      <c r="J705" s="57">
        <f>IF(OR(A705="",H705=""),"",IF(COUNTIFS(exp_year,C705,exp_month,D705,exp_item,E705,exp_status,"&lt;&gt;❌ Отменено")&gt;0,1,0))</f>
        <v/>
      </c>
    </row>
    <row r="706">
      <c r="A706" s="52" t="n"/>
      <c r="B706" s="53">
        <f>IF(A706="","",CHOOSE(WEEKDAY(A706,2),"Пн","Вт","Ср","Чт","Пт","Сб","Вс"))</f>
        <v/>
      </c>
      <c r="C706" s="53">
        <f>IF(A706="","",YEAR(A706))</f>
        <v/>
      </c>
      <c r="D706" s="54">
        <f>IF(A706="","",INDEX(lst_months,MONTH(A706)))</f>
        <v/>
      </c>
      <c r="E706" s="55" t="n"/>
      <c r="F706" s="54">
        <f>IF(E706="","",IFERROR(IF(INDEX(lst_exp_item_cat,MATCH(E706,lst_exp_items,0))="","❔ Без категории",INDEX(lst_exp_item_cat,MATCH(E706,lst_exp_items,0))),"❔ Без категории"))</f>
        <v/>
      </c>
      <c r="G706" s="43" t="n"/>
      <c r="H706" s="56" t="n"/>
      <c r="I706" s="43" t="n"/>
      <c r="J706" s="57">
        <f>IF(OR(A706="",H706=""),"",IF(COUNTIFS(exp_year,C706,exp_month,D706,exp_item,E706,exp_status,"&lt;&gt;❌ Отменено")&gt;0,1,0))</f>
        <v/>
      </c>
    </row>
    <row r="707">
      <c r="A707" s="52" t="n"/>
      <c r="B707" s="53">
        <f>IF(A707="","",CHOOSE(WEEKDAY(A707,2),"Пн","Вт","Ср","Чт","Пт","Сб","Вс"))</f>
        <v/>
      </c>
      <c r="C707" s="53">
        <f>IF(A707="","",YEAR(A707))</f>
        <v/>
      </c>
      <c r="D707" s="54">
        <f>IF(A707="","",INDEX(lst_months,MONTH(A707)))</f>
        <v/>
      </c>
      <c r="E707" s="55" t="n"/>
      <c r="F707" s="54">
        <f>IF(E707="","",IFERROR(IF(INDEX(lst_exp_item_cat,MATCH(E707,lst_exp_items,0))="","❔ Без категории",INDEX(lst_exp_item_cat,MATCH(E707,lst_exp_items,0))),"❔ Без категории"))</f>
        <v/>
      </c>
      <c r="G707" s="43" t="n"/>
      <c r="H707" s="56" t="n"/>
      <c r="I707" s="43" t="n"/>
      <c r="J707" s="57">
        <f>IF(OR(A707="",H707=""),"",IF(COUNTIFS(exp_year,C707,exp_month,D707,exp_item,E707,exp_status,"&lt;&gt;❌ Отменено")&gt;0,1,0))</f>
        <v/>
      </c>
    </row>
    <row r="708">
      <c r="A708" s="52" t="n"/>
      <c r="B708" s="53">
        <f>IF(A708="","",CHOOSE(WEEKDAY(A708,2),"Пн","Вт","Ср","Чт","Пт","Сб","Вс"))</f>
        <v/>
      </c>
      <c r="C708" s="53">
        <f>IF(A708="","",YEAR(A708))</f>
        <v/>
      </c>
      <c r="D708" s="54">
        <f>IF(A708="","",INDEX(lst_months,MONTH(A708)))</f>
        <v/>
      </c>
      <c r="E708" s="55" t="n"/>
      <c r="F708" s="54">
        <f>IF(E708="","",IFERROR(IF(INDEX(lst_exp_item_cat,MATCH(E708,lst_exp_items,0))="","❔ Без категории",INDEX(lst_exp_item_cat,MATCH(E708,lst_exp_items,0))),"❔ Без категории"))</f>
        <v/>
      </c>
      <c r="G708" s="43" t="n"/>
      <c r="H708" s="56" t="n"/>
      <c r="I708" s="43" t="n"/>
      <c r="J708" s="57">
        <f>IF(OR(A708="",H708=""),"",IF(COUNTIFS(exp_year,C708,exp_month,D708,exp_item,E708,exp_status,"&lt;&gt;❌ Отменено")&gt;0,1,0))</f>
        <v/>
      </c>
    </row>
    <row r="709">
      <c r="A709" s="52" t="n"/>
      <c r="B709" s="53">
        <f>IF(A709="","",CHOOSE(WEEKDAY(A709,2),"Пн","Вт","Ср","Чт","Пт","Сб","Вс"))</f>
        <v/>
      </c>
      <c r="C709" s="53">
        <f>IF(A709="","",YEAR(A709))</f>
        <v/>
      </c>
      <c r="D709" s="54">
        <f>IF(A709="","",INDEX(lst_months,MONTH(A709)))</f>
        <v/>
      </c>
      <c r="E709" s="55" t="n"/>
      <c r="F709" s="54">
        <f>IF(E709="","",IFERROR(IF(INDEX(lst_exp_item_cat,MATCH(E709,lst_exp_items,0))="","❔ Без категории",INDEX(lst_exp_item_cat,MATCH(E709,lst_exp_items,0))),"❔ Без категории"))</f>
        <v/>
      </c>
      <c r="G709" s="43" t="n"/>
      <c r="H709" s="56" t="n"/>
      <c r="I709" s="43" t="n"/>
      <c r="J709" s="57">
        <f>IF(OR(A709="",H709=""),"",IF(COUNTIFS(exp_year,C709,exp_month,D709,exp_item,E709,exp_status,"&lt;&gt;❌ Отменено")&gt;0,1,0))</f>
        <v/>
      </c>
    </row>
    <row r="710">
      <c r="A710" s="52" t="n"/>
      <c r="B710" s="53">
        <f>IF(A710="","",CHOOSE(WEEKDAY(A710,2),"Пн","Вт","Ср","Чт","Пт","Сб","Вс"))</f>
        <v/>
      </c>
      <c r="C710" s="53">
        <f>IF(A710="","",YEAR(A710))</f>
        <v/>
      </c>
      <c r="D710" s="54">
        <f>IF(A710="","",INDEX(lst_months,MONTH(A710)))</f>
        <v/>
      </c>
      <c r="E710" s="55" t="n"/>
      <c r="F710" s="54">
        <f>IF(E710="","",IFERROR(IF(INDEX(lst_exp_item_cat,MATCH(E710,lst_exp_items,0))="","❔ Без категории",INDEX(lst_exp_item_cat,MATCH(E710,lst_exp_items,0))),"❔ Без категории"))</f>
        <v/>
      </c>
      <c r="G710" s="43" t="n"/>
      <c r="H710" s="56" t="n"/>
      <c r="I710" s="43" t="n"/>
      <c r="J710" s="57">
        <f>IF(OR(A710="",H710=""),"",IF(COUNTIFS(exp_year,C710,exp_month,D710,exp_item,E710,exp_status,"&lt;&gt;❌ Отменено")&gt;0,1,0))</f>
        <v/>
      </c>
    </row>
    <row r="711">
      <c r="A711" s="52" t="n"/>
      <c r="B711" s="53">
        <f>IF(A711="","",CHOOSE(WEEKDAY(A711,2),"Пн","Вт","Ср","Чт","Пт","Сб","Вс"))</f>
        <v/>
      </c>
      <c r="C711" s="53">
        <f>IF(A711="","",YEAR(A711))</f>
        <v/>
      </c>
      <c r="D711" s="54">
        <f>IF(A711="","",INDEX(lst_months,MONTH(A711)))</f>
        <v/>
      </c>
      <c r="E711" s="55" t="n"/>
      <c r="F711" s="54">
        <f>IF(E711="","",IFERROR(IF(INDEX(lst_exp_item_cat,MATCH(E711,lst_exp_items,0))="","❔ Без категории",INDEX(lst_exp_item_cat,MATCH(E711,lst_exp_items,0))),"❔ Без категории"))</f>
        <v/>
      </c>
      <c r="G711" s="43" t="n"/>
      <c r="H711" s="56" t="n"/>
      <c r="I711" s="43" t="n"/>
      <c r="J711" s="57">
        <f>IF(OR(A711="",H711=""),"",IF(COUNTIFS(exp_year,C711,exp_month,D711,exp_item,E711,exp_status,"&lt;&gt;❌ Отменено")&gt;0,1,0))</f>
        <v/>
      </c>
    </row>
    <row r="712">
      <c r="A712" s="52" t="n"/>
      <c r="B712" s="53">
        <f>IF(A712="","",CHOOSE(WEEKDAY(A712,2),"Пн","Вт","Ср","Чт","Пт","Сб","Вс"))</f>
        <v/>
      </c>
      <c r="C712" s="53">
        <f>IF(A712="","",YEAR(A712))</f>
        <v/>
      </c>
      <c r="D712" s="54">
        <f>IF(A712="","",INDEX(lst_months,MONTH(A712)))</f>
        <v/>
      </c>
      <c r="E712" s="55" t="n"/>
      <c r="F712" s="54">
        <f>IF(E712="","",IFERROR(IF(INDEX(lst_exp_item_cat,MATCH(E712,lst_exp_items,0))="","❔ Без категории",INDEX(lst_exp_item_cat,MATCH(E712,lst_exp_items,0))),"❔ Без категории"))</f>
        <v/>
      </c>
      <c r="G712" s="43" t="n"/>
      <c r="H712" s="56" t="n"/>
      <c r="I712" s="43" t="n"/>
      <c r="J712" s="57">
        <f>IF(OR(A712="",H712=""),"",IF(COUNTIFS(exp_year,C712,exp_month,D712,exp_item,E712,exp_status,"&lt;&gt;❌ Отменено")&gt;0,1,0))</f>
        <v/>
      </c>
    </row>
    <row r="713">
      <c r="A713" s="52" t="n"/>
      <c r="B713" s="53">
        <f>IF(A713="","",CHOOSE(WEEKDAY(A713,2),"Пн","Вт","Ср","Чт","Пт","Сб","Вс"))</f>
        <v/>
      </c>
      <c r="C713" s="53">
        <f>IF(A713="","",YEAR(A713))</f>
        <v/>
      </c>
      <c r="D713" s="54">
        <f>IF(A713="","",INDEX(lst_months,MONTH(A713)))</f>
        <v/>
      </c>
      <c r="E713" s="55" t="n"/>
      <c r="F713" s="54">
        <f>IF(E713="","",IFERROR(IF(INDEX(lst_exp_item_cat,MATCH(E713,lst_exp_items,0))="","❔ Без категории",INDEX(lst_exp_item_cat,MATCH(E713,lst_exp_items,0))),"❔ Без категории"))</f>
        <v/>
      </c>
      <c r="G713" s="43" t="n"/>
      <c r="H713" s="56" t="n"/>
      <c r="I713" s="43" t="n"/>
      <c r="J713" s="57">
        <f>IF(OR(A713="",H713=""),"",IF(COUNTIFS(exp_year,C713,exp_month,D713,exp_item,E713,exp_status,"&lt;&gt;❌ Отменено")&gt;0,1,0))</f>
        <v/>
      </c>
    </row>
    <row r="714">
      <c r="A714" s="52" t="n"/>
      <c r="B714" s="53">
        <f>IF(A714="","",CHOOSE(WEEKDAY(A714,2),"Пн","Вт","Ср","Чт","Пт","Сб","Вс"))</f>
        <v/>
      </c>
      <c r="C714" s="53">
        <f>IF(A714="","",YEAR(A714))</f>
        <v/>
      </c>
      <c r="D714" s="54">
        <f>IF(A714="","",INDEX(lst_months,MONTH(A714)))</f>
        <v/>
      </c>
      <c r="E714" s="55" t="n"/>
      <c r="F714" s="54">
        <f>IF(E714="","",IFERROR(IF(INDEX(lst_exp_item_cat,MATCH(E714,lst_exp_items,0))="","❔ Без категории",INDEX(lst_exp_item_cat,MATCH(E714,lst_exp_items,0))),"❔ Без категории"))</f>
        <v/>
      </c>
      <c r="G714" s="43" t="n"/>
      <c r="H714" s="56" t="n"/>
      <c r="I714" s="43" t="n"/>
      <c r="J714" s="57">
        <f>IF(OR(A714="",H714=""),"",IF(COUNTIFS(exp_year,C714,exp_month,D714,exp_item,E714,exp_status,"&lt;&gt;❌ Отменено")&gt;0,1,0))</f>
        <v/>
      </c>
    </row>
    <row r="715">
      <c r="A715" s="52" t="n"/>
      <c r="B715" s="53">
        <f>IF(A715="","",CHOOSE(WEEKDAY(A715,2),"Пн","Вт","Ср","Чт","Пт","Сб","Вс"))</f>
        <v/>
      </c>
      <c r="C715" s="53">
        <f>IF(A715="","",YEAR(A715))</f>
        <v/>
      </c>
      <c r="D715" s="54">
        <f>IF(A715="","",INDEX(lst_months,MONTH(A715)))</f>
        <v/>
      </c>
      <c r="E715" s="55" t="n"/>
      <c r="F715" s="54">
        <f>IF(E715="","",IFERROR(IF(INDEX(lst_exp_item_cat,MATCH(E715,lst_exp_items,0))="","❔ Без категории",INDEX(lst_exp_item_cat,MATCH(E715,lst_exp_items,0))),"❔ Без категории"))</f>
        <v/>
      </c>
      <c r="G715" s="43" t="n"/>
      <c r="H715" s="56" t="n"/>
      <c r="I715" s="43" t="n"/>
      <c r="J715" s="57">
        <f>IF(OR(A715="",H715=""),"",IF(COUNTIFS(exp_year,C715,exp_month,D715,exp_item,E715,exp_status,"&lt;&gt;❌ Отменено")&gt;0,1,0))</f>
        <v/>
      </c>
    </row>
    <row r="716">
      <c r="A716" s="52" t="n"/>
      <c r="B716" s="53">
        <f>IF(A716="","",CHOOSE(WEEKDAY(A716,2),"Пн","Вт","Ср","Чт","Пт","Сб","Вс"))</f>
        <v/>
      </c>
      <c r="C716" s="53">
        <f>IF(A716="","",YEAR(A716))</f>
        <v/>
      </c>
      <c r="D716" s="54">
        <f>IF(A716="","",INDEX(lst_months,MONTH(A716)))</f>
        <v/>
      </c>
      <c r="E716" s="55" t="n"/>
      <c r="F716" s="54">
        <f>IF(E716="","",IFERROR(IF(INDEX(lst_exp_item_cat,MATCH(E716,lst_exp_items,0))="","❔ Без категории",INDEX(lst_exp_item_cat,MATCH(E716,lst_exp_items,0))),"❔ Без категории"))</f>
        <v/>
      </c>
      <c r="G716" s="43" t="n"/>
      <c r="H716" s="56" t="n"/>
      <c r="I716" s="43" t="n"/>
      <c r="J716" s="57">
        <f>IF(OR(A716="",H716=""),"",IF(COUNTIFS(exp_year,C716,exp_month,D716,exp_item,E716,exp_status,"&lt;&gt;❌ Отменено")&gt;0,1,0))</f>
        <v/>
      </c>
    </row>
    <row r="717">
      <c r="A717" s="52" t="n"/>
      <c r="B717" s="53">
        <f>IF(A717="","",CHOOSE(WEEKDAY(A717,2),"Пн","Вт","Ср","Чт","Пт","Сб","Вс"))</f>
        <v/>
      </c>
      <c r="C717" s="53">
        <f>IF(A717="","",YEAR(A717))</f>
        <v/>
      </c>
      <c r="D717" s="54">
        <f>IF(A717="","",INDEX(lst_months,MONTH(A717)))</f>
        <v/>
      </c>
      <c r="E717" s="55" t="n"/>
      <c r="F717" s="54">
        <f>IF(E717="","",IFERROR(IF(INDEX(lst_exp_item_cat,MATCH(E717,lst_exp_items,0))="","❔ Без категории",INDEX(lst_exp_item_cat,MATCH(E717,lst_exp_items,0))),"❔ Без категории"))</f>
        <v/>
      </c>
      <c r="G717" s="43" t="n"/>
      <c r="H717" s="56" t="n"/>
      <c r="I717" s="43" t="n"/>
      <c r="J717" s="57">
        <f>IF(OR(A717="",H717=""),"",IF(COUNTIFS(exp_year,C717,exp_month,D717,exp_item,E717,exp_status,"&lt;&gt;❌ Отменено")&gt;0,1,0))</f>
        <v/>
      </c>
    </row>
    <row r="718">
      <c r="A718" s="52" t="n"/>
      <c r="B718" s="53">
        <f>IF(A718="","",CHOOSE(WEEKDAY(A718,2),"Пн","Вт","Ср","Чт","Пт","Сб","Вс"))</f>
        <v/>
      </c>
      <c r="C718" s="53">
        <f>IF(A718="","",YEAR(A718))</f>
        <v/>
      </c>
      <c r="D718" s="54">
        <f>IF(A718="","",INDEX(lst_months,MONTH(A718)))</f>
        <v/>
      </c>
      <c r="E718" s="55" t="n"/>
      <c r="F718" s="54">
        <f>IF(E718="","",IFERROR(IF(INDEX(lst_exp_item_cat,MATCH(E718,lst_exp_items,0))="","❔ Без категории",INDEX(lst_exp_item_cat,MATCH(E718,lst_exp_items,0))),"❔ Без категории"))</f>
        <v/>
      </c>
      <c r="G718" s="43" t="n"/>
      <c r="H718" s="56" t="n"/>
      <c r="I718" s="43" t="n"/>
      <c r="J718" s="57">
        <f>IF(OR(A718="",H718=""),"",IF(COUNTIFS(exp_year,C718,exp_month,D718,exp_item,E718,exp_status,"&lt;&gt;❌ Отменено")&gt;0,1,0))</f>
        <v/>
      </c>
    </row>
    <row r="719">
      <c r="A719" s="52" t="n"/>
      <c r="B719" s="53">
        <f>IF(A719="","",CHOOSE(WEEKDAY(A719,2),"Пн","Вт","Ср","Чт","Пт","Сб","Вс"))</f>
        <v/>
      </c>
      <c r="C719" s="53">
        <f>IF(A719="","",YEAR(A719))</f>
        <v/>
      </c>
      <c r="D719" s="54">
        <f>IF(A719="","",INDEX(lst_months,MONTH(A719)))</f>
        <v/>
      </c>
      <c r="E719" s="55" t="n"/>
      <c r="F719" s="54">
        <f>IF(E719="","",IFERROR(IF(INDEX(lst_exp_item_cat,MATCH(E719,lst_exp_items,0))="","❔ Без категории",INDEX(lst_exp_item_cat,MATCH(E719,lst_exp_items,0))),"❔ Без категории"))</f>
        <v/>
      </c>
      <c r="G719" s="43" t="n"/>
      <c r="H719" s="56" t="n"/>
      <c r="I719" s="43" t="n"/>
      <c r="J719" s="57">
        <f>IF(OR(A719="",H719=""),"",IF(COUNTIFS(exp_year,C719,exp_month,D719,exp_item,E719,exp_status,"&lt;&gt;❌ Отменено")&gt;0,1,0))</f>
        <v/>
      </c>
    </row>
    <row r="720">
      <c r="A720" s="52" t="n"/>
      <c r="B720" s="53">
        <f>IF(A720="","",CHOOSE(WEEKDAY(A720,2),"Пн","Вт","Ср","Чт","Пт","Сб","Вс"))</f>
        <v/>
      </c>
      <c r="C720" s="53">
        <f>IF(A720="","",YEAR(A720))</f>
        <v/>
      </c>
      <c r="D720" s="54">
        <f>IF(A720="","",INDEX(lst_months,MONTH(A720)))</f>
        <v/>
      </c>
      <c r="E720" s="55" t="n"/>
      <c r="F720" s="54">
        <f>IF(E720="","",IFERROR(IF(INDEX(lst_exp_item_cat,MATCH(E720,lst_exp_items,0))="","❔ Без категории",INDEX(lst_exp_item_cat,MATCH(E720,lst_exp_items,0))),"❔ Без категории"))</f>
        <v/>
      </c>
      <c r="G720" s="43" t="n"/>
      <c r="H720" s="56" t="n"/>
      <c r="I720" s="43" t="n"/>
      <c r="J720" s="57">
        <f>IF(OR(A720="",H720=""),"",IF(COUNTIFS(exp_year,C720,exp_month,D720,exp_item,E720,exp_status,"&lt;&gt;❌ Отменено")&gt;0,1,0))</f>
        <v/>
      </c>
    </row>
    <row r="721">
      <c r="A721" s="52" t="n"/>
      <c r="B721" s="53">
        <f>IF(A721="","",CHOOSE(WEEKDAY(A721,2),"Пн","Вт","Ср","Чт","Пт","Сб","Вс"))</f>
        <v/>
      </c>
      <c r="C721" s="53">
        <f>IF(A721="","",YEAR(A721))</f>
        <v/>
      </c>
      <c r="D721" s="54">
        <f>IF(A721="","",INDEX(lst_months,MONTH(A721)))</f>
        <v/>
      </c>
      <c r="E721" s="55" t="n"/>
      <c r="F721" s="54">
        <f>IF(E721="","",IFERROR(IF(INDEX(lst_exp_item_cat,MATCH(E721,lst_exp_items,0))="","❔ Без категории",INDEX(lst_exp_item_cat,MATCH(E721,lst_exp_items,0))),"❔ Без категории"))</f>
        <v/>
      </c>
      <c r="G721" s="43" t="n"/>
      <c r="H721" s="56" t="n"/>
      <c r="I721" s="43" t="n"/>
      <c r="J721" s="57">
        <f>IF(OR(A721="",H721=""),"",IF(COUNTIFS(exp_year,C721,exp_month,D721,exp_item,E721,exp_status,"&lt;&gt;❌ Отменено")&gt;0,1,0))</f>
        <v/>
      </c>
    </row>
    <row r="722">
      <c r="A722" s="52" t="n"/>
      <c r="B722" s="53">
        <f>IF(A722="","",CHOOSE(WEEKDAY(A722,2),"Пн","Вт","Ср","Чт","Пт","Сб","Вс"))</f>
        <v/>
      </c>
      <c r="C722" s="53">
        <f>IF(A722="","",YEAR(A722))</f>
        <v/>
      </c>
      <c r="D722" s="54">
        <f>IF(A722="","",INDEX(lst_months,MONTH(A722)))</f>
        <v/>
      </c>
      <c r="E722" s="55" t="n"/>
      <c r="F722" s="54">
        <f>IF(E722="","",IFERROR(IF(INDEX(lst_exp_item_cat,MATCH(E722,lst_exp_items,0))="","❔ Без категории",INDEX(lst_exp_item_cat,MATCH(E722,lst_exp_items,0))),"❔ Без категории"))</f>
        <v/>
      </c>
      <c r="G722" s="43" t="n"/>
      <c r="H722" s="56" t="n"/>
      <c r="I722" s="43" t="n"/>
      <c r="J722" s="57">
        <f>IF(OR(A722="",H722=""),"",IF(COUNTIFS(exp_year,C722,exp_month,D722,exp_item,E722,exp_status,"&lt;&gt;❌ Отменено")&gt;0,1,0))</f>
        <v/>
      </c>
    </row>
    <row r="723">
      <c r="A723" s="52" t="n"/>
      <c r="B723" s="53">
        <f>IF(A723="","",CHOOSE(WEEKDAY(A723,2),"Пн","Вт","Ср","Чт","Пт","Сб","Вс"))</f>
        <v/>
      </c>
      <c r="C723" s="53">
        <f>IF(A723="","",YEAR(A723))</f>
        <v/>
      </c>
      <c r="D723" s="54">
        <f>IF(A723="","",INDEX(lst_months,MONTH(A723)))</f>
        <v/>
      </c>
      <c r="E723" s="55" t="n"/>
      <c r="F723" s="54">
        <f>IF(E723="","",IFERROR(IF(INDEX(lst_exp_item_cat,MATCH(E723,lst_exp_items,0))="","❔ Без категории",INDEX(lst_exp_item_cat,MATCH(E723,lst_exp_items,0))),"❔ Без категории"))</f>
        <v/>
      </c>
      <c r="G723" s="43" t="n"/>
      <c r="H723" s="56" t="n"/>
      <c r="I723" s="43" t="n"/>
      <c r="J723" s="57">
        <f>IF(OR(A723="",H723=""),"",IF(COUNTIFS(exp_year,C723,exp_month,D723,exp_item,E723,exp_status,"&lt;&gt;❌ Отменено")&gt;0,1,0))</f>
        <v/>
      </c>
    </row>
    <row r="724">
      <c r="A724" s="52" t="n"/>
      <c r="B724" s="53">
        <f>IF(A724="","",CHOOSE(WEEKDAY(A724,2),"Пн","Вт","Ср","Чт","Пт","Сб","Вс"))</f>
        <v/>
      </c>
      <c r="C724" s="53">
        <f>IF(A724="","",YEAR(A724))</f>
        <v/>
      </c>
      <c r="D724" s="54">
        <f>IF(A724="","",INDEX(lst_months,MONTH(A724)))</f>
        <v/>
      </c>
      <c r="E724" s="55" t="n"/>
      <c r="F724" s="54">
        <f>IF(E724="","",IFERROR(IF(INDEX(lst_exp_item_cat,MATCH(E724,lst_exp_items,0))="","❔ Без категории",INDEX(lst_exp_item_cat,MATCH(E724,lst_exp_items,0))),"❔ Без категории"))</f>
        <v/>
      </c>
      <c r="G724" s="43" t="n"/>
      <c r="H724" s="56" t="n"/>
      <c r="I724" s="43" t="n"/>
      <c r="J724" s="57">
        <f>IF(OR(A724="",H724=""),"",IF(COUNTIFS(exp_year,C724,exp_month,D724,exp_item,E724,exp_status,"&lt;&gt;❌ Отменено")&gt;0,1,0))</f>
        <v/>
      </c>
    </row>
    <row r="725">
      <c r="A725" s="52" t="n"/>
      <c r="B725" s="53">
        <f>IF(A725="","",CHOOSE(WEEKDAY(A725,2),"Пн","Вт","Ср","Чт","Пт","Сб","Вс"))</f>
        <v/>
      </c>
      <c r="C725" s="53">
        <f>IF(A725="","",YEAR(A725))</f>
        <v/>
      </c>
      <c r="D725" s="54">
        <f>IF(A725="","",INDEX(lst_months,MONTH(A725)))</f>
        <v/>
      </c>
      <c r="E725" s="55" t="n"/>
      <c r="F725" s="54">
        <f>IF(E725="","",IFERROR(IF(INDEX(lst_exp_item_cat,MATCH(E725,lst_exp_items,0))="","❔ Без категории",INDEX(lst_exp_item_cat,MATCH(E725,lst_exp_items,0))),"❔ Без категории"))</f>
        <v/>
      </c>
      <c r="G725" s="43" t="n"/>
      <c r="H725" s="56" t="n"/>
      <c r="I725" s="43" t="n"/>
      <c r="J725" s="57">
        <f>IF(OR(A725="",H725=""),"",IF(COUNTIFS(exp_year,C725,exp_month,D725,exp_item,E725,exp_status,"&lt;&gt;❌ Отменено")&gt;0,1,0))</f>
        <v/>
      </c>
    </row>
    <row r="726">
      <c r="A726" s="52" t="n"/>
      <c r="B726" s="53">
        <f>IF(A726="","",CHOOSE(WEEKDAY(A726,2),"Пн","Вт","Ср","Чт","Пт","Сб","Вс"))</f>
        <v/>
      </c>
      <c r="C726" s="53">
        <f>IF(A726="","",YEAR(A726))</f>
        <v/>
      </c>
      <c r="D726" s="54">
        <f>IF(A726="","",INDEX(lst_months,MONTH(A726)))</f>
        <v/>
      </c>
      <c r="E726" s="55" t="n"/>
      <c r="F726" s="54">
        <f>IF(E726="","",IFERROR(IF(INDEX(lst_exp_item_cat,MATCH(E726,lst_exp_items,0))="","❔ Без категории",INDEX(lst_exp_item_cat,MATCH(E726,lst_exp_items,0))),"❔ Без категории"))</f>
        <v/>
      </c>
      <c r="G726" s="43" t="n"/>
      <c r="H726" s="56" t="n"/>
      <c r="I726" s="43" t="n"/>
      <c r="J726" s="57">
        <f>IF(OR(A726="",H726=""),"",IF(COUNTIFS(exp_year,C726,exp_month,D726,exp_item,E726,exp_status,"&lt;&gt;❌ Отменено")&gt;0,1,0))</f>
        <v/>
      </c>
    </row>
    <row r="727">
      <c r="A727" s="52" t="n"/>
      <c r="B727" s="53">
        <f>IF(A727="","",CHOOSE(WEEKDAY(A727,2),"Пн","Вт","Ср","Чт","Пт","Сб","Вс"))</f>
        <v/>
      </c>
      <c r="C727" s="53">
        <f>IF(A727="","",YEAR(A727))</f>
        <v/>
      </c>
      <c r="D727" s="54">
        <f>IF(A727="","",INDEX(lst_months,MONTH(A727)))</f>
        <v/>
      </c>
      <c r="E727" s="55" t="n"/>
      <c r="F727" s="54">
        <f>IF(E727="","",IFERROR(IF(INDEX(lst_exp_item_cat,MATCH(E727,lst_exp_items,0))="","❔ Без категории",INDEX(lst_exp_item_cat,MATCH(E727,lst_exp_items,0))),"❔ Без категории"))</f>
        <v/>
      </c>
      <c r="G727" s="43" t="n"/>
      <c r="H727" s="56" t="n"/>
      <c r="I727" s="43" t="n"/>
      <c r="J727" s="57">
        <f>IF(OR(A727="",H727=""),"",IF(COUNTIFS(exp_year,C727,exp_month,D727,exp_item,E727,exp_status,"&lt;&gt;❌ Отменено")&gt;0,1,0))</f>
        <v/>
      </c>
    </row>
    <row r="728">
      <c r="A728" s="52" t="n"/>
      <c r="B728" s="53">
        <f>IF(A728="","",CHOOSE(WEEKDAY(A728,2),"Пн","Вт","Ср","Чт","Пт","Сб","Вс"))</f>
        <v/>
      </c>
      <c r="C728" s="53">
        <f>IF(A728="","",YEAR(A728))</f>
        <v/>
      </c>
      <c r="D728" s="54">
        <f>IF(A728="","",INDEX(lst_months,MONTH(A728)))</f>
        <v/>
      </c>
      <c r="E728" s="55" t="n"/>
      <c r="F728" s="54">
        <f>IF(E728="","",IFERROR(IF(INDEX(lst_exp_item_cat,MATCH(E728,lst_exp_items,0))="","❔ Без категории",INDEX(lst_exp_item_cat,MATCH(E728,lst_exp_items,0))),"❔ Без категории"))</f>
        <v/>
      </c>
      <c r="G728" s="43" t="n"/>
      <c r="H728" s="56" t="n"/>
      <c r="I728" s="43" t="n"/>
      <c r="J728" s="57">
        <f>IF(OR(A728="",H728=""),"",IF(COUNTIFS(exp_year,C728,exp_month,D728,exp_item,E728,exp_status,"&lt;&gt;❌ Отменено")&gt;0,1,0))</f>
        <v/>
      </c>
    </row>
    <row r="729">
      <c r="A729" s="52" t="n"/>
      <c r="B729" s="53">
        <f>IF(A729="","",CHOOSE(WEEKDAY(A729,2),"Пн","Вт","Ср","Чт","Пт","Сб","Вс"))</f>
        <v/>
      </c>
      <c r="C729" s="53">
        <f>IF(A729="","",YEAR(A729))</f>
        <v/>
      </c>
      <c r="D729" s="54">
        <f>IF(A729="","",INDEX(lst_months,MONTH(A729)))</f>
        <v/>
      </c>
      <c r="E729" s="55" t="n"/>
      <c r="F729" s="54">
        <f>IF(E729="","",IFERROR(IF(INDEX(lst_exp_item_cat,MATCH(E729,lst_exp_items,0))="","❔ Без категории",INDEX(lst_exp_item_cat,MATCH(E729,lst_exp_items,0))),"❔ Без категории"))</f>
        <v/>
      </c>
      <c r="G729" s="43" t="n"/>
      <c r="H729" s="56" t="n"/>
      <c r="I729" s="43" t="n"/>
      <c r="J729" s="57">
        <f>IF(OR(A729="",H729=""),"",IF(COUNTIFS(exp_year,C729,exp_month,D729,exp_item,E729,exp_status,"&lt;&gt;❌ Отменено")&gt;0,1,0))</f>
        <v/>
      </c>
    </row>
    <row r="730">
      <c r="A730" s="52" t="n"/>
      <c r="B730" s="53">
        <f>IF(A730="","",CHOOSE(WEEKDAY(A730,2),"Пн","Вт","Ср","Чт","Пт","Сб","Вс"))</f>
        <v/>
      </c>
      <c r="C730" s="53">
        <f>IF(A730="","",YEAR(A730))</f>
        <v/>
      </c>
      <c r="D730" s="54">
        <f>IF(A730="","",INDEX(lst_months,MONTH(A730)))</f>
        <v/>
      </c>
      <c r="E730" s="55" t="n"/>
      <c r="F730" s="54">
        <f>IF(E730="","",IFERROR(IF(INDEX(lst_exp_item_cat,MATCH(E730,lst_exp_items,0))="","❔ Без категории",INDEX(lst_exp_item_cat,MATCH(E730,lst_exp_items,0))),"❔ Без категории"))</f>
        <v/>
      </c>
      <c r="G730" s="43" t="n"/>
      <c r="H730" s="56" t="n"/>
      <c r="I730" s="43" t="n"/>
      <c r="J730" s="57">
        <f>IF(OR(A730="",H730=""),"",IF(COUNTIFS(exp_year,C730,exp_month,D730,exp_item,E730,exp_status,"&lt;&gt;❌ Отменено")&gt;0,1,0))</f>
        <v/>
      </c>
    </row>
    <row r="731">
      <c r="A731" s="52" t="n"/>
      <c r="B731" s="53">
        <f>IF(A731="","",CHOOSE(WEEKDAY(A731,2),"Пн","Вт","Ср","Чт","Пт","Сб","Вс"))</f>
        <v/>
      </c>
      <c r="C731" s="53">
        <f>IF(A731="","",YEAR(A731))</f>
        <v/>
      </c>
      <c r="D731" s="54">
        <f>IF(A731="","",INDEX(lst_months,MONTH(A731)))</f>
        <v/>
      </c>
      <c r="E731" s="55" t="n"/>
      <c r="F731" s="54">
        <f>IF(E731="","",IFERROR(IF(INDEX(lst_exp_item_cat,MATCH(E731,lst_exp_items,0))="","❔ Без категории",INDEX(lst_exp_item_cat,MATCH(E731,lst_exp_items,0))),"❔ Без категории"))</f>
        <v/>
      </c>
      <c r="G731" s="43" t="n"/>
      <c r="H731" s="56" t="n"/>
      <c r="I731" s="43" t="n"/>
      <c r="J731" s="57">
        <f>IF(OR(A731="",H731=""),"",IF(COUNTIFS(exp_year,C731,exp_month,D731,exp_item,E731,exp_status,"&lt;&gt;❌ Отменено")&gt;0,1,0))</f>
        <v/>
      </c>
    </row>
    <row r="732">
      <c r="A732" s="52" t="n"/>
      <c r="B732" s="53">
        <f>IF(A732="","",CHOOSE(WEEKDAY(A732,2),"Пн","Вт","Ср","Чт","Пт","Сб","Вс"))</f>
        <v/>
      </c>
      <c r="C732" s="53">
        <f>IF(A732="","",YEAR(A732))</f>
        <v/>
      </c>
      <c r="D732" s="54">
        <f>IF(A732="","",INDEX(lst_months,MONTH(A732)))</f>
        <v/>
      </c>
      <c r="E732" s="55" t="n"/>
      <c r="F732" s="54">
        <f>IF(E732="","",IFERROR(IF(INDEX(lst_exp_item_cat,MATCH(E732,lst_exp_items,0))="","❔ Без категории",INDEX(lst_exp_item_cat,MATCH(E732,lst_exp_items,0))),"❔ Без категории"))</f>
        <v/>
      </c>
      <c r="G732" s="43" t="n"/>
      <c r="H732" s="56" t="n"/>
      <c r="I732" s="43" t="n"/>
      <c r="J732" s="57">
        <f>IF(OR(A732="",H732=""),"",IF(COUNTIFS(exp_year,C732,exp_month,D732,exp_item,E732,exp_status,"&lt;&gt;❌ Отменено")&gt;0,1,0))</f>
        <v/>
      </c>
    </row>
    <row r="733">
      <c r="A733" s="52" t="n"/>
      <c r="B733" s="53">
        <f>IF(A733="","",CHOOSE(WEEKDAY(A733,2),"Пн","Вт","Ср","Чт","Пт","Сб","Вс"))</f>
        <v/>
      </c>
      <c r="C733" s="53">
        <f>IF(A733="","",YEAR(A733))</f>
        <v/>
      </c>
      <c r="D733" s="54">
        <f>IF(A733="","",INDEX(lst_months,MONTH(A733)))</f>
        <v/>
      </c>
      <c r="E733" s="55" t="n"/>
      <c r="F733" s="54">
        <f>IF(E733="","",IFERROR(IF(INDEX(lst_exp_item_cat,MATCH(E733,lst_exp_items,0))="","❔ Без категории",INDEX(lst_exp_item_cat,MATCH(E733,lst_exp_items,0))),"❔ Без категории"))</f>
        <v/>
      </c>
      <c r="G733" s="43" t="n"/>
      <c r="H733" s="56" t="n"/>
      <c r="I733" s="43" t="n"/>
      <c r="J733" s="57">
        <f>IF(OR(A733="",H733=""),"",IF(COUNTIFS(exp_year,C733,exp_month,D733,exp_item,E733,exp_status,"&lt;&gt;❌ Отменено")&gt;0,1,0))</f>
        <v/>
      </c>
    </row>
    <row r="734">
      <c r="A734" s="52" t="n"/>
      <c r="B734" s="53">
        <f>IF(A734="","",CHOOSE(WEEKDAY(A734,2),"Пн","Вт","Ср","Чт","Пт","Сб","Вс"))</f>
        <v/>
      </c>
      <c r="C734" s="53">
        <f>IF(A734="","",YEAR(A734))</f>
        <v/>
      </c>
      <c r="D734" s="54">
        <f>IF(A734="","",INDEX(lst_months,MONTH(A734)))</f>
        <v/>
      </c>
      <c r="E734" s="55" t="n"/>
      <c r="F734" s="54">
        <f>IF(E734="","",IFERROR(IF(INDEX(lst_exp_item_cat,MATCH(E734,lst_exp_items,0))="","❔ Без категории",INDEX(lst_exp_item_cat,MATCH(E734,lst_exp_items,0))),"❔ Без категории"))</f>
        <v/>
      </c>
      <c r="G734" s="43" t="n"/>
      <c r="H734" s="56" t="n"/>
      <c r="I734" s="43" t="n"/>
      <c r="J734" s="57">
        <f>IF(OR(A734="",H734=""),"",IF(COUNTIFS(exp_year,C734,exp_month,D734,exp_item,E734,exp_status,"&lt;&gt;❌ Отменено")&gt;0,1,0))</f>
        <v/>
      </c>
    </row>
    <row r="735">
      <c r="A735" s="52" t="n"/>
      <c r="B735" s="53">
        <f>IF(A735="","",CHOOSE(WEEKDAY(A735,2),"Пн","Вт","Ср","Чт","Пт","Сб","Вс"))</f>
        <v/>
      </c>
      <c r="C735" s="53">
        <f>IF(A735="","",YEAR(A735))</f>
        <v/>
      </c>
      <c r="D735" s="54">
        <f>IF(A735="","",INDEX(lst_months,MONTH(A735)))</f>
        <v/>
      </c>
      <c r="E735" s="55" t="n"/>
      <c r="F735" s="54">
        <f>IF(E735="","",IFERROR(IF(INDEX(lst_exp_item_cat,MATCH(E735,lst_exp_items,0))="","❔ Без категории",INDEX(lst_exp_item_cat,MATCH(E735,lst_exp_items,0))),"❔ Без категории"))</f>
        <v/>
      </c>
      <c r="G735" s="43" t="n"/>
      <c r="H735" s="56" t="n"/>
      <c r="I735" s="43" t="n"/>
      <c r="J735" s="57">
        <f>IF(OR(A735="",H735=""),"",IF(COUNTIFS(exp_year,C735,exp_month,D735,exp_item,E735,exp_status,"&lt;&gt;❌ Отменено")&gt;0,1,0))</f>
        <v/>
      </c>
    </row>
    <row r="736">
      <c r="A736" s="52" t="n"/>
      <c r="B736" s="53">
        <f>IF(A736="","",CHOOSE(WEEKDAY(A736,2),"Пн","Вт","Ср","Чт","Пт","Сб","Вс"))</f>
        <v/>
      </c>
      <c r="C736" s="53">
        <f>IF(A736="","",YEAR(A736))</f>
        <v/>
      </c>
      <c r="D736" s="54">
        <f>IF(A736="","",INDEX(lst_months,MONTH(A736)))</f>
        <v/>
      </c>
      <c r="E736" s="55" t="n"/>
      <c r="F736" s="54">
        <f>IF(E736="","",IFERROR(IF(INDEX(lst_exp_item_cat,MATCH(E736,lst_exp_items,0))="","❔ Без категории",INDEX(lst_exp_item_cat,MATCH(E736,lst_exp_items,0))),"❔ Без категории"))</f>
        <v/>
      </c>
      <c r="G736" s="43" t="n"/>
      <c r="H736" s="56" t="n"/>
      <c r="I736" s="43" t="n"/>
      <c r="J736" s="57">
        <f>IF(OR(A736="",H736=""),"",IF(COUNTIFS(exp_year,C736,exp_month,D736,exp_item,E736,exp_status,"&lt;&gt;❌ Отменено")&gt;0,1,0))</f>
        <v/>
      </c>
    </row>
    <row r="737">
      <c r="A737" s="52" t="n"/>
      <c r="B737" s="53">
        <f>IF(A737="","",CHOOSE(WEEKDAY(A737,2),"Пн","Вт","Ср","Чт","Пт","Сб","Вс"))</f>
        <v/>
      </c>
      <c r="C737" s="53">
        <f>IF(A737="","",YEAR(A737))</f>
        <v/>
      </c>
      <c r="D737" s="54">
        <f>IF(A737="","",INDEX(lst_months,MONTH(A737)))</f>
        <v/>
      </c>
      <c r="E737" s="55" t="n"/>
      <c r="F737" s="54">
        <f>IF(E737="","",IFERROR(IF(INDEX(lst_exp_item_cat,MATCH(E737,lst_exp_items,0))="","❔ Без категории",INDEX(lst_exp_item_cat,MATCH(E737,lst_exp_items,0))),"❔ Без категории"))</f>
        <v/>
      </c>
      <c r="G737" s="43" t="n"/>
      <c r="H737" s="56" t="n"/>
      <c r="I737" s="43" t="n"/>
      <c r="J737" s="57">
        <f>IF(OR(A737="",H737=""),"",IF(COUNTIFS(exp_year,C737,exp_month,D737,exp_item,E737,exp_status,"&lt;&gt;❌ Отменено")&gt;0,1,0))</f>
        <v/>
      </c>
    </row>
    <row r="738">
      <c r="A738" s="52" t="n"/>
      <c r="B738" s="53">
        <f>IF(A738="","",CHOOSE(WEEKDAY(A738,2),"Пн","Вт","Ср","Чт","Пт","Сб","Вс"))</f>
        <v/>
      </c>
      <c r="C738" s="53">
        <f>IF(A738="","",YEAR(A738))</f>
        <v/>
      </c>
      <c r="D738" s="54">
        <f>IF(A738="","",INDEX(lst_months,MONTH(A738)))</f>
        <v/>
      </c>
      <c r="E738" s="55" t="n"/>
      <c r="F738" s="54">
        <f>IF(E738="","",IFERROR(IF(INDEX(lst_exp_item_cat,MATCH(E738,lst_exp_items,0))="","❔ Без категории",INDEX(lst_exp_item_cat,MATCH(E738,lst_exp_items,0))),"❔ Без категории"))</f>
        <v/>
      </c>
      <c r="G738" s="43" t="n"/>
      <c r="H738" s="56" t="n"/>
      <c r="I738" s="43" t="n"/>
      <c r="J738" s="57">
        <f>IF(OR(A738="",H738=""),"",IF(COUNTIFS(exp_year,C738,exp_month,D738,exp_item,E738,exp_status,"&lt;&gt;❌ Отменено")&gt;0,1,0))</f>
        <v/>
      </c>
    </row>
    <row r="739">
      <c r="A739" s="52" t="n"/>
      <c r="B739" s="53">
        <f>IF(A739="","",CHOOSE(WEEKDAY(A739,2),"Пн","Вт","Ср","Чт","Пт","Сб","Вс"))</f>
        <v/>
      </c>
      <c r="C739" s="53">
        <f>IF(A739="","",YEAR(A739))</f>
        <v/>
      </c>
      <c r="D739" s="54">
        <f>IF(A739="","",INDEX(lst_months,MONTH(A739)))</f>
        <v/>
      </c>
      <c r="E739" s="55" t="n"/>
      <c r="F739" s="54">
        <f>IF(E739="","",IFERROR(IF(INDEX(lst_exp_item_cat,MATCH(E739,lst_exp_items,0))="","❔ Без категории",INDEX(lst_exp_item_cat,MATCH(E739,lst_exp_items,0))),"❔ Без категории"))</f>
        <v/>
      </c>
      <c r="G739" s="43" t="n"/>
      <c r="H739" s="56" t="n"/>
      <c r="I739" s="43" t="n"/>
      <c r="J739" s="57">
        <f>IF(OR(A739="",H739=""),"",IF(COUNTIFS(exp_year,C739,exp_month,D739,exp_item,E739,exp_status,"&lt;&gt;❌ Отменено")&gt;0,1,0))</f>
        <v/>
      </c>
    </row>
    <row r="740">
      <c r="A740" s="52" t="n"/>
      <c r="B740" s="53">
        <f>IF(A740="","",CHOOSE(WEEKDAY(A740,2),"Пн","Вт","Ср","Чт","Пт","Сб","Вс"))</f>
        <v/>
      </c>
      <c r="C740" s="53">
        <f>IF(A740="","",YEAR(A740))</f>
        <v/>
      </c>
      <c r="D740" s="54">
        <f>IF(A740="","",INDEX(lst_months,MONTH(A740)))</f>
        <v/>
      </c>
      <c r="E740" s="55" t="n"/>
      <c r="F740" s="54">
        <f>IF(E740="","",IFERROR(IF(INDEX(lst_exp_item_cat,MATCH(E740,lst_exp_items,0))="","❔ Без категории",INDEX(lst_exp_item_cat,MATCH(E740,lst_exp_items,0))),"❔ Без категории"))</f>
        <v/>
      </c>
      <c r="G740" s="43" t="n"/>
      <c r="H740" s="56" t="n"/>
      <c r="I740" s="43" t="n"/>
      <c r="J740" s="57">
        <f>IF(OR(A740="",H740=""),"",IF(COUNTIFS(exp_year,C740,exp_month,D740,exp_item,E740,exp_status,"&lt;&gt;❌ Отменено")&gt;0,1,0))</f>
        <v/>
      </c>
    </row>
    <row r="741">
      <c r="A741" s="52" t="n"/>
      <c r="B741" s="53">
        <f>IF(A741="","",CHOOSE(WEEKDAY(A741,2),"Пн","Вт","Ср","Чт","Пт","Сб","Вс"))</f>
        <v/>
      </c>
      <c r="C741" s="53">
        <f>IF(A741="","",YEAR(A741))</f>
        <v/>
      </c>
      <c r="D741" s="54">
        <f>IF(A741="","",INDEX(lst_months,MONTH(A741)))</f>
        <v/>
      </c>
      <c r="E741" s="55" t="n"/>
      <c r="F741" s="54">
        <f>IF(E741="","",IFERROR(IF(INDEX(lst_exp_item_cat,MATCH(E741,lst_exp_items,0))="","❔ Без категории",INDEX(lst_exp_item_cat,MATCH(E741,lst_exp_items,0))),"❔ Без категории"))</f>
        <v/>
      </c>
      <c r="G741" s="43" t="n"/>
      <c r="H741" s="56" t="n"/>
      <c r="I741" s="43" t="n"/>
      <c r="J741" s="57">
        <f>IF(OR(A741="",H741=""),"",IF(COUNTIFS(exp_year,C741,exp_month,D741,exp_item,E741,exp_status,"&lt;&gt;❌ Отменено")&gt;0,1,0))</f>
        <v/>
      </c>
    </row>
    <row r="742">
      <c r="A742" s="52" t="n"/>
      <c r="B742" s="53">
        <f>IF(A742="","",CHOOSE(WEEKDAY(A742,2),"Пн","Вт","Ср","Чт","Пт","Сб","Вс"))</f>
        <v/>
      </c>
      <c r="C742" s="53">
        <f>IF(A742="","",YEAR(A742))</f>
        <v/>
      </c>
      <c r="D742" s="54">
        <f>IF(A742="","",INDEX(lst_months,MONTH(A742)))</f>
        <v/>
      </c>
      <c r="E742" s="55" t="n"/>
      <c r="F742" s="54">
        <f>IF(E742="","",IFERROR(IF(INDEX(lst_exp_item_cat,MATCH(E742,lst_exp_items,0))="","❔ Без категории",INDEX(lst_exp_item_cat,MATCH(E742,lst_exp_items,0))),"❔ Без категории"))</f>
        <v/>
      </c>
      <c r="G742" s="43" t="n"/>
      <c r="H742" s="56" t="n"/>
      <c r="I742" s="43" t="n"/>
      <c r="J742" s="57">
        <f>IF(OR(A742="",H742=""),"",IF(COUNTIFS(exp_year,C742,exp_month,D742,exp_item,E742,exp_status,"&lt;&gt;❌ Отменено")&gt;0,1,0))</f>
        <v/>
      </c>
    </row>
    <row r="743">
      <c r="A743" s="52" t="n"/>
      <c r="B743" s="53">
        <f>IF(A743="","",CHOOSE(WEEKDAY(A743,2),"Пн","Вт","Ср","Чт","Пт","Сб","Вс"))</f>
        <v/>
      </c>
      <c r="C743" s="53">
        <f>IF(A743="","",YEAR(A743))</f>
        <v/>
      </c>
      <c r="D743" s="54">
        <f>IF(A743="","",INDEX(lst_months,MONTH(A743)))</f>
        <v/>
      </c>
      <c r="E743" s="55" t="n"/>
      <c r="F743" s="54">
        <f>IF(E743="","",IFERROR(IF(INDEX(lst_exp_item_cat,MATCH(E743,lst_exp_items,0))="","❔ Без категории",INDEX(lst_exp_item_cat,MATCH(E743,lst_exp_items,0))),"❔ Без категории"))</f>
        <v/>
      </c>
      <c r="G743" s="43" t="n"/>
      <c r="H743" s="56" t="n"/>
      <c r="I743" s="43" t="n"/>
      <c r="J743" s="57">
        <f>IF(OR(A743="",H743=""),"",IF(COUNTIFS(exp_year,C743,exp_month,D743,exp_item,E743,exp_status,"&lt;&gt;❌ Отменено")&gt;0,1,0))</f>
        <v/>
      </c>
    </row>
    <row r="744">
      <c r="A744" s="52" t="n"/>
      <c r="B744" s="53">
        <f>IF(A744="","",CHOOSE(WEEKDAY(A744,2),"Пн","Вт","Ср","Чт","Пт","Сб","Вс"))</f>
        <v/>
      </c>
      <c r="C744" s="53">
        <f>IF(A744="","",YEAR(A744))</f>
        <v/>
      </c>
      <c r="D744" s="54">
        <f>IF(A744="","",INDEX(lst_months,MONTH(A744)))</f>
        <v/>
      </c>
      <c r="E744" s="55" t="n"/>
      <c r="F744" s="54">
        <f>IF(E744="","",IFERROR(IF(INDEX(lst_exp_item_cat,MATCH(E744,lst_exp_items,0))="","❔ Без категории",INDEX(lst_exp_item_cat,MATCH(E744,lst_exp_items,0))),"❔ Без категории"))</f>
        <v/>
      </c>
      <c r="G744" s="43" t="n"/>
      <c r="H744" s="56" t="n"/>
      <c r="I744" s="43" t="n"/>
      <c r="J744" s="57">
        <f>IF(OR(A744="",H744=""),"",IF(COUNTIFS(exp_year,C744,exp_month,D744,exp_item,E744,exp_status,"&lt;&gt;❌ Отменено")&gt;0,1,0))</f>
        <v/>
      </c>
    </row>
    <row r="745">
      <c r="A745" s="52" t="n"/>
      <c r="B745" s="53">
        <f>IF(A745="","",CHOOSE(WEEKDAY(A745,2),"Пн","Вт","Ср","Чт","Пт","Сб","Вс"))</f>
        <v/>
      </c>
      <c r="C745" s="53">
        <f>IF(A745="","",YEAR(A745))</f>
        <v/>
      </c>
      <c r="D745" s="54">
        <f>IF(A745="","",INDEX(lst_months,MONTH(A745)))</f>
        <v/>
      </c>
      <c r="E745" s="55" t="n"/>
      <c r="F745" s="54">
        <f>IF(E745="","",IFERROR(IF(INDEX(lst_exp_item_cat,MATCH(E745,lst_exp_items,0))="","❔ Без категории",INDEX(lst_exp_item_cat,MATCH(E745,lst_exp_items,0))),"❔ Без категории"))</f>
        <v/>
      </c>
      <c r="G745" s="43" t="n"/>
      <c r="H745" s="56" t="n"/>
      <c r="I745" s="43" t="n"/>
      <c r="J745" s="57">
        <f>IF(OR(A745="",H745=""),"",IF(COUNTIFS(exp_year,C745,exp_month,D745,exp_item,E745,exp_status,"&lt;&gt;❌ Отменено")&gt;0,1,0))</f>
        <v/>
      </c>
    </row>
    <row r="746">
      <c r="A746" s="52" t="n"/>
      <c r="B746" s="53">
        <f>IF(A746="","",CHOOSE(WEEKDAY(A746,2),"Пн","Вт","Ср","Чт","Пт","Сб","Вс"))</f>
        <v/>
      </c>
      <c r="C746" s="53">
        <f>IF(A746="","",YEAR(A746))</f>
        <v/>
      </c>
      <c r="D746" s="54">
        <f>IF(A746="","",INDEX(lst_months,MONTH(A746)))</f>
        <v/>
      </c>
      <c r="E746" s="55" t="n"/>
      <c r="F746" s="54">
        <f>IF(E746="","",IFERROR(IF(INDEX(lst_exp_item_cat,MATCH(E746,lst_exp_items,0))="","❔ Без категории",INDEX(lst_exp_item_cat,MATCH(E746,lst_exp_items,0))),"❔ Без категории"))</f>
        <v/>
      </c>
      <c r="G746" s="43" t="n"/>
      <c r="H746" s="56" t="n"/>
      <c r="I746" s="43" t="n"/>
      <c r="J746" s="57">
        <f>IF(OR(A746="",H746=""),"",IF(COUNTIFS(exp_year,C746,exp_month,D746,exp_item,E746,exp_status,"&lt;&gt;❌ Отменено")&gt;0,1,0))</f>
        <v/>
      </c>
    </row>
    <row r="747">
      <c r="A747" s="52" t="n"/>
      <c r="B747" s="53">
        <f>IF(A747="","",CHOOSE(WEEKDAY(A747,2),"Пн","Вт","Ср","Чт","Пт","Сб","Вс"))</f>
        <v/>
      </c>
      <c r="C747" s="53">
        <f>IF(A747="","",YEAR(A747))</f>
        <v/>
      </c>
      <c r="D747" s="54">
        <f>IF(A747="","",INDEX(lst_months,MONTH(A747)))</f>
        <v/>
      </c>
      <c r="E747" s="55" t="n"/>
      <c r="F747" s="54">
        <f>IF(E747="","",IFERROR(IF(INDEX(lst_exp_item_cat,MATCH(E747,lst_exp_items,0))="","❔ Без категории",INDEX(lst_exp_item_cat,MATCH(E747,lst_exp_items,0))),"❔ Без категории"))</f>
        <v/>
      </c>
      <c r="G747" s="43" t="n"/>
      <c r="H747" s="56" t="n"/>
      <c r="I747" s="43" t="n"/>
      <c r="J747" s="57">
        <f>IF(OR(A747="",H747=""),"",IF(COUNTIFS(exp_year,C747,exp_month,D747,exp_item,E747,exp_status,"&lt;&gt;❌ Отменено")&gt;0,1,0))</f>
        <v/>
      </c>
    </row>
    <row r="748">
      <c r="A748" s="52" t="n"/>
      <c r="B748" s="53">
        <f>IF(A748="","",CHOOSE(WEEKDAY(A748,2),"Пн","Вт","Ср","Чт","Пт","Сб","Вс"))</f>
        <v/>
      </c>
      <c r="C748" s="53">
        <f>IF(A748="","",YEAR(A748))</f>
        <v/>
      </c>
      <c r="D748" s="54">
        <f>IF(A748="","",INDEX(lst_months,MONTH(A748)))</f>
        <v/>
      </c>
      <c r="E748" s="55" t="n"/>
      <c r="F748" s="54">
        <f>IF(E748="","",IFERROR(IF(INDEX(lst_exp_item_cat,MATCH(E748,lst_exp_items,0))="","❔ Без категории",INDEX(lst_exp_item_cat,MATCH(E748,lst_exp_items,0))),"❔ Без категории"))</f>
        <v/>
      </c>
      <c r="G748" s="43" t="n"/>
      <c r="H748" s="56" t="n"/>
      <c r="I748" s="43" t="n"/>
      <c r="J748" s="57">
        <f>IF(OR(A748="",H748=""),"",IF(COUNTIFS(exp_year,C748,exp_month,D748,exp_item,E748,exp_status,"&lt;&gt;❌ Отменено")&gt;0,1,0))</f>
        <v/>
      </c>
    </row>
    <row r="749">
      <c r="A749" s="52" t="n"/>
      <c r="B749" s="53">
        <f>IF(A749="","",CHOOSE(WEEKDAY(A749,2),"Пн","Вт","Ср","Чт","Пт","Сб","Вс"))</f>
        <v/>
      </c>
      <c r="C749" s="53">
        <f>IF(A749="","",YEAR(A749))</f>
        <v/>
      </c>
      <c r="D749" s="54">
        <f>IF(A749="","",INDEX(lst_months,MONTH(A749)))</f>
        <v/>
      </c>
      <c r="E749" s="55" t="n"/>
      <c r="F749" s="54">
        <f>IF(E749="","",IFERROR(IF(INDEX(lst_exp_item_cat,MATCH(E749,lst_exp_items,0))="","❔ Без категории",INDEX(lst_exp_item_cat,MATCH(E749,lst_exp_items,0))),"❔ Без категории"))</f>
        <v/>
      </c>
      <c r="G749" s="43" t="n"/>
      <c r="H749" s="56" t="n"/>
      <c r="I749" s="43" t="n"/>
      <c r="J749" s="57">
        <f>IF(OR(A749="",H749=""),"",IF(COUNTIFS(exp_year,C749,exp_month,D749,exp_item,E749,exp_status,"&lt;&gt;❌ Отменено")&gt;0,1,0))</f>
        <v/>
      </c>
    </row>
    <row r="750">
      <c r="A750" s="52" t="n"/>
      <c r="B750" s="53">
        <f>IF(A750="","",CHOOSE(WEEKDAY(A750,2),"Пн","Вт","Ср","Чт","Пт","Сб","Вс"))</f>
        <v/>
      </c>
      <c r="C750" s="53">
        <f>IF(A750="","",YEAR(A750))</f>
        <v/>
      </c>
      <c r="D750" s="54">
        <f>IF(A750="","",INDEX(lst_months,MONTH(A750)))</f>
        <v/>
      </c>
      <c r="E750" s="55" t="n"/>
      <c r="F750" s="54">
        <f>IF(E750="","",IFERROR(IF(INDEX(lst_exp_item_cat,MATCH(E750,lst_exp_items,0))="","❔ Без категории",INDEX(lst_exp_item_cat,MATCH(E750,lst_exp_items,0))),"❔ Без категории"))</f>
        <v/>
      </c>
      <c r="G750" s="43" t="n"/>
      <c r="H750" s="56" t="n"/>
      <c r="I750" s="43" t="n"/>
      <c r="J750" s="57">
        <f>IF(OR(A750="",H750=""),"",IF(COUNTIFS(exp_year,C750,exp_month,D750,exp_item,E750,exp_status,"&lt;&gt;❌ Отменено")&gt;0,1,0))</f>
        <v/>
      </c>
    </row>
    <row r="751">
      <c r="A751" s="52" t="n"/>
      <c r="B751" s="53">
        <f>IF(A751="","",CHOOSE(WEEKDAY(A751,2),"Пн","Вт","Ср","Чт","Пт","Сб","Вс"))</f>
        <v/>
      </c>
      <c r="C751" s="53">
        <f>IF(A751="","",YEAR(A751))</f>
        <v/>
      </c>
      <c r="D751" s="54">
        <f>IF(A751="","",INDEX(lst_months,MONTH(A751)))</f>
        <v/>
      </c>
      <c r="E751" s="55" t="n"/>
      <c r="F751" s="54">
        <f>IF(E751="","",IFERROR(IF(INDEX(lst_exp_item_cat,MATCH(E751,lst_exp_items,0))="","❔ Без категории",INDEX(lst_exp_item_cat,MATCH(E751,lst_exp_items,0))),"❔ Без категории"))</f>
        <v/>
      </c>
      <c r="G751" s="43" t="n"/>
      <c r="H751" s="56" t="n"/>
      <c r="I751" s="43" t="n"/>
      <c r="J751" s="57">
        <f>IF(OR(A751="",H751=""),"",IF(COUNTIFS(exp_year,C751,exp_month,D751,exp_item,E751,exp_status,"&lt;&gt;❌ Отменено")&gt;0,1,0))</f>
        <v/>
      </c>
    </row>
    <row r="752">
      <c r="A752" s="52" t="n"/>
      <c r="B752" s="53">
        <f>IF(A752="","",CHOOSE(WEEKDAY(A752,2),"Пн","Вт","Ср","Чт","Пт","Сб","Вс"))</f>
        <v/>
      </c>
      <c r="C752" s="53">
        <f>IF(A752="","",YEAR(A752))</f>
        <v/>
      </c>
      <c r="D752" s="54">
        <f>IF(A752="","",INDEX(lst_months,MONTH(A752)))</f>
        <v/>
      </c>
      <c r="E752" s="55" t="n"/>
      <c r="F752" s="54">
        <f>IF(E752="","",IFERROR(IF(INDEX(lst_exp_item_cat,MATCH(E752,lst_exp_items,0))="","❔ Без категории",INDEX(lst_exp_item_cat,MATCH(E752,lst_exp_items,0))),"❔ Без категории"))</f>
        <v/>
      </c>
      <c r="G752" s="43" t="n"/>
      <c r="H752" s="56" t="n"/>
      <c r="I752" s="43" t="n"/>
      <c r="J752" s="57">
        <f>IF(OR(A752="",H752=""),"",IF(COUNTIFS(exp_year,C752,exp_month,D752,exp_item,E752,exp_status,"&lt;&gt;❌ Отменено")&gt;0,1,0))</f>
        <v/>
      </c>
    </row>
    <row r="753">
      <c r="A753" s="52" t="n"/>
      <c r="B753" s="53">
        <f>IF(A753="","",CHOOSE(WEEKDAY(A753,2),"Пн","Вт","Ср","Чт","Пт","Сб","Вс"))</f>
        <v/>
      </c>
      <c r="C753" s="53">
        <f>IF(A753="","",YEAR(A753))</f>
        <v/>
      </c>
      <c r="D753" s="54">
        <f>IF(A753="","",INDEX(lst_months,MONTH(A753)))</f>
        <v/>
      </c>
      <c r="E753" s="55" t="n"/>
      <c r="F753" s="54">
        <f>IF(E753="","",IFERROR(IF(INDEX(lst_exp_item_cat,MATCH(E753,lst_exp_items,0))="","❔ Без категории",INDEX(lst_exp_item_cat,MATCH(E753,lst_exp_items,0))),"❔ Без категории"))</f>
        <v/>
      </c>
      <c r="G753" s="43" t="n"/>
      <c r="H753" s="56" t="n"/>
      <c r="I753" s="43" t="n"/>
      <c r="J753" s="57">
        <f>IF(OR(A753="",H753=""),"",IF(COUNTIFS(exp_year,C753,exp_month,D753,exp_item,E753,exp_status,"&lt;&gt;❌ Отменено")&gt;0,1,0))</f>
        <v/>
      </c>
    </row>
    <row r="754">
      <c r="A754" s="52" t="n"/>
      <c r="B754" s="53">
        <f>IF(A754="","",CHOOSE(WEEKDAY(A754,2),"Пн","Вт","Ср","Чт","Пт","Сб","Вс"))</f>
        <v/>
      </c>
      <c r="C754" s="53">
        <f>IF(A754="","",YEAR(A754))</f>
        <v/>
      </c>
      <c r="D754" s="54">
        <f>IF(A754="","",INDEX(lst_months,MONTH(A754)))</f>
        <v/>
      </c>
      <c r="E754" s="55" t="n"/>
      <c r="F754" s="54">
        <f>IF(E754="","",IFERROR(IF(INDEX(lst_exp_item_cat,MATCH(E754,lst_exp_items,0))="","❔ Без категории",INDEX(lst_exp_item_cat,MATCH(E754,lst_exp_items,0))),"❔ Без категории"))</f>
        <v/>
      </c>
      <c r="G754" s="43" t="n"/>
      <c r="H754" s="56" t="n"/>
      <c r="I754" s="43" t="n"/>
      <c r="J754" s="57">
        <f>IF(OR(A754="",H754=""),"",IF(COUNTIFS(exp_year,C754,exp_month,D754,exp_item,E754,exp_status,"&lt;&gt;❌ Отменено")&gt;0,1,0))</f>
        <v/>
      </c>
    </row>
    <row r="755">
      <c r="A755" s="52" t="n"/>
      <c r="B755" s="53">
        <f>IF(A755="","",CHOOSE(WEEKDAY(A755,2),"Пн","Вт","Ср","Чт","Пт","Сб","Вс"))</f>
        <v/>
      </c>
      <c r="C755" s="53">
        <f>IF(A755="","",YEAR(A755))</f>
        <v/>
      </c>
      <c r="D755" s="54">
        <f>IF(A755="","",INDEX(lst_months,MONTH(A755)))</f>
        <v/>
      </c>
      <c r="E755" s="55" t="n"/>
      <c r="F755" s="54">
        <f>IF(E755="","",IFERROR(IF(INDEX(lst_exp_item_cat,MATCH(E755,lst_exp_items,0))="","❔ Без категории",INDEX(lst_exp_item_cat,MATCH(E755,lst_exp_items,0))),"❔ Без категории"))</f>
        <v/>
      </c>
      <c r="G755" s="43" t="n"/>
      <c r="H755" s="56" t="n"/>
      <c r="I755" s="43" t="n"/>
      <c r="J755" s="57">
        <f>IF(OR(A755="",H755=""),"",IF(COUNTIFS(exp_year,C755,exp_month,D755,exp_item,E755,exp_status,"&lt;&gt;❌ Отменено")&gt;0,1,0))</f>
        <v/>
      </c>
    </row>
    <row r="756">
      <c r="A756" s="52" t="n"/>
      <c r="B756" s="53">
        <f>IF(A756="","",CHOOSE(WEEKDAY(A756,2),"Пн","Вт","Ср","Чт","Пт","Сб","Вс"))</f>
        <v/>
      </c>
      <c r="C756" s="53">
        <f>IF(A756="","",YEAR(A756))</f>
        <v/>
      </c>
      <c r="D756" s="54">
        <f>IF(A756="","",INDEX(lst_months,MONTH(A756)))</f>
        <v/>
      </c>
      <c r="E756" s="55" t="n"/>
      <c r="F756" s="54">
        <f>IF(E756="","",IFERROR(IF(INDEX(lst_exp_item_cat,MATCH(E756,lst_exp_items,0))="","❔ Без категории",INDEX(lst_exp_item_cat,MATCH(E756,lst_exp_items,0))),"❔ Без категории"))</f>
        <v/>
      </c>
      <c r="G756" s="43" t="n"/>
      <c r="H756" s="56" t="n"/>
      <c r="I756" s="43" t="n"/>
      <c r="J756" s="57">
        <f>IF(OR(A756="",H756=""),"",IF(COUNTIFS(exp_year,C756,exp_month,D756,exp_item,E756,exp_status,"&lt;&gt;❌ Отменено")&gt;0,1,0))</f>
        <v/>
      </c>
    </row>
    <row r="757">
      <c r="A757" s="52" t="n"/>
      <c r="B757" s="53">
        <f>IF(A757="","",CHOOSE(WEEKDAY(A757,2),"Пн","Вт","Ср","Чт","Пт","Сб","Вс"))</f>
        <v/>
      </c>
      <c r="C757" s="53">
        <f>IF(A757="","",YEAR(A757))</f>
        <v/>
      </c>
      <c r="D757" s="54">
        <f>IF(A757="","",INDEX(lst_months,MONTH(A757)))</f>
        <v/>
      </c>
      <c r="E757" s="55" t="n"/>
      <c r="F757" s="54">
        <f>IF(E757="","",IFERROR(IF(INDEX(lst_exp_item_cat,MATCH(E757,lst_exp_items,0))="","❔ Без категории",INDEX(lst_exp_item_cat,MATCH(E757,lst_exp_items,0))),"❔ Без категории"))</f>
        <v/>
      </c>
      <c r="G757" s="43" t="n"/>
      <c r="H757" s="56" t="n"/>
      <c r="I757" s="43" t="n"/>
      <c r="J757" s="57">
        <f>IF(OR(A757="",H757=""),"",IF(COUNTIFS(exp_year,C757,exp_month,D757,exp_item,E757,exp_status,"&lt;&gt;❌ Отменено")&gt;0,1,0))</f>
        <v/>
      </c>
    </row>
    <row r="758">
      <c r="A758" s="52" t="n"/>
      <c r="B758" s="53">
        <f>IF(A758="","",CHOOSE(WEEKDAY(A758,2),"Пн","Вт","Ср","Чт","Пт","Сб","Вс"))</f>
        <v/>
      </c>
      <c r="C758" s="53">
        <f>IF(A758="","",YEAR(A758))</f>
        <v/>
      </c>
      <c r="D758" s="54">
        <f>IF(A758="","",INDEX(lst_months,MONTH(A758)))</f>
        <v/>
      </c>
      <c r="E758" s="55" t="n"/>
      <c r="F758" s="54">
        <f>IF(E758="","",IFERROR(IF(INDEX(lst_exp_item_cat,MATCH(E758,lst_exp_items,0))="","❔ Без категории",INDEX(lst_exp_item_cat,MATCH(E758,lst_exp_items,0))),"❔ Без категории"))</f>
        <v/>
      </c>
      <c r="G758" s="43" t="n"/>
      <c r="H758" s="56" t="n"/>
      <c r="I758" s="43" t="n"/>
      <c r="J758" s="57">
        <f>IF(OR(A758="",H758=""),"",IF(COUNTIFS(exp_year,C758,exp_month,D758,exp_item,E758,exp_status,"&lt;&gt;❌ Отменено")&gt;0,1,0))</f>
        <v/>
      </c>
    </row>
    <row r="759">
      <c r="A759" s="52" t="n"/>
      <c r="B759" s="53">
        <f>IF(A759="","",CHOOSE(WEEKDAY(A759,2),"Пн","Вт","Ср","Чт","Пт","Сб","Вс"))</f>
        <v/>
      </c>
      <c r="C759" s="53">
        <f>IF(A759="","",YEAR(A759))</f>
        <v/>
      </c>
      <c r="D759" s="54">
        <f>IF(A759="","",INDEX(lst_months,MONTH(A759)))</f>
        <v/>
      </c>
      <c r="E759" s="55" t="n"/>
      <c r="F759" s="54">
        <f>IF(E759="","",IFERROR(IF(INDEX(lst_exp_item_cat,MATCH(E759,lst_exp_items,0))="","❔ Без категории",INDEX(lst_exp_item_cat,MATCH(E759,lst_exp_items,0))),"❔ Без категории"))</f>
        <v/>
      </c>
      <c r="G759" s="43" t="n"/>
      <c r="H759" s="56" t="n"/>
      <c r="I759" s="43" t="n"/>
      <c r="J759" s="57">
        <f>IF(OR(A759="",H759=""),"",IF(COUNTIFS(exp_year,C759,exp_month,D759,exp_item,E759,exp_status,"&lt;&gt;❌ Отменено")&gt;0,1,0))</f>
        <v/>
      </c>
    </row>
    <row r="760">
      <c r="A760" s="52" t="n"/>
      <c r="B760" s="53">
        <f>IF(A760="","",CHOOSE(WEEKDAY(A760,2),"Пн","Вт","Ср","Чт","Пт","Сб","Вс"))</f>
        <v/>
      </c>
      <c r="C760" s="53">
        <f>IF(A760="","",YEAR(A760))</f>
        <v/>
      </c>
      <c r="D760" s="54">
        <f>IF(A760="","",INDEX(lst_months,MONTH(A760)))</f>
        <v/>
      </c>
      <c r="E760" s="55" t="n"/>
      <c r="F760" s="54">
        <f>IF(E760="","",IFERROR(IF(INDEX(lst_exp_item_cat,MATCH(E760,lst_exp_items,0))="","❔ Без категории",INDEX(lst_exp_item_cat,MATCH(E760,lst_exp_items,0))),"❔ Без категории"))</f>
        <v/>
      </c>
      <c r="G760" s="43" t="n"/>
      <c r="H760" s="56" t="n"/>
      <c r="I760" s="43" t="n"/>
      <c r="J760" s="57">
        <f>IF(OR(A760="",H760=""),"",IF(COUNTIFS(exp_year,C760,exp_month,D760,exp_item,E760,exp_status,"&lt;&gt;❌ Отменено")&gt;0,1,0))</f>
        <v/>
      </c>
    </row>
    <row r="761">
      <c r="A761" s="52" t="n"/>
      <c r="B761" s="53">
        <f>IF(A761="","",CHOOSE(WEEKDAY(A761,2),"Пн","Вт","Ср","Чт","Пт","Сб","Вс"))</f>
        <v/>
      </c>
      <c r="C761" s="53">
        <f>IF(A761="","",YEAR(A761))</f>
        <v/>
      </c>
      <c r="D761" s="54">
        <f>IF(A761="","",INDEX(lst_months,MONTH(A761)))</f>
        <v/>
      </c>
      <c r="E761" s="55" t="n"/>
      <c r="F761" s="54">
        <f>IF(E761="","",IFERROR(IF(INDEX(lst_exp_item_cat,MATCH(E761,lst_exp_items,0))="","❔ Без категории",INDEX(lst_exp_item_cat,MATCH(E761,lst_exp_items,0))),"❔ Без категории"))</f>
        <v/>
      </c>
      <c r="G761" s="43" t="n"/>
      <c r="H761" s="56" t="n"/>
      <c r="I761" s="43" t="n"/>
      <c r="J761" s="57">
        <f>IF(OR(A761="",H761=""),"",IF(COUNTIFS(exp_year,C761,exp_month,D761,exp_item,E761,exp_status,"&lt;&gt;❌ Отменено")&gt;0,1,0))</f>
        <v/>
      </c>
    </row>
    <row r="762">
      <c r="A762" s="52" t="n"/>
      <c r="B762" s="53">
        <f>IF(A762="","",CHOOSE(WEEKDAY(A762,2),"Пн","Вт","Ср","Чт","Пт","Сб","Вс"))</f>
        <v/>
      </c>
      <c r="C762" s="53">
        <f>IF(A762="","",YEAR(A762))</f>
        <v/>
      </c>
      <c r="D762" s="54">
        <f>IF(A762="","",INDEX(lst_months,MONTH(A762)))</f>
        <v/>
      </c>
      <c r="E762" s="55" t="n"/>
      <c r="F762" s="54">
        <f>IF(E762="","",IFERROR(IF(INDEX(lst_exp_item_cat,MATCH(E762,lst_exp_items,0))="","❔ Без категории",INDEX(lst_exp_item_cat,MATCH(E762,lst_exp_items,0))),"❔ Без категории"))</f>
        <v/>
      </c>
      <c r="G762" s="43" t="n"/>
      <c r="H762" s="56" t="n"/>
      <c r="I762" s="43" t="n"/>
      <c r="J762" s="57">
        <f>IF(OR(A762="",H762=""),"",IF(COUNTIFS(exp_year,C762,exp_month,D762,exp_item,E762,exp_status,"&lt;&gt;❌ Отменено")&gt;0,1,0))</f>
        <v/>
      </c>
    </row>
    <row r="763">
      <c r="A763" s="52" t="n"/>
      <c r="B763" s="53">
        <f>IF(A763="","",CHOOSE(WEEKDAY(A763,2),"Пн","Вт","Ср","Чт","Пт","Сб","Вс"))</f>
        <v/>
      </c>
      <c r="C763" s="53">
        <f>IF(A763="","",YEAR(A763))</f>
        <v/>
      </c>
      <c r="D763" s="54">
        <f>IF(A763="","",INDEX(lst_months,MONTH(A763)))</f>
        <v/>
      </c>
      <c r="E763" s="55" t="n"/>
      <c r="F763" s="54">
        <f>IF(E763="","",IFERROR(IF(INDEX(lst_exp_item_cat,MATCH(E763,lst_exp_items,0))="","❔ Без категории",INDEX(lst_exp_item_cat,MATCH(E763,lst_exp_items,0))),"❔ Без категории"))</f>
        <v/>
      </c>
      <c r="G763" s="43" t="n"/>
      <c r="H763" s="56" t="n"/>
      <c r="I763" s="43" t="n"/>
      <c r="J763" s="57">
        <f>IF(OR(A763="",H763=""),"",IF(COUNTIFS(exp_year,C763,exp_month,D763,exp_item,E763,exp_status,"&lt;&gt;❌ Отменено")&gt;0,1,0))</f>
        <v/>
      </c>
    </row>
    <row r="764">
      <c r="A764" s="52" t="n"/>
      <c r="B764" s="53">
        <f>IF(A764="","",CHOOSE(WEEKDAY(A764,2),"Пн","Вт","Ср","Чт","Пт","Сб","Вс"))</f>
        <v/>
      </c>
      <c r="C764" s="53">
        <f>IF(A764="","",YEAR(A764))</f>
        <v/>
      </c>
      <c r="D764" s="54">
        <f>IF(A764="","",INDEX(lst_months,MONTH(A764)))</f>
        <v/>
      </c>
      <c r="E764" s="55" t="n"/>
      <c r="F764" s="54">
        <f>IF(E764="","",IFERROR(IF(INDEX(lst_exp_item_cat,MATCH(E764,lst_exp_items,0))="","❔ Без категории",INDEX(lst_exp_item_cat,MATCH(E764,lst_exp_items,0))),"❔ Без категории"))</f>
        <v/>
      </c>
      <c r="G764" s="43" t="n"/>
      <c r="H764" s="56" t="n"/>
      <c r="I764" s="43" t="n"/>
      <c r="J764" s="57">
        <f>IF(OR(A764="",H764=""),"",IF(COUNTIFS(exp_year,C764,exp_month,D764,exp_item,E764,exp_status,"&lt;&gt;❌ Отменено")&gt;0,1,0))</f>
        <v/>
      </c>
    </row>
    <row r="765">
      <c r="A765" s="52" t="n"/>
      <c r="B765" s="53">
        <f>IF(A765="","",CHOOSE(WEEKDAY(A765,2),"Пн","Вт","Ср","Чт","Пт","Сб","Вс"))</f>
        <v/>
      </c>
      <c r="C765" s="53">
        <f>IF(A765="","",YEAR(A765))</f>
        <v/>
      </c>
      <c r="D765" s="54">
        <f>IF(A765="","",INDEX(lst_months,MONTH(A765)))</f>
        <v/>
      </c>
      <c r="E765" s="55" t="n"/>
      <c r="F765" s="54">
        <f>IF(E765="","",IFERROR(IF(INDEX(lst_exp_item_cat,MATCH(E765,lst_exp_items,0))="","❔ Без категории",INDEX(lst_exp_item_cat,MATCH(E765,lst_exp_items,0))),"❔ Без категории"))</f>
        <v/>
      </c>
      <c r="G765" s="43" t="n"/>
      <c r="H765" s="56" t="n"/>
      <c r="I765" s="43" t="n"/>
      <c r="J765" s="57">
        <f>IF(OR(A765="",H765=""),"",IF(COUNTIFS(exp_year,C765,exp_month,D765,exp_item,E765,exp_status,"&lt;&gt;❌ Отменено")&gt;0,1,0))</f>
        <v/>
      </c>
    </row>
    <row r="766">
      <c r="A766" s="52" t="n"/>
      <c r="B766" s="53">
        <f>IF(A766="","",CHOOSE(WEEKDAY(A766,2),"Пн","Вт","Ср","Чт","Пт","Сб","Вс"))</f>
        <v/>
      </c>
      <c r="C766" s="53">
        <f>IF(A766="","",YEAR(A766))</f>
        <v/>
      </c>
      <c r="D766" s="54">
        <f>IF(A766="","",INDEX(lst_months,MONTH(A766)))</f>
        <v/>
      </c>
      <c r="E766" s="55" t="n"/>
      <c r="F766" s="54">
        <f>IF(E766="","",IFERROR(IF(INDEX(lst_exp_item_cat,MATCH(E766,lst_exp_items,0))="","❔ Без категории",INDEX(lst_exp_item_cat,MATCH(E766,lst_exp_items,0))),"❔ Без категории"))</f>
        <v/>
      </c>
      <c r="G766" s="43" t="n"/>
      <c r="H766" s="56" t="n"/>
      <c r="I766" s="43" t="n"/>
      <c r="J766" s="57">
        <f>IF(OR(A766="",H766=""),"",IF(COUNTIFS(exp_year,C766,exp_month,D766,exp_item,E766,exp_status,"&lt;&gt;❌ Отменено")&gt;0,1,0))</f>
        <v/>
      </c>
    </row>
    <row r="767">
      <c r="A767" s="52" t="n"/>
      <c r="B767" s="53">
        <f>IF(A767="","",CHOOSE(WEEKDAY(A767,2),"Пн","Вт","Ср","Чт","Пт","Сб","Вс"))</f>
        <v/>
      </c>
      <c r="C767" s="53">
        <f>IF(A767="","",YEAR(A767))</f>
        <v/>
      </c>
      <c r="D767" s="54">
        <f>IF(A767="","",INDEX(lst_months,MONTH(A767)))</f>
        <v/>
      </c>
      <c r="E767" s="55" t="n"/>
      <c r="F767" s="54">
        <f>IF(E767="","",IFERROR(IF(INDEX(lst_exp_item_cat,MATCH(E767,lst_exp_items,0))="","❔ Без категории",INDEX(lst_exp_item_cat,MATCH(E767,lst_exp_items,0))),"❔ Без категории"))</f>
        <v/>
      </c>
      <c r="G767" s="43" t="n"/>
      <c r="H767" s="56" t="n"/>
      <c r="I767" s="43" t="n"/>
      <c r="J767" s="57">
        <f>IF(OR(A767="",H767=""),"",IF(COUNTIFS(exp_year,C767,exp_month,D767,exp_item,E767,exp_status,"&lt;&gt;❌ Отменено")&gt;0,1,0))</f>
        <v/>
      </c>
    </row>
    <row r="768">
      <c r="A768" s="52" t="n"/>
      <c r="B768" s="53">
        <f>IF(A768="","",CHOOSE(WEEKDAY(A768,2),"Пн","Вт","Ср","Чт","Пт","Сб","Вс"))</f>
        <v/>
      </c>
      <c r="C768" s="53">
        <f>IF(A768="","",YEAR(A768))</f>
        <v/>
      </c>
      <c r="D768" s="54">
        <f>IF(A768="","",INDEX(lst_months,MONTH(A768)))</f>
        <v/>
      </c>
      <c r="E768" s="55" t="n"/>
      <c r="F768" s="54">
        <f>IF(E768="","",IFERROR(IF(INDEX(lst_exp_item_cat,MATCH(E768,lst_exp_items,0))="","❔ Без категории",INDEX(lst_exp_item_cat,MATCH(E768,lst_exp_items,0))),"❔ Без категории"))</f>
        <v/>
      </c>
      <c r="G768" s="43" t="n"/>
      <c r="H768" s="56" t="n"/>
      <c r="I768" s="43" t="n"/>
      <c r="J768" s="57">
        <f>IF(OR(A768="",H768=""),"",IF(COUNTIFS(exp_year,C768,exp_month,D768,exp_item,E768,exp_status,"&lt;&gt;❌ Отменено")&gt;0,1,0))</f>
        <v/>
      </c>
    </row>
    <row r="769">
      <c r="A769" s="52" t="n"/>
      <c r="B769" s="53">
        <f>IF(A769="","",CHOOSE(WEEKDAY(A769,2),"Пн","Вт","Ср","Чт","Пт","Сб","Вс"))</f>
        <v/>
      </c>
      <c r="C769" s="53">
        <f>IF(A769="","",YEAR(A769))</f>
        <v/>
      </c>
      <c r="D769" s="54">
        <f>IF(A769="","",INDEX(lst_months,MONTH(A769)))</f>
        <v/>
      </c>
      <c r="E769" s="55" t="n"/>
      <c r="F769" s="54">
        <f>IF(E769="","",IFERROR(IF(INDEX(lst_exp_item_cat,MATCH(E769,lst_exp_items,0))="","❔ Без категории",INDEX(lst_exp_item_cat,MATCH(E769,lst_exp_items,0))),"❔ Без категории"))</f>
        <v/>
      </c>
      <c r="G769" s="43" t="n"/>
      <c r="H769" s="56" t="n"/>
      <c r="I769" s="43" t="n"/>
      <c r="J769" s="57">
        <f>IF(OR(A769="",H769=""),"",IF(COUNTIFS(exp_year,C769,exp_month,D769,exp_item,E769,exp_status,"&lt;&gt;❌ Отменено")&gt;0,1,0))</f>
        <v/>
      </c>
    </row>
    <row r="770">
      <c r="A770" s="52" t="n"/>
      <c r="B770" s="53">
        <f>IF(A770="","",CHOOSE(WEEKDAY(A770,2),"Пн","Вт","Ср","Чт","Пт","Сб","Вс"))</f>
        <v/>
      </c>
      <c r="C770" s="53">
        <f>IF(A770="","",YEAR(A770))</f>
        <v/>
      </c>
      <c r="D770" s="54">
        <f>IF(A770="","",INDEX(lst_months,MONTH(A770)))</f>
        <v/>
      </c>
      <c r="E770" s="55" t="n"/>
      <c r="F770" s="54">
        <f>IF(E770="","",IFERROR(IF(INDEX(lst_exp_item_cat,MATCH(E770,lst_exp_items,0))="","❔ Без категории",INDEX(lst_exp_item_cat,MATCH(E770,lst_exp_items,0))),"❔ Без категории"))</f>
        <v/>
      </c>
      <c r="G770" s="43" t="n"/>
      <c r="H770" s="56" t="n"/>
      <c r="I770" s="43" t="n"/>
      <c r="J770" s="57">
        <f>IF(OR(A770="",H770=""),"",IF(COUNTIFS(exp_year,C770,exp_month,D770,exp_item,E770,exp_status,"&lt;&gt;❌ Отменено")&gt;0,1,0))</f>
        <v/>
      </c>
    </row>
    <row r="771">
      <c r="A771" s="52" t="n"/>
      <c r="B771" s="53">
        <f>IF(A771="","",CHOOSE(WEEKDAY(A771,2),"Пн","Вт","Ср","Чт","Пт","Сб","Вс"))</f>
        <v/>
      </c>
      <c r="C771" s="53">
        <f>IF(A771="","",YEAR(A771))</f>
        <v/>
      </c>
      <c r="D771" s="54">
        <f>IF(A771="","",INDEX(lst_months,MONTH(A771)))</f>
        <v/>
      </c>
      <c r="E771" s="55" t="n"/>
      <c r="F771" s="54">
        <f>IF(E771="","",IFERROR(IF(INDEX(lst_exp_item_cat,MATCH(E771,lst_exp_items,0))="","❔ Без категории",INDEX(lst_exp_item_cat,MATCH(E771,lst_exp_items,0))),"❔ Без категории"))</f>
        <v/>
      </c>
      <c r="G771" s="43" t="n"/>
      <c r="H771" s="56" t="n"/>
      <c r="I771" s="43" t="n"/>
      <c r="J771" s="57">
        <f>IF(OR(A771="",H771=""),"",IF(COUNTIFS(exp_year,C771,exp_month,D771,exp_item,E771,exp_status,"&lt;&gt;❌ Отменено")&gt;0,1,0))</f>
        <v/>
      </c>
    </row>
    <row r="772">
      <c r="A772" s="52" t="n"/>
      <c r="B772" s="53">
        <f>IF(A772="","",CHOOSE(WEEKDAY(A772,2),"Пн","Вт","Ср","Чт","Пт","Сб","Вс"))</f>
        <v/>
      </c>
      <c r="C772" s="53">
        <f>IF(A772="","",YEAR(A772))</f>
        <v/>
      </c>
      <c r="D772" s="54">
        <f>IF(A772="","",INDEX(lst_months,MONTH(A772)))</f>
        <v/>
      </c>
      <c r="E772" s="55" t="n"/>
      <c r="F772" s="54">
        <f>IF(E772="","",IFERROR(IF(INDEX(lst_exp_item_cat,MATCH(E772,lst_exp_items,0))="","❔ Без категории",INDEX(lst_exp_item_cat,MATCH(E772,lst_exp_items,0))),"❔ Без категории"))</f>
        <v/>
      </c>
      <c r="G772" s="43" t="n"/>
      <c r="H772" s="56" t="n"/>
      <c r="I772" s="43" t="n"/>
      <c r="J772" s="57">
        <f>IF(OR(A772="",H772=""),"",IF(COUNTIFS(exp_year,C772,exp_month,D772,exp_item,E772,exp_status,"&lt;&gt;❌ Отменено")&gt;0,1,0))</f>
        <v/>
      </c>
    </row>
    <row r="773">
      <c r="A773" s="52" t="n"/>
      <c r="B773" s="53">
        <f>IF(A773="","",CHOOSE(WEEKDAY(A773,2),"Пн","Вт","Ср","Чт","Пт","Сб","Вс"))</f>
        <v/>
      </c>
      <c r="C773" s="53">
        <f>IF(A773="","",YEAR(A773))</f>
        <v/>
      </c>
      <c r="D773" s="54">
        <f>IF(A773="","",INDEX(lst_months,MONTH(A773)))</f>
        <v/>
      </c>
      <c r="E773" s="55" t="n"/>
      <c r="F773" s="54">
        <f>IF(E773="","",IFERROR(IF(INDEX(lst_exp_item_cat,MATCH(E773,lst_exp_items,0))="","❔ Без категории",INDEX(lst_exp_item_cat,MATCH(E773,lst_exp_items,0))),"❔ Без категории"))</f>
        <v/>
      </c>
      <c r="G773" s="43" t="n"/>
      <c r="H773" s="56" t="n"/>
      <c r="I773" s="43" t="n"/>
      <c r="J773" s="57">
        <f>IF(OR(A773="",H773=""),"",IF(COUNTIFS(exp_year,C773,exp_month,D773,exp_item,E773,exp_status,"&lt;&gt;❌ Отменено")&gt;0,1,0))</f>
        <v/>
      </c>
    </row>
    <row r="774">
      <c r="A774" s="52" t="n"/>
      <c r="B774" s="53">
        <f>IF(A774="","",CHOOSE(WEEKDAY(A774,2),"Пн","Вт","Ср","Чт","Пт","Сб","Вс"))</f>
        <v/>
      </c>
      <c r="C774" s="53">
        <f>IF(A774="","",YEAR(A774))</f>
        <v/>
      </c>
      <c r="D774" s="54">
        <f>IF(A774="","",INDEX(lst_months,MONTH(A774)))</f>
        <v/>
      </c>
      <c r="E774" s="55" t="n"/>
      <c r="F774" s="54">
        <f>IF(E774="","",IFERROR(IF(INDEX(lst_exp_item_cat,MATCH(E774,lst_exp_items,0))="","❔ Без категории",INDEX(lst_exp_item_cat,MATCH(E774,lst_exp_items,0))),"❔ Без категории"))</f>
        <v/>
      </c>
      <c r="G774" s="43" t="n"/>
      <c r="H774" s="56" t="n"/>
      <c r="I774" s="43" t="n"/>
      <c r="J774" s="57">
        <f>IF(OR(A774="",H774=""),"",IF(COUNTIFS(exp_year,C774,exp_month,D774,exp_item,E774,exp_status,"&lt;&gt;❌ Отменено")&gt;0,1,0))</f>
        <v/>
      </c>
    </row>
    <row r="775">
      <c r="A775" s="52" t="n"/>
      <c r="B775" s="53">
        <f>IF(A775="","",CHOOSE(WEEKDAY(A775,2),"Пн","Вт","Ср","Чт","Пт","Сб","Вс"))</f>
        <v/>
      </c>
      <c r="C775" s="53">
        <f>IF(A775="","",YEAR(A775))</f>
        <v/>
      </c>
      <c r="D775" s="54">
        <f>IF(A775="","",INDEX(lst_months,MONTH(A775)))</f>
        <v/>
      </c>
      <c r="E775" s="55" t="n"/>
      <c r="F775" s="54">
        <f>IF(E775="","",IFERROR(IF(INDEX(lst_exp_item_cat,MATCH(E775,lst_exp_items,0))="","❔ Без категории",INDEX(lst_exp_item_cat,MATCH(E775,lst_exp_items,0))),"❔ Без категории"))</f>
        <v/>
      </c>
      <c r="G775" s="43" t="n"/>
      <c r="H775" s="56" t="n"/>
      <c r="I775" s="43" t="n"/>
      <c r="J775" s="57">
        <f>IF(OR(A775="",H775=""),"",IF(COUNTIFS(exp_year,C775,exp_month,D775,exp_item,E775,exp_status,"&lt;&gt;❌ Отменено")&gt;0,1,0))</f>
        <v/>
      </c>
    </row>
    <row r="776">
      <c r="A776" s="52" t="n"/>
      <c r="B776" s="53">
        <f>IF(A776="","",CHOOSE(WEEKDAY(A776,2),"Пн","Вт","Ср","Чт","Пт","Сб","Вс"))</f>
        <v/>
      </c>
      <c r="C776" s="53">
        <f>IF(A776="","",YEAR(A776))</f>
        <v/>
      </c>
      <c r="D776" s="54">
        <f>IF(A776="","",INDEX(lst_months,MONTH(A776)))</f>
        <v/>
      </c>
      <c r="E776" s="55" t="n"/>
      <c r="F776" s="54">
        <f>IF(E776="","",IFERROR(IF(INDEX(lst_exp_item_cat,MATCH(E776,lst_exp_items,0))="","❔ Без категории",INDEX(lst_exp_item_cat,MATCH(E776,lst_exp_items,0))),"❔ Без категории"))</f>
        <v/>
      </c>
      <c r="G776" s="43" t="n"/>
      <c r="H776" s="56" t="n"/>
      <c r="I776" s="43" t="n"/>
      <c r="J776" s="57">
        <f>IF(OR(A776="",H776=""),"",IF(COUNTIFS(exp_year,C776,exp_month,D776,exp_item,E776,exp_status,"&lt;&gt;❌ Отменено")&gt;0,1,0))</f>
        <v/>
      </c>
    </row>
    <row r="777">
      <c r="A777" s="52" t="n"/>
      <c r="B777" s="53">
        <f>IF(A777="","",CHOOSE(WEEKDAY(A777,2),"Пн","Вт","Ср","Чт","Пт","Сб","Вс"))</f>
        <v/>
      </c>
      <c r="C777" s="53">
        <f>IF(A777="","",YEAR(A777))</f>
        <v/>
      </c>
      <c r="D777" s="54">
        <f>IF(A777="","",INDEX(lst_months,MONTH(A777)))</f>
        <v/>
      </c>
      <c r="E777" s="55" t="n"/>
      <c r="F777" s="54">
        <f>IF(E777="","",IFERROR(IF(INDEX(lst_exp_item_cat,MATCH(E777,lst_exp_items,0))="","❔ Без категории",INDEX(lst_exp_item_cat,MATCH(E777,lst_exp_items,0))),"❔ Без категории"))</f>
        <v/>
      </c>
      <c r="G777" s="43" t="n"/>
      <c r="H777" s="56" t="n"/>
      <c r="I777" s="43" t="n"/>
      <c r="J777" s="57">
        <f>IF(OR(A777="",H777=""),"",IF(COUNTIFS(exp_year,C777,exp_month,D777,exp_item,E777,exp_status,"&lt;&gt;❌ Отменено")&gt;0,1,0))</f>
        <v/>
      </c>
    </row>
    <row r="778">
      <c r="A778" s="52" t="n"/>
      <c r="B778" s="53">
        <f>IF(A778="","",CHOOSE(WEEKDAY(A778,2),"Пн","Вт","Ср","Чт","Пт","Сб","Вс"))</f>
        <v/>
      </c>
      <c r="C778" s="53">
        <f>IF(A778="","",YEAR(A778))</f>
        <v/>
      </c>
      <c r="D778" s="54">
        <f>IF(A778="","",INDEX(lst_months,MONTH(A778)))</f>
        <v/>
      </c>
      <c r="E778" s="55" t="n"/>
      <c r="F778" s="54">
        <f>IF(E778="","",IFERROR(IF(INDEX(lst_exp_item_cat,MATCH(E778,lst_exp_items,0))="","❔ Без категории",INDEX(lst_exp_item_cat,MATCH(E778,lst_exp_items,0))),"❔ Без категории"))</f>
        <v/>
      </c>
      <c r="G778" s="43" t="n"/>
      <c r="H778" s="56" t="n"/>
      <c r="I778" s="43" t="n"/>
      <c r="J778" s="57">
        <f>IF(OR(A778="",H778=""),"",IF(COUNTIFS(exp_year,C778,exp_month,D778,exp_item,E778,exp_status,"&lt;&gt;❌ Отменено")&gt;0,1,0))</f>
        <v/>
      </c>
    </row>
    <row r="779">
      <c r="A779" s="52" t="n"/>
      <c r="B779" s="53">
        <f>IF(A779="","",CHOOSE(WEEKDAY(A779,2),"Пн","Вт","Ср","Чт","Пт","Сб","Вс"))</f>
        <v/>
      </c>
      <c r="C779" s="53">
        <f>IF(A779="","",YEAR(A779))</f>
        <v/>
      </c>
      <c r="D779" s="54">
        <f>IF(A779="","",INDEX(lst_months,MONTH(A779)))</f>
        <v/>
      </c>
      <c r="E779" s="55" t="n"/>
      <c r="F779" s="54">
        <f>IF(E779="","",IFERROR(IF(INDEX(lst_exp_item_cat,MATCH(E779,lst_exp_items,0))="","❔ Без категории",INDEX(lst_exp_item_cat,MATCH(E779,lst_exp_items,0))),"❔ Без категории"))</f>
        <v/>
      </c>
      <c r="G779" s="43" t="n"/>
      <c r="H779" s="56" t="n"/>
      <c r="I779" s="43" t="n"/>
      <c r="J779" s="57">
        <f>IF(OR(A779="",H779=""),"",IF(COUNTIFS(exp_year,C779,exp_month,D779,exp_item,E779,exp_status,"&lt;&gt;❌ Отменено")&gt;0,1,0))</f>
        <v/>
      </c>
    </row>
    <row r="780">
      <c r="A780" s="52" t="n"/>
      <c r="B780" s="53">
        <f>IF(A780="","",CHOOSE(WEEKDAY(A780,2),"Пн","Вт","Ср","Чт","Пт","Сб","Вс"))</f>
        <v/>
      </c>
      <c r="C780" s="53">
        <f>IF(A780="","",YEAR(A780))</f>
        <v/>
      </c>
      <c r="D780" s="54">
        <f>IF(A780="","",INDEX(lst_months,MONTH(A780)))</f>
        <v/>
      </c>
      <c r="E780" s="55" t="n"/>
      <c r="F780" s="54">
        <f>IF(E780="","",IFERROR(IF(INDEX(lst_exp_item_cat,MATCH(E780,lst_exp_items,0))="","❔ Без категории",INDEX(lst_exp_item_cat,MATCH(E780,lst_exp_items,0))),"❔ Без категории"))</f>
        <v/>
      </c>
      <c r="G780" s="43" t="n"/>
      <c r="H780" s="56" t="n"/>
      <c r="I780" s="43" t="n"/>
      <c r="J780" s="57">
        <f>IF(OR(A780="",H780=""),"",IF(COUNTIFS(exp_year,C780,exp_month,D780,exp_item,E780,exp_status,"&lt;&gt;❌ Отменено")&gt;0,1,0))</f>
        <v/>
      </c>
    </row>
    <row r="781">
      <c r="A781" s="52" t="n"/>
      <c r="B781" s="53">
        <f>IF(A781="","",CHOOSE(WEEKDAY(A781,2),"Пн","Вт","Ср","Чт","Пт","Сб","Вс"))</f>
        <v/>
      </c>
      <c r="C781" s="53">
        <f>IF(A781="","",YEAR(A781))</f>
        <v/>
      </c>
      <c r="D781" s="54">
        <f>IF(A781="","",INDEX(lst_months,MONTH(A781)))</f>
        <v/>
      </c>
      <c r="E781" s="55" t="n"/>
      <c r="F781" s="54">
        <f>IF(E781="","",IFERROR(IF(INDEX(lst_exp_item_cat,MATCH(E781,lst_exp_items,0))="","❔ Без категории",INDEX(lst_exp_item_cat,MATCH(E781,lst_exp_items,0))),"❔ Без категории"))</f>
        <v/>
      </c>
      <c r="G781" s="43" t="n"/>
      <c r="H781" s="56" t="n"/>
      <c r="I781" s="43" t="n"/>
      <c r="J781" s="57">
        <f>IF(OR(A781="",H781=""),"",IF(COUNTIFS(exp_year,C781,exp_month,D781,exp_item,E781,exp_status,"&lt;&gt;❌ Отменено")&gt;0,1,0))</f>
        <v/>
      </c>
    </row>
    <row r="782">
      <c r="A782" s="52" t="n"/>
      <c r="B782" s="53">
        <f>IF(A782="","",CHOOSE(WEEKDAY(A782,2),"Пн","Вт","Ср","Чт","Пт","Сб","Вс"))</f>
        <v/>
      </c>
      <c r="C782" s="53">
        <f>IF(A782="","",YEAR(A782))</f>
        <v/>
      </c>
      <c r="D782" s="54">
        <f>IF(A782="","",INDEX(lst_months,MONTH(A782)))</f>
        <v/>
      </c>
      <c r="E782" s="55" t="n"/>
      <c r="F782" s="54">
        <f>IF(E782="","",IFERROR(IF(INDEX(lst_exp_item_cat,MATCH(E782,lst_exp_items,0))="","❔ Без категории",INDEX(lst_exp_item_cat,MATCH(E782,lst_exp_items,0))),"❔ Без категории"))</f>
        <v/>
      </c>
      <c r="G782" s="43" t="n"/>
      <c r="H782" s="56" t="n"/>
      <c r="I782" s="43" t="n"/>
      <c r="J782" s="57">
        <f>IF(OR(A782="",H782=""),"",IF(COUNTIFS(exp_year,C782,exp_month,D782,exp_item,E782,exp_status,"&lt;&gt;❌ Отменено")&gt;0,1,0))</f>
        <v/>
      </c>
    </row>
    <row r="783">
      <c r="A783" s="52" t="n"/>
      <c r="B783" s="53">
        <f>IF(A783="","",CHOOSE(WEEKDAY(A783,2),"Пн","Вт","Ср","Чт","Пт","Сб","Вс"))</f>
        <v/>
      </c>
      <c r="C783" s="53">
        <f>IF(A783="","",YEAR(A783))</f>
        <v/>
      </c>
      <c r="D783" s="54">
        <f>IF(A783="","",INDEX(lst_months,MONTH(A783)))</f>
        <v/>
      </c>
      <c r="E783" s="55" t="n"/>
      <c r="F783" s="54">
        <f>IF(E783="","",IFERROR(IF(INDEX(lst_exp_item_cat,MATCH(E783,lst_exp_items,0))="","❔ Без категории",INDEX(lst_exp_item_cat,MATCH(E783,lst_exp_items,0))),"❔ Без категории"))</f>
        <v/>
      </c>
      <c r="G783" s="43" t="n"/>
      <c r="H783" s="56" t="n"/>
      <c r="I783" s="43" t="n"/>
      <c r="J783" s="57">
        <f>IF(OR(A783="",H783=""),"",IF(COUNTIFS(exp_year,C783,exp_month,D783,exp_item,E783,exp_status,"&lt;&gt;❌ Отменено")&gt;0,1,0))</f>
        <v/>
      </c>
    </row>
    <row r="784">
      <c r="A784" s="52" t="n"/>
      <c r="B784" s="53">
        <f>IF(A784="","",CHOOSE(WEEKDAY(A784,2),"Пн","Вт","Ср","Чт","Пт","Сб","Вс"))</f>
        <v/>
      </c>
      <c r="C784" s="53">
        <f>IF(A784="","",YEAR(A784))</f>
        <v/>
      </c>
      <c r="D784" s="54">
        <f>IF(A784="","",INDEX(lst_months,MONTH(A784)))</f>
        <v/>
      </c>
      <c r="E784" s="55" t="n"/>
      <c r="F784" s="54">
        <f>IF(E784="","",IFERROR(IF(INDEX(lst_exp_item_cat,MATCH(E784,lst_exp_items,0))="","❔ Без категории",INDEX(lst_exp_item_cat,MATCH(E784,lst_exp_items,0))),"❔ Без категории"))</f>
        <v/>
      </c>
      <c r="G784" s="43" t="n"/>
      <c r="H784" s="56" t="n"/>
      <c r="I784" s="43" t="n"/>
      <c r="J784" s="57">
        <f>IF(OR(A784="",H784=""),"",IF(COUNTIFS(exp_year,C784,exp_month,D784,exp_item,E784,exp_status,"&lt;&gt;❌ Отменено")&gt;0,1,0))</f>
        <v/>
      </c>
    </row>
    <row r="785">
      <c r="A785" s="52" t="n"/>
      <c r="B785" s="53">
        <f>IF(A785="","",CHOOSE(WEEKDAY(A785,2),"Пн","Вт","Ср","Чт","Пт","Сб","Вс"))</f>
        <v/>
      </c>
      <c r="C785" s="53">
        <f>IF(A785="","",YEAR(A785))</f>
        <v/>
      </c>
      <c r="D785" s="54">
        <f>IF(A785="","",INDEX(lst_months,MONTH(A785)))</f>
        <v/>
      </c>
      <c r="E785" s="55" t="n"/>
      <c r="F785" s="54">
        <f>IF(E785="","",IFERROR(IF(INDEX(lst_exp_item_cat,MATCH(E785,lst_exp_items,0))="","❔ Без категории",INDEX(lst_exp_item_cat,MATCH(E785,lst_exp_items,0))),"❔ Без категории"))</f>
        <v/>
      </c>
      <c r="G785" s="43" t="n"/>
      <c r="H785" s="56" t="n"/>
      <c r="I785" s="43" t="n"/>
      <c r="J785" s="57">
        <f>IF(OR(A785="",H785=""),"",IF(COUNTIFS(exp_year,C785,exp_month,D785,exp_item,E785,exp_status,"&lt;&gt;❌ Отменено")&gt;0,1,0))</f>
        <v/>
      </c>
    </row>
    <row r="786">
      <c r="A786" s="52" t="n"/>
      <c r="B786" s="53">
        <f>IF(A786="","",CHOOSE(WEEKDAY(A786,2),"Пн","Вт","Ср","Чт","Пт","Сб","Вс"))</f>
        <v/>
      </c>
      <c r="C786" s="53">
        <f>IF(A786="","",YEAR(A786))</f>
        <v/>
      </c>
      <c r="D786" s="54">
        <f>IF(A786="","",INDEX(lst_months,MONTH(A786)))</f>
        <v/>
      </c>
      <c r="E786" s="55" t="n"/>
      <c r="F786" s="54">
        <f>IF(E786="","",IFERROR(IF(INDEX(lst_exp_item_cat,MATCH(E786,lst_exp_items,0))="","❔ Без категории",INDEX(lst_exp_item_cat,MATCH(E786,lst_exp_items,0))),"❔ Без категории"))</f>
        <v/>
      </c>
      <c r="G786" s="43" t="n"/>
      <c r="H786" s="56" t="n"/>
      <c r="I786" s="43" t="n"/>
      <c r="J786" s="57">
        <f>IF(OR(A786="",H786=""),"",IF(COUNTIFS(exp_year,C786,exp_month,D786,exp_item,E786,exp_status,"&lt;&gt;❌ Отменено")&gt;0,1,0))</f>
        <v/>
      </c>
    </row>
    <row r="787">
      <c r="A787" s="52" t="n"/>
      <c r="B787" s="53">
        <f>IF(A787="","",CHOOSE(WEEKDAY(A787,2),"Пн","Вт","Ср","Чт","Пт","Сб","Вс"))</f>
        <v/>
      </c>
      <c r="C787" s="53">
        <f>IF(A787="","",YEAR(A787))</f>
        <v/>
      </c>
      <c r="D787" s="54">
        <f>IF(A787="","",INDEX(lst_months,MONTH(A787)))</f>
        <v/>
      </c>
      <c r="E787" s="55" t="n"/>
      <c r="F787" s="54">
        <f>IF(E787="","",IFERROR(IF(INDEX(lst_exp_item_cat,MATCH(E787,lst_exp_items,0))="","❔ Без категории",INDEX(lst_exp_item_cat,MATCH(E787,lst_exp_items,0))),"❔ Без категории"))</f>
        <v/>
      </c>
      <c r="G787" s="43" t="n"/>
      <c r="H787" s="56" t="n"/>
      <c r="I787" s="43" t="n"/>
      <c r="J787" s="57">
        <f>IF(OR(A787="",H787=""),"",IF(COUNTIFS(exp_year,C787,exp_month,D787,exp_item,E787,exp_status,"&lt;&gt;❌ Отменено")&gt;0,1,0))</f>
        <v/>
      </c>
    </row>
    <row r="788">
      <c r="A788" s="52" t="n"/>
      <c r="B788" s="53">
        <f>IF(A788="","",CHOOSE(WEEKDAY(A788,2),"Пн","Вт","Ср","Чт","Пт","Сб","Вс"))</f>
        <v/>
      </c>
      <c r="C788" s="53">
        <f>IF(A788="","",YEAR(A788))</f>
        <v/>
      </c>
      <c r="D788" s="54">
        <f>IF(A788="","",INDEX(lst_months,MONTH(A788)))</f>
        <v/>
      </c>
      <c r="E788" s="55" t="n"/>
      <c r="F788" s="54">
        <f>IF(E788="","",IFERROR(IF(INDEX(lst_exp_item_cat,MATCH(E788,lst_exp_items,0))="","❔ Без категории",INDEX(lst_exp_item_cat,MATCH(E788,lst_exp_items,0))),"❔ Без категории"))</f>
        <v/>
      </c>
      <c r="G788" s="43" t="n"/>
      <c r="H788" s="56" t="n"/>
      <c r="I788" s="43" t="n"/>
      <c r="J788" s="57">
        <f>IF(OR(A788="",H788=""),"",IF(COUNTIFS(exp_year,C788,exp_month,D788,exp_item,E788,exp_status,"&lt;&gt;❌ Отменено")&gt;0,1,0))</f>
        <v/>
      </c>
    </row>
    <row r="789">
      <c r="A789" s="52" t="n"/>
      <c r="B789" s="53">
        <f>IF(A789="","",CHOOSE(WEEKDAY(A789,2),"Пн","Вт","Ср","Чт","Пт","Сб","Вс"))</f>
        <v/>
      </c>
      <c r="C789" s="53">
        <f>IF(A789="","",YEAR(A789))</f>
        <v/>
      </c>
      <c r="D789" s="54">
        <f>IF(A789="","",INDEX(lst_months,MONTH(A789)))</f>
        <v/>
      </c>
      <c r="E789" s="55" t="n"/>
      <c r="F789" s="54">
        <f>IF(E789="","",IFERROR(IF(INDEX(lst_exp_item_cat,MATCH(E789,lst_exp_items,0))="","❔ Без категории",INDEX(lst_exp_item_cat,MATCH(E789,lst_exp_items,0))),"❔ Без категории"))</f>
        <v/>
      </c>
      <c r="G789" s="43" t="n"/>
      <c r="H789" s="56" t="n"/>
      <c r="I789" s="43" t="n"/>
      <c r="J789" s="57">
        <f>IF(OR(A789="",H789=""),"",IF(COUNTIFS(exp_year,C789,exp_month,D789,exp_item,E789,exp_status,"&lt;&gt;❌ Отменено")&gt;0,1,0))</f>
        <v/>
      </c>
    </row>
    <row r="790">
      <c r="A790" s="52" t="n"/>
      <c r="B790" s="53">
        <f>IF(A790="","",CHOOSE(WEEKDAY(A790,2),"Пн","Вт","Ср","Чт","Пт","Сб","Вс"))</f>
        <v/>
      </c>
      <c r="C790" s="53">
        <f>IF(A790="","",YEAR(A790))</f>
        <v/>
      </c>
      <c r="D790" s="54">
        <f>IF(A790="","",INDEX(lst_months,MONTH(A790)))</f>
        <v/>
      </c>
      <c r="E790" s="55" t="n"/>
      <c r="F790" s="54">
        <f>IF(E790="","",IFERROR(IF(INDEX(lst_exp_item_cat,MATCH(E790,lst_exp_items,0))="","❔ Без категории",INDEX(lst_exp_item_cat,MATCH(E790,lst_exp_items,0))),"❔ Без категории"))</f>
        <v/>
      </c>
      <c r="G790" s="43" t="n"/>
      <c r="H790" s="56" t="n"/>
      <c r="I790" s="43" t="n"/>
      <c r="J790" s="57">
        <f>IF(OR(A790="",H790=""),"",IF(COUNTIFS(exp_year,C790,exp_month,D790,exp_item,E790,exp_status,"&lt;&gt;❌ Отменено")&gt;0,1,0))</f>
        <v/>
      </c>
    </row>
    <row r="791">
      <c r="A791" s="52" t="n"/>
      <c r="B791" s="53">
        <f>IF(A791="","",CHOOSE(WEEKDAY(A791,2),"Пн","Вт","Ср","Чт","Пт","Сб","Вс"))</f>
        <v/>
      </c>
      <c r="C791" s="53">
        <f>IF(A791="","",YEAR(A791))</f>
        <v/>
      </c>
      <c r="D791" s="54">
        <f>IF(A791="","",INDEX(lst_months,MONTH(A791)))</f>
        <v/>
      </c>
      <c r="E791" s="55" t="n"/>
      <c r="F791" s="54">
        <f>IF(E791="","",IFERROR(IF(INDEX(lst_exp_item_cat,MATCH(E791,lst_exp_items,0))="","❔ Без категории",INDEX(lst_exp_item_cat,MATCH(E791,lst_exp_items,0))),"❔ Без категории"))</f>
        <v/>
      </c>
      <c r="G791" s="43" t="n"/>
      <c r="H791" s="56" t="n"/>
      <c r="I791" s="43" t="n"/>
      <c r="J791" s="57">
        <f>IF(OR(A791="",H791=""),"",IF(COUNTIFS(exp_year,C791,exp_month,D791,exp_item,E791,exp_status,"&lt;&gt;❌ Отменено")&gt;0,1,0))</f>
        <v/>
      </c>
    </row>
    <row r="792">
      <c r="A792" s="52" t="n"/>
      <c r="B792" s="53">
        <f>IF(A792="","",CHOOSE(WEEKDAY(A792,2),"Пн","Вт","Ср","Чт","Пт","Сб","Вс"))</f>
        <v/>
      </c>
      <c r="C792" s="53">
        <f>IF(A792="","",YEAR(A792))</f>
        <v/>
      </c>
      <c r="D792" s="54">
        <f>IF(A792="","",INDEX(lst_months,MONTH(A792)))</f>
        <v/>
      </c>
      <c r="E792" s="55" t="n"/>
      <c r="F792" s="54">
        <f>IF(E792="","",IFERROR(IF(INDEX(lst_exp_item_cat,MATCH(E792,lst_exp_items,0))="","❔ Без категории",INDEX(lst_exp_item_cat,MATCH(E792,lst_exp_items,0))),"❔ Без категории"))</f>
        <v/>
      </c>
      <c r="G792" s="43" t="n"/>
      <c r="H792" s="56" t="n"/>
      <c r="I792" s="43" t="n"/>
      <c r="J792" s="57">
        <f>IF(OR(A792="",H792=""),"",IF(COUNTIFS(exp_year,C792,exp_month,D792,exp_item,E792,exp_status,"&lt;&gt;❌ Отменено")&gt;0,1,0))</f>
        <v/>
      </c>
    </row>
    <row r="793">
      <c r="A793" s="52" t="n"/>
      <c r="B793" s="53">
        <f>IF(A793="","",CHOOSE(WEEKDAY(A793,2),"Пн","Вт","Ср","Чт","Пт","Сб","Вс"))</f>
        <v/>
      </c>
      <c r="C793" s="53">
        <f>IF(A793="","",YEAR(A793))</f>
        <v/>
      </c>
      <c r="D793" s="54">
        <f>IF(A793="","",INDEX(lst_months,MONTH(A793)))</f>
        <v/>
      </c>
      <c r="E793" s="55" t="n"/>
      <c r="F793" s="54">
        <f>IF(E793="","",IFERROR(IF(INDEX(lst_exp_item_cat,MATCH(E793,lst_exp_items,0))="","❔ Без категории",INDEX(lst_exp_item_cat,MATCH(E793,lst_exp_items,0))),"❔ Без категории"))</f>
        <v/>
      </c>
      <c r="G793" s="43" t="n"/>
      <c r="H793" s="56" t="n"/>
      <c r="I793" s="43" t="n"/>
      <c r="J793" s="57">
        <f>IF(OR(A793="",H793=""),"",IF(COUNTIFS(exp_year,C793,exp_month,D793,exp_item,E793,exp_status,"&lt;&gt;❌ Отменено")&gt;0,1,0))</f>
        <v/>
      </c>
    </row>
    <row r="794">
      <c r="A794" s="52" t="n"/>
      <c r="B794" s="53">
        <f>IF(A794="","",CHOOSE(WEEKDAY(A794,2),"Пн","Вт","Ср","Чт","Пт","Сб","Вс"))</f>
        <v/>
      </c>
      <c r="C794" s="53">
        <f>IF(A794="","",YEAR(A794))</f>
        <v/>
      </c>
      <c r="D794" s="54">
        <f>IF(A794="","",INDEX(lst_months,MONTH(A794)))</f>
        <v/>
      </c>
      <c r="E794" s="55" t="n"/>
      <c r="F794" s="54">
        <f>IF(E794="","",IFERROR(IF(INDEX(lst_exp_item_cat,MATCH(E794,lst_exp_items,0))="","❔ Без категории",INDEX(lst_exp_item_cat,MATCH(E794,lst_exp_items,0))),"❔ Без категории"))</f>
        <v/>
      </c>
      <c r="G794" s="43" t="n"/>
      <c r="H794" s="56" t="n"/>
      <c r="I794" s="43" t="n"/>
      <c r="J794" s="57">
        <f>IF(OR(A794="",H794=""),"",IF(COUNTIFS(exp_year,C794,exp_month,D794,exp_item,E794,exp_status,"&lt;&gt;❌ Отменено")&gt;0,1,0))</f>
        <v/>
      </c>
    </row>
    <row r="795">
      <c r="A795" s="52" t="n"/>
      <c r="B795" s="53">
        <f>IF(A795="","",CHOOSE(WEEKDAY(A795,2),"Пн","Вт","Ср","Чт","Пт","Сб","Вс"))</f>
        <v/>
      </c>
      <c r="C795" s="53">
        <f>IF(A795="","",YEAR(A795))</f>
        <v/>
      </c>
      <c r="D795" s="54">
        <f>IF(A795="","",INDEX(lst_months,MONTH(A795)))</f>
        <v/>
      </c>
      <c r="E795" s="55" t="n"/>
      <c r="F795" s="54">
        <f>IF(E795="","",IFERROR(IF(INDEX(lst_exp_item_cat,MATCH(E795,lst_exp_items,0))="","❔ Без категории",INDEX(lst_exp_item_cat,MATCH(E795,lst_exp_items,0))),"❔ Без категории"))</f>
        <v/>
      </c>
      <c r="G795" s="43" t="n"/>
      <c r="H795" s="56" t="n"/>
      <c r="I795" s="43" t="n"/>
      <c r="J795" s="57">
        <f>IF(OR(A795="",H795=""),"",IF(COUNTIFS(exp_year,C795,exp_month,D795,exp_item,E795,exp_status,"&lt;&gt;❌ Отменено")&gt;0,1,0))</f>
        <v/>
      </c>
    </row>
    <row r="796">
      <c r="A796" s="52" t="n"/>
      <c r="B796" s="53">
        <f>IF(A796="","",CHOOSE(WEEKDAY(A796,2),"Пн","Вт","Ср","Чт","Пт","Сб","Вс"))</f>
        <v/>
      </c>
      <c r="C796" s="53">
        <f>IF(A796="","",YEAR(A796))</f>
        <v/>
      </c>
      <c r="D796" s="54">
        <f>IF(A796="","",INDEX(lst_months,MONTH(A796)))</f>
        <v/>
      </c>
      <c r="E796" s="55" t="n"/>
      <c r="F796" s="54">
        <f>IF(E796="","",IFERROR(IF(INDEX(lst_exp_item_cat,MATCH(E796,lst_exp_items,0))="","❔ Без категории",INDEX(lst_exp_item_cat,MATCH(E796,lst_exp_items,0))),"❔ Без категории"))</f>
        <v/>
      </c>
      <c r="G796" s="43" t="n"/>
      <c r="H796" s="56" t="n"/>
      <c r="I796" s="43" t="n"/>
      <c r="J796" s="57">
        <f>IF(OR(A796="",H796=""),"",IF(COUNTIFS(exp_year,C796,exp_month,D796,exp_item,E796,exp_status,"&lt;&gt;❌ Отменено")&gt;0,1,0))</f>
        <v/>
      </c>
    </row>
    <row r="797">
      <c r="A797" s="52" t="n"/>
      <c r="B797" s="53">
        <f>IF(A797="","",CHOOSE(WEEKDAY(A797,2),"Пн","Вт","Ср","Чт","Пт","Сб","Вс"))</f>
        <v/>
      </c>
      <c r="C797" s="53">
        <f>IF(A797="","",YEAR(A797))</f>
        <v/>
      </c>
      <c r="D797" s="54">
        <f>IF(A797="","",INDEX(lst_months,MONTH(A797)))</f>
        <v/>
      </c>
      <c r="E797" s="55" t="n"/>
      <c r="F797" s="54">
        <f>IF(E797="","",IFERROR(IF(INDEX(lst_exp_item_cat,MATCH(E797,lst_exp_items,0))="","❔ Без категории",INDEX(lst_exp_item_cat,MATCH(E797,lst_exp_items,0))),"❔ Без категории"))</f>
        <v/>
      </c>
      <c r="G797" s="43" t="n"/>
      <c r="H797" s="56" t="n"/>
      <c r="I797" s="43" t="n"/>
      <c r="J797" s="57">
        <f>IF(OR(A797="",H797=""),"",IF(COUNTIFS(exp_year,C797,exp_month,D797,exp_item,E797,exp_status,"&lt;&gt;❌ Отменено")&gt;0,1,0))</f>
        <v/>
      </c>
    </row>
    <row r="798">
      <c r="A798" s="52" t="n"/>
      <c r="B798" s="53">
        <f>IF(A798="","",CHOOSE(WEEKDAY(A798,2),"Пн","Вт","Ср","Чт","Пт","Сб","Вс"))</f>
        <v/>
      </c>
      <c r="C798" s="53">
        <f>IF(A798="","",YEAR(A798))</f>
        <v/>
      </c>
      <c r="D798" s="54">
        <f>IF(A798="","",INDEX(lst_months,MONTH(A798)))</f>
        <v/>
      </c>
      <c r="E798" s="55" t="n"/>
      <c r="F798" s="54">
        <f>IF(E798="","",IFERROR(IF(INDEX(lst_exp_item_cat,MATCH(E798,lst_exp_items,0))="","❔ Без категории",INDEX(lst_exp_item_cat,MATCH(E798,lst_exp_items,0))),"❔ Без категории"))</f>
        <v/>
      </c>
      <c r="G798" s="43" t="n"/>
      <c r="H798" s="56" t="n"/>
      <c r="I798" s="43" t="n"/>
      <c r="J798" s="57">
        <f>IF(OR(A798="",H798=""),"",IF(COUNTIFS(exp_year,C798,exp_month,D798,exp_item,E798,exp_status,"&lt;&gt;❌ Отменено")&gt;0,1,0))</f>
        <v/>
      </c>
    </row>
    <row r="799">
      <c r="A799" s="52" t="n"/>
      <c r="B799" s="53">
        <f>IF(A799="","",CHOOSE(WEEKDAY(A799,2),"Пн","Вт","Ср","Чт","Пт","Сб","Вс"))</f>
        <v/>
      </c>
      <c r="C799" s="53">
        <f>IF(A799="","",YEAR(A799))</f>
        <v/>
      </c>
      <c r="D799" s="54">
        <f>IF(A799="","",INDEX(lst_months,MONTH(A799)))</f>
        <v/>
      </c>
      <c r="E799" s="55" t="n"/>
      <c r="F799" s="54">
        <f>IF(E799="","",IFERROR(IF(INDEX(lst_exp_item_cat,MATCH(E799,lst_exp_items,0))="","❔ Без категории",INDEX(lst_exp_item_cat,MATCH(E799,lst_exp_items,0))),"❔ Без категории"))</f>
        <v/>
      </c>
      <c r="G799" s="43" t="n"/>
      <c r="H799" s="56" t="n"/>
      <c r="I799" s="43" t="n"/>
      <c r="J799" s="57">
        <f>IF(OR(A799="",H799=""),"",IF(COUNTIFS(exp_year,C799,exp_month,D799,exp_item,E799,exp_status,"&lt;&gt;❌ Отменено")&gt;0,1,0))</f>
        <v/>
      </c>
    </row>
    <row r="800">
      <c r="A800" s="52" t="n"/>
      <c r="B800" s="53">
        <f>IF(A800="","",CHOOSE(WEEKDAY(A800,2),"Пн","Вт","Ср","Чт","Пт","Сб","Вс"))</f>
        <v/>
      </c>
      <c r="C800" s="53">
        <f>IF(A800="","",YEAR(A800))</f>
        <v/>
      </c>
      <c r="D800" s="54">
        <f>IF(A800="","",INDEX(lst_months,MONTH(A800)))</f>
        <v/>
      </c>
      <c r="E800" s="55" t="n"/>
      <c r="F800" s="54">
        <f>IF(E800="","",IFERROR(IF(INDEX(lst_exp_item_cat,MATCH(E800,lst_exp_items,0))="","❔ Без категории",INDEX(lst_exp_item_cat,MATCH(E800,lst_exp_items,0))),"❔ Без категории"))</f>
        <v/>
      </c>
      <c r="G800" s="43" t="n"/>
      <c r="H800" s="56" t="n"/>
      <c r="I800" s="43" t="n"/>
      <c r="J800" s="57">
        <f>IF(OR(A800="",H800=""),"",IF(COUNTIFS(exp_year,C800,exp_month,D800,exp_item,E800,exp_status,"&lt;&gt;❌ Отменено")&gt;0,1,0))</f>
        <v/>
      </c>
    </row>
    <row r="801">
      <c r="A801" s="52" t="n"/>
      <c r="B801" s="53">
        <f>IF(A801="","",CHOOSE(WEEKDAY(A801,2),"Пн","Вт","Ср","Чт","Пт","Сб","Вс"))</f>
        <v/>
      </c>
      <c r="C801" s="53">
        <f>IF(A801="","",YEAR(A801))</f>
        <v/>
      </c>
      <c r="D801" s="54">
        <f>IF(A801="","",INDEX(lst_months,MONTH(A801)))</f>
        <v/>
      </c>
      <c r="E801" s="55" t="n"/>
      <c r="F801" s="54">
        <f>IF(E801="","",IFERROR(IF(INDEX(lst_exp_item_cat,MATCH(E801,lst_exp_items,0))="","❔ Без категории",INDEX(lst_exp_item_cat,MATCH(E801,lst_exp_items,0))),"❔ Без категории"))</f>
        <v/>
      </c>
      <c r="G801" s="43" t="n"/>
      <c r="H801" s="56" t="n"/>
      <c r="I801" s="43" t="n"/>
      <c r="J801" s="57">
        <f>IF(OR(A801="",H801=""),"",IF(COUNTIFS(exp_year,C801,exp_month,D801,exp_item,E801,exp_status,"&lt;&gt;❌ Отменено")&gt;0,1,0))</f>
        <v/>
      </c>
    </row>
    <row r="802">
      <c r="A802" s="52" t="n"/>
      <c r="B802" s="53">
        <f>IF(A802="","",CHOOSE(WEEKDAY(A802,2),"Пн","Вт","Ср","Чт","Пт","Сб","Вс"))</f>
        <v/>
      </c>
      <c r="C802" s="53">
        <f>IF(A802="","",YEAR(A802))</f>
        <v/>
      </c>
      <c r="D802" s="54">
        <f>IF(A802="","",INDEX(lst_months,MONTH(A802)))</f>
        <v/>
      </c>
      <c r="E802" s="55" t="n"/>
      <c r="F802" s="54">
        <f>IF(E802="","",IFERROR(IF(INDEX(lst_exp_item_cat,MATCH(E802,lst_exp_items,0))="","❔ Без категории",INDEX(lst_exp_item_cat,MATCH(E802,lst_exp_items,0))),"❔ Без категории"))</f>
        <v/>
      </c>
      <c r="G802" s="43" t="n"/>
      <c r="H802" s="56" t="n"/>
      <c r="I802" s="43" t="n"/>
      <c r="J802" s="57">
        <f>IF(OR(A802="",H802=""),"",IF(COUNTIFS(exp_year,C802,exp_month,D802,exp_item,E802,exp_status,"&lt;&gt;❌ Отменено")&gt;0,1,0))</f>
        <v/>
      </c>
    </row>
    <row r="803">
      <c r="A803" s="52" t="n"/>
      <c r="B803" s="53">
        <f>IF(A803="","",CHOOSE(WEEKDAY(A803,2),"Пн","Вт","Ср","Чт","Пт","Сб","Вс"))</f>
        <v/>
      </c>
      <c r="C803" s="53">
        <f>IF(A803="","",YEAR(A803))</f>
        <v/>
      </c>
      <c r="D803" s="54">
        <f>IF(A803="","",INDEX(lst_months,MONTH(A803)))</f>
        <v/>
      </c>
      <c r="E803" s="55" t="n"/>
      <c r="F803" s="54">
        <f>IF(E803="","",IFERROR(IF(INDEX(lst_exp_item_cat,MATCH(E803,lst_exp_items,0))="","❔ Без категории",INDEX(lst_exp_item_cat,MATCH(E803,lst_exp_items,0))),"❔ Без категории"))</f>
        <v/>
      </c>
      <c r="G803" s="43" t="n"/>
      <c r="H803" s="56" t="n"/>
      <c r="I803" s="43" t="n"/>
      <c r="J803" s="57">
        <f>IF(OR(A803="",H803=""),"",IF(COUNTIFS(exp_year,C803,exp_month,D803,exp_item,E803,exp_status,"&lt;&gt;❌ Отменено")&gt;0,1,0))</f>
        <v/>
      </c>
    </row>
    <row r="804">
      <c r="A804" s="52" t="n"/>
      <c r="B804" s="53">
        <f>IF(A804="","",CHOOSE(WEEKDAY(A804,2),"Пн","Вт","Ср","Чт","Пт","Сб","Вс"))</f>
        <v/>
      </c>
      <c r="C804" s="53">
        <f>IF(A804="","",YEAR(A804))</f>
        <v/>
      </c>
      <c r="D804" s="54">
        <f>IF(A804="","",INDEX(lst_months,MONTH(A804)))</f>
        <v/>
      </c>
      <c r="E804" s="55" t="n"/>
      <c r="F804" s="54">
        <f>IF(E804="","",IFERROR(IF(INDEX(lst_exp_item_cat,MATCH(E804,lst_exp_items,0))="","❔ Без категории",INDEX(lst_exp_item_cat,MATCH(E804,lst_exp_items,0))),"❔ Без категории"))</f>
        <v/>
      </c>
      <c r="G804" s="43" t="n"/>
      <c r="H804" s="56" t="n"/>
      <c r="I804" s="43" t="n"/>
      <c r="J804" s="57">
        <f>IF(OR(A804="",H804=""),"",IF(COUNTIFS(exp_year,C804,exp_month,D804,exp_item,E804,exp_status,"&lt;&gt;❌ Отменено")&gt;0,1,0))</f>
        <v/>
      </c>
    </row>
    <row r="805">
      <c r="A805" s="52" t="n"/>
      <c r="B805" s="53">
        <f>IF(A805="","",CHOOSE(WEEKDAY(A805,2),"Пн","Вт","Ср","Чт","Пт","Сб","Вс"))</f>
        <v/>
      </c>
      <c r="C805" s="53">
        <f>IF(A805="","",YEAR(A805))</f>
        <v/>
      </c>
      <c r="D805" s="54">
        <f>IF(A805="","",INDEX(lst_months,MONTH(A805)))</f>
        <v/>
      </c>
      <c r="E805" s="55" t="n"/>
      <c r="F805" s="54">
        <f>IF(E805="","",IFERROR(IF(INDEX(lst_exp_item_cat,MATCH(E805,lst_exp_items,0))="","❔ Без категории",INDEX(lst_exp_item_cat,MATCH(E805,lst_exp_items,0))),"❔ Без категории"))</f>
        <v/>
      </c>
      <c r="G805" s="43" t="n"/>
      <c r="H805" s="56" t="n"/>
      <c r="I805" s="43" t="n"/>
      <c r="J805" s="57">
        <f>IF(OR(A805="",H805=""),"",IF(COUNTIFS(exp_year,C805,exp_month,D805,exp_item,E805,exp_status,"&lt;&gt;❌ Отменено")&gt;0,1,0))</f>
        <v/>
      </c>
    </row>
    <row r="806">
      <c r="A806" s="52" t="n"/>
      <c r="B806" s="53">
        <f>IF(A806="","",CHOOSE(WEEKDAY(A806,2),"Пн","Вт","Ср","Чт","Пт","Сб","Вс"))</f>
        <v/>
      </c>
      <c r="C806" s="53">
        <f>IF(A806="","",YEAR(A806))</f>
        <v/>
      </c>
      <c r="D806" s="54">
        <f>IF(A806="","",INDEX(lst_months,MONTH(A806)))</f>
        <v/>
      </c>
      <c r="E806" s="55" t="n"/>
      <c r="F806" s="54">
        <f>IF(E806="","",IFERROR(IF(INDEX(lst_exp_item_cat,MATCH(E806,lst_exp_items,0))="","❔ Без категории",INDEX(lst_exp_item_cat,MATCH(E806,lst_exp_items,0))),"❔ Без категории"))</f>
        <v/>
      </c>
      <c r="G806" s="43" t="n"/>
      <c r="H806" s="56" t="n"/>
      <c r="I806" s="43" t="n"/>
      <c r="J806" s="57">
        <f>IF(OR(A806="",H806=""),"",IF(COUNTIFS(exp_year,C806,exp_month,D806,exp_item,E806,exp_status,"&lt;&gt;❌ Отменено")&gt;0,1,0))</f>
        <v/>
      </c>
    </row>
    <row r="807">
      <c r="A807" s="52" t="n"/>
      <c r="B807" s="53">
        <f>IF(A807="","",CHOOSE(WEEKDAY(A807,2),"Пн","Вт","Ср","Чт","Пт","Сб","Вс"))</f>
        <v/>
      </c>
      <c r="C807" s="53">
        <f>IF(A807="","",YEAR(A807))</f>
        <v/>
      </c>
      <c r="D807" s="54">
        <f>IF(A807="","",INDEX(lst_months,MONTH(A807)))</f>
        <v/>
      </c>
      <c r="E807" s="55" t="n"/>
      <c r="F807" s="54">
        <f>IF(E807="","",IFERROR(IF(INDEX(lst_exp_item_cat,MATCH(E807,lst_exp_items,0))="","❔ Без категории",INDEX(lst_exp_item_cat,MATCH(E807,lst_exp_items,0))),"❔ Без категории"))</f>
        <v/>
      </c>
      <c r="G807" s="43" t="n"/>
      <c r="H807" s="56" t="n"/>
      <c r="I807" s="43" t="n"/>
      <c r="J807" s="57">
        <f>IF(OR(A807="",H807=""),"",IF(COUNTIFS(exp_year,C807,exp_month,D807,exp_item,E807,exp_status,"&lt;&gt;❌ Отменено")&gt;0,1,0))</f>
        <v/>
      </c>
    </row>
    <row r="808">
      <c r="A808" s="52" t="n"/>
      <c r="B808" s="53">
        <f>IF(A808="","",CHOOSE(WEEKDAY(A808,2),"Пн","Вт","Ср","Чт","Пт","Сб","Вс"))</f>
        <v/>
      </c>
      <c r="C808" s="53">
        <f>IF(A808="","",YEAR(A808))</f>
        <v/>
      </c>
      <c r="D808" s="54">
        <f>IF(A808="","",INDEX(lst_months,MONTH(A808)))</f>
        <v/>
      </c>
      <c r="E808" s="55" t="n"/>
      <c r="F808" s="54">
        <f>IF(E808="","",IFERROR(IF(INDEX(lst_exp_item_cat,MATCH(E808,lst_exp_items,0))="","❔ Без категории",INDEX(lst_exp_item_cat,MATCH(E808,lst_exp_items,0))),"❔ Без категории"))</f>
        <v/>
      </c>
      <c r="G808" s="43" t="n"/>
      <c r="H808" s="56" t="n"/>
      <c r="I808" s="43" t="n"/>
      <c r="J808" s="57">
        <f>IF(OR(A808="",H808=""),"",IF(COUNTIFS(exp_year,C808,exp_month,D808,exp_item,E808,exp_status,"&lt;&gt;❌ Отменено")&gt;0,1,0))</f>
        <v/>
      </c>
    </row>
    <row r="809">
      <c r="A809" s="52" t="n"/>
      <c r="B809" s="53">
        <f>IF(A809="","",CHOOSE(WEEKDAY(A809,2),"Пн","Вт","Ср","Чт","Пт","Сб","Вс"))</f>
        <v/>
      </c>
      <c r="C809" s="53">
        <f>IF(A809="","",YEAR(A809))</f>
        <v/>
      </c>
      <c r="D809" s="54">
        <f>IF(A809="","",INDEX(lst_months,MONTH(A809)))</f>
        <v/>
      </c>
      <c r="E809" s="55" t="n"/>
      <c r="F809" s="54">
        <f>IF(E809="","",IFERROR(IF(INDEX(lst_exp_item_cat,MATCH(E809,lst_exp_items,0))="","❔ Без категории",INDEX(lst_exp_item_cat,MATCH(E809,lst_exp_items,0))),"❔ Без категории"))</f>
        <v/>
      </c>
      <c r="G809" s="43" t="n"/>
      <c r="H809" s="56" t="n"/>
      <c r="I809" s="43" t="n"/>
      <c r="J809" s="57">
        <f>IF(OR(A809="",H809=""),"",IF(COUNTIFS(exp_year,C809,exp_month,D809,exp_item,E809,exp_status,"&lt;&gt;❌ Отменено")&gt;0,1,0))</f>
        <v/>
      </c>
    </row>
    <row r="810">
      <c r="A810" s="52" t="n"/>
      <c r="B810" s="53">
        <f>IF(A810="","",CHOOSE(WEEKDAY(A810,2),"Пн","Вт","Ср","Чт","Пт","Сб","Вс"))</f>
        <v/>
      </c>
      <c r="C810" s="53">
        <f>IF(A810="","",YEAR(A810))</f>
        <v/>
      </c>
      <c r="D810" s="54">
        <f>IF(A810="","",INDEX(lst_months,MONTH(A810)))</f>
        <v/>
      </c>
      <c r="E810" s="55" t="n"/>
      <c r="F810" s="54">
        <f>IF(E810="","",IFERROR(IF(INDEX(lst_exp_item_cat,MATCH(E810,lst_exp_items,0))="","❔ Без категории",INDEX(lst_exp_item_cat,MATCH(E810,lst_exp_items,0))),"❔ Без категории"))</f>
        <v/>
      </c>
      <c r="G810" s="43" t="n"/>
      <c r="H810" s="56" t="n"/>
      <c r="I810" s="43" t="n"/>
      <c r="J810" s="57">
        <f>IF(OR(A810="",H810=""),"",IF(COUNTIFS(exp_year,C810,exp_month,D810,exp_item,E810,exp_status,"&lt;&gt;❌ Отменено")&gt;0,1,0))</f>
        <v/>
      </c>
    </row>
    <row r="811">
      <c r="A811" s="52" t="n"/>
      <c r="B811" s="53">
        <f>IF(A811="","",CHOOSE(WEEKDAY(A811,2),"Пн","Вт","Ср","Чт","Пт","Сб","Вс"))</f>
        <v/>
      </c>
      <c r="C811" s="53">
        <f>IF(A811="","",YEAR(A811))</f>
        <v/>
      </c>
      <c r="D811" s="54">
        <f>IF(A811="","",INDEX(lst_months,MONTH(A811)))</f>
        <v/>
      </c>
      <c r="E811" s="55" t="n"/>
      <c r="F811" s="54">
        <f>IF(E811="","",IFERROR(IF(INDEX(lst_exp_item_cat,MATCH(E811,lst_exp_items,0))="","❔ Без категории",INDEX(lst_exp_item_cat,MATCH(E811,lst_exp_items,0))),"❔ Без категории"))</f>
        <v/>
      </c>
      <c r="G811" s="43" t="n"/>
      <c r="H811" s="56" t="n"/>
      <c r="I811" s="43" t="n"/>
      <c r="J811" s="57">
        <f>IF(OR(A811="",H811=""),"",IF(COUNTIFS(exp_year,C811,exp_month,D811,exp_item,E811,exp_status,"&lt;&gt;❌ Отменено")&gt;0,1,0))</f>
        <v/>
      </c>
    </row>
    <row r="812">
      <c r="A812" s="52" t="n"/>
      <c r="B812" s="53">
        <f>IF(A812="","",CHOOSE(WEEKDAY(A812,2),"Пн","Вт","Ср","Чт","Пт","Сб","Вс"))</f>
        <v/>
      </c>
      <c r="C812" s="53">
        <f>IF(A812="","",YEAR(A812))</f>
        <v/>
      </c>
      <c r="D812" s="54">
        <f>IF(A812="","",INDEX(lst_months,MONTH(A812)))</f>
        <v/>
      </c>
      <c r="E812" s="55" t="n"/>
      <c r="F812" s="54">
        <f>IF(E812="","",IFERROR(IF(INDEX(lst_exp_item_cat,MATCH(E812,lst_exp_items,0))="","❔ Без категории",INDEX(lst_exp_item_cat,MATCH(E812,lst_exp_items,0))),"❔ Без категории"))</f>
        <v/>
      </c>
      <c r="G812" s="43" t="n"/>
      <c r="H812" s="56" t="n"/>
      <c r="I812" s="43" t="n"/>
      <c r="J812" s="57">
        <f>IF(OR(A812="",H812=""),"",IF(COUNTIFS(exp_year,C812,exp_month,D812,exp_item,E812,exp_status,"&lt;&gt;❌ Отменено")&gt;0,1,0))</f>
        <v/>
      </c>
    </row>
    <row r="813">
      <c r="A813" s="52" t="n"/>
      <c r="B813" s="53">
        <f>IF(A813="","",CHOOSE(WEEKDAY(A813,2),"Пн","Вт","Ср","Чт","Пт","Сб","Вс"))</f>
        <v/>
      </c>
      <c r="C813" s="53">
        <f>IF(A813="","",YEAR(A813))</f>
        <v/>
      </c>
      <c r="D813" s="54">
        <f>IF(A813="","",INDEX(lst_months,MONTH(A813)))</f>
        <v/>
      </c>
      <c r="E813" s="55" t="n"/>
      <c r="F813" s="54">
        <f>IF(E813="","",IFERROR(IF(INDEX(lst_exp_item_cat,MATCH(E813,lst_exp_items,0))="","❔ Без категории",INDEX(lst_exp_item_cat,MATCH(E813,lst_exp_items,0))),"❔ Без категории"))</f>
        <v/>
      </c>
      <c r="G813" s="43" t="n"/>
      <c r="H813" s="56" t="n"/>
      <c r="I813" s="43" t="n"/>
      <c r="J813" s="57">
        <f>IF(OR(A813="",H813=""),"",IF(COUNTIFS(exp_year,C813,exp_month,D813,exp_item,E813,exp_status,"&lt;&gt;❌ Отменено")&gt;0,1,0))</f>
        <v/>
      </c>
    </row>
    <row r="814">
      <c r="A814" s="52" t="n"/>
      <c r="B814" s="53">
        <f>IF(A814="","",CHOOSE(WEEKDAY(A814,2),"Пн","Вт","Ср","Чт","Пт","Сб","Вс"))</f>
        <v/>
      </c>
      <c r="C814" s="53">
        <f>IF(A814="","",YEAR(A814))</f>
        <v/>
      </c>
      <c r="D814" s="54">
        <f>IF(A814="","",INDEX(lst_months,MONTH(A814)))</f>
        <v/>
      </c>
      <c r="E814" s="55" t="n"/>
      <c r="F814" s="54">
        <f>IF(E814="","",IFERROR(IF(INDEX(lst_exp_item_cat,MATCH(E814,lst_exp_items,0))="","❔ Без категории",INDEX(lst_exp_item_cat,MATCH(E814,lst_exp_items,0))),"❔ Без категории"))</f>
        <v/>
      </c>
      <c r="G814" s="43" t="n"/>
      <c r="H814" s="56" t="n"/>
      <c r="I814" s="43" t="n"/>
      <c r="J814" s="57">
        <f>IF(OR(A814="",H814=""),"",IF(COUNTIFS(exp_year,C814,exp_month,D814,exp_item,E814,exp_status,"&lt;&gt;❌ Отменено")&gt;0,1,0))</f>
        <v/>
      </c>
    </row>
    <row r="815">
      <c r="A815" s="52" t="n"/>
      <c r="B815" s="53">
        <f>IF(A815="","",CHOOSE(WEEKDAY(A815,2),"Пн","Вт","Ср","Чт","Пт","Сб","Вс"))</f>
        <v/>
      </c>
      <c r="C815" s="53">
        <f>IF(A815="","",YEAR(A815))</f>
        <v/>
      </c>
      <c r="D815" s="54">
        <f>IF(A815="","",INDEX(lst_months,MONTH(A815)))</f>
        <v/>
      </c>
      <c r="E815" s="55" t="n"/>
      <c r="F815" s="54">
        <f>IF(E815="","",IFERROR(IF(INDEX(lst_exp_item_cat,MATCH(E815,lst_exp_items,0))="","❔ Без категории",INDEX(lst_exp_item_cat,MATCH(E815,lst_exp_items,0))),"❔ Без категории"))</f>
        <v/>
      </c>
      <c r="G815" s="43" t="n"/>
      <c r="H815" s="56" t="n"/>
      <c r="I815" s="43" t="n"/>
      <c r="J815" s="57">
        <f>IF(OR(A815="",H815=""),"",IF(COUNTIFS(exp_year,C815,exp_month,D815,exp_item,E815,exp_status,"&lt;&gt;❌ Отменено")&gt;0,1,0))</f>
        <v/>
      </c>
    </row>
    <row r="816">
      <c r="A816" s="52" t="n"/>
      <c r="B816" s="53">
        <f>IF(A816="","",CHOOSE(WEEKDAY(A816,2),"Пн","Вт","Ср","Чт","Пт","Сб","Вс"))</f>
        <v/>
      </c>
      <c r="C816" s="53">
        <f>IF(A816="","",YEAR(A816))</f>
        <v/>
      </c>
      <c r="D816" s="54">
        <f>IF(A816="","",INDEX(lst_months,MONTH(A816)))</f>
        <v/>
      </c>
      <c r="E816" s="55" t="n"/>
      <c r="F816" s="54">
        <f>IF(E816="","",IFERROR(IF(INDEX(lst_exp_item_cat,MATCH(E816,lst_exp_items,0))="","❔ Без категории",INDEX(lst_exp_item_cat,MATCH(E816,lst_exp_items,0))),"❔ Без категории"))</f>
        <v/>
      </c>
      <c r="G816" s="43" t="n"/>
      <c r="H816" s="56" t="n"/>
      <c r="I816" s="43" t="n"/>
      <c r="J816" s="57">
        <f>IF(OR(A816="",H816=""),"",IF(COUNTIFS(exp_year,C816,exp_month,D816,exp_item,E816,exp_status,"&lt;&gt;❌ Отменено")&gt;0,1,0))</f>
        <v/>
      </c>
    </row>
    <row r="817">
      <c r="A817" s="52" t="n"/>
      <c r="B817" s="53">
        <f>IF(A817="","",CHOOSE(WEEKDAY(A817,2),"Пн","Вт","Ср","Чт","Пт","Сб","Вс"))</f>
        <v/>
      </c>
      <c r="C817" s="53">
        <f>IF(A817="","",YEAR(A817))</f>
        <v/>
      </c>
      <c r="D817" s="54">
        <f>IF(A817="","",INDEX(lst_months,MONTH(A817)))</f>
        <v/>
      </c>
      <c r="E817" s="55" t="n"/>
      <c r="F817" s="54">
        <f>IF(E817="","",IFERROR(IF(INDEX(lst_exp_item_cat,MATCH(E817,lst_exp_items,0))="","❔ Без категории",INDEX(lst_exp_item_cat,MATCH(E817,lst_exp_items,0))),"❔ Без категории"))</f>
        <v/>
      </c>
      <c r="G817" s="43" t="n"/>
      <c r="H817" s="56" t="n"/>
      <c r="I817" s="43" t="n"/>
      <c r="J817" s="57">
        <f>IF(OR(A817="",H817=""),"",IF(COUNTIFS(exp_year,C817,exp_month,D817,exp_item,E817,exp_status,"&lt;&gt;❌ Отменено")&gt;0,1,0))</f>
        <v/>
      </c>
    </row>
    <row r="818">
      <c r="A818" s="52" t="n"/>
      <c r="B818" s="53">
        <f>IF(A818="","",CHOOSE(WEEKDAY(A818,2),"Пн","Вт","Ср","Чт","Пт","Сб","Вс"))</f>
        <v/>
      </c>
      <c r="C818" s="53">
        <f>IF(A818="","",YEAR(A818))</f>
        <v/>
      </c>
      <c r="D818" s="54">
        <f>IF(A818="","",INDEX(lst_months,MONTH(A818)))</f>
        <v/>
      </c>
      <c r="E818" s="55" t="n"/>
      <c r="F818" s="54">
        <f>IF(E818="","",IFERROR(IF(INDEX(lst_exp_item_cat,MATCH(E818,lst_exp_items,0))="","❔ Без категории",INDEX(lst_exp_item_cat,MATCH(E818,lst_exp_items,0))),"❔ Без категории"))</f>
        <v/>
      </c>
      <c r="G818" s="43" t="n"/>
      <c r="H818" s="56" t="n"/>
      <c r="I818" s="43" t="n"/>
      <c r="J818" s="57">
        <f>IF(OR(A818="",H818=""),"",IF(COUNTIFS(exp_year,C818,exp_month,D818,exp_item,E818,exp_status,"&lt;&gt;❌ Отменено")&gt;0,1,0))</f>
        <v/>
      </c>
    </row>
    <row r="819">
      <c r="A819" s="52" t="n"/>
      <c r="B819" s="53">
        <f>IF(A819="","",CHOOSE(WEEKDAY(A819,2),"Пн","Вт","Ср","Чт","Пт","Сб","Вс"))</f>
        <v/>
      </c>
      <c r="C819" s="53">
        <f>IF(A819="","",YEAR(A819))</f>
        <v/>
      </c>
      <c r="D819" s="54">
        <f>IF(A819="","",INDEX(lst_months,MONTH(A819)))</f>
        <v/>
      </c>
      <c r="E819" s="55" t="n"/>
      <c r="F819" s="54">
        <f>IF(E819="","",IFERROR(IF(INDEX(lst_exp_item_cat,MATCH(E819,lst_exp_items,0))="","❔ Без категории",INDEX(lst_exp_item_cat,MATCH(E819,lst_exp_items,0))),"❔ Без категории"))</f>
        <v/>
      </c>
      <c r="G819" s="43" t="n"/>
      <c r="H819" s="56" t="n"/>
      <c r="I819" s="43" t="n"/>
      <c r="J819" s="57">
        <f>IF(OR(A819="",H819=""),"",IF(COUNTIFS(exp_year,C819,exp_month,D819,exp_item,E819,exp_status,"&lt;&gt;❌ Отменено")&gt;0,1,0))</f>
        <v/>
      </c>
    </row>
    <row r="820">
      <c r="A820" s="52" t="n"/>
      <c r="B820" s="53">
        <f>IF(A820="","",CHOOSE(WEEKDAY(A820,2),"Пн","Вт","Ср","Чт","Пт","Сб","Вс"))</f>
        <v/>
      </c>
      <c r="C820" s="53">
        <f>IF(A820="","",YEAR(A820))</f>
        <v/>
      </c>
      <c r="D820" s="54">
        <f>IF(A820="","",INDEX(lst_months,MONTH(A820)))</f>
        <v/>
      </c>
      <c r="E820" s="55" t="n"/>
      <c r="F820" s="54">
        <f>IF(E820="","",IFERROR(IF(INDEX(lst_exp_item_cat,MATCH(E820,lst_exp_items,0))="","❔ Без категории",INDEX(lst_exp_item_cat,MATCH(E820,lst_exp_items,0))),"❔ Без категории"))</f>
        <v/>
      </c>
      <c r="G820" s="43" t="n"/>
      <c r="H820" s="56" t="n"/>
      <c r="I820" s="43" t="n"/>
      <c r="J820" s="57">
        <f>IF(OR(A820="",H820=""),"",IF(COUNTIFS(exp_year,C820,exp_month,D820,exp_item,E820,exp_status,"&lt;&gt;❌ Отменено")&gt;0,1,0))</f>
        <v/>
      </c>
    </row>
    <row r="821">
      <c r="A821" s="52" t="n"/>
      <c r="B821" s="53">
        <f>IF(A821="","",CHOOSE(WEEKDAY(A821,2),"Пн","Вт","Ср","Чт","Пт","Сб","Вс"))</f>
        <v/>
      </c>
      <c r="C821" s="53">
        <f>IF(A821="","",YEAR(A821))</f>
        <v/>
      </c>
      <c r="D821" s="54">
        <f>IF(A821="","",INDEX(lst_months,MONTH(A821)))</f>
        <v/>
      </c>
      <c r="E821" s="55" t="n"/>
      <c r="F821" s="54">
        <f>IF(E821="","",IFERROR(IF(INDEX(lst_exp_item_cat,MATCH(E821,lst_exp_items,0))="","❔ Без категории",INDEX(lst_exp_item_cat,MATCH(E821,lst_exp_items,0))),"❔ Без категории"))</f>
        <v/>
      </c>
      <c r="G821" s="43" t="n"/>
      <c r="H821" s="56" t="n"/>
      <c r="I821" s="43" t="n"/>
      <c r="J821" s="57">
        <f>IF(OR(A821="",H821=""),"",IF(COUNTIFS(exp_year,C821,exp_month,D821,exp_item,E821,exp_status,"&lt;&gt;❌ Отменено")&gt;0,1,0))</f>
        <v/>
      </c>
    </row>
    <row r="822">
      <c r="A822" s="52" t="n"/>
      <c r="B822" s="53">
        <f>IF(A822="","",CHOOSE(WEEKDAY(A822,2),"Пн","Вт","Ср","Чт","Пт","Сб","Вс"))</f>
        <v/>
      </c>
      <c r="C822" s="53">
        <f>IF(A822="","",YEAR(A822))</f>
        <v/>
      </c>
      <c r="D822" s="54">
        <f>IF(A822="","",INDEX(lst_months,MONTH(A822)))</f>
        <v/>
      </c>
      <c r="E822" s="55" t="n"/>
      <c r="F822" s="54">
        <f>IF(E822="","",IFERROR(IF(INDEX(lst_exp_item_cat,MATCH(E822,lst_exp_items,0))="","❔ Без категории",INDEX(lst_exp_item_cat,MATCH(E822,lst_exp_items,0))),"❔ Без категории"))</f>
        <v/>
      </c>
      <c r="G822" s="43" t="n"/>
      <c r="H822" s="56" t="n"/>
      <c r="I822" s="43" t="n"/>
      <c r="J822" s="57">
        <f>IF(OR(A822="",H822=""),"",IF(COUNTIFS(exp_year,C822,exp_month,D822,exp_item,E822,exp_status,"&lt;&gt;❌ Отменено")&gt;0,1,0))</f>
        <v/>
      </c>
    </row>
    <row r="823">
      <c r="A823" s="52" t="n"/>
      <c r="B823" s="53">
        <f>IF(A823="","",CHOOSE(WEEKDAY(A823,2),"Пн","Вт","Ср","Чт","Пт","Сб","Вс"))</f>
        <v/>
      </c>
      <c r="C823" s="53">
        <f>IF(A823="","",YEAR(A823))</f>
        <v/>
      </c>
      <c r="D823" s="54">
        <f>IF(A823="","",INDEX(lst_months,MONTH(A823)))</f>
        <v/>
      </c>
      <c r="E823" s="55" t="n"/>
      <c r="F823" s="54">
        <f>IF(E823="","",IFERROR(IF(INDEX(lst_exp_item_cat,MATCH(E823,lst_exp_items,0))="","❔ Без категории",INDEX(lst_exp_item_cat,MATCH(E823,lst_exp_items,0))),"❔ Без категории"))</f>
        <v/>
      </c>
      <c r="G823" s="43" t="n"/>
      <c r="H823" s="56" t="n"/>
      <c r="I823" s="43" t="n"/>
      <c r="J823" s="57">
        <f>IF(OR(A823="",H823=""),"",IF(COUNTIFS(exp_year,C823,exp_month,D823,exp_item,E823,exp_status,"&lt;&gt;❌ Отменено")&gt;0,1,0))</f>
        <v/>
      </c>
    </row>
    <row r="824">
      <c r="A824" s="52" t="n"/>
      <c r="B824" s="53">
        <f>IF(A824="","",CHOOSE(WEEKDAY(A824,2),"Пн","Вт","Ср","Чт","Пт","Сб","Вс"))</f>
        <v/>
      </c>
      <c r="C824" s="53">
        <f>IF(A824="","",YEAR(A824))</f>
        <v/>
      </c>
      <c r="D824" s="54">
        <f>IF(A824="","",INDEX(lst_months,MONTH(A824)))</f>
        <v/>
      </c>
      <c r="E824" s="55" t="n"/>
      <c r="F824" s="54">
        <f>IF(E824="","",IFERROR(IF(INDEX(lst_exp_item_cat,MATCH(E824,lst_exp_items,0))="","❔ Без категории",INDEX(lst_exp_item_cat,MATCH(E824,lst_exp_items,0))),"❔ Без категории"))</f>
        <v/>
      </c>
      <c r="G824" s="43" t="n"/>
      <c r="H824" s="56" t="n"/>
      <c r="I824" s="43" t="n"/>
      <c r="J824" s="57">
        <f>IF(OR(A824="",H824=""),"",IF(COUNTIFS(exp_year,C824,exp_month,D824,exp_item,E824,exp_status,"&lt;&gt;❌ Отменено")&gt;0,1,0))</f>
        <v/>
      </c>
    </row>
    <row r="825">
      <c r="A825" s="52" t="n"/>
      <c r="B825" s="53">
        <f>IF(A825="","",CHOOSE(WEEKDAY(A825,2),"Пн","Вт","Ср","Чт","Пт","Сб","Вс"))</f>
        <v/>
      </c>
      <c r="C825" s="53">
        <f>IF(A825="","",YEAR(A825))</f>
        <v/>
      </c>
      <c r="D825" s="54">
        <f>IF(A825="","",INDEX(lst_months,MONTH(A825)))</f>
        <v/>
      </c>
      <c r="E825" s="55" t="n"/>
      <c r="F825" s="54">
        <f>IF(E825="","",IFERROR(IF(INDEX(lst_exp_item_cat,MATCH(E825,lst_exp_items,0))="","❔ Без категории",INDEX(lst_exp_item_cat,MATCH(E825,lst_exp_items,0))),"❔ Без категории"))</f>
        <v/>
      </c>
      <c r="G825" s="43" t="n"/>
      <c r="H825" s="56" t="n"/>
      <c r="I825" s="43" t="n"/>
      <c r="J825" s="57">
        <f>IF(OR(A825="",H825=""),"",IF(COUNTIFS(exp_year,C825,exp_month,D825,exp_item,E825,exp_status,"&lt;&gt;❌ Отменено")&gt;0,1,0))</f>
        <v/>
      </c>
    </row>
    <row r="826">
      <c r="A826" s="52" t="n"/>
      <c r="B826" s="53">
        <f>IF(A826="","",CHOOSE(WEEKDAY(A826,2),"Пн","Вт","Ср","Чт","Пт","Сб","Вс"))</f>
        <v/>
      </c>
      <c r="C826" s="53">
        <f>IF(A826="","",YEAR(A826))</f>
        <v/>
      </c>
      <c r="D826" s="54">
        <f>IF(A826="","",INDEX(lst_months,MONTH(A826)))</f>
        <v/>
      </c>
      <c r="E826" s="55" t="n"/>
      <c r="F826" s="54">
        <f>IF(E826="","",IFERROR(IF(INDEX(lst_exp_item_cat,MATCH(E826,lst_exp_items,0))="","❔ Без категории",INDEX(lst_exp_item_cat,MATCH(E826,lst_exp_items,0))),"❔ Без категории"))</f>
        <v/>
      </c>
      <c r="G826" s="43" t="n"/>
      <c r="H826" s="56" t="n"/>
      <c r="I826" s="43" t="n"/>
      <c r="J826" s="57">
        <f>IF(OR(A826="",H826=""),"",IF(COUNTIFS(exp_year,C826,exp_month,D826,exp_item,E826,exp_status,"&lt;&gt;❌ Отменено")&gt;0,1,0))</f>
        <v/>
      </c>
    </row>
    <row r="827">
      <c r="A827" s="52" t="n"/>
      <c r="B827" s="53">
        <f>IF(A827="","",CHOOSE(WEEKDAY(A827,2),"Пн","Вт","Ср","Чт","Пт","Сб","Вс"))</f>
        <v/>
      </c>
      <c r="C827" s="53">
        <f>IF(A827="","",YEAR(A827))</f>
        <v/>
      </c>
      <c r="D827" s="54">
        <f>IF(A827="","",INDEX(lst_months,MONTH(A827)))</f>
        <v/>
      </c>
      <c r="E827" s="55" t="n"/>
      <c r="F827" s="54">
        <f>IF(E827="","",IFERROR(IF(INDEX(lst_exp_item_cat,MATCH(E827,lst_exp_items,0))="","❔ Без категории",INDEX(lst_exp_item_cat,MATCH(E827,lst_exp_items,0))),"❔ Без категории"))</f>
        <v/>
      </c>
      <c r="G827" s="43" t="n"/>
      <c r="H827" s="56" t="n"/>
      <c r="I827" s="43" t="n"/>
      <c r="J827" s="57">
        <f>IF(OR(A827="",H827=""),"",IF(COUNTIFS(exp_year,C827,exp_month,D827,exp_item,E827,exp_status,"&lt;&gt;❌ Отменено")&gt;0,1,0))</f>
        <v/>
      </c>
    </row>
    <row r="828">
      <c r="A828" s="52" t="n"/>
      <c r="B828" s="53">
        <f>IF(A828="","",CHOOSE(WEEKDAY(A828,2),"Пн","Вт","Ср","Чт","Пт","Сб","Вс"))</f>
        <v/>
      </c>
      <c r="C828" s="53">
        <f>IF(A828="","",YEAR(A828))</f>
        <v/>
      </c>
      <c r="D828" s="54">
        <f>IF(A828="","",INDEX(lst_months,MONTH(A828)))</f>
        <v/>
      </c>
      <c r="E828" s="55" t="n"/>
      <c r="F828" s="54">
        <f>IF(E828="","",IFERROR(IF(INDEX(lst_exp_item_cat,MATCH(E828,lst_exp_items,0))="","❔ Без категории",INDEX(lst_exp_item_cat,MATCH(E828,lst_exp_items,0))),"❔ Без категории"))</f>
        <v/>
      </c>
      <c r="G828" s="43" t="n"/>
      <c r="H828" s="56" t="n"/>
      <c r="I828" s="43" t="n"/>
      <c r="J828" s="57">
        <f>IF(OR(A828="",H828=""),"",IF(COUNTIFS(exp_year,C828,exp_month,D828,exp_item,E828,exp_status,"&lt;&gt;❌ Отменено")&gt;0,1,0))</f>
        <v/>
      </c>
    </row>
    <row r="829">
      <c r="A829" s="52" t="n"/>
      <c r="B829" s="53">
        <f>IF(A829="","",CHOOSE(WEEKDAY(A829,2),"Пн","Вт","Ср","Чт","Пт","Сб","Вс"))</f>
        <v/>
      </c>
      <c r="C829" s="53">
        <f>IF(A829="","",YEAR(A829))</f>
        <v/>
      </c>
      <c r="D829" s="54">
        <f>IF(A829="","",INDEX(lst_months,MONTH(A829)))</f>
        <v/>
      </c>
      <c r="E829" s="55" t="n"/>
      <c r="F829" s="54">
        <f>IF(E829="","",IFERROR(IF(INDEX(lst_exp_item_cat,MATCH(E829,lst_exp_items,0))="","❔ Без категории",INDEX(lst_exp_item_cat,MATCH(E829,lst_exp_items,0))),"❔ Без категории"))</f>
        <v/>
      </c>
      <c r="G829" s="43" t="n"/>
      <c r="H829" s="56" t="n"/>
      <c r="I829" s="43" t="n"/>
      <c r="J829" s="57">
        <f>IF(OR(A829="",H829=""),"",IF(COUNTIFS(exp_year,C829,exp_month,D829,exp_item,E829,exp_status,"&lt;&gt;❌ Отменено")&gt;0,1,0))</f>
        <v/>
      </c>
    </row>
    <row r="830">
      <c r="A830" s="52" t="n"/>
      <c r="B830" s="53">
        <f>IF(A830="","",CHOOSE(WEEKDAY(A830,2),"Пн","Вт","Ср","Чт","Пт","Сб","Вс"))</f>
        <v/>
      </c>
      <c r="C830" s="53">
        <f>IF(A830="","",YEAR(A830))</f>
        <v/>
      </c>
      <c r="D830" s="54">
        <f>IF(A830="","",INDEX(lst_months,MONTH(A830)))</f>
        <v/>
      </c>
      <c r="E830" s="55" t="n"/>
      <c r="F830" s="54">
        <f>IF(E830="","",IFERROR(IF(INDEX(lst_exp_item_cat,MATCH(E830,lst_exp_items,0))="","❔ Без категории",INDEX(lst_exp_item_cat,MATCH(E830,lst_exp_items,0))),"❔ Без категории"))</f>
        <v/>
      </c>
      <c r="G830" s="43" t="n"/>
      <c r="H830" s="56" t="n"/>
      <c r="I830" s="43" t="n"/>
      <c r="J830" s="57">
        <f>IF(OR(A830="",H830=""),"",IF(COUNTIFS(exp_year,C830,exp_month,D830,exp_item,E830,exp_status,"&lt;&gt;❌ Отменено")&gt;0,1,0))</f>
        <v/>
      </c>
    </row>
    <row r="831">
      <c r="A831" s="52" t="n"/>
      <c r="B831" s="53">
        <f>IF(A831="","",CHOOSE(WEEKDAY(A831,2),"Пн","Вт","Ср","Чт","Пт","Сб","Вс"))</f>
        <v/>
      </c>
      <c r="C831" s="53">
        <f>IF(A831="","",YEAR(A831))</f>
        <v/>
      </c>
      <c r="D831" s="54">
        <f>IF(A831="","",INDEX(lst_months,MONTH(A831)))</f>
        <v/>
      </c>
      <c r="E831" s="55" t="n"/>
      <c r="F831" s="54">
        <f>IF(E831="","",IFERROR(IF(INDEX(lst_exp_item_cat,MATCH(E831,lst_exp_items,0))="","❔ Без категории",INDEX(lst_exp_item_cat,MATCH(E831,lst_exp_items,0))),"❔ Без категории"))</f>
        <v/>
      </c>
      <c r="G831" s="43" t="n"/>
      <c r="H831" s="56" t="n"/>
      <c r="I831" s="43" t="n"/>
      <c r="J831" s="57">
        <f>IF(OR(A831="",H831=""),"",IF(COUNTIFS(exp_year,C831,exp_month,D831,exp_item,E831,exp_status,"&lt;&gt;❌ Отменено")&gt;0,1,0))</f>
        <v/>
      </c>
    </row>
    <row r="832">
      <c r="A832" s="52" t="n"/>
      <c r="B832" s="53">
        <f>IF(A832="","",CHOOSE(WEEKDAY(A832,2),"Пн","Вт","Ср","Чт","Пт","Сб","Вс"))</f>
        <v/>
      </c>
      <c r="C832" s="53">
        <f>IF(A832="","",YEAR(A832))</f>
        <v/>
      </c>
      <c r="D832" s="54">
        <f>IF(A832="","",INDEX(lst_months,MONTH(A832)))</f>
        <v/>
      </c>
      <c r="E832" s="55" t="n"/>
      <c r="F832" s="54">
        <f>IF(E832="","",IFERROR(IF(INDEX(lst_exp_item_cat,MATCH(E832,lst_exp_items,0))="","❔ Без категории",INDEX(lst_exp_item_cat,MATCH(E832,lst_exp_items,0))),"❔ Без категории"))</f>
        <v/>
      </c>
      <c r="G832" s="43" t="n"/>
      <c r="H832" s="56" t="n"/>
      <c r="I832" s="43" t="n"/>
      <c r="J832" s="57">
        <f>IF(OR(A832="",H832=""),"",IF(COUNTIFS(exp_year,C832,exp_month,D832,exp_item,E832,exp_status,"&lt;&gt;❌ Отменено")&gt;0,1,0))</f>
        <v/>
      </c>
    </row>
    <row r="833">
      <c r="A833" s="52" t="n"/>
      <c r="B833" s="53">
        <f>IF(A833="","",CHOOSE(WEEKDAY(A833,2),"Пн","Вт","Ср","Чт","Пт","Сб","Вс"))</f>
        <v/>
      </c>
      <c r="C833" s="53">
        <f>IF(A833="","",YEAR(A833))</f>
        <v/>
      </c>
      <c r="D833" s="54">
        <f>IF(A833="","",INDEX(lst_months,MONTH(A833)))</f>
        <v/>
      </c>
      <c r="E833" s="55" t="n"/>
      <c r="F833" s="54">
        <f>IF(E833="","",IFERROR(IF(INDEX(lst_exp_item_cat,MATCH(E833,lst_exp_items,0))="","❔ Без категории",INDEX(lst_exp_item_cat,MATCH(E833,lst_exp_items,0))),"❔ Без категории"))</f>
        <v/>
      </c>
      <c r="G833" s="43" t="n"/>
      <c r="H833" s="56" t="n"/>
      <c r="I833" s="43" t="n"/>
      <c r="J833" s="57">
        <f>IF(OR(A833="",H833=""),"",IF(COUNTIFS(exp_year,C833,exp_month,D833,exp_item,E833,exp_status,"&lt;&gt;❌ Отменено")&gt;0,1,0))</f>
        <v/>
      </c>
    </row>
    <row r="834">
      <c r="A834" s="52" t="n"/>
      <c r="B834" s="53">
        <f>IF(A834="","",CHOOSE(WEEKDAY(A834,2),"Пн","Вт","Ср","Чт","Пт","Сб","Вс"))</f>
        <v/>
      </c>
      <c r="C834" s="53">
        <f>IF(A834="","",YEAR(A834))</f>
        <v/>
      </c>
      <c r="D834" s="54">
        <f>IF(A834="","",INDEX(lst_months,MONTH(A834)))</f>
        <v/>
      </c>
      <c r="E834" s="55" t="n"/>
      <c r="F834" s="54">
        <f>IF(E834="","",IFERROR(IF(INDEX(lst_exp_item_cat,MATCH(E834,lst_exp_items,0))="","❔ Без категории",INDEX(lst_exp_item_cat,MATCH(E834,lst_exp_items,0))),"❔ Без категории"))</f>
        <v/>
      </c>
      <c r="G834" s="43" t="n"/>
      <c r="H834" s="56" t="n"/>
      <c r="I834" s="43" t="n"/>
      <c r="J834" s="57">
        <f>IF(OR(A834="",H834=""),"",IF(COUNTIFS(exp_year,C834,exp_month,D834,exp_item,E834,exp_status,"&lt;&gt;❌ Отменено")&gt;0,1,0))</f>
        <v/>
      </c>
    </row>
    <row r="835">
      <c r="A835" s="52" t="n"/>
      <c r="B835" s="53">
        <f>IF(A835="","",CHOOSE(WEEKDAY(A835,2),"Пн","Вт","Ср","Чт","Пт","Сб","Вс"))</f>
        <v/>
      </c>
      <c r="C835" s="53">
        <f>IF(A835="","",YEAR(A835))</f>
        <v/>
      </c>
      <c r="D835" s="54">
        <f>IF(A835="","",INDEX(lst_months,MONTH(A835)))</f>
        <v/>
      </c>
      <c r="E835" s="55" t="n"/>
      <c r="F835" s="54">
        <f>IF(E835="","",IFERROR(IF(INDEX(lst_exp_item_cat,MATCH(E835,lst_exp_items,0))="","❔ Без категории",INDEX(lst_exp_item_cat,MATCH(E835,lst_exp_items,0))),"❔ Без категории"))</f>
        <v/>
      </c>
      <c r="G835" s="43" t="n"/>
      <c r="H835" s="56" t="n"/>
      <c r="I835" s="43" t="n"/>
      <c r="J835" s="57">
        <f>IF(OR(A835="",H835=""),"",IF(COUNTIFS(exp_year,C835,exp_month,D835,exp_item,E835,exp_status,"&lt;&gt;❌ Отменено")&gt;0,1,0))</f>
        <v/>
      </c>
    </row>
    <row r="836">
      <c r="A836" s="52" t="n"/>
      <c r="B836" s="53">
        <f>IF(A836="","",CHOOSE(WEEKDAY(A836,2),"Пн","Вт","Ср","Чт","Пт","Сб","Вс"))</f>
        <v/>
      </c>
      <c r="C836" s="53">
        <f>IF(A836="","",YEAR(A836))</f>
        <v/>
      </c>
      <c r="D836" s="54">
        <f>IF(A836="","",INDEX(lst_months,MONTH(A836)))</f>
        <v/>
      </c>
      <c r="E836" s="55" t="n"/>
      <c r="F836" s="54">
        <f>IF(E836="","",IFERROR(IF(INDEX(lst_exp_item_cat,MATCH(E836,lst_exp_items,0))="","❔ Без категории",INDEX(lst_exp_item_cat,MATCH(E836,lst_exp_items,0))),"❔ Без категории"))</f>
        <v/>
      </c>
      <c r="G836" s="43" t="n"/>
      <c r="H836" s="56" t="n"/>
      <c r="I836" s="43" t="n"/>
      <c r="J836" s="57">
        <f>IF(OR(A836="",H836=""),"",IF(COUNTIFS(exp_year,C836,exp_month,D836,exp_item,E836,exp_status,"&lt;&gt;❌ Отменено")&gt;0,1,0))</f>
        <v/>
      </c>
    </row>
    <row r="837">
      <c r="A837" s="52" t="n"/>
      <c r="B837" s="53">
        <f>IF(A837="","",CHOOSE(WEEKDAY(A837,2),"Пн","Вт","Ср","Чт","Пт","Сб","Вс"))</f>
        <v/>
      </c>
      <c r="C837" s="53">
        <f>IF(A837="","",YEAR(A837))</f>
        <v/>
      </c>
      <c r="D837" s="54">
        <f>IF(A837="","",INDEX(lst_months,MONTH(A837)))</f>
        <v/>
      </c>
      <c r="E837" s="55" t="n"/>
      <c r="F837" s="54">
        <f>IF(E837="","",IFERROR(IF(INDEX(lst_exp_item_cat,MATCH(E837,lst_exp_items,0))="","❔ Без категории",INDEX(lst_exp_item_cat,MATCH(E837,lst_exp_items,0))),"❔ Без категории"))</f>
        <v/>
      </c>
      <c r="G837" s="43" t="n"/>
      <c r="H837" s="56" t="n"/>
      <c r="I837" s="43" t="n"/>
      <c r="J837" s="57">
        <f>IF(OR(A837="",H837=""),"",IF(COUNTIFS(exp_year,C837,exp_month,D837,exp_item,E837,exp_status,"&lt;&gt;❌ Отменено")&gt;0,1,0))</f>
        <v/>
      </c>
    </row>
    <row r="838">
      <c r="A838" s="52" t="n"/>
      <c r="B838" s="53">
        <f>IF(A838="","",CHOOSE(WEEKDAY(A838,2),"Пн","Вт","Ср","Чт","Пт","Сб","Вс"))</f>
        <v/>
      </c>
      <c r="C838" s="53">
        <f>IF(A838="","",YEAR(A838))</f>
        <v/>
      </c>
      <c r="D838" s="54">
        <f>IF(A838="","",INDEX(lst_months,MONTH(A838)))</f>
        <v/>
      </c>
      <c r="E838" s="55" t="n"/>
      <c r="F838" s="54">
        <f>IF(E838="","",IFERROR(IF(INDEX(lst_exp_item_cat,MATCH(E838,lst_exp_items,0))="","❔ Без категории",INDEX(lst_exp_item_cat,MATCH(E838,lst_exp_items,0))),"❔ Без категории"))</f>
        <v/>
      </c>
      <c r="G838" s="43" t="n"/>
      <c r="H838" s="56" t="n"/>
      <c r="I838" s="43" t="n"/>
      <c r="J838" s="57">
        <f>IF(OR(A838="",H838=""),"",IF(COUNTIFS(exp_year,C838,exp_month,D838,exp_item,E838,exp_status,"&lt;&gt;❌ Отменено")&gt;0,1,0))</f>
        <v/>
      </c>
    </row>
    <row r="839">
      <c r="A839" s="52" t="n"/>
      <c r="B839" s="53">
        <f>IF(A839="","",CHOOSE(WEEKDAY(A839,2),"Пн","Вт","Ср","Чт","Пт","Сб","Вс"))</f>
        <v/>
      </c>
      <c r="C839" s="53">
        <f>IF(A839="","",YEAR(A839))</f>
        <v/>
      </c>
      <c r="D839" s="54">
        <f>IF(A839="","",INDEX(lst_months,MONTH(A839)))</f>
        <v/>
      </c>
      <c r="E839" s="55" t="n"/>
      <c r="F839" s="54">
        <f>IF(E839="","",IFERROR(IF(INDEX(lst_exp_item_cat,MATCH(E839,lst_exp_items,0))="","❔ Без категории",INDEX(lst_exp_item_cat,MATCH(E839,lst_exp_items,0))),"❔ Без категории"))</f>
        <v/>
      </c>
      <c r="G839" s="43" t="n"/>
      <c r="H839" s="56" t="n"/>
      <c r="I839" s="43" t="n"/>
      <c r="J839" s="57">
        <f>IF(OR(A839="",H839=""),"",IF(COUNTIFS(exp_year,C839,exp_month,D839,exp_item,E839,exp_status,"&lt;&gt;❌ Отменено")&gt;0,1,0))</f>
        <v/>
      </c>
    </row>
    <row r="840">
      <c r="A840" s="52" t="n"/>
      <c r="B840" s="53">
        <f>IF(A840="","",CHOOSE(WEEKDAY(A840,2),"Пн","Вт","Ср","Чт","Пт","Сб","Вс"))</f>
        <v/>
      </c>
      <c r="C840" s="53">
        <f>IF(A840="","",YEAR(A840))</f>
        <v/>
      </c>
      <c r="D840" s="54">
        <f>IF(A840="","",INDEX(lst_months,MONTH(A840)))</f>
        <v/>
      </c>
      <c r="E840" s="55" t="n"/>
      <c r="F840" s="54">
        <f>IF(E840="","",IFERROR(IF(INDEX(lst_exp_item_cat,MATCH(E840,lst_exp_items,0))="","❔ Без категории",INDEX(lst_exp_item_cat,MATCH(E840,lst_exp_items,0))),"❔ Без категории"))</f>
        <v/>
      </c>
      <c r="G840" s="43" t="n"/>
      <c r="H840" s="56" t="n"/>
      <c r="I840" s="43" t="n"/>
      <c r="J840" s="57">
        <f>IF(OR(A840="",H840=""),"",IF(COUNTIFS(exp_year,C840,exp_month,D840,exp_item,E840,exp_status,"&lt;&gt;❌ Отменено")&gt;0,1,0))</f>
        <v/>
      </c>
    </row>
    <row r="841">
      <c r="A841" s="52" t="n"/>
      <c r="B841" s="53">
        <f>IF(A841="","",CHOOSE(WEEKDAY(A841,2),"Пн","Вт","Ср","Чт","Пт","Сб","Вс"))</f>
        <v/>
      </c>
      <c r="C841" s="53">
        <f>IF(A841="","",YEAR(A841))</f>
        <v/>
      </c>
      <c r="D841" s="54">
        <f>IF(A841="","",INDEX(lst_months,MONTH(A841)))</f>
        <v/>
      </c>
      <c r="E841" s="55" t="n"/>
      <c r="F841" s="54">
        <f>IF(E841="","",IFERROR(IF(INDEX(lst_exp_item_cat,MATCH(E841,lst_exp_items,0))="","❔ Без категории",INDEX(lst_exp_item_cat,MATCH(E841,lst_exp_items,0))),"❔ Без категории"))</f>
        <v/>
      </c>
      <c r="G841" s="43" t="n"/>
      <c r="H841" s="56" t="n"/>
      <c r="I841" s="43" t="n"/>
      <c r="J841" s="57">
        <f>IF(OR(A841="",H841=""),"",IF(COUNTIFS(exp_year,C841,exp_month,D841,exp_item,E841,exp_status,"&lt;&gt;❌ Отменено")&gt;0,1,0))</f>
        <v/>
      </c>
    </row>
    <row r="842">
      <c r="A842" s="52" t="n"/>
      <c r="B842" s="53">
        <f>IF(A842="","",CHOOSE(WEEKDAY(A842,2),"Пн","Вт","Ср","Чт","Пт","Сб","Вс"))</f>
        <v/>
      </c>
      <c r="C842" s="53">
        <f>IF(A842="","",YEAR(A842))</f>
        <v/>
      </c>
      <c r="D842" s="54">
        <f>IF(A842="","",INDEX(lst_months,MONTH(A842)))</f>
        <v/>
      </c>
      <c r="E842" s="55" t="n"/>
      <c r="F842" s="54">
        <f>IF(E842="","",IFERROR(IF(INDEX(lst_exp_item_cat,MATCH(E842,lst_exp_items,0))="","❔ Без категории",INDEX(lst_exp_item_cat,MATCH(E842,lst_exp_items,0))),"❔ Без категории"))</f>
        <v/>
      </c>
      <c r="G842" s="43" t="n"/>
      <c r="H842" s="56" t="n"/>
      <c r="I842" s="43" t="n"/>
      <c r="J842" s="57">
        <f>IF(OR(A842="",H842=""),"",IF(COUNTIFS(exp_year,C842,exp_month,D842,exp_item,E842,exp_status,"&lt;&gt;❌ Отменено")&gt;0,1,0))</f>
        <v/>
      </c>
    </row>
    <row r="843">
      <c r="A843" s="52" t="n"/>
      <c r="B843" s="53">
        <f>IF(A843="","",CHOOSE(WEEKDAY(A843,2),"Пн","Вт","Ср","Чт","Пт","Сб","Вс"))</f>
        <v/>
      </c>
      <c r="C843" s="53">
        <f>IF(A843="","",YEAR(A843))</f>
        <v/>
      </c>
      <c r="D843" s="54">
        <f>IF(A843="","",INDEX(lst_months,MONTH(A843)))</f>
        <v/>
      </c>
      <c r="E843" s="55" t="n"/>
      <c r="F843" s="54">
        <f>IF(E843="","",IFERROR(IF(INDEX(lst_exp_item_cat,MATCH(E843,lst_exp_items,0))="","❔ Без категории",INDEX(lst_exp_item_cat,MATCH(E843,lst_exp_items,0))),"❔ Без категории"))</f>
        <v/>
      </c>
      <c r="G843" s="43" t="n"/>
      <c r="H843" s="56" t="n"/>
      <c r="I843" s="43" t="n"/>
      <c r="J843" s="57">
        <f>IF(OR(A843="",H843=""),"",IF(COUNTIFS(exp_year,C843,exp_month,D843,exp_item,E843,exp_status,"&lt;&gt;❌ Отменено")&gt;0,1,0))</f>
        <v/>
      </c>
    </row>
    <row r="844">
      <c r="A844" s="52" t="n"/>
      <c r="B844" s="53">
        <f>IF(A844="","",CHOOSE(WEEKDAY(A844,2),"Пн","Вт","Ср","Чт","Пт","Сб","Вс"))</f>
        <v/>
      </c>
      <c r="C844" s="53">
        <f>IF(A844="","",YEAR(A844))</f>
        <v/>
      </c>
      <c r="D844" s="54">
        <f>IF(A844="","",INDEX(lst_months,MONTH(A844)))</f>
        <v/>
      </c>
      <c r="E844" s="55" t="n"/>
      <c r="F844" s="54">
        <f>IF(E844="","",IFERROR(IF(INDEX(lst_exp_item_cat,MATCH(E844,lst_exp_items,0))="","❔ Без категории",INDEX(lst_exp_item_cat,MATCH(E844,lst_exp_items,0))),"❔ Без категории"))</f>
        <v/>
      </c>
      <c r="G844" s="43" t="n"/>
      <c r="H844" s="56" t="n"/>
      <c r="I844" s="43" t="n"/>
      <c r="J844" s="57">
        <f>IF(OR(A844="",H844=""),"",IF(COUNTIFS(exp_year,C844,exp_month,D844,exp_item,E844,exp_status,"&lt;&gt;❌ Отменено")&gt;0,1,0))</f>
        <v/>
      </c>
    </row>
    <row r="845">
      <c r="A845" s="52" t="n"/>
      <c r="B845" s="53">
        <f>IF(A845="","",CHOOSE(WEEKDAY(A845,2),"Пн","Вт","Ср","Чт","Пт","Сб","Вс"))</f>
        <v/>
      </c>
      <c r="C845" s="53">
        <f>IF(A845="","",YEAR(A845))</f>
        <v/>
      </c>
      <c r="D845" s="54">
        <f>IF(A845="","",INDEX(lst_months,MONTH(A845)))</f>
        <v/>
      </c>
      <c r="E845" s="55" t="n"/>
      <c r="F845" s="54">
        <f>IF(E845="","",IFERROR(IF(INDEX(lst_exp_item_cat,MATCH(E845,lst_exp_items,0))="","❔ Без категории",INDEX(lst_exp_item_cat,MATCH(E845,lst_exp_items,0))),"❔ Без категории"))</f>
        <v/>
      </c>
      <c r="G845" s="43" t="n"/>
      <c r="H845" s="56" t="n"/>
      <c r="I845" s="43" t="n"/>
      <c r="J845" s="57">
        <f>IF(OR(A845="",H845=""),"",IF(COUNTIFS(exp_year,C845,exp_month,D845,exp_item,E845,exp_status,"&lt;&gt;❌ Отменено")&gt;0,1,0))</f>
        <v/>
      </c>
    </row>
    <row r="846">
      <c r="A846" s="52" t="n"/>
      <c r="B846" s="53">
        <f>IF(A846="","",CHOOSE(WEEKDAY(A846,2),"Пн","Вт","Ср","Чт","Пт","Сб","Вс"))</f>
        <v/>
      </c>
      <c r="C846" s="53">
        <f>IF(A846="","",YEAR(A846))</f>
        <v/>
      </c>
      <c r="D846" s="54">
        <f>IF(A846="","",INDEX(lst_months,MONTH(A846)))</f>
        <v/>
      </c>
      <c r="E846" s="55" t="n"/>
      <c r="F846" s="54">
        <f>IF(E846="","",IFERROR(IF(INDEX(lst_exp_item_cat,MATCH(E846,lst_exp_items,0))="","❔ Без категории",INDEX(lst_exp_item_cat,MATCH(E846,lst_exp_items,0))),"❔ Без категории"))</f>
        <v/>
      </c>
      <c r="G846" s="43" t="n"/>
      <c r="H846" s="56" t="n"/>
      <c r="I846" s="43" t="n"/>
      <c r="J846" s="57">
        <f>IF(OR(A846="",H846=""),"",IF(COUNTIFS(exp_year,C846,exp_month,D846,exp_item,E846,exp_status,"&lt;&gt;❌ Отменено")&gt;0,1,0))</f>
        <v/>
      </c>
    </row>
    <row r="847">
      <c r="A847" s="52" t="n"/>
      <c r="B847" s="53">
        <f>IF(A847="","",CHOOSE(WEEKDAY(A847,2),"Пн","Вт","Ср","Чт","Пт","Сб","Вс"))</f>
        <v/>
      </c>
      <c r="C847" s="53">
        <f>IF(A847="","",YEAR(A847))</f>
        <v/>
      </c>
      <c r="D847" s="54">
        <f>IF(A847="","",INDEX(lst_months,MONTH(A847)))</f>
        <v/>
      </c>
      <c r="E847" s="55" t="n"/>
      <c r="F847" s="54">
        <f>IF(E847="","",IFERROR(IF(INDEX(lst_exp_item_cat,MATCH(E847,lst_exp_items,0))="","❔ Без категории",INDEX(lst_exp_item_cat,MATCH(E847,lst_exp_items,0))),"❔ Без категории"))</f>
        <v/>
      </c>
      <c r="G847" s="43" t="n"/>
      <c r="H847" s="56" t="n"/>
      <c r="I847" s="43" t="n"/>
      <c r="J847" s="57">
        <f>IF(OR(A847="",H847=""),"",IF(COUNTIFS(exp_year,C847,exp_month,D847,exp_item,E847,exp_status,"&lt;&gt;❌ Отменено")&gt;0,1,0))</f>
        <v/>
      </c>
    </row>
    <row r="848">
      <c r="A848" s="52" t="n"/>
      <c r="B848" s="53">
        <f>IF(A848="","",CHOOSE(WEEKDAY(A848,2),"Пн","Вт","Ср","Чт","Пт","Сб","Вс"))</f>
        <v/>
      </c>
      <c r="C848" s="53">
        <f>IF(A848="","",YEAR(A848))</f>
        <v/>
      </c>
      <c r="D848" s="54">
        <f>IF(A848="","",INDEX(lst_months,MONTH(A848)))</f>
        <v/>
      </c>
      <c r="E848" s="55" t="n"/>
      <c r="F848" s="54">
        <f>IF(E848="","",IFERROR(IF(INDEX(lst_exp_item_cat,MATCH(E848,lst_exp_items,0))="","❔ Без категории",INDEX(lst_exp_item_cat,MATCH(E848,lst_exp_items,0))),"❔ Без категории"))</f>
        <v/>
      </c>
      <c r="G848" s="43" t="n"/>
      <c r="H848" s="56" t="n"/>
      <c r="I848" s="43" t="n"/>
      <c r="J848" s="57">
        <f>IF(OR(A848="",H848=""),"",IF(COUNTIFS(exp_year,C848,exp_month,D848,exp_item,E848,exp_status,"&lt;&gt;❌ Отменено")&gt;0,1,0))</f>
        <v/>
      </c>
    </row>
    <row r="849">
      <c r="A849" s="52" t="n"/>
      <c r="B849" s="53">
        <f>IF(A849="","",CHOOSE(WEEKDAY(A849,2),"Пн","Вт","Ср","Чт","Пт","Сб","Вс"))</f>
        <v/>
      </c>
      <c r="C849" s="53">
        <f>IF(A849="","",YEAR(A849))</f>
        <v/>
      </c>
      <c r="D849" s="54">
        <f>IF(A849="","",INDEX(lst_months,MONTH(A849)))</f>
        <v/>
      </c>
      <c r="E849" s="55" t="n"/>
      <c r="F849" s="54">
        <f>IF(E849="","",IFERROR(IF(INDEX(lst_exp_item_cat,MATCH(E849,lst_exp_items,0))="","❔ Без категории",INDEX(lst_exp_item_cat,MATCH(E849,lst_exp_items,0))),"❔ Без категории"))</f>
        <v/>
      </c>
      <c r="G849" s="43" t="n"/>
      <c r="H849" s="56" t="n"/>
      <c r="I849" s="43" t="n"/>
      <c r="J849" s="57">
        <f>IF(OR(A849="",H849=""),"",IF(COUNTIFS(exp_year,C849,exp_month,D849,exp_item,E849,exp_status,"&lt;&gt;❌ Отменено")&gt;0,1,0))</f>
        <v/>
      </c>
    </row>
    <row r="850">
      <c r="A850" s="52" t="n"/>
      <c r="B850" s="53">
        <f>IF(A850="","",CHOOSE(WEEKDAY(A850,2),"Пн","Вт","Ср","Чт","Пт","Сб","Вс"))</f>
        <v/>
      </c>
      <c r="C850" s="53">
        <f>IF(A850="","",YEAR(A850))</f>
        <v/>
      </c>
      <c r="D850" s="54">
        <f>IF(A850="","",INDEX(lst_months,MONTH(A850)))</f>
        <v/>
      </c>
      <c r="E850" s="55" t="n"/>
      <c r="F850" s="54">
        <f>IF(E850="","",IFERROR(IF(INDEX(lst_exp_item_cat,MATCH(E850,lst_exp_items,0))="","❔ Без категории",INDEX(lst_exp_item_cat,MATCH(E850,lst_exp_items,0))),"❔ Без категории"))</f>
        <v/>
      </c>
      <c r="G850" s="43" t="n"/>
      <c r="H850" s="56" t="n"/>
      <c r="I850" s="43" t="n"/>
      <c r="J850" s="57">
        <f>IF(OR(A850="",H850=""),"",IF(COUNTIFS(exp_year,C850,exp_month,D850,exp_item,E850,exp_status,"&lt;&gt;❌ Отменено")&gt;0,1,0))</f>
        <v/>
      </c>
    </row>
    <row r="851">
      <c r="A851" s="52" t="n"/>
      <c r="B851" s="53">
        <f>IF(A851="","",CHOOSE(WEEKDAY(A851,2),"Пн","Вт","Ср","Чт","Пт","Сб","Вс"))</f>
        <v/>
      </c>
      <c r="C851" s="53">
        <f>IF(A851="","",YEAR(A851))</f>
        <v/>
      </c>
      <c r="D851" s="54">
        <f>IF(A851="","",INDEX(lst_months,MONTH(A851)))</f>
        <v/>
      </c>
      <c r="E851" s="55" t="n"/>
      <c r="F851" s="54">
        <f>IF(E851="","",IFERROR(IF(INDEX(lst_exp_item_cat,MATCH(E851,lst_exp_items,0))="","❔ Без категории",INDEX(lst_exp_item_cat,MATCH(E851,lst_exp_items,0))),"❔ Без категории"))</f>
        <v/>
      </c>
      <c r="G851" s="43" t="n"/>
      <c r="H851" s="56" t="n"/>
      <c r="I851" s="43" t="n"/>
      <c r="J851" s="57">
        <f>IF(OR(A851="",H851=""),"",IF(COUNTIFS(exp_year,C851,exp_month,D851,exp_item,E851,exp_status,"&lt;&gt;❌ Отменено")&gt;0,1,0))</f>
        <v/>
      </c>
    </row>
    <row r="852">
      <c r="A852" s="52" t="n"/>
      <c r="B852" s="53">
        <f>IF(A852="","",CHOOSE(WEEKDAY(A852,2),"Пн","Вт","Ср","Чт","Пт","Сб","Вс"))</f>
        <v/>
      </c>
      <c r="C852" s="53">
        <f>IF(A852="","",YEAR(A852))</f>
        <v/>
      </c>
      <c r="D852" s="54">
        <f>IF(A852="","",INDEX(lst_months,MONTH(A852)))</f>
        <v/>
      </c>
      <c r="E852" s="55" t="n"/>
      <c r="F852" s="54">
        <f>IF(E852="","",IFERROR(IF(INDEX(lst_exp_item_cat,MATCH(E852,lst_exp_items,0))="","❔ Без категории",INDEX(lst_exp_item_cat,MATCH(E852,lst_exp_items,0))),"❔ Без категории"))</f>
        <v/>
      </c>
      <c r="G852" s="43" t="n"/>
      <c r="H852" s="56" t="n"/>
      <c r="I852" s="43" t="n"/>
      <c r="J852" s="57">
        <f>IF(OR(A852="",H852=""),"",IF(COUNTIFS(exp_year,C852,exp_month,D852,exp_item,E852,exp_status,"&lt;&gt;❌ Отменено")&gt;0,1,0))</f>
        <v/>
      </c>
    </row>
    <row r="853">
      <c r="A853" s="52" t="n"/>
      <c r="B853" s="53">
        <f>IF(A853="","",CHOOSE(WEEKDAY(A853,2),"Пн","Вт","Ср","Чт","Пт","Сб","Вс"))</f>
        <v/>
      </c>
      <c r="C853" s="53">
        <f>IF(A853="","",YEAR(A853))</f>
        <v/>
      </c>
      <c r="D853" s="54">
        <f>IF(A853="","",INDEX(lst_months,MONTH(A853)))</f>
        <v/>
      </c>
      <c r="E853" s="55" t="n"/>
      <c r="F853" s="54">
        <f>IF(E853="","",IFERROR(IF(INDEX(lst_exp_item_cat,MATCH(E853,lst_exp_items,0))="","❔ Без категории",INDEX(lst_exp_item_cat,MATCH(E853,lst_exp_items,0))),"❔ Без категории"))</f>
        <v/>
      </c>
      <c r="G853" s="43" t="n"/>
      <c r="H853" s="56" t="n"/>
      <c r="I853" s="43" t="n"/>
      <c r="J853" s="57">
        <f>IF(OR(A853="",H853=""),"",IF(COUNTIFS(exp_year,C853,exp_month,D853,exp_item,E853,exp_status,"&lt;&gt;❌ Отменено")&gt;0,1,0))</f>
        <v/>
      </c>
    </row>
    <row r="854">
      <c r="A854" s="52" t="n"/>
      <c r="B854" s="53">
        <f>IF(A854="","",CHOOSE(WEEKDAY(A854,2),"Пн","Вт","Ср","Чт","Пт","Сб","Вс"))</f>
        <v/>
      </c>
      <c r="C854" s="53">
        <f>IF(A854="","",YEAR(A854))</f>
        <v/>
      </c>
      <c r="D854" s="54">
        <f>IF(A854="","",INDEX(lst_months,MONTH(A854)))</f>
        <v/>
      </c>
      <c r="E854" s="55" t="n"/>
      <c r="F854" s="54">
        <f>IF(E854="","",IFERROR(IF(INDEX(lst_exp_item_cat,MATCH(E854,lst_exp_items,0))="","❔ Без категории",INDEX(lst_exp_item_cat,MATCH(E854,lst_exp_items,0))),"❔ Без категории"))</f>
        <v/>
      </c>
      <c r="G854" s="43" t="n"/>
      <c r="H854" s="56" t="n"/>
      <c r="I854" s="43" t="n"/>
      <c r="J854" s="57">
        <f>IF(OR(A854="",H854=""),"",IF(COUNTIFS(exp_year,C854,exp_month,D854,exp_item,E854,exp_status,"&lt;&gt;❌ Отменено")&gt;0,1,0))</f>
        <v/>
      </c>
    </row>
    <row r="855">
      <c r="A855" s="52" t="n"/>
      <c r="B855" s="53">
        <f>IF(A855="","",CHOOSE(WEEKDAY(A855,2),"Пн","Вт","Ср","Чт","Пт","Сб","Вс"))</f>
        <v/>
      </c>
      <c r="C855" s="53">
        <f>IF(A855="","",YEAR(A855))</f>
        <v/>
      </c>
      <c r="D855" s="54">
        <f>IF(A855="","",INDEX(lst_months,MONTH(A855)))</f>
        <v/>
      </c>
      <c r="E855" s="55" t="n"/>
      <c r="F855" s="54">
        <f>IF(E855="","",IFERROR(IF(INDEX(lst_exp_item_cat,MATCH(E855,lst_exp_items,0))="","❔ Без категории",INDEX(lst_exp_item_cat,MATCH(E855,lst_exp_items,0))),"❔ Без категории"))</f>
        <v/>
      </c>
      <c r="G855" s="43" t="n"/>
      <c r="H855" s="56" t="n"/>
      <c r="I855" s="43" t="n"/>
      <c r="J855" s="57">
        <f>IF(OR(A855="",H855=""),"",IF(COUNTIFS(exp_year,C855,exp_month,D855,exp_item,E855,exp_status,"&lt;&gt;❌ Отменено")&gt;0,1,0))</f>
        <v/>
      </c>
    </row>
    <row r="856">
      <c r="A856" s="52" t="n"/>
      <c r="B856" s="53">
        <f>IF(A856="","",CHOOSE(WEEKDAY(A856,2),"Пн","Вт","Ср","Чт","Пт","Сб","Вс"))</f>
        <v/>
      </c>
      <c r="C856" s="53">
        <f>IF(A856="","",YEAR(A856))</f>
        <v/>
      </c>
      <c r="D856" s="54">
        <f>IF(A856="","",INDEX(lst_months,MONTH(A856)))</f>
        <v/>
      </c>
      <c r="E856" s="55" t="n"/>
      <c r="F856" s="54">
        <f>IF(E856="","",IFERROR(IF(INDEX(lst_exp_item_cat,MATCH(E856,lst_exp_items,0))="","❔ Без категории",INDEX(lst_exp_item_cat,MATCH(E856,lst_exp_items,0))),"❔ Без категории"))</f>
        <v/>
      </c>
      <c r="G856" s="43" t="n"/>
      <c r="H856" s="56" t="n"/>
      <c r="I856" s="43" t="n"/>
      <c r="J856" s="57">
        <f>IF(OR(A856="",H856=""),"",IF(COUNTIFS(exp_year,C856,exp_month,D856,exp_item,E856,exp_status,"&lt;&gt;❌ Отменено")&gt;0,1,0))</f>
        <v/>
      </c>
    </row>
    <row r="857">
      <c r="A857" s="52" t="n"/>
      <c r="B857" s="53">
        <f>IF(A857="","",CHOOSE(WEEKDAY(A857,2),"Пн","Вт","Ср","Чт","Пт","Сб","Вс"))</f>
        <v/>
      </c>
      <c r="C857" s="53">
        <f>IF(A857="","",YEAR(A857))</f>
        <v/>
      </c>
      <c r="D857" s="54">
        <f>IF(A857="","",INDEX(lst_months,MONTH(A857)))</f>
        <v/>
      </c>
      <c r="E857" s="55" t="n"/>
      <c r="F857" s="54">
        <f>IF(E857="","",IFERROR(IF(INDEX(lst_exp_item_cat,MATCH(E857,lst_exp_items,0))="","❔ Без категории",INDEX(lst_exp_item_cat,MATCH(E857,lst_exp_items,0))),"❔ Без категории"))</f>
        <v/>
      </c>
      <c r="G857" s="43" t="n"/>
      <c r="H857" s="56" t="n"/>
      <c r="I857" s="43" t="n"/>
      <c r="J857" s="57">
        <f>IF(OR(A857="",H857=""),"",IF(COUNTIFS(exp_year,C857,exp_month,D857,exp_item,E857,exp_status,"&lt;&gt;❌ Отменено")&gt;0,1,0))</f>
        <v/>
      </c>
    </row>
    <row r="858">
      <c r="A858" s="52" t="n"/>
      <c r="B858" s="53">
        <f>IF(A858="","",CHOOSE(WEEKDAY(A858,2),"Пн","Вт","Ср","Чт","Пт","Сб","Вс"))</f>
        <v/>
      </c>
      <c r="C858" s="53">
        <f>IF(A858="","",YEAR(A858))</f>
        <v/>
      </c>
      <c r="D858" s="54">
        <f>IF(A858="","",INDEX(lst_months,MONTH(A858)))</f>
        <v/>
      </c>
      <c r="E858" s="55" t="n"/>
      <c r="F858" s="54">
        <f>IF(E858="","",IFERROR(IF(INDEX(lst_exp_item_cat,MATCH(E858,lst_exp_items,0))="","❔ Без категории",INDEX(lst_exp_item_cat,MATCH(E858,lst_exp_items,0))),"❔ Без категории"))</f>
        <v/>
      </c>
      <c r="G858" s="43" t="n"/>
      <c r="H858" s="56" t="n"/>
      <c r="I858" s="43" t="n"/>
      <c r="J858" s="57">
        <f>IF(OR(A858="",H858=""),"",IF(COUNTIFS(exp_year,C858,exp_month,D858,exp_item,E858,exp_status,"&lt;&gt;❌ Отменено")&gt;0,1,0))</f>
        <v/>
      </c>
    </row>
    <row r="859">
      <c r="A859" s="52" t="n"/>
      <c r="B859" s="53">
        <f>IF(A859="","",CHOOSE(WEEKDAY(A859,2),"Пн","Вт","Ср","Чт","Пт","Сб","Вс"))</f>
        <v/>
      </c>
      <c r="C859" s="53">
        <f>IF(A859="","",YEAR(A859))</f>
        <v/>
      </c>
      <c r="D859" s="54">
        <f>IF(A859="","",INDEX(lst_months,MONTH(A859)))</f>
        <v/>
      </c>
      <c r="E859" s="55" t="n"/>
      <c r="F859" s="54">
        <f>IF(E859="","",IFERROR(IF(INDEX(lst_exp_item_cat,MATCH(E859,lst_exp_items,0))="","❔ Без категории",INDEX(lst_exp_item_cat,MATCH(E859,lst_exp_items,0))),"❔ Без категории"))</f>
        <v/>
      </c>
      <c r="G859" s="43" t="n"/>
      <c r="H859" s="56" t="n"/>
      <c r="I859" s="43" t="n"/>
      <c r="J859" s="57">
        <f>IF(OR(A859="",H859=""),"",IF(COUNTIFS(exp_year,C859,exp_month,D859,exp_item,E859,exp_status,"&lt;&gt;❌ Отменено")&gt;0,1,0))</f>
        <v/>
      </c>
    </row>
    <row r="860">
      <c r="A860" s="52" t="n"/>
      <c r="B860" s="53">
        <f>IF(A860="","",CHOOSE(WEEKDAY(A860,2),"Пн","Вт","Ср","Чт","Пт","Сб","Вс"))</f>
        <v/>
      </c>
      <c r="C860" s="53">
        <f>IF(A860="","",YEAR(A860))</f>
        <v/>
      </c>
      <c r="D860" s="54">
        <f>IF(A860="","",INDEX(lst_months,MONTH(A860)))</f>
        <v/>
      </c>
      <c r="E860" s="55" t="n"/>
      <c r="F860" s="54">
        <f>IF(E860="","",IFERROR(IF(INDEX(lst_exp_item_cat,MATCH(E860,lst_exp_items,0))="","❔ Без категории",INDEX(lst_exp_item_cat,MATCH(E860,lst_exp_items,0))),"❔ Без категории"))</f>
        <v/>
      </c>
      <c r="G860" s="43" t="n"/>
      <c r="H860" s="56" t="n"/>
      <c r="I860" s="43" t="n"/>
      <c r="J860" s="57">
        <f>IF(OR(A860="",H860=""),"",IF(COUNTIFS(exp_year,C860,exp_month,D860,exp_item,E860,exp_status,"&lt;&gt;❌ Отменено")&gt;0,1,0))</f>
        <v/>
      </c>
    </row>
    <row r="861">
      <c r="A861" s="52" t="n"/>
      <c r="B861" s="53">
        <f>IF(A861="","",CHOOSE(WEEKDAY(A861,2),"Пн","Вт","Ср","Чт","Пт","Сб","Вс"))</f>
        <v/>
      </c>
      <c r="C861" s="53">
        <f>IF(A861="","",YEAR(A861))</f>
        <v/>
      </c>
      <c r="D861" s="54">
        <f>IF(A861="","",INDEX(lst_months,MONTH(A861)))</f>
        <v/>
      </c>
      <c r="E861" s="55" t="n"/>
      <c r="F861" s="54">
        <f>IF(E861="","",IFERROR(IF(INDEX(lst_exp_item_cat,MATCH(E861,lst_exp_items,0))="","❔ Без категории",INDEX(lst_exp_item_cat,MATCH(E861,lst_exp_items,0))),"❔ Без категории"))</f>
        <v/>
      </c>
      <c r="G861" s="43" t="n"/>
      <c r="H861" s="56" t="n"/>
      <c r="I861" s="43" t="n"/>
      <c r="J861" s="57">
        <f>IF(OR(A861="",H861=""),"",IF(COUNTIFS(exp_year,C861,exp_month,D861,exp_item,E861,exp_status,"&lt;&gt;❌ Отменено")&gt;0,1,0))</f>
        <v/>
      </c>
    </row>
    <row r="862">
      <c r="A862" s="52" t="n"/>
      <c r="B862" s="53">
        <f>IF(A862="","",CHOOSE(WEEKDAY(A862,2),"Пн","Вт","Ср","Чт","Пт","Сб","Вс"))</f>
        <v/>
      </c>
      <c r="C862" s="53">
        <f>IF(A862="","",YEAR(A862))</f>
        <v/>
      </c>
      <c r="D862" s="54">
        <f>IF(A862="","",INDEX(lst_months,MONTH(A862)))</f>
        <v/>
      </c>
      <c r="E862" s="55" t="n"/>
      <c r="F862" s="54">
        <f>IF(E862="","",IFERROR(IF(INDEX(lst_exp_item_cat,MATCH(E862,lst_exp_items,0))="","❔ Без категории",INDEX(lst_exp_item_cat,MATCH(E862,lst_exp_items,0))),"❔ Без категории"))</f>
        <v/>
      </c>
      <c r="G862" s="43" t="n"/>
      <c r="H862" s="56" t="n"/>
      <c r="I862" s="43" t="n"/>
      <c r="J862" s="57">
        <f>IF(OR(A862="",H862=""),"",IF(COUNTIFS(exp_year,C862,exp_month,D862,exp_item,E862,exp_status,"&lt;&gt;❌ Отменено")&gt;0,1,0))</f>
        <v/>
      </c>
    </row>
    <row r="863">
      <c r="A863" s="52" t="n"/>
      <c r="B863" s="53">
        <f>IF(A863="","",CHOOSE(WEEKDAY(A863,2),"Пн","Вт","Ср","Чт","Пт","Сб","Вс"))</f>
        <v/>
      </c>
      <c r="C863" s="53">
        <f>IF(A863="","",YEAR(A863))</f>
        <v/>
      </c>
      <c r="D863" s="54">
        <f>IF(A863="","",INDEX(lst_months,MONTH(A863)))</f>
        <v/>
      </c>
      <c r="E863" s="55" t="n"/>
      <c r="F863" s="54">
        <f>IF(E863="","",IFERROR(IF(INDEX(lst_exp_item_cat,MATCH(E863,lst_exp_items,0))="","❔ Без категории",INDEX(lst_exp_item_cat,MATCH(E863,lst_exp_items,0))),"❔ Без категории"))</f>
        <v/>
      </c>
      <c r="G863" s="43" t="n"/>
      <c r="H863" s="56" t="n"/>
      <c r="I863" s="43" t="n"/>
      <c r="J863" s="57">
        <f>IF(OR(A863="",H863=""),"",IF(COUNTIFS(exp_year,C863,exp_month,D863,exp_item,E863,exp_status,"&lt;&gt;❌ Отменено")&gt;0,1,0))</f>
        <v/>
      </c>
    </row>
    <row r="864">
      <c r="A864" s="52" t="n"/>
      <c r="B864" s="53">
        <f>IF(A864="","",CHOOSE(WEEKDAY(A864,2),"Пн","Вт","Ср","Чт","Пт","Сб","Вс"))</f>
        <v/>
      </c>
      <c r="C864" s="53">
        <f>IF(A864="","",YEAR(A864))</f>
        <v/>
      </c>
      <c r="D864" s="54">
        <f>IF(A864="","",INDEX(lst_months,MONTH(A864)))</f>
        <v/>
      </c>
      <c r="E864" s="55" t="n"/>
      <c r="F864" s="54">
        <f>IF(E864="","",IFERROR(IF(INDEX(lst_exp_item_cat,MATCH(E864,lst_exp_items,0))="","❔ Без категории",INDEX(lst_exp_item_cat,MATCH(E864,lst_exp_items,0))),"❔ Без категории"))</f>
        <v/>
      </c>
      <c r="G864" s="43" t="n"/>
      <c r="H864" s="56" t="n"/>
      <c r="I864" s="43" t="n"/>
      <c r="J864" s="57">
        <f>IF(OR(A864="",H864=""),"",IF(COUNTIFS(exp_year,C864,exp_month,D864,exp_item,E864,exp_status,"&lt;&gt;❌ Отменено")&gt;0,1,0))</f>
        <v/>
      </c>
    </row>
    <row r="865">
      <c r="A865" s="52" t="n"/>
      <c r="B865" s="53">
        <f>IF(A865="","",CHOOSE(WEEKDAY(A865,2),"Пн","Вт","Ср","Чт","Пт","Сб","Вс"))</f>
        <v/>
      </c>
      <c r="C865" s="53">
        <f>IF(A865="","",YEAR(A865))</f>
        <v/>
      </c>
      <c r="D865" s="54">
        <f>IF(A865="","",INDEX(lst_months,MONTH(A865)))</f>
        <v/>
      </c>
      <c r="E865" s="55" t="n"/>
      <c r="F865" s="54">
        <f>IF(E865="","",IFERROR(IF(INDEX(lst_exp_item_cat,MATCH(E865,lst_exp_items,0))="","❔ Без категории",INDEX(lst_exp_item_cat,MATCH(E865,lst_exp_items,0))),"❔ Без категории"))</f>
        <v/>
      </c>
      <c r="G865" s="43" t="n"/>
      <c r="H865" s="56" t="n"/>
      <c r="I865" s="43" t="n"/>
      <c r="J865" s="57">
        <f>IF(OR(A865="",H865=""),"",IF(COUNTIFS(exp_year,C865,exp_month,D865,exp_item,E865,exp_status,"&lt;&gt;❌ Отменено")&gt;0,1,0))</f>
        <v/>
      </c>
    </row>
    <row r="866">
      <c r="A866" s="52" t="n"/>
      <c r="B866" s="53">
        <f>IF(A866="","",CHOOSE(WEEKDAY(A866,2),"Пн","Вт","Ср","Чт","Пт","Сб","Вс"))</f>
        <v/>
      </c>
      <c r="C866" s="53">
        <f>IF(A866="","",YEAR(A866))</f>
        <v/>
      </c>
      <c r="D866" s="54">
        <f>IF(A866="","",INDEX(lst_months,MONTH(A866)))</f>
        <v/>
      </c>
      <c r="E866" s="55" t="n"/>
      <c r="F866" s="54">
        <f>IF(E866="","",IFERROR(IF(INDEX(lst_exp_item_cat,MATCH(E866,lst_exp_items,0))="","❔ Без категории",INDEX(lst_exp_item_cat,MATCH(E866,lst_exp_items,0))),"❔ Без категории"))</f>
        <v/>
      </c>
      <c r="G866" s="43" t="n"/>
      <c r="H866" s="56" t="n"/>
      <c r="I866" s="43" t="n"/>
      <c r="J866" s="57">
        <f>IF(OR(A866="",H866=""),"",IF(COUNTIFS(exp_year,C866,exp_month,D866,exp_item,E866,exp_status,"&lt;&gt;❌ Отменено")&gt;0,1,0))</f>
        <v/>
      </c>
    </row>
    <row r="867">
      <c r="A867" s="52" t="n"/>
      <c r="B867" s="53">
        <f>IF(A867="","",CHOOSE(WEEKDAY(A867,2),"Пн","Вт","Ср","Чт","Пт","Сб","Вс"))</f>
        <v/>
      </c>
      <c r="C867" s="53">
        <f>IF(A867="","",YEAR(A867))</f>
        <v/>
      </c>
      <c r="D867" s="54">
        <f>IF(A867="","",INDEX(lst_months,MONTH(A867)))</f>
        <v/>
      </c>
      <c r="E867" s="55" t="n"/>
      <c r="F867" s="54">
        <f>IF(E867="","",IFERROR(IF(INDEX(lst_exp_item_cat,MATCH(E867,lst_exp_items,0))="","❔ Без категории",INDEX(lst_exp_item_cat,MATCH(E867,lst_exp_items,0))),"❔ Без категории"))</f>
        <v/>
      </c>
      <c r="G867" s="43" t="n"/>
      <c r="H867" s="56" t="n"/>
      <c r="I867" s="43" t="n"/>
      <c r="J867" s="57">
        <f>IF(OR(A867="",H867=""),"",IF(COUNTIFS(exp_year,C867,exp_month,D867,exp_item,E867,exp_status,"&lt;&gt;❌ Отменено")&gt;0,1,0))</f>
        <v/>
      </c>
    </row>
    <row r="868">
      <c r="A868" s="52" t="n"/>
      <c r="B868" s="53">
        <f>IF(A868="","",CHOOSE(WEEKDAY(A868,2),"Пн","Вт","Ср","Чт","Пт","Сб","Вс"))</f>
        <v/>
      </c>
      <c r="C868" s="53">
        <f>IF(A868="","",YEAR(A868))</f>
        <v/>
      </c>
      <c r="D868" s="54">
        <f>IF(A868="","",INDEX(lst_months,MONTH(A868)))</f>
        <v/>
      </c>
      <c r="E868" s="55" t="n"/>
      <c r="F868" s="54">
        <f>IF(E868="","",IFERROR(IF(INDEX(lst_exp_item_cat,MATCH(E868,lst_exp_items,0))="","❔ Без категории",INDEX(lst_exp_item_cat,MATCH(E868,lst_exp_items,0))),"❔ Без категории"))</f>
        <v/>
      </c>
      <c r="G868" s="43" t="n"/>
      <c r="H868" s="56" t="n"/>
      <c r="I868" s="43" t="n"/>
      <c r="J868" s="57">
        <f>IF(OR(A868="",H868=""),"",IF(COUNTIFS(exp_year,C868,exp_month,D868,exp_item,E868,exp_status,"&lt;&gt;❌ Отменено")&gt;0,1,0))</f>
        <v/>
      </c>
    </row>
    <row r="869">
      <c r="A869" s="52" t="n"/>
      <c r="B869" s="53">
        <f>IF(A869="","",CHOOSE(WEEKDAY(A869,2),"Пн","Вт","Ср","Чт","Пт","Сб","Вс"))</f>
        <v/>
      </c>
      <c r="C869" s="53">
        <f>IF(A869="","",YEAR(A869))</f>
        <v/>
      </c>
      <c r="D869" s="54">
        <f>IF(A869="","",INDEX(lst_months,MONTH(A869)))</f>
        <v/>
      </c>
      <c r="E869" s="55" t="n"/>
      <c r="F869" s="54">
        <f>IF(E869="","",IFERROR(IF(INDEX(lst_exp_item_cat,MATCH(E869,lst_exp_items,0))="","❔ Без категории",INDEX(lst_exp_item_cat,MATCH(E869,lst_exp_items,0))),"❔ Без категории"))</f>
        <v/>
      </c>
      <c r="G869" s="43" t="n"/>
      <c r="H869" s="56" t="n"/>
      <c r="I869" s="43" t="n"/>
      <c r="J869" s="57">
        <f>IF(OR(A869="",H869=""),"",IF(COUNTIFS(exp_year,C869,exp_month,D869,exp_item,E869,exp_status,"&lt;&gt;❌ Отменено")&gt;0,1,0))</f>
        <v/>
      </c>
    </row>
    <row r="870">
      <c r="A870" s="52" t="n"/>
      <c r="B870" s="53">
        <f>IF(A870="","",CHOOSE(WEEKDAY(A870,2),"Пн","Вт","Ср","Чт","Пт","Сб","Вс"))</f>
        <v/>
      </c>
      <c r="C870" s="53">
        <f>IF(A870="","",YEAR(A870))</f>
        <v/>
      </c>
      <c r="D870" s="54">
        <f>IF(A870="","",INDEX(lst_months,MONTH(A870)))</f>
        <v/>
      </c>
      <c r="E870" s="55" t="n"/>
      <c r="F870" s="54">
        <f>IF(E870="","",IFERROR(IF(INDEX(lst_exp_item_cat,MATCH(E870,lst_exp_items,0))="","❔ Без категории",INDEX(lst_exp_item_cat,MATCH(E870,lst_exp_items,0))),"❔ Без категории"))</f>
        <v/>
      </c>
      <c r="G870" s="43" t="n"/>
      <c r="H870" s="56" t="n"/>
      <c r="I870" s="43" t="n"/>
      <c r="J870" s="57">
        <f>IF(OR(A870="",H870=""),"",IF(COUNTIFS(exp_year,C870,exp_month,D870,exp_item,E870,exp_status,"&lt;&gt;❌ Отменено")&gt;0,1,0))</f>
        <v/>
      </c>
    </row>
    <row r="871">
      <c r="A871" s="52" t="n"/>
      <c r="B871" s="53">
        <f>IF(A871="","",CHOOSE(WEEKDAY(A871,2),"Пн","Вт","Ср","Чт","Пт","Сб","Вс"))</f>
        <v/>
      </c>
      <c r="C871" s="53">
        <f>IF(A871="","",YEAR(A871))</f>
        <v/>
      </c>
      <c r="D871" s="54">
        <f>IF(A871="","",INDEX(lst_months,MONTH(A871)))</f>
        <v/>
      </c>
      <c r="E871" s="55" t="n"/>
      <c r="F871" s="54">
        <f>IF(E871="","",IFERROR(IF(INDEX(lst_exp_item_cat,MATCH(E871,lst_exp_items,0))="","❔ Без категории",INDEX(lst_exp_item_cat,MATCH(E871,lst_exp_items,0))),"❔ Без категории"))</f>
        <v/>
      </c>
      <c r="G871" s="43" t="n"/>
      <c r="H871" s="56" t="n"/>
      <c r="I871" s="43" t="n"/>
      <c r="J871" s="57">
        <f>IF(OR(A871="",H871=""),"",IF(COUNTIFS(exp_year,C871,exp_month,D871,exp_item,E871,exp_status,"&lt;&gt;❌ Отменено")&gt;0,1,0))</f>
        <v/>
      </c>
    </row>
    <row r="872">
      <c r="A872" s="52" t="n"/>
      <c r="B872" s="53">
        <f>IF(A872="","",CHOOSE(WEEKDAY(A872,2),"Пн","Вт","Ср","Чт","Пт","Сб","Вс"))</f>
        <v/>
      </c>
      <c r="C872" s="53">
        <f>IF(A872="","",YEAR(A872))</f>
        <v/>
      </c>
      <c r="D872" s="54">
        <f>IF(A872="","",INDEX(lst_months,MONTH(A872)))</f>
        <v/>
      </c>
      <c r="E872" s="55" t="n"/>
      <c r="F872" s="54">
        <f>IF(E872="","",IFERROR(IF(INDEX(lst_exp_item_cat,MATCH(E872,lst_exp_items,0))="","❔ Без категории",INDEX(lst_exp_item_cat,MATCH(E872,lst_exp_items,0))),"❔ Без категории"))</f>
        <v/>
      </c>
      <c r="G872" s="43" t="n"/>
      <c r="H872" s="56" t="n"/>
      <c r="I872" s="43" t="n"/>
      <c r="J872" s="57">
        <f>IF(OR(A872="",H872=""),"",IF(COUNTIFS(exp_year,C872,exp_month,D872,exp_item,E872,exp_status,"&lt;&gt;❌ Отменено")&gt;0,1,0))</f>
        <v/>
      </c>
    </row>
    <row r="873">
      <c r="A873" s="52" t="n"/>
      <c r="B873" s="53">
        <f>IF(A873="","",CHOOSE(WEEKDAY(A873,2),"Пн","Вт","Ср","Чт","Пт","Сб","Вс"))</f>
        <v/>
      </c>
      <c r="C873" s="53">
        <f>IF(A873="","",YEAR(A873))</f>
        <v/>
      </c>
      <c r="D873" s="54">
        <f>IF(A873="","",INDEX(lst_months,MONTH(A873)))</f>
        <v/>
      </c>
      <c r="E873" s="55" t="n"/>
      <c r="F873" s="54">
        <f>IF(E873="","",IFERROR(IF(INDEX(lst_exp_item_cat,MATCH(E873,lst_exp_items,0))="","❔ Без категории",INDEX(lst_exp_item_cat,MATCH(E873,lst_exp_items,0))),"❔ Без категории"))</f>
        <v/>
      </c>
      <c r="G873" s="43" t="n"/>
      <c r="H873" s="56" t="n"/>
      <c r="I873" s="43" t="n"/>
      <c r="J873" s="57">
        <f>IF(OR(A873="",H873=""),"",IF(COUNTIFS(exp_year,C873,exp_month,D873,exp_item,E873,exp_status,"&lt;&gt;❌ Отменено")&gt;0,1,0))</f>
        <v/>
      </c>
    </row>
    <row r="874">
      <c r="A874" s="52" t="n"/>
      <c r="B874" s="53">
        <f>IF(A874="","",CHOOSE(WEEKDAY(A874,2),"Пн","Вт","Ср","Чт","Пт","Сб","Вс"))</f>
        <v/>
      </c>
      <c r="C874" s="53">
        <f>IF(A874="","",YEAR(A874))</f>
        <v/>
      </c>
      <c r="D874" s="54">
        <f>IF(A874="","",INDEX(lst_months,MONTH(A874)))</f>
        <v/>
      </c>
      <c r="E874" s="55" t="n"/>
      <c r="F874" s="54">
        <f>IF(E874="","",IFERROR(IF(INDEX(lst_exp_item_cat,MATCH(E874,lst_exp_items,0))="","❔ Без категории",INDEX(lst_exp_item_cat,MATCH(E874,lst_exp_items,0))),"❔ Без категории"))</f>
        <v/>
      </c>
      <c r="G874" s="43" t="n"/>
      <c r="H874" s="56" t="n"/>
      <c r="I874" s="43" t="n"/>
      <c r="J874" s="57">
        <f>IF(OR(A874="",H874=""),"",IF(COUNTIFS(exp_year,C874,exp_month,D874,exp_item,E874,exp_status,"&lt;&gt;❌ Отменено")&gt;0,1,0))</f>
        <v/>
      </c>
    </row>
    <row r="875">
      <c r="A875" s="52" t="n"/>
      <c r="B875" s="53">
        <f>IF(A875="","",CHOOSE(WEEKDAY(A875,2),"Пн","Вт","Ср","Чт","Пт","Сб","Вс"))</f>
        <v/>
      </c>
      <c r="C875" s="53">
        <f>IF(A875="","",YEAR(A875))</f>
        <v/>
      </c>
      <c r="D875" s="54">
        <f>IF(A875="","",INDEX(lst_months,MONTH(A875)))</f>
        <v/>
      </c>
      <c r="E875" s="55" t="n"/>
      <c r="F875" s="54">
        <f>IF(E875="","",IFERROR(IF(INDEX(lst_exp_item_cat,MATCH(E875,lst_exp_items,0))="","❔ Без категории",INDEX(lst_exp_item_cat,MATCH(E875,lst_exp_items,0))),"❔ Без категории"))</f>
        <v/>
      </c>
      <c r="G875" s="43" t="n"/>
      <c r="H875" s="56" t="n"/>
      <c r="I875" s="43" t="n"/>
      <c r="J875" s="57">
        <f>IF(OR(A875="",H875=""),"",IF(COUNTIFS(exp_year,C875,exp_month,D875,exp_item,E875,exp_status,"&lt;&gt;❌ Отменено")&gt;0,1,0))</f>
        <v/>
      </c>
    </row>
    <row r="876">
      <c r="A876" s="52" t="n"/>
      <c r="B876" s="53">
        <f>IF(A876="","",CHOOSE(WEEKDAY(A876,2),"Пн","Вт","Ср","Чт","Пт","Сб","Вс"))</f>
        <v/>
      </c>
      <c r="C876" s="53">
        <f>IF(A876="","",YEAR(A876))</f>
        <v/>
      </c>
      <c r="D876" s="54">
        <f>IF(A876="","",INDEX(lst_months,MONTH(A876)))</f>
        <v/>
      </c>
      <c r="E876" s="55" t="n"/>
      <c r="F876" s="54">
        <f>IF(E876="","",IFERROR(IF(INDEX(lst_exp_item_cat,MATCH(E876,lst_exp_items,0))="","❔ Без категории",INDEX(lst_exp_item_cat,MATCH(E876,lst_exp_items,0))),"❔ Без категории"))</f>
        <v/>
      </c>
      <c r="G876" s="43" t="n"/>
      <c r="H876" s="56" t="n"/>
      <c r="I876" s="43" t="n"/>
      <c r="J876" s="57">
        <f>IF(OR(A876="",H876=""),"",IF(COUNTIFS(exp_year,C876,exp_month,D876,exp_item,E876,exp_status,"&lt;&gt;❌ Отменено")&gt;0,1,0))</f>
        <v/>
      </c>
    </row>
    <row r="877">
      <c r="A877" s="52" t="n"/>
      <c r="B877" s="53">
        <f>IF(A877="","",CHOOSE(WEEKDAY(A877,2),"Пн","Вт","Ср","Чт","Пт","Сб","Вс"))</f>
        <v/>
      </c>
      <c r="C877" s="53">
        <f>IF(A877="","",YEAR(A877))</f>
        <v/>
      </c>
      <c r="D877" s="54">
        <f>IF(A877="","",INDEX(lst_months,MONTH(A877)))</f>
        <v/>
      </c>
      <c r="E877" s="55" t="n"/>
      <c r="F877" s="54">
        <f>IF(E877="","",IFERROR(IF(INDEX(lst_exp_item_cat,MATCH(E877,lst_exp_items,0))="","❔ Без категории",INDEX(lst_exp_item_cat,MATCH(E877,lst_exp_items,0))),"❔ Без категории"))</f>
        <v/>
      </c>
      <c r="G877" s="43" t="n"/>
      <c r="H877" s="56" t="n"/>
      <c r="I877" s="43" t="n"/>
      <c r="J877" s="57">
        <f>IF(OR(A877="",H877=""),"",IF(COUNTIFS(exp_year,C877,exp_month,D877,exp_item,E877,exp_status,"&lt;&gt;❌ Отменено")&gt;0,1,0))</f>
        <v/>
      </c>
    </row>
    <row r="878">
      <c r="A878" s="52" t="n"/>
      <c r="B878" s="53">
        <f>IF(A878="","",CHOOSE(WEEKDAY(A878,2),"Пн","Вт","Ср","Чт","Пт","Сб","Вс"))</f>
        <v/>
      </c>
      <c r="C878" s="53">
        <f>IF(A878="","",YEAR(A878))</f>
        <v/>
      </c>
      <c r="D878" s="54">
        <f>IF(A878="","",INDEX(lst_months,MONTH(A878)))</f>
        <v/>
      </c>
      <c r="E878" s="55" t="n"/>
      <c r="F878" s="54">
        <f>IF(E878="","",IFERROR(IF(INDEX(lst_exp_item_cat,MATCH(E878,lst_exp_items,0))="","❔ Без категории",INDEX(lst_exp_item_cat,MATCH(E878,lst_exp_items,0))),"❔ Без категории"))</f>
        <v/>
      </c>
      <c r="G878" s="43" t="n"/>
      <c r="H878" s="56" t="n"/>
      <c r="I878" s="43" t="n"/>
      <c r="J878" s="57">
        <f>IF(OR(A878="",H878=""),"",IF(COUNTIFS(exp_year,C878,exp_month,D878,exp_item,E878,exp_status,"&lt;&gt;❌ Отменено")&gt;0,1,0))</f>
        <v/>
      </c>
    </row>
    <row r="879">
      <c r="A879" s="52" t="n"/>
      <c r="B879" s="53">
        <f>IF(A879="","",CHOOSE(WEEKDAY(A879,2),"Пн","Вт","Ср","Чт","Пт","Сб","Вс"))</f>
        <v/>
      </c>
      <c r="C879" s="53">
        <f>IF(A879="","",YEAR(A879))</f>
        <v/>
      </c>
      <c r="D879" s="54">
        <f>IF(A879="","",INDEX(lst_months,MONTH(A879)))</f>
        <v/>
      </c>
      <c r="E879" s="55" t="n"/>
      <c r="F879" s="54">
        <f>IF(E879="","",IFERROR(IF(INDEX(lst_exp_item_cat,MATCH(E879,lst_exp_items,0))="","❔ Без категории",INDEX(lst_exp_item_cat,MATCH(E879,lst_exp_items,0))),"❔ Без категории"))</f>
        <v/>
      </c>
      <c r="G879" s="43" t="n"/>
      <c r="H879" s="56" t="n"/>
      <c r="I879" s="43" t="n"/>
      <c r="J879" s="57">
        <f>IF(OR(A879="",H879=""),"",IF(COUNTIFS(exp_year,C879,exp_month,D879,exp_item,E879,exp_status,"&lt;&gt;❌ Отменено")&gt;0,1,0))</f>
        <v/>
      </c>
    </row>
    <row r="880">
      <c r="A880" s="52" t="n"/>
      <c r="B880" s="53">
        <f>IF(A880="","",CHOOSE(WEEKDAY(A880,2),"Пн","Вт","Ср","Чт","Пт","Сб","Вс"))</f>
        <v/>
      </c>
      <c r="C880" s="53">
        <f>IF(A880="","",YEAR(A880))</f>
        <v/>
      </c>
      <c r="D880" s="54">
        <f>IF(A880="","",INDEX(lst_months,MONTH(A880)))</f>
        <v/>
      </c>
      <c r="E880" s="55" t="n"/>
      <c r="F880" s="54">
        <f>IF(E880="","",IFERROR(IF(INDEX(lst_exp_item_cat,MATCH(E880,lst_exp_items,0))="","❔ Без категории",INDEX(lst_exp_item_cat,MATCH(E880,lst_exp_items,0))),"❔ Без категории"))</f>
        <v/>
      </c>
      <c r="G880" s="43" t="n"/>
      <c r="H880" s="56" t="n"/>
      <c r="I880" s="43" t="n"/>
      <c r="J880" s="57">
        <f>IF(OR(A880="",H880=""),"",IF(COUNTIFS(exp_year,C880,exp_month,D880,exp_item,E880,exp_status,"&lt;&gt;❌ Отменено")&gt;0,1,0))</f>
        <v/>
      </c>
    </row>
    <row r="881">
      <c r="A881" s="52" t="n"/>
      <c r="B881" s="53">
        <f>IF(A881="","",CHOOSE(WEEKDAY(A881,2),"Пн","Вт","Ср","Чт","Пт","Сб","Вс"))</f>
        <v/>
      </c>
      <c r="C881" s="53">
        <f>IF(A881="","",YEAR(A881))</f>
        <v/>
      </c>
      <c r="D881" s="54">
        <f>IF(A881="","",INDEX(lst_months,MONTH(A881)))</f>
        <v/>
      </c>
      <c r="E881" s="55" t="n"/>
      <c r="F881" s="54">
        <f>IF(E881="","",IFERROR(IF(INDEX(lst_exp_item_cat,MATCH(E881,lst_exp_items,0))="","❔ Без категории",INDEX(lst_exp_item_cat,MATCH(E881,lst_exp_items,0))),"❔ Без категории"))</f>
        <v/>
      </c>
      <c r="G881" s="43" t="n"/>
      <c r="H881" s="56" t="n"/>
      <c r="I881" s="43" t="n"/>
      <c r="J881" s="57">
        <f>IF(OR(A881="",H881=""),"",IF(COUNTIFS(exp_year,C881,exp_month,D881,exp_item,E881,exp_status,"&lt;&gt;❌ Отменено")&gt;0,1,0))</f>
        <v/>
      </c>
    </row>
    <row r="882">
      <c r="A882" s="52" t="n"/>
      <c r="B882" s="53">
        <f>IF(A882="","",CHOOSE(WEEKDAY(A882,2),"Пн","Вт","Ср","Чт","Пт","Сб","Вс"))</f>
        <v/>
      </c>
      <c r="C882" s="53">
        <f>IF(A882="","",YEAR(A882))</f>
        <v/>
      </c>
      <c r="D882" s="54">
        <f>IF(A882="","",INDEX(lst_months,MONTH(A882)))</f>
        <v/>
      </c>
      <c r="E882" s="55" t="n"/>
      <c r="F882" s="54">
        <f>IF(E882="","",IFERROR(IF(INDEX(lst_exp_item_cat,MATCH(E882,lst_exp_items,0))="","❔ Без категории",INDEX(lst_exp_item_cat,MATCH(E882,lst_exp_items,0))),"❔ Без категории"))</f>
        <v/>
      </c>
      <c r="G882" s="43" t="n"/>
      <c r="H882" s="56" t="n"/>
      <c r="I882" s="43" t="n"/>
      <c r="J882" s="57">
        <f>IF(OR(A882="",H882=""),"",IF(COUNTIFS(exp_year,C882,exp_month,D882,exp_item,E882,exp_status,"&lt;&gt;❌ Отменено")&gt;0,1,0))</f>
        <v/>
      </c>
    </row>
    <row r="883">
      <c r="A883" s="52" t="n"/>
      <c r="B883" s="53">
        <f>IF(A883="","",CHOOSE(WEEKDAY(A883,2),"Пн","Вт","Ср","Чт","Пт","Сб","Вс"))</f>
        <v/>
      </c>
      <c r="C883" s="53">
        <f>IF(A883="","",YEAR(A883))</f>
        <v/>
      </c>
      <c r="D883" s="54">
        <f>IF(A883="","",INDEX(lst_months,MONTH(A883)))</f>
        <v/>
      </c>
      <c r="E883" s="55" t="n"/>
      <c r="F883" s="54">
        <f>IF(E883="","",IFERROR(IF(INDEX(lst_exp_item_cat,MATCH(E883,lst_exp_items,0))="","❔ Без категории",INDEX(lst_exp_item_cat,MATCH(E883,lst_exp_items,0))),"❔ Без категории"))</f>
        <v/>
      </c>
      <c r="G883" s="43" t="n"/>
      <c r="H883" s="56" t="n"/>
      <c r="I883" s="43" t="n"/>
      <c r="J883" s="57">
        <f>IF(OR(A883="",H883=""),"",IF(COUNTIFS(exp_year,C883,exp_month,D883,exp_item,E883,exp_status,"&lt;&gt;❌ Отменено")&gt;0,1,0))</f>
        <v/>
      </c>
    </row>
    <row r="884">
      <c r="A884" s="52" t="n"/>
      <c r="B884" s="53">
        <f>IF(A884="","",CHOOSE(WEEKDAY(A884,2),"Пн","Вт","Ср","Чт","Пт","Сб","Вс"))</f>
        <v/>
      </c>
      <c r="C884" s="53">
        <f>IF(A884="","",YEAR(A884))</f>
        <v/>
      </c>
      <c r="D884" s="54">
        <f>IF(A884="","",INDEX(lst_months,MONTH(A884)))</f>
        <v/>
      </c>
      <c r="E884" s="55" t="n"/>
      <c r="F884" s="54">
        <f>IF(E884="","",IFERROR(IF(INDEX(lst_exp_item_cat,MATCH(E884,lst_exp_items,0))="","❔ Без категории",INDEX(lst_exp_item_cat,MATCH(E884,lst_exp_items,0))),"❔ Без категории"))</f>
        <v/>
      </c>
      <c r="G884" s="43" t="n"/>
      <c r="H884" s="56" t="n"/>
      <c r="I884" s="43" t="n"/>
      <c r="J884" s="57">
        <f>IF(OR(A884="",H884=""),"",IF(COUNTIFS(exp_year,C884,exp_month,D884,exp_item,E884,exp_status,"&lt;&gt;❌ Отменено")&gt;0,1,0))</f>
        <v/>
      </c>
    </row>
    <row r="885">
      <c r="A885" s="52" t="n"/>
      <c r="B885" s="53">
        <f>IF(A885="","",CHOOSE(WEEKDAY(A885,2),"Пн","Вт","Ср","Чт","Пт","Сб","Вс"))</f>
        <v/>
      </c>
      <c r="C885" s="53">
        <f>IF(A885="","",YEAR(A885))</f>
        <v/>
      </c>
      <c r="D885" s="54">
        <f>IF(A885="","",INDEX(lst_months,MONTH(A885)))</f>
        <v/>
      </c>
      <c r="E885" s="55" t="n"/>
      <c r="F885" s="54">
        <f>IF(E885="","",IFERROR(IF(INDEX(lst_exp_item_cat,MATCH(E885,lst_exp_items,0))="","❔ Без категории",INDEX(lst_exp_item_cat,MATCH(E885,lst_exp_items,0))),"❔ Без категории"))</f>
        <v/>
      </c>
      <c r="G885" s="43" t="n"/>
      <c r="H885" s="56" t="n"/>
      <c r="I885" s="43" t="n"/>
      <c r="J885" s="57">
        <f>IF(OR(A885="",H885=""),"",IF(COUNTIFS(exp_year,C885,exp_month,D885,exp_item,E885,exp_status,"&lt;&gt;❌ Отменено")&gt;0,1,0))</f>
        <v/>
      </c>
    </row>
    <row r="886">
      <c r="A886" s="52" t="n"/>
      <c r="B886" s="53">
        <f>IF(A886="","",CHOOSE(WEEKDAY(A886,2),"Пн","Вт","Ср","Чт","Пт","Сб","Вс"))</f>
        <v/>
      </c>
      <c r="C886" s="53">
        <f>IF(A886="","",YEAR(A886))</f>
        <v/>
      </c>
      <c r="D886" s="54">
        <f>IF(A886="","",INDEX(lst_months,MONTH(A886)))</f>
        <v/>
      </c>
      <c r="E886" s="55" t="n"/>
      <c r="F886" s="54">
        <f>IF(E886="","",IFERROR(IF(INDEX(lst_exp_item_cat,MATCH(E886,lst_exp_items,0))="","❔ Без категории",INDEX(lst_exp_item_cat,MATCH(E886,lst_exp_items,0))),"❔ Без категории"))</f>
        <v/>
      </c>
      <c r="G886" s="43" t="n"/>
      <c r="H886" s="56" t="n"/>
      <c r="I886" s="43" t="n"/>
      <c r="J886" s="57">
        <f>IF(OR(A886="",H886=""),"",IF(COUNTIFS(exp_year,C886,exp_month,D886,exp_item,E886,exp_status,"&lt;&gt;❌ Отменено")&gt;0,1,0))</f>
        <v/>
      </c>
    </row>
    <row r="887">
      <c r="A887" s="52" t="n"/>
      <c r="B887" s="53">
        <f>IF(A887="","",CHOOSE(WEEKDAY(A887,2),"Пн","Вт","Ср","Чт","Пт","Сб","Вс"))</f>
        <v/>
      </c>
      <c r="C887" s="53">
        <f>IF(A887="","",YEAR(A887))</f>
        <v/>
      </c>
      <c r="D887" s="54">
        <f>IF(A887="","",INDEX(lst_months,MONTH(A887)))</f>
        <v/>
      </c>
      <c r="E887" s="55" t="n"/>
      <c r="F887" s="54">
        <f>IF(E887="","",IFERROR(IF(INDEX(lst_exp_item_cat,MATCH(E887,lst_exp_items,0))="","❔ Без категории",INDEX(lst_exp_item_cat,MATCH(E887,lst_exp_items,0))),"❔ Без категории"))</f>
        <v/>
      </c>
      <c r="G887" s="43" t="n"/>
      <c r="H887" s="56" t="n"/>
      <c r="I887" s="43" t="n"/>
      <c r="J887" s="57">
        <f>IF(OR(A887="",H887=""),"",IF(COUNTIFS(exp_year,C887,exp_month,D887,exp_item,E887,exp_status,"&lt;&gt;❌ Отменено")&gt;0,1,0))</f>
        <v/>
      </c>
    </row>
    <row r="888">
      <c r="A888" s="52" t="n"/>
      <c r="B888" s="53">
        <f>IF(A888="","",CHOOSE(WEEKDAY(A888,2),"Пн","Вт","Ср","Чт","Пт","Сб","Вс"))</f>
        <v/>
      </c>
      <c r="C888" s="53">
        <f>IF(A888="","",YEAR(A888))</f>
        <v/>
      </c>
      <c r="D888" s="54">
        <f>IF(A888="","",INDEX(lst_months,MONTH(A888)))</f>
        <v/>
      </c>
      <c r="E888" s="55" t="n"/>
      <c r="F888" s="54">
        <f>IF(E888="","",IFERROR(IF(INDEX(lst_exp_item_cat,MATCH(E888,lst_exp_items,0))="","❔ Без категории",INDEX(lst_exp_item_cat,MATCH(E888,lst_exp_items,0))),"❔ Без категории"))</f>
        <v/>
      </c>
      <c r="G888" s="43" t="n"/>
      <c r="H888" s="56" t="n"/>
      <c r="I888" s="43" t="n"/>
      <c r="J888" s="57">
        <f>IF(OR(A888="",H888=""),"",IF(COUNTIFS(exp_year,C888,exp_month,D888,exp_item,E888,exp_status,"&lt;&gt;❌ Отменено")&gt;0,1,0))</f>
        <v/>
      </c>
    </row>
    <row r="889">
      <c r="A889" s="52" t="n"/>
      <c r="B889" s="53">
        <f>IF(A889="","",CHOOSE(WEEKDAY(A889,2),"Пн","Вт","Ср","Чт","Пт","Сб","Вс"))</f>
        <v/>
      </c>
      <c r="C889" s="53">
        <f>IF(A889="","",YEAR(A889))</f>
        <v/>
      </c>
      <c r="D889" s="54">
        <f>IF(A889="","",INDEX(lst_months,MONTH(A889)))</f>
        <v/>
      </c>
      <c r="E889" s="55" t="n"/>
      <c r="F889" s="54">
        <f>IF(E889="","",IFERROR(IF(INDEX(lst_exp_item_cat,MATCH(E889,lst_exp_items,0))="","❔ Без категории",INDEX(lst_exp_item_cat,MATCH(E889,lst_exp_items,0))),"❔ Без категории"))</f>
        <v/>
      </c>
      <c r="G889" s="43" t="n"/>
      <c r="H889" s="56" t="n"/>
      <c r="I889" s="43" t="n"/>
      <c r="J889" s="57">
        <f>IF(OR(A889="",H889=""),"",IF(COUNTIFS(exp_year,C889,exp_month,D889,exp_item,E889,exp_status,"&lt;&gt;❌ Отменено")&gt;0,1,0))</f>
        <v/>
      </c>
    </row>
    <row r="890">
      <c r="A890" s="52" t="n"/>
      <c r="B890" s="53">
        <f>IF(A890="","",CHOOSE(WEEKDAY(A890,2),"Пн","Вт","Ср","Чт","Пт","Сб","Вс"))</f>
        <v/>
      </c>
      <c r="C890" s="53">
        <f>IF(A890="","",YEAR(A890))</f>
        <v/>
      </c>
      <c r="D890" s="54">
        <f>IF(A890="","",INDEX(lst_months,MONTH(A890)))</f>
        <v/>
      </c>
      <c r="E890" s="55" t="n"/>
      <c r="F890" s="54">
        <f>IF(E890="","",IFERROR(IF(INDEX(lst_exp_item_cat,MATCH(E890,lst_exp_items,0))="","❔ Без категории",INDEX(lst_exp_item_cat,MATCH(E890,lst_exp_items,0))),"❔ Без категории"))</f>
        <v/>
      </c>
      <c r="G890" s="43" t="n"/>
      <c r="H890" s="56" t="n"/>
      <c r="I890" s="43" t="n"/>
      <c r="J890" s="57">
        <f>IF(OR(A890="",H890=""),"",IF(COUNTIFS(exp_year,C890,exp_month,D890,exp_item,E890,exp_status,"&lt;&gt;❌ Отменено")&gt;0,1,0))</f>
        <v/>
      </c>
    </row>
    <row r="891">
      <c r="A891" s="52" t="n"/>
      <c r="B891" s="53">
        <f>IF(A891="","",CHOOSE(WEEKDAY(A891,2),"Пн","Вт","Ср","Чт","Пт","Сб","Вс"))</f>
        <v/>
      </c>
      <c r="C891" s="53">
        <f>IF(A891="","",YEAR(A891))</f>
        <v/>
      </c>
      <c r="D891" s="54">
        <f>IF(A891="","",INDEX(lst_months,MONTH(A891)))</f>
        <v/>
      </c>
      <c r="E891" s="55" t="n"/>
      <c r="F891" s="54">
        <f>IF(E891="","",IFERROR(IF(INDEX(lst_exp_item_cat,MATCH(E891,lst_exp_items,0))="","❔ Без категории",INDEX(lst_exp_item_cat,MATCH(E891,lst_exp_items,0))),"❔ Без категории"))</f>
        <v/>
      </c>
      <c r="G891" s="43" t="n"/>
      <c r="H891" s="56" t="n"/>
      <c r="I891" s="43" t="n"/>
      <c r="J891" s="57">
        <f>IF(OR(A891="",H891=""),"",IF(COUNTIFS(exp_year,C891,exp_month,D891,exp_item,E891,exp_status,"&lt;&gt;❌ Отменено")&gt;0,1,0))</f>
        <v/>
      </c>
    </row>
    <row r="892">
      <c r="A892" s="52" t="n"/>
      <c r="B892" s="53">
        <f>IF(A892="","",CHOOSE(WEEKDAY(A892,2),"Пн","Вт","Ср","Чт","Пт","Сб","Вс"))</f>
        <v/>
      </c>
      <c r="C892" s="53">
        <f>IF(A892="","",YEAR(A892))</f>
        <v/>
      </c>
      <c r="D892" s="54">
        <f>IF(A892="","",INDEX(lst_months,MONTH(A892)))</f>
        <v/>
      </c>
      <c r="E892" s="55" t="n"/>
      <c r="F892" s="54">
        <f>IF(E892="","",IFERROR(IF(INDEX(lst_exp_item_cat,MATCH(E892,lst_exp_items,0))="","❔ Без категории",INDEX(lst_exp_item_cat,MATCH(E892,lst_exp_items,0))),"❔ Без категории"))</f>
        <v/>
      </c>
      <c r="G892" s="43" t="n"/>
      <c r="H892" s="56" t="n"/>
      <c r="I892" s="43" t="n"/>
      <c r="J892" s="57">
        <f>IF(OR(A892="",H892=""),"",IF(COUNTIFS(exp_year,C892,exp_month,D892,exp_item,E892,exp_status,"&lt;&gt;❌ Отменено")&gt;0,1,0))</f>
        <v/>
      </c>
    </row>
    <row r="893">
      <c r="A893" s="52" t="n"/>
      <c r="B893" s="53">
        <f>IF(A893="","",CHOOSE(WEEKDAY(A893,2),"Пн","Вт","Ср","Чт","Пт","Сб","Вс"))</f>
        <v/>
      </c>
      <c r="C893" s="53">
        <f>IF(A893="","",YEAR(A893))</f>
        <v/>
      </c>
      <c r="D893" s="54">
        <f>IF(A893="","",INDEX(lst_months,MONTH(A893)))</f>
        <v/>
      </c>
      <c r="E893" s="55" t="n"/>
      <c r="F893" s="54">
        <f>IF(E893="","",IFERROR(IF(INDEX(lst_exp_item_cat,MATCH(E893,lst_exp_items,0))="","❔ Без категории",INDEX(lst_exp_item_cat,MATCH(E893,lst_exp_items,0))),"❔ Без категории"))</f>
        <v/>
      </c>
      <c r="G893" s="43" t="n"/>
      <c r="H893" s="56" t="n"/>
      <c r="I893" s="43" t="n"/>
      <c r="J893" s="57">
        <f>IF(OR(A893="",H893=""),"",IF(COUNTIFS(exp_year,C893,exp_month,D893,exp_item,E893,exp_status,"&lt;&gt;❌ Отменено")&gt;0,1,0))</f>
        <v/>
      </c>
    </row>
    <row r="894">
      <c r="A894" s="52" t="n"/>
      <c r="B894" s="53">
        <f>IF(A894="","",CHOOSE(WEEKDAY(A894,2),"Пн","Вт","Ср","Чт","Пт","Сб","Вс"))</f>
        <v/>
      </c>
      <c r="C894" s="53">
        <f>IF(A894="","",YEAR(A894))</f>
        <v/>
      </c>
      <c r="D894" s="54">
        <f>IF(A894="","",INDEX(lst_months,MONTH(A894)))</f>
        <v/>
      </c>
      <c r="E894" s="55" t="n"/>
      <c r="F894" s="54">
        <f>IF(E894="","",IFERROR(IF(INDEX(lst_exp_item_cat,MATCH(E894,lst_exp_items,0))="","❔ Без категории",INDEX(lst_exp_item_cat,MATCH(E894,lst_exp_items,0))),"❔ Без категории"))</f>
        <v/>
      </c>
      <c r="G894" s="43" t="n"/>
      <c r="H894" s="56" t="n"/>
      <c r="I894" s="43" t="n"/>
      <c r="J894" s="57">
        <f>IF(OR(A894="",H894=""),"",IF(COUNTIFS(exp_year,C894,exp_month,D894,exp_item,E894,exp_status,"&lt;&gt;❌ Отменено")&gt;0,1,0))</f>
        <v/>
      </c>
    </row>
    <row r="895">
      <c r="A895" s="52" t="n"/>
      <c r="B895" s="53">
        <f>IF(A895="","",CHOOSE(WEEKDAY(A895,2),"Пн","Вт","Ср","Чт","Пт","Сб","Вс"))</f>
        <v/>
      </c>
      <c r="C895" s="53">
        <f>IF(A895="","",YEAR(A895))</f>
        <v/>
      </c>
      <c r="D895" s="54">
        <f>IF(A895="","",INDEX(lst_months,MONTH(A895)))</f>
        <v/>
      </c>
      <c r="E895" s="55" t="n"/>
      <c r="F895" s="54">
        <f>IF(E895="","",IFERROR(IF(INDEX(lst_exp_item_cat,MATCH(E895,lst_exp_items,0))="","❔ Без категории",INDEX(lst_exp_item_cat,MATCH(E895,lst_exp_items,0))),"❔ Без категории"))</f>
        <v/>
      </c>
      <c r="G895" s="43" t="n"/>
      <c r="H895" s="56" t="n"/>
      <c r="I895" s="43" t="n"/>
      <c r="J895" s="57">
        <f>IF(OR(A895="",H895=""),"",IF(COUNTIFS(exp_year,C895,exp_month,D895,exp_item,E895,exp_status,"&lt;&gt;❌ Отменено")&gt;0,1,0))</f>
        <v/>
      </c>
    </row>
    <row r="896">
      <c r="A896" s="52" t="n"/>
      <c r="B896" s="53">
        <f>IF(A896="","",CHOOSE(WEEKDAY(A896,2),"Пн","Вт","Ср","Чт","Пт","Сб","Вс"))</f>
        <v/>
      </c>
      <c r="C896" s="53">
        <f>IF(A896="","",YEAR(A896))</f>
        <v/>
      </c>
      <c r="D896" s="54">
        <f>IF(A896="","",INDEX(lst_months,MONTH(A896)))</f>
        <v/>
      </c>
      <c r="E896" s="55" t="n"/>
      <c r="F896" s="54">
        <f>IF(E896="","",IFERROR(IF(INDEX(lst_exp_item_cat,MATCH(E896,lst_exp_items,0))="","❔ Без категории",INDEX(lst_exp_item_cat,MATCH(E896,lst_exp_items,0))),"❔ Без категории"))</f>
        <v/>
      </c>
      <c r="G896" s="43" t="n"/>
      <c r="H896" s="56" t="n"/>
      <c r="I896" s="43" t="n"/>
      <c r="J896" s="57">
        <f>IF(OR(A896="",H896=""),"",IF(COUNTIFS(exp_year,C896,exp_month,D896,exp_item,E896,exp_status,"&lt;&gt;❌ Отменено")&gt;0,1,0))</f>
        <v/>
      </c>
    </row>
    <row r="897">
      <c r="A897" s="52" t="n"/>
      <c r="B897" s="53">
        <f>IF(A897="","",CHOOSE(WEEKDAY(A897,2),"Пн","Вт","Ср","Чт","Пт","Сб","Вс"))</f>
        <v/>
      </c>
      <c r="C897" s="53">
        <f>IF(A897="","",YEAR(A897))</f>
        <v/>
      </c>
      <c r="D897" s="54">
        <f>IF(A897="","",INDEX(lst_months,MONTH(A897)))</f>
        <v/>
      </c>
      <c r="E897" s="55" t="n"/>
      <c r="F897" s="54">
        <f>IF(E897="","",IFERROR(IF(INDEX(lst_exp_item_cat,MATCH(E897,lst_exp_items,0))="","❔ Без категории",INDEX(lst_exp_item_cat,MATCH(E897,lst_exp_items,0))),"❔ Без категории"))</f>
        <v/>
      </c>
      <c r="G897" s="43" t="n"/>
      <c r="H897" s="56" t="n"/>
      <c r="I897" s="43" t="n"/>
      <c r="J897" s="57">
        <f>IF(OR(A897="",H897=""),"",IF(COUNTIFS(exp_year,C897,exp_month,D897,exp_item,E897,exp_status,"&lt;&gt;❌ Отменено")&gt;0,1,0))</f>
        <v/>
      </c>
    </row>
    <row r="898">
      <c r="A898" s="52" t="n"/>
      <c r="B898" s="53">
        <f>IF(A898="","",CHOOSE(WEEKDAY(A898,2),"Пн","Вт","Ср","Чт","Пт","Сб","Вс"))</f>
        <v/>
      </c>
      <c r="C898" s="53">
        <f>IF(A898="","",YEAR(A898))</f>
        <v/>
      </c>
      <c r="D898" s="54">
        <f>IF(A898="","",INDEX(lst_months,MONTH(A898)))</f>
        <v/>
      </c>
      <c r="E898" s="55" t="n"/>
      <c r="F898" s="54">
        <f>IF(E898="","",IFERROR(IF(INDEX(lst_exp_item_cat,MATCH(E898,lst_exp_items,0))="","❔ Без категории",INDEX(lst_exp_item_cat,MATCH(E898,lst_exp_items,0))),"❔ Без категории"))</f>
        <v/>
      </c>
      <c r="G898" s="43" t="n"/>
      <c r="H898" s="56" t="n"/>
      <c r="I898" s="43" t="n"/>
      <c r="J898" s="57">
        <f>IF(OR(A898="",H898=""),"",IF(COUNTIFS(exp_year,C898,exp_month,D898,exp_item,E898,exp_status,"&lt;&gt;❌ Отменено")&gt;0,1,0))</f>
        <v/>
      </c>
    </row>
    <row r="899">
      <c r="A899" s="52" t="n"/>
      <c r="B899" s="53">
        <f>IF(A899="","",CHOOSE(WEEKDAY(A899,2),"Пн","Вт","Ср","Чт","Пт","Сб","Вс"))</f>
        <v/>
      </c>
      <c r="C899" s="53">
        <f>IF(A899="","",YEAR(A899))</f>
        <v/>
      </c>
      <c r="D899" s="54">
        <f>IF(A899="","",INDEX(lst_months,MONTH(A899)))</f>
        <v/>
      </c>
      <c r="E899" s="55" t="n"/>
      <c r="F899" s="54">
        <f>IF(E899="","",IFERROR(IF(INDEX(lst_exp_item_cat,MATCH(E899,lst_exp_items,0))="","❔ Без категории",INDEX(lst_exp_item_cat,MATCH(E899,lst_exp_items,0))),"❔ Без категории"))</f>
        <v/>
      </c>
      <c r="G899" s="43" t="n"/>
      <c r="H899" s="56" t="n"/>
      <c r="I899" s="43" t="n"/>
      <c r="J899" s="57">
        <f>IF(OR(A899="",H899=""),"",IF(COUNTIFS(exp_year,C899,exp_month,D899,exp_item,E899,exp_status,"&lt;&gt;❌ Отменено")&gt;0,1,0))</f>
        <v/>
      </c>
    </row>
    <row r="900">
      <c r="A900" s="52" t="n"/>
      <c r="B900" s="53">
        <f>IF(A900="","",CHOOSE(WEEKDAY(A900,2),"Пн","Вт","Ср","Чт","Пт","Сб","Вс"))</f>
        <v/>
      </c>
      <c r="C900" s="53">
        <f>IF(A900="","",YEAR(A900))</f>
        <v/>
      </c>
      <c r="D900" s="54">
        <f>IF(A900="","",INDEX(lst_months,MONTH(A900)))</f>
        <v/>
      </c>
      <c r="E900" s="55" t="n"/>
      <c r="F900" s="54">
        <f>IF(E900="","",IFERROR(IF(INDEX(lst_exp_item_cat,MATCH(E900,lst_exp_items,0))="","❔ Без категории",INDEX(lst_exp_item_cat,MATCH(E900,lst_exp_items,0))),"❔ Без категории"))</f>
        <v/>
      </c>
      <c r="G900" s="43" t="n"/>
      <c r="H900" s="56" t="n"/>
      <c r="I900" s="43" t="n"/>
      <c r="J900" s="57">
        <f>IF(OR(A900="",H900=""),"",IF(COUNTIFS(exp_year,C900,exp_month,D900,exp_item,E900,exp_status,"&lt;&gt;❌ Отменено")&gt;0,1,0))</f>
        <v/>
      </c>
    </row>
    <row r="901">
      <c r="A901" s="52" t="n"/>
      <c r="B901" s="53">
        <f>IF(A901="","",CHOOSE(WEEKDAY(A901,2),"Пн","Вт","Ср","Чт","Пт","Сб","Вс"))</f>
        <v/>
      </c>
      <c r="C901" s="53">
        <f>IF(A901="","",YEAR(A901))</f>
        <v/>
      </c>
      <c r="D901" s="54">
        <f>IF(A901="","",INDEX(lst_months,MONTH(A901)))</f>
        <v/>
      </c>
      <c r="E901" s="55" t="n"/>
      <c r="F901" s="54">
        <f>IF(E901="","",IFERROR(IF(INDEX(lst_exp_item_cat,MATCH(E901,lst_exp_items,0))="","❔ Без категории",INDEX(lst_exp_item_cat,MATCH(E901,lst_exp_items,0))),"❔ Без категории"))</f>
        <v/>
      </c>
      <c r="G901" s="43" t="n"/>
      <c r="H901" s="56" t="n"/>
      <c r="I901" s="43" t="n"/>
      <c r="J901" s="57">
        <f>IF(OR(A901="",H901=""),"",IF(COUNTIFS(exp_year,C901,exp_month,D901,exp_item,E901,exp_status,"&lt;&gt;❌ Отменено")&gt;0,1,0))</f>
        <v/>
      </c>
    </row>
    <row r="902">
      <c r="A902" s="52" t="n"/>
      <c r="B902" s="53">
        <f>IF(A902="","",CHOOSE(WEEKDAY(A902,2),"Пн","Вт","Ср","Чт","Пт","Сб","Вс"))</f>
        <v/>
      </c>
      <c r="C902" s="53">
        <f>IF(A902="","",YEAR(A902))</f>
        <v/>
      </c>
      <c r="D902" s="54">
        <f>IF(A902="","",INDEX(lst_months,MONTH(A902)))</f>
        <v/>
      </c>
      <c r="E902" s="55" t="n"/>
      <c r="F902" s="54">
        <f>IF(E902="","",IFERROR(IF(INDEX(lst_exp_item_cat,MATCH(E902,lst_exp_items,0))="","❔ Без категории",INDEX(lst_exp_item_cat,MATCH(E902,lst_exp_items,0))),"❔ Без категории"))</f>
        <v/>
      </c>
      <c r="G902" s="43" t="n"/>
      <c r="H902" s="56" t="n"/>
      <c r="I902" s="43" t="n"/>
      <c r="J902" s="57">
        <f>IF(OR(A902="",H902=""),"",IF(COUNTIFS(exp_year,C902,exp_month,D902,exp_item,E902,exp_status,"&lt;&gt;❌ Отменено")&gt;0,1,0))</f>
        <v/>
      </c>
    </row>
    <row r="903">
      <c r="A903" s="52" t="n"/>
      <c r="B903" s="53">
        <f>IF(A903="","",CHOOSE(WEEKDAY(A903,2),"Пн","Вт","Ср","Чт","Пт","Сб","Вс"))</f>
        <v/>
      </c>
      <c r="C903" s="53">
        <f>IF(A903="","",YEAR(A903))</f>
        <v/>
      </c>
      <c r="D903" s="54">
        <f>IF(A903="","",INDEX(lst_months,MONTH(A903)))</f>
        <v/>
      </c>
      <c r="E903" s="55" t="n"/>
      <c r="F903" s="54">
        <f>IF(E903="","",IFERROR(IF(INDEX(lst_exp_item_cat,MATCH(E903,lst_exp_items,0))="","❔ Без категории",INDEX(lst_exp_item_cat,MATCH(E903,lst_exp_items,0))),"❔ Без категории"))</f>
        <v/>
      </c>
      <c r="G903" s="43" t="n"/>
      <c r="H903" s="56" t="n"/>
      <c r="I903" s="43" t="n"/>
      <c r="J903" s="57">
        <f>IF(OR(A903="",H903=""),"",IF(COUNTIFS(exp_year,C903,exp_month,D903,exp_item,E903,exp_status,"&lt;&gt;❌ Отменено")&gt;0,1,0))</f>
        <v/>
      </c>
    </row>
    <row r="904">
      <c r="A904" s="52" t="n"/>
      <c r="B904" s="53">
        <f>IF(A904="","",CHOOSE(WEEKDAY(A904,2),"Пн","Вт","Ср","Чт","Пт","Сб","Вс"))</f>
        <v/>
      </c>
      <c r="C904" s="53">
        <f>IF(A904="","",YEAR(A904))</f>
        <v/>
      </c>
      <c r="D904" s="54">
        <f>IF(A904="","",INDEX(lst_months,MONTH(A904)))</f>
        <v/>
      </c>
      <c r="E904" s="55" t="n"/>
      <c r="F904" s="54">
        <f>IF(E904="","",IFERROR(IF(INDEX(lst_exp_item_cat,MATCH(E904,lst_exp_items,0))="","❔ Без категории",INDEX(lst_exp_item_cat,MATCH(E904,lst_exp_items,0))),"❔ Без категории"))</f>
        <v/>
      </c>
      <c r="G904" s="43" t="n"/>
      <c r="H904" s="56" t="n"/>
      <c r="I904" s="43" t="n"/>
      <c r="J904" s="57">
        <f>IF(OR(A904="",H904=""),"",IF(COUNTIFS(exp_year,C904,exp_month,D904,exp_item,E904,exp_status,"&lt;&gt;❌ Отменено")&gt;0,1,0))</f>
        <v/>
      </c>
    </row>
    <row r="905">
      <c r="A905" s="52" t="n"/>
      <c r="B905" s="53">
        <f>IF(A905="","",CHOOSE(WEEKDAY(A905,2),"Пн","Вт","Ср","Чт","Пт","Сб","Вс"))</f>
        <v/>
      </c>
      <c r="C905" s="53">
        <f>IF(A905="","",YEAR(A905))</f>
        <v/>
      </c>
      <c r="D905" s="54">
        <f>IF(A905="","",INDEX(lst_months,MONTH(A905)))</f>
        <v/>
      </c>
      <c r="E905" s="55" t="n"/>
      <c r="F905" s="54">
        <f>IF(E905="","",IFERROR(IF(INDEX(lst_exp_item_cat,MATCH(E905,lst_exp_items,0))="","❔ Без категории",INDEX(lst_exp_item_cat,MATCH(E905,lst_exp_items,0))),"❔ Без категории"))</f>
        <v/>
      </c>
      <c r="G905" s="43" t="n"/>
      <c r="H905" s="56" t="n"/>
      <c r="I905" s="43" t="n"/>
      <c r="J905" s="57">
        <f>IF(OR(A905="",H905=""),"",IF(COUNTIFS(exp_year,C905,exp_month,D905,exp_item,E905,exp_status,"&lt;&gt;❌ Отменено")&gt;0,1,0))</f>
        <v/>
      </c>
    </row>
    <row r="906">
      <c r="A906" s="52" t="n"/>
      <c r="B906" s="53">
        <f>IF(A906="","",CHOOSE(WEEKDAY(A906,2),"Пн","Вт","Ср","Чт","Пт","Сб","Вс"))</f>
        <v/>
      </c>
      <c r="C906" s="53">
        <f>IF(A906="","",YEAR(A906))</f>
        <v/>
      </c>
      <c r="D906" s="54">
        <f>IF(A906="","",INDEX(lst_months,MONTH(A906)))</f>
        <v/>
      </c>
      <c r="E906" s="55" t="n"/>
      <c r="F906" s="54">
        <f>IF(E906="","",IFERROR(IF(INDEX(lst_exp_item_cat,MATCH(E906,lst_exp_items,0))="","❔ Без категории",INDEX(lst_exp_item_cat,MATCH(E906,lst_exp_items,0))),"❔ Без категории"))</f>
        <v/>
      </c>
      <c r="G906" s="43" t="n"/>
      <c r="H906" s="56" t="n"/>
      <c r="I906" s="43" t="n"/>
      <c r="J906" s="57">
        <f>IF(OR(A906="",H906=""),"",IF(COUNTIFS(exp_year,C906,exp_month,D906,exp_item,E906,exp_status,"&lt;&gt;❌ Отменено")&gt;0,1,0))</f>
        <v/>
      </c>
    </row>
    <row r="907">
      <c r="A907" s="52" t="n"/>
      <c r="B907" s="53">
        <f>IF(A907="","",CHOOSE(WEEKDAY(A907,2),"Пн","Вт","Ср","Чт","Пт","Сб","Вс"))</f>
        <v/>
      </c>
      <c r="C907" s="53">
        <f>IF(A907="","",YEAR(A907))</f>
        <v/>
      </c>
      <c r="D907" s="54">
        <f>IF(A907="","",INDEX(lst_months,MONTH(A907)))</f>
        <v/>
      </c>
      <c r="E907" s="55" t="n"/>
      <c r="F907" s="54">
        <f>IF(E907="","",IFERROR(IF(INDEX(lst_exp_item_cat,MATCH(E907,lst_exp_items,0))="","❔ Без категории",INDEX(lst_exp_item_cat,MATCH(E907,lst_exp_items,0))),"❔ Без категории"))</f>
        <v/>
      </c>
      <c r="G907" s="43" t="n"/>
      <c r="H907" s="56" t="n"/>
      <c r="I907" s="43" t="n"/>
      <c r="J907" s="57">
        <f>IF(OR(A907="",H907=""),"",IF(COUNTIFS(exp_year,C907,exp_month,D907,exp_item,E907,exp_status,"&lt;&gt;❌ Отменено")&gt;0,1,0))</f>
        <v/>
      </c>
    </row>
    <row r="908">
      <c r="A908" s="52" t="n"/>
      <c r="B908" s="53">
        <f>IF(A908="","",CHOOSE(WEEKDAY(A908,2),"Пн","Вт","Ср","Чт","Пт","Сб","Вс"))</f>
        <v/>
      </c>
      <c r="C908" s="53">
        <f>IF(A908="","",YEAR(A908))</f>
        <v/>
      </c>
      <c r="D908" s="54">
        <f>IF(A908="","",INDEX(lst_months,MONTH(A908)))</f>
        <v/>
      </c>
      <c r="E908" s="55" t="n"/>
      <c r="F908" s="54">
        <f>IF(E908="","",IFERROR(IF(INDEX(lst_exp_item_cat,MATCH(E908,lst_exp_items,0))="","❔ Без категории",INDEX(lst_exp_item_cat,MATCH(E908,lst_exp_items,0))),"❔ Без категории"))</f>
        <v/>
      </c>
      <c r="G908" s="43" t="n"/>
      <c r="H908" s="56" t="n"/>
      <c r="I908" s="43" t="n"/>
      <c r="J908" s="57">
        <f>IF(OR(A908="",H908=""),"",IF(COUNTIFS(exp_year,C908,exp_month,D908,exp_item,E908,exp_status,"&lt;&gt;❌ Отменено")&gt;0,1,0))</f>
        <v/>
      </c>
    </row>
    <row r="909">
      <c r="A909" s="52" t="n"/>
      <c r="B909" s="53">
        <f>IF(A909="","",CHOOSE(WEEKDAY(A909,2),"Пн","Вт","Ср","Чт","Пт","Сб","Вс"))</f>
        <v/>
      </c>
      <c r="C909" s="53">
        <f>IF(A909="","",YEAR(A909))</f>
        <v/>
      </c>
      <c r="D909" s="54">
        <f>IF(A909="","",INDEX(lst_months,MONTH(A909)))</f>
        <v/>
      </c>
      <c r="E909" s="55" t="n"/>
      <c r="F909" s="54">
        <f>IF(E909="","",IFERROR(IF(INDEX(lst_exp_item_cat,MATCH(E909,lst_exp_items,0))="","❔ Без категории",INDEX(lst_exp_item_cat,MATCH(E909,lst_exp_items,0))),"❔ Без категории"))</f>
        <v/>
      </c>
      <c r="G909" s="43" t="n"/>
      <c r="H909" s="56" t="n"/>
      <c r="I909" s="43" t="n"/>
      <c r="J909" s="57">
        <f>IF(OR(A909="",H909=""),"",IF(COUNTIFS(exp_year,C909,exp_month,D909,exp_item,E909,exp_status,"&lt;&gt;❌ Отменено")&gt;0,1,0))</f>
        <v/>
      </c>
    </row>
    <row r="910">
      <c r="A910" s="52" t="n"/>
      <c r="B910" s="53">
        <f>IF(A910="","",CHOOSE(WEEKDAY(A910,2),"Пн","Вт","Ср","Чт","Пт","Сб","Вс"))</f>
        <v/>
      </c>
      <c r="C910" s="53">
        <f>IF(A910="","",YEAR(A910))</f>
        <v/>
      </c>
      <c r="D910" s="54">
        <f>IF(A910="","",INDEX(lst_months,MONTH(A910)))</f>
        <v/>
      </c>
      <c r="E910" s="55" t="n"/>
      <c r="F910" s="54">
        <f>IF(E910="","",IFERROR(IF(INDEX(lst_exp_item_cat,MATCH(E910,lst_exp_items,0))="","❔ Без категории",INDEX(lst_exp_item_cat,MATCH(E910,lst_exp_items,0))),"❔ Без категории"))</f>
        <v/>
      </c>
      <c r="G910" s="43" t="n"/>
      <c r="H910" s="56" t="n"/>
      <c r="I910" s="43" t="n"/>
      <c r="J910" s="57">
        <f>IF(OR(A910="",H910=""),"",IF(COUNTIFS(exp_year,C910,exp_month,D910,exp_item,E910,exp_status,"&lt;&gt;❌ Отменено")&gt;0,1,0))</f>
        <v/>
      </c>
    </row>
    <row r="911">
      <c r="A911" s="52" t="n"/>
      <c r="B911" s="53">
        <f>IF(A911="","",CHOOSE(WEEKDAY(A911,2),"Пн","Вт","Ср","Чт","Пт","Сб","Вс"))</f>
        <v/>
      </c>
      <c r="C911" s="53">
        <f>IF(A911="","",YEAR(A911))</f>
        <v/>
      </c>
      <c r="D911" s="54">
        <f>IF(A911="","",INDEX(lst_months,MONTH(A911)))</f>
        <v/>
      </c>
      <c r="E911" s="55" t="n"/>
      <c r="F911" s="54">
        <f>IF(E911="","",IFERROR(IF(INDEX(lst_exp_item_cat,MATCH(E911,lst_exp_items,0))="","❔ Без категории",INDEX(lst_exp_item_cat,MATCH(E911,lst_exp_items,0))),"❔ Без категории"))</f>
        <v/>
      </c>
      <c r="G911" s="43" t="n"/>
      <c r="H911" s="56" t="n"/>
      <c r="I911" s="43" t="n"/>
      <c r="J911" s="57">
        <f>IF(OR(A911="",H911=""),"",IF(COUNTIFS(exp_year,C911,exp_month,D911,exp_item,E911,exp_status,"&lt;&gt;❌ Отменено")&gt;0,1,0))</f>
        <v/>
      </c>
    </row>
    <row r="912">
      <c r="A912" s="52" t="n"/>
      <c r="B912" s="53">
        <f>IF(A912="","",CHOOSE(WEEKDAY(A912,2),"Пн","Вт","Ср","Чт","Пт","Сб","Вс"))</f>
        <v/>
      </c>
      <c r="C912" s="53">
        <f>IF(A912="","",YEAR(A912))</f>
        <v/>
      </c>
      <c r="D912" s="54">
        <f>IF(A912="","",INDEX(lst_months,MONTH(A912)))</f>
        <v/>
      </c>
      <c r="E912" s="55" t="n"/>
      <c r="F912" s="54">
        <f>IF(E912="","",IFERROR(IF(INDEX(lst_exp_item_cat,MATCH(E912,lst_exp_items,0))="","❔ Без категории",INDEX(lst_exp_item_cat,MATCH(E912,lst_exp_items,0))),"❔ Без категории"))</f>
        <v/>
      </c>
      <c r="G912" s="43" t="n"/>
      <c r="H912" s="56" t="n"/>
      <c r="I912" s="43" t="n"/>
      <c r="J912" s="57">
        <f>IF(OR(A912="",H912=""),"",IF(COUNTIFS(exp_year,C912,exp_month,D912,exp_item,E912,exp_status,"&lt;&gt;❌ Отменено")&gt;0,1,0))</f>
        <v/>
      </c>
    </row>
    <row r="913">
      <c r="A913" s="52" t="n"/>
      <c r="B913" s="53">
        <f>IF(A913="","",CHOOSE(WEEKDAY(A913,2),"Пн","Вт","Ср","Чт","Пт","Сб","Вс"))</f>
        <v/>
      </c>
      <c r="C913" s="53">
        <f>IF(A913="","",YEAR(A913))</f>
        <v/>
      </c>
      <c r="D913" s="54">
        <f>IF(A913="","",INDEX(lst_months,MONTH(A913)))</f>
        <v/>
      </c>
      <c r="E913" s="55" t="n"/>
      <c r="F913" s="54">
        <f>IF(E913="","",IFERROR(IF(INDEX(lst_exp_item_cat,MATCH(E913,lst_exp_items,0))="","❔ Без категории",INDEX(lst_exp_item_cat,MATCH(E913,lst_exp_items,0))),"❔ Без категории"))</f>
        <v/>
      </c>
      <c r="G913" s="43" t="n"/>
      <c r="H913" s="56" t="n"/>
      <c r="I913" s="43" t="n"/>
      <c r="J913" s="57">
        <f>IF(OR(A913="",H913=""),"",IF(COUNTIFS(exp_year,C913,exp_month,D913,exp_item,E913,exp_status,"&lt;&gt;❌ Отменено")&gt;0,1,0))</f>
        <v/>
      </c>
    </row>
    <row r="914">
      <c r="A914" s="52" t="n"/>
      <c r="B914" s="53">
        <f>IF(A914="","",CHOOSE(WEEKDAY(A914,2),"Пн","Вт","Ср","Чт","Пт","Сб","Вс"))</f>
        <v/>
      </c>
      <c r="C914" s="53">
        <f>IF(A914="","",YEAR(A914))</f>
        <v/>
      </c>
      <c r="D914" s="54">
        <f>IF(A914="","",INDEX(lst_months,MONTH(A914)))</f>
        <v/>
      </c>
      <c r="E914" s="55" t="n"/>
      <c r="F914" s="54">
        <f>IF(E914="","",IFERROR(IF(INDEX(lst_exp_item_cat,MATCH(E914,lst_exp_items,0))="","❔ Без категории",INDEX(lst_exp_item_cat,MATCH(E914,lst_exp_items,0))),"❔ Без категории"))</f>
        <v/>
      </c>
      <c r="G914" s="43" t="n"/>
      <c r="H914" s="56" t="n"/>
      <c r="I914" s="43" t="n"/>
      <c r="J914" s="57">
        <f>IF(OR(A914="",H914=""),"",IF(COUNTIFS(exp_year,C914,exp_month,D914,exp_item,E914,exp_status,"&lt;&gt;❌ Отменено")&gt;0,1,0))</f>
        <v/>
      </c>
    </row>
    <row r="915">
      <c r="A915" s="52" t="n"/>
      <c r="B915" s="53">
        <f>IF(A915="","",CHOOSE(WEEKDAY(A915,2),"Пн","Вт","Ср","Чт","Пт","Сб","Вс"))</f>
        <v/>
      </c>
      <c r="C915" s="53">
        <f>IF(A915="","",YEAR(A915))</f>
        <v/>
      </c>
      <c r="D915" s="54">
        <f>IF(A915="","",INDEX(lst_months,MONTH(A915)))</f>
        <v/>
      </c>
      <c r="E915" s="55" t="n"/>
      <c r="F915" s="54">
        <f>IF(E915="","",IFERROR(IF(INDEX(lst_exp_item_cat,MATCH(E915,lst_exp_items,0))="","❔ Без категории",INDEX(lst_exp_item_cat,MATCH(E915,lst_exp_items,0))),"❔ Без категории"))</f>
        <v/>
      </c>
      <c r="G915" s="43" t="n"/>
      <c r="H915" s="56" t="n"/>
      <c r="I915" s="43" t="n"/>
      <c r="J915" s="57">
        <f>IF(OR(A915="",H915=""),"",IF(COUNTIFS(exp_year,C915,exp_month,D915,exp_item,E915,exp_status,"&lt;&gt;❌ Отменено")&gt;0,1,0))</f>
        <v/>
      </c>
    </row>
    <row r="916">
      <c r="A916" s="52" t="n"/>
      <c r="B916" s="53">
        <f>IF(A916="","",CHOOSE(WEEKDAY(A916,2),"Пн","Вт","Ср","Чт","Пт","Сб","Вс"))</f>
        <v/>
      </c>
      <c r="C916" s="53">
        <f>IF(A916="","",YEAR(A916))</f>
        <v/>
      </c>
      <c r="D916" s="54">
        <f>IF(A916="","",INDEX(lst_months,MONTH(A916)))</f>
        <v/>
      </c>
      <c r="E916" s="55" t="n"/>
      <c r="F916" s="54">
        <f>IF(E916="","",IFERROR(IF(INDEX(lst_exp_item_cat,MATCH(E916,lst_exp_items,0))="","❔ Без категории",INDEX(lst_exp_item_cat,MATCH(E916,lst_exp_items,0))),"❔ Без категории"))</f>
        <v/>
      </c>
      <c r="G916" s="43" t="n"/>
      <c r="H916" s="56" t="n"/>
      <c r="I916" s="43" t="n"/>
      <c r="J916" s="57">
        <f>IF(OR(A916="",H916=""),"",IF(COUNTIFS(exp_year,C916,exp_month,D916,exp_item,E916,exp_status,"&lt;&gt;❌ Отменено")&gt;0,1,0))</f>
        <v/>
      </c>
    </row>
    <row r="917">
      <c r="A917" s="52" t="n"/>
      <c r="B917" s="53">
        <f>IF(A917="","",CHOOSE(WEEKDAY(A917,2),"Пн","Вт","Ср","Чт","Пт","Сб","Вс"))</f>
        <v/>
      </c>
      <c r="C917" s="53">
        <f>IF(A917="","",YEAR(A917))</f>
        <v/>
      </c>
      <c r="D917" s="54">
        <f>IF(A917="","",INDEX(lst_months,MONTH(A917)))</f>
        <v/>
      </c>
      <c r="E917" s="55" t="n"/>
      <c r="F917" s="54">
        <f>IF(E917="","",IFERROR(IF(INDEX(lst_exp_item_cat,MATCH(E917,lst_exp_items,0))="","❔ Без категории",INDEX(lst_exp_item_cat,MATCH(E917,lst_exp_items,0))),"❔ Без категории"))</f>
        <v/>
      </c>
      <c r="G917" s="43" t="n"/>
      <c r="H917" s="56" t="n"/>
      <c r="I917" s="43" t="n"/>
      <c r="J917" s="57">
        <f>IF(OR(A917="",H917=""),"",IF(COUNTIFS(exp_year,C917,exp_month,D917,exp_item,E917,exp_status,"&lt;&gt;❌ Отменено")&gt;0,1,0))</f>
        <v/>
      </c>
    </row>
    <row r="918">
      <c r="A918" s="52" t="n"/>
      <c r="B918" s="53">
        <f>IF(A918="","",CHOOSE(WEEKDAY(A918,2),"Пн","Вт","Ср","Чт","Пт","Сб","Вс"))</f>
        <v/>
      </c>
      <c r="C918" s="53">
        <f>IF(A918="","",YEAR(A918))</f>
        <v/>
      </c>
      <c r="D918" s="54">
        <f>IF(A918="","",INDEX(lst_months,MONTH(A918)))</f>
        <v/>
      </c>
      <c r="E918" s="55" t="n"/>
      <c r="F918" s="54">
        <f>IF(E918="","",IFERROR(IF(INDEX(lst_exp_item_cat,MATCH(E918,lst_exp_items,0))="","❔ Без категории",INDEX(lst_exp_item_cat,MATCH(E918,lst_exp_items,0))),"❔ Без категории"))</f>
        <v/>
      </c>
      <c r="G918" s="43" t="n"/>
      <c r="H918" s="56" t="n"/>
      <c r="I918" s="43" t="n"/>
      <c r="J918" s="57">
        <f>IF(OR(A918="",H918=""),"",IF(COUNTIFS(exp_year,C918,exp_month,D918,exp_item,E918,exp_status,"&lt;&gt;❌ Отменено")&gt;0,1,0))</f>
        <v/>
      </c>
    </row>
    <row r="919">
      <c r="A919" s="52" t="n"/>
      <c r="B919" s="53">
        <f>IF(A919="","",CHOOSE(WEEKDAY(A919,2),"Пн","Вт","Ср","Чт","Пт","Сб","Вс"))</f>
        <v/>
      </c>
      <c r="C919" s="53">
        <f>IF(A919="","",YEAR(A919))</f>
        <v/>
      </c>
      <c r="D919" s="54">
        <f>IF(A919="","",INDEX(lst_months,MONTH(A919)))</f>
        <v/>
      </c>
      <c r="E919" s="55" t="n"/>
      <c r="F919" s="54">
        <f>IF(E919="","",IFERROR(IF(INDEX(lst_exp_item_cat,MATCH(E919,lst_exp_items,0))="","❔ Без категории",INDEX(lst_exp_item_cat,MATCH(E919,lst_exp_items,0))),"❔ Без категории"))</f>
        <v/>
      </c>
      <c r="G919" s="43" t="n"/>
      <c r="H919" s="56" t="n"/>
      <c r="I919" s="43" t="n"/>
      <c r="J919" s="57">
        <f>IF(OR(A919="",H919=""),"",IF(COUNTIFS(exp_year,C919,exp_month,D919,exp_item,E919,exp_status,"&lt;&gt;❌ Отменено")&gt;0,1,0))</f>
        <v/>
      </c>
    </row>
    <row r="920">
      <c r="A920" s="52" t="n"/>
      <c r="B920" s="53">
        <f>IF(A920="","",CHOOSE(WEEKDAY(A920,2),"Пн","Вт","Ср","Чт","Пт","Сб","Вс"))</f>
        <v/>
      </c>
      <c r="C920" s="53">
        <f>IF(A920="","",YEAR(A920))</f>
        <v/>
      </c>
      <c r="D920" s="54">
        <f>IF(A920="","",INDEX(lst_months,MONTH(A920)))</f>
        <v/>
      </c>
      <c r="E920" s="55" t="n"/>
      <c r="F920" s="54">
        <f>IF(E920="","",IFERROR(IF(INDEX(lst_exp_item_cat,MATCH(E920,lst_exp_items,0))="","❔ Без категории",INDEX(lst_exp_item_cat,MATCH(E920,lst_exp_items,0))),"❔ Без категории"))</f>
        <v/>
      </c>
      <c r="G920" s="43" t="n"/>
      <c r="H920" s="56" t="n"/>
      <c r="I920" s="43" t="n"/>
      <c r="J920" s="57">
        <f>IF(OR(A920="",H920=""),"",IF(COUNTIFS(exp_year,C920,exp_month,D920,exp_item,E920,exp_status,"&lt;&gt;❌ Отменено")&gt;0,1,0))</f>
        <v/>
      </c>
    </row>
    <row r="921">
      <c r="A921" s="52" t="n"/>
      <c r="B921" s="53">
        <f>IF(A921="","",CHOOSE(WEEKDAY(A921,2),"Пн","Вт","Ср","Чт","Пт","Сб","Вс"))</f>
        <v/>
      </c>
      <c r="C921" s="53">
        <f>IF(A921="","",YEAR(A921))</f>
        <v/>
      </c>
      <c r="D921" s="54">
        <f>IF(A921="","",INDEX(lst_months,MONTH(A921)))</f>
        <v/>
      </c>
      <c r="E921" s="55" t="n"/>
      <c r="F921" s="54">
        <f>IF(E921="","",IFERROR(IF(INDEX(lst_exp_item_cat,MATCH(E921,lst_exp_items,0))="","❔ Без категории",INDEX(lst_exp_item_cat,MATCH(E921,lst_exp_items,0))),"❔ Без категории"))</f>
        <v/>
      </c>
      <c r="G921" s="43" t="n"/>
      <c r="H921" s="56" t="n"/>
      <c r="I921" s="43" t="n"/>
      <c r="J921" s="57">
        <f>IF(OR(A921="",H921=""),"",IF(COUNTIFS(exp_year,C921,exp_month,D921,exp_item,E921,exp_status,"&lt;&gt;❌ Отменено")&gt;0,1,0))</f>
        <v/>
      </c>
    </row>
    <row r="922">
      <c r="A922" s="52" t="n"/>
      <c r="B922" s="53">
        <f>IF(A922="","",CHOOSE(WEEKDAY(A922,2),"Пн","Вт","Ср","Чт","Пт","Сб","Вс"))</f>
        <v/>
      </c>
      <c r="C922" s="53">
        <f>IF(A922="","",YEAR(A922))</f>
        <v/>
      </c>
      <c r="D922" s="54">
        <f>IF(A922="","",INDEX(lst_months,MONTH(A922)))</f>
        <v/>
      </c>
      <c r="E922" s="55" t="n"/>
      <c r="F922" s="54">
        <f>IF(E922="","",IFERROR(IF(INDEX(lst_exp_item_cat,MATCH(E922,lst_exp_items,0))="","❔ Без категории",INDEX(lst_exp_item_cat,MATCH(E922,lst_exp_items,0))),"❔ Без категории"))</f>
        <v/>
      </c>
      <c r="G922" s="43" t="n"/>
      <c r="H922" s="56" t="n"/>
      <c r="I922" s="43" t="n"/>
      <c r="J922" s="57">
        <f>IF(OR(A922="",H922=""),"",IF(COUNTIFS(exp_year,C922,exp_month,D922,exp_item,E922,exp_status,"&lt;&gt;❌ Отменено")&gt;0,1,0))</f>
        <v/>
      </c>
    </row>
    <row r="923">
      <c r="A923" s="52" t="n"/>
      <c r="B923" s="53">
        <f>IF(A923="","",CHOOSE(WEEKDAY(A923,2),"Пн","Вт","Ср","Чт","Пт","Сб","Вс"))</f>
        <v/>
      </c>
      <c r="C923" s="53">
        <f>IF(A923="","",YEAR(A923))</f>
        <v/>
      </c>
      <c r="D923" s="54">
        <f>IF(A923="","",INDEX(lst_months,MONTH(A923)))</f>
        <v/>
      </c>
      <c r="E923" s="55" t="n"/>
      <c r="F923" s="54">
        <f>IF(E923="","",IFERROR(IF(INDEX(lst_exp_item_cat,MATCH(E923,lst_exp_items,0))="","❔ Без категории",INDEX(lst_exp_item_cat,MATCH(E923,lst_exp_items,0))),"❔ Без категории"))</f>
        <v/>
      </c>
      <c r="G923" s="43" t="n"/>
      <c r="H923" s="56" t="n"/>
      <c r="I923" s="43" t="n"/>
      <c r="J923" s="57">
        <f>IF(OR(A923="",H923=""),"",IF(COUNTIFS(exp_year,C923,exp_month,D923,exp_item,E923,exp_status,"&lt;&gt;❌ Отменено")&gt;0,1,0))</f>
        <v/>
      </c>
    </row>
    <row r="924">
      <c r="A924" s="52" t="n"/>
      <c r="B924" s="53">
        <f>IF(A924="","",CHOOSE(WEEKDAY(A924,2),"Пн","Вт","Ср","Чт","Пт","Сб","Вс"))</f>
        <v/>
      </c>
      <c r="C924" s="53">
        <f>IF(A924="","",YEAR(A924))</f>
        <v/>
      </c>
      <c r="D924" s="54">
        <f>IF(A924="","",INDEX(lst_months,MONTH(A924)))</f>
        <v/>
      </c>
      <c r="E924" s="55" t="n"/>
      <c r="F924" s="54">
        <f>IF(E924="","",IFERROR(IF(INDEX(lst_exp_item_cat,MATCH(E924,lst_exp_items,0))="","❔ Без категории",INDEX(lst_exp_item_cat,MATCH(E924,lst_exp_items,0))),"❔ Без категории"))</f>
        <v/>
      </c>
      <c r="G924" s="43" t="n"/>
      <c r="H924" s="56" t="n"/>
      <c r="I924" s="43" t="n"/>
      <c r="J924" s="57">
        <f>IF(OR(A924="",H924=""),"",IF(COUNTIFS(exp_year,C924,exp_month,D924,exp_item,E924,exp_status,"&lt;&gt;❌ Отменено")&gt;0,1,0))</f>
        <v/>
      </c>
    </row>
    <row r="925">
      <c r="A925" s="52" t="n"/>
      <c r="B925" s="53">
        <f>IF(A925="","",CHOOSE(WEEKDAY(A925,2),"Пн","Вт","Ср","Чт","Пт","Сб","Вс"))</f>
        <v/>
      </c>
      <c r="C925" s="53">
        <f>IF(A925="","",YEAR(A925))</f>
        <v/>
      </c>
      <c r="D925" s="54">
        <f>IF(A925="","",INDEX(lst_months,MONTH(A925)))</f>
        <v/>
      </c>
      <c r="E925" s="55" t="n"/>
      <c r="F925" s="54">
        <f>IF(E925="","",IFERROR(IF(INDEX(lst_exp_item_cat,MATCH(E925,lst_exp_items,0))="","❔ Без категории",INDEX(lst_exp_item_cat,MATCH(E925,lst_exp_items,0))),"❔ Без категории"))</f>
        <v/>
      </c>
      <c r="G925" s="43" t="n"/>
      <c r="H925" s="56" t="n"/>
      <c r="I925" s="43" t="n"/>
      <c r="J925" s="57">
        <f>IF(OR(A925="",H925=""),"",IF(COUNTIFS(exp_year,C925,exp_month,D925,exp_item,E925,exp_status,"&lt;&gt;❌ Отменено")&gt;0,1,0))</f>
        <v/>
      </c>
    </row>
    <row r="926">
      <c r="A926" s="52" t="n"/>
      <c r="B926" s="53">
        <f>IF(A926="","",CHOOSE(WEEKDAY(A926,2),"Пн","Вт","Ср","Чт","Пт","Сб","Вс"))</f>
        <v/>
      </c>
      <c r="C926" s="53">
        <f>IF(A926="","",YEAR(A926))</f>
        <v/>
      </c>
      <c r="D926" s="54">
        <f>IF(A926="","",INDEX(lst_months,MONTH(A926)))</f>
        <v/>
      </c>
      <c r="E926" s="55" t="n"/>
      <c r="F926" s="54">
        <f>IF(E926="","",IFERROR(IF(INDEX(lst_exp_item_cat,MATCH(E926,lst_exp_items,0))="","❔ Без категории",INDEX(lst_exp_item_cat,MATCH(E926,lst_exp_items,0))),"❔ Без категории"))</f>
        <v/>
      </c>
      <c r="G926" s="43" t="n"/>
      <c r="H926" s="56" t="n"/>
      <c r="I926" s="43" t="n"/>
      <c r="J926" s="57">
        <f>IF(OR(A926="",H926=""),"",IF(COUNTIFS(exp_year,C926,exp_month,D926,exp_item,E926,exp_status,"&lt;&gt;❌ Отменено")&gt;0,1,0))</f>
        <v/>
      </c>
    </row>
    <row r="927">
      <c r="A927" s="52" t="n"/>
      <c r="B927" s="53">
        <f>IF(A927="","",CHOOSE(WEEKDAY(A927,2),"Пн","Вт","Ср","Чт","Пт","Сб","Вс"))</f>
        <v/>
      </c>
      <c r="C927" s="53">
        <f>IF(A927="","",YEAR(A927))</f>
        <v/>
      </c>
      <c r="D927" s="54">
        <f>IF(A927="","",INDEX(lst_months,MONTH(A927)))</f>
        <v/>
      </c>
      <c r="E927" s="55" t="n"/>
      <c r="F927" s="54">
        <f>IF(E927="","",IFERROR(IF(INDEX(lst_exp_item_cat,MATCH(E927,lst_exp_items,0))="","❔ Без категории",INDEX(lst_exp_item_cat,MATCH(E927,lst_exp_items,0))),"❔ Без категории"))</f>
        <v/>
      </c>
      <c r="G927" s="43" t="n"/>
      <c r="H927" s="56" t="n"/>
      <c r="I927" s="43" t="n"/>
      <c r="J927" s="57">
        <f>IF(OR(A927="",H927=""),"",IF(COUNTIFS(exp_year,C927,exp_month,D927,exp_item,E927,exp_status,"&lt;&gt;❌ Отменено")&gt;0,1,0))</f>
        <v/>
      </c>
    </row>
    <row r="928">
      <c r="A928" s="52" t="n"/>
      <c r="B928" s="53">
        <f>IF(A928="","",CHOOSE(WEEKDAY(A928,2),"Пн","Вт","Ср","Чт","Пт","Сб","Вс"))</f>
        <v/>
      </c>
      <c r="C928" s="53">
        <f>IF(A928="","",YEAR(A928))</f>
        <v/>
      </c>
      <c r="D928" s="54">
        <f>IF(A928="","",INDEX(lst_months,MONTH(A928)))</f>
        <v/>
      </c>
      <c r="E928" s="55" t="n"/>
      <c r="F928" s="54">
        <f>IF(E928="","",IFERROR(IF(INDEX(lst_exp_item_cat,MATCH(E928,lst_exp_items,0))="","❔ Без категории",INDEX(lst_exp_item_cat,MATCH(E928,lst_exp_items,0))),"❔ Без категории"))</f>
        <v/>
      </c>
      <c r="G928" s="43" t="n"/>
      <c r="H928" s="56" t="n"/>
      <c r="I928" s="43" t="n"/>
      <c r="J928" s="57">
        <f>IF(OR(A928="",H928=""),"",IF(COUNTIFS(exp_year,C928,exp_month,D928,exp_item,E928,exp_status,"&lt;&gt;❌ Отменено")&gt;0,1,0))</f>
        <v/>
      </c>
    </row>
    <row r="929">
      <c r="A929" s="52" t="n"/>
      <c r="B929" s="53">
        <f>IF(A929="","",CHOOSE(WEEKDAY(A929,2),"Пн","Вт","Ср","Чт","Пт","Сб","Вс"))</f>
        <v/>
      </c>
      <c r="C929" s="53">
        <f>IF(A929="","",YEAR(A929))</f>
        <v/>
      </c>
      <c r="D929" s="54">
        <f>IF(A929="","",INDEX(lst_months,MONTH(A929)))</f>
        <v/>
      </c>
      <c r="E929" s="55" t="n"/>
      <c r="F929" s="54">
        <f>IF(E929="","",IFERROR(IF(INDEX(lst_exp_item_cat,MATCH(E929,lst_exp_items,0))="","❔ Без категории",INDEX(lst_exp_item_cat,MATCH(E929,lst_exp_items,0))),"❔ Без категории"))</f>
        <v/>
      </c>
      <c r="G929" s="43" t="n"/>
      <c r="H929" s="56" t="n"/>
      <c r="I929" s="43" t="n"/>
      <c r="J929" s="57">
        <f>IF(OR(A929="",H929=""),"",IF(COUNTIFS(exp_year,C929,exp_month,D929,exp_item,E929,exp_status,"&lt;&gt;❌ Отменено")&gt;0,1,0))</f>
        <v/>
      </c>
    </row>
    <row r="930">
      <c r="A930" s="52" t="n"/>
      <c r="B930" s="53">
        <f>IF(A930="","",CHOOSE(WEEKDAY(A930,2),"Пн","Вт","Ср","Чт","Пт","Сб","Вс"))</f>
        <v/>
      </c>
      <c r="C930" s="53">
        <f>IF(A930="","",YEAR(A930))</f>
        <v/>
      </c>
      <c r="D930" s="54">
        <f>IF(A930="","",INDEX(lst_months,MONTH(A930)))</f>
        <v/>
      </c>
      <c r="E930" s="55" t="n"/>
      <c r="F930" s="54">
        <f>IF(E930="","",IFERROR(IF(INDEX(lst_exp_item_cat,MATCH(E930,lst_exp_items,0))="","❔ Без категории",INDEX(lst_exp_item_cat,MATCH(E930,lst_exp_items,0))),"❔ Без категории"))</f>
        <v/>
      </c>
      <c r="G930" s="43" t="n"/>
      <c r="H930" s="56" t="n"/>
      <c r="I930" s="43" t="n"/>
      <c r="J930" s="57">
        <f>IF(OR(A930="",H930=""),"",IF(COUNTIFS(exp_year,C930,exp_month,D930,exp_item,E930,exp_status,"&lt;&gt;❌ Отменено")&gt;0,1,0))</f>
        <v/>
      </c>
    </row>
    <row r="931">
      <c r="A931" s="52" t="n"/>
      <c r="B931" s="53">
        <f>IF(A931="","",CHOOSE(WEEKDAY(A931,2),"Пн","Вт","Ср","Чт","Пт","Сб","Вс"))</f>
        <v/>
      </c>
      <c r="C931" s="53">
        <f>IF(A931="","",YEAR(A931))</f>
        <v/>
      </c>
      <c r="D931" s="54">
        <f>IF(A931="","",INDEX(lst_months,MONTH(A931)))</f>
        <v/>
      </c>
      <c r="E931" s="55" t="n"/>
      <c r="F931" s="54">
        <f>IF(E931="","",IFERROR(IF(INDEX(lst_exp_item_cat,MATCH(E931,lst_exp_items,0))="","❔ Без категории",INDEX(lst_exp_item_cat,MATCH(E931,lst_exp_items,0))),"❔ Без категории"))</f>
        <v/>
      </c>
      <c r="G931" s="43" t="n"/>
      <c r="H931" s="56" t="n"/>
      <c r="I931" s="43" t="n"/>
      <c r="J931" s="57">
        <f>IF(OR(A931="",H931=""),"",IF(COUNTIFS(exp_year,C931,exp_month,D931,exp_item,E931,exp_status,"&lt;&gt;❌ Отменено")&gt;0,1,0))</f>
        <v/>
      </c>
    </row>
    <row r="932">
      <c r="A932" s="52" t="n"/>
      <c r="B932" s="53">
        <f>IF(A932="","",CHOOSE(WEEKDAY(A932,2),"Пн","Вт","Ср","Чт","Пт","Сб","Вс"))</f>
        <v/>
      </c>
      <c r="C932" s="53">
        <f>IF(A932="","",YEAR(A932))</f>
        <v/>
      </c>
      <c r="D932" s="54">
        <f>IF(A932="","",INDEX(lst_months,MONTH(A932)))</f>
        <v/>
      </c>
      <c r="E932" s="55" t="n"/>
      <c r="F932" s="54">
        <f>IF(E932="","",IFERROR(IF(INDEX(lst_exp_item_cat,MATCH(E932,lst_exp_items,0))="","❔ Без категории",INDEX(lst_exp_item_cat,MATCH(E932,lst_exp_items,0))),"❔ Без категории"))</f>
        <v/>
      </c>
      <c r="G932" s="43" t="n"/>
      <c r="H932" s="56" t="n"/>
      <c r="I932" s="43" t="n"/>
      <c r="J932" s="57">
        <f>IF(OR(A932="",H932=""),"",IF(COUNTIFS(exp_year,C932,exp_month,D932,exp_item,E932,exp_status,"&lt;&gt;❌ Отменено")&gt;0,1,0))</f>
        <v/>
      </c>
    </row>
    <row r="933">
      <c r="A933" s="52" t="n"/>
      <c r="B933" s="53">
        <f>IF(A933="","",CHOOSE(WEEKDAY(A933,2),"Пн","Вт","Ср","Чт","Пт","Сб","Вс"))</f>
        <v/>
      </c>
      <c r="C933" s="53">
        <f>IF(A933="","",YEAR(A933))</f>
        <v/>
      </c>
      <c r="D933" s="54">
        <f>IF(A933="","",INDEX(lst_months,MONTH(A933)))</f>
        <v/>
      </c>
      <c r="E933" s="55" t="n"/>
      <c r="F933" s="54">
        <f>IF(E933="","",IFERROR(IF(INDEX(lst_exp_item_cat,MATCH(E933,lst_exp_items,0))="","❔ Без категории",INDEX(lst_exp_item_cat,MATCH(E933,lst_exp_items,0))),"❔ Без категории"))</f>
        <v/>
      </c>
      <c r="G933" s="43" t="n"/>
      <c r="H933" s="56" t="n"/>
      <c r="I933" s="43" t="n"/>
      <c r="J933" s="57">
        <f>IF(OR(A933="",H933=""),"",IF(COUNTIFS(exp_year,C933,exp_month,D933,exp_item,E933,exp_status,"&lt;&gt;❌ Отменено")&gt;0,1,0))</f>
        <v/>
      </c>
    </row>
    <row r="934">
      <c r="A934" s="52" t="n"/>
      <c r="B934" s="53">
        <f>IF(A934="","",CHOOSE(WEEKDAY(A934,2),"Пн","Вт","Ср","Чт","Пт","Сб","Вс"))</f>
        <v/>
      </c>
      <c r="C934" s="53">
        <f>IF(A934="","",YEAR(A934))</f>
        <v/>
      </c>
      <c r="D934" s="54">
        <f>IF(A934="","",INDEX(lst_months,MONTH(A934)))</f>
        <v/>
      </c>
      <c r="E934" s="55" t="n"/>
      <c r="F934" s="54">
        <f>IF(E934="","",IFERROR(IF(INDEX(lst_exp_item_cat,MATCH(E934,lst_exp_items,0))="","❔ Без категории",INDEX(lst_exp_item_cat,MATCH(E934,lst_exp_items,0))),"❔ Без категории"))</f>
        <v/>
      </c>
      <c r="G934" s="43" t="n"/>
      <c r="H934" s="56" t="n"/>
      <c r="I934" s="43" t="n"/>
      <c r="J934" s="57">
        <f>IF(OR(A934="",H934=""),"",IF(COUNTIFS(exp_year,C934,exp_month,D934,exp_item,E934,exp_status,"&lt;&gt;❌ Отменено")&gt;0,1,0))</f>
        <v/>
      </c>
    </row>
    <row r="935">
      <c r="A935" s="52" t="n"/>
      <c r="B935" s="53">
        <f>IF(A935="","",CHOOSE(WEEKDAY(A935,2),"Пн","Вт","Ср","Чт","Пт","Сб","Вс"))</f>
        <v/>
      </c>
      <c r="C935" s="53">
        <f>IF(A935="","",YEAR(A935))</f>
        <v/>
      </c>
      <c r="D935" s="54">
        <f>IF(A935="","",INDEX(lst_months,MONTH(A935)))</f>
        <v/>
      </c>
      <c r="E935" s="55" t="n"/>
      <c r="F935" s="54">
        <f>IF(E935="","",IFERROR(IF(INDEX(lst_exp_item_cat,MATCH(E935,lst_exp_items,0))="","❔ Без категории",INDEX(lst_exp_item_cat,MATCH(E935,lst_exp_items,0))),"❔ Без категории"))</f>
        <v/>
      </c>
      <c r="G935" s="43" t="n"/>
      <c r="H935" s="56" t="n"/>
      <c r="I935" s="43" t="n"/>
      <c r="J935" s="57">
        <f>IF(OR(A935="",H935=""),"",IF(COUNTIFS(exp_year,C935,exp_month,D935,exp_item,E935,exp_status,"&lt;&gt;❌ Отменено")&gt;0,1,0))</f>
        <v/>
      </c>
    </row>
    <row r="936">
      <c r="A936" s="52" t="n"/>
      <c r="B936" s="53">
        <f>IF(A936="","",CHOOSE(WEEKDAY(A936,2),"Пн","Вт","Ср","Чт","Пт","Сб","Вс"))</f>
        <v/>
      </c>
      <c r="C936" s="53">
        <f>IF(A936="","",YEAR(A936))</f>
        <v/>
      </c>
      <c r="D936" s="54">
        <f>IF(A936="","",INDEX(lst_months,MONTH(A936)))</f>
        <v/>
      </c>
      <c r="E936" s="55" t="n"/>
      <c r="F936" s="54">
        <f>IF(E936="","",IFERROR(IF(INDEX(lst_exp_item_cat,MATCH(E936,lst_exp_items,0))="","❔ Без категории",INDEX(lst_exp_item_cat,MATCH(E936,lst_exp_items,0))),"❔ Без категории"))</f>
        <v/>
      </c>
      <c r="G936" s="43" t="n"/>
      <c r="H936" s="56" t="n"/>
      <c r="I936" s="43" t="n"/>
      <c r="J936" s="57">
        <f>IF(OR(A936="",H936=""),"",IF(COUNTIFS(exp_year,C936,exp_month,D936,exp_item,E936,exp_status,"&lt;&gt;❌ Отменено")&gt;0,1,0))</f>
        <v/>
      </c>
    </row>
    <row r="937">
      <c r="A937" s="52" t="n"/>
      <c r="B937" s="53">
        <f>IF(A937="","",CHOOSE(WEEKDAY(A937,2),"Пн","Вт","Ср","Чт","Пт","Сб","Вс"))</f>
        <v/>
      </c>
      <c r="C937" s="53">
        <f>IF(A937="","",YEAR(A937))</f>
        <v/>
      </c>
      <c r="D937" s="54">
        <f>IF(A937="","",INDEX(lst_months,MONTH(A937)))</f>
        <v/>
      </c>
      <c r="E937" s="55" t="n"/>
      <c r="F937" s="54">
        <f>IF(E937="","",IFERROR(IF(INDEX(lst_exp_item_cat,MATCH(E937,lst_exp_items,0))="","❔ Без категории",INDEX(lst_exp_item_cat,MATCH(E937,lst_exp_items,0))),"❔ Без категории"))</f>
        <v/>
      </c>
      <c r="G937" s="43" t="n"/>
      <c r="H937" s="56" t="n"/>
      <c r="I937" s="43" t="n"/>
      <c r="J937" s="57">
        <f>IF(OR(A937="",H937=""),"",IF(COUNTIFS(exp_year,C937,exp_month,D937,exp_item,E937,exp_status,"&lt;&gt;❌ Отменено")&gt;0,1,0))</f>
        <v/>
      </c>
    </row>
    <row r="938">
      <c r="A938" s="52" t="n"/>
      <c r="B938" s="53">
        <f>IF(A938="","",CHOOSE(WEEKDAY(A938,2),"Пн","Вт","Ср","Чт","Пт","Сб","Вс"))</f>
        <v/>
      </c>
      <c r="C938" s="53">
        <f>IF(A938="","",YEAR(A938))</f>
        <v/>
      </c>
      <c r="D938" s="54">
        <f>IF(A938="","",INDEX(lst_months,MONTH(A938)))</f>
        <v/>
      </c>
      <c r="E938" s="55" t="n"/>
      <c r="F938" s="54">
        <f>IF(E938="","",IFERROR(IF(INDEX(lst_exp_item_cat,MATCH(E938,lst_exp_items,0))="","❔ Без категории",INDEX(lst_exp_item_cat,MATCH(E938,lst_exp_items,0))),"❔ Без категории"))</f>
        <v/>
      </c>
      <c r="G938" s="43" t="n"/>
      <c r="H938" s="56" t="n"/>
      <c r="I938" s="43" t="n"/>
      <c r="J938" s="57">
        <f>IF(OR(A938="",H938=""),"",IF(COUNTIFS(exp_year,C938,exp_month,D938,exp_item,E938,exp_status,"&lt;&gt;❌ Отменено")&gt;0,1,0))</f>
        <v/>
      </c>
    </row>
    <row r="939">
      <c r="A939" s="52" t="n"/>
      <c r="B939" s="53">
        <f>IF(A939="","",CHOOSE(WEEKDAY(A939,2),"Пн","Вт","Ср","Чт","Пт","Сб","Вс"))</f>
        <v/>
      </c>
      <c r="C939" s="53">
        <f>IF(A939="","",YEAR(A939))</f>
        <v/>
      </c>
      <c r="D939" s="54">
        <f>IF(A939="","",INDEX(lst_months,MONTH(A939)))</f>
        <v/>
      </c>
      <c r="E939" s="55" t="n"/>
      <c r="F939" s="54">
        <f>IF(E939="","",IFERROR(IF(INDEX(lst_exp_item_cat,MATCH(E939,lst_exp_items,0))="","❔ Без категории",INDEX(lst_exp_item_cat,MATCH(E939,lst_exp_items,0))),"❔ Без категории"))</f>
        <v/>
      </c>
      <c r="G939" s="43" t="n"/>
      <c r="H939" s="56" t="n"/>
      <c r="I939" s="43" t="n"/>
      <c r="J939" s="57">
        <f>IF(OR(A939="",H939=""),"",IF(COUNTIFS(exp_year,C939,exp_month,D939,exp_item,E939,exp_status,"&lt;&gt;❌ Отменено")&gt;0,1,0))</f>
        <v/>
      </c>
    </row>
    <row r="940">
      <c r="A940" s="52" t="n"/>
      <c r="B940" s="53">
        <f>IF(A940="","",CHOOSE(WEEKDAY(A940,2),"Пн","Вт","Ср","Чт","Пт","Сб","Вс"))</f>
        <v/>
      </c>
      <c r="C940" s="53">
        <f>IF(A940="","",YEAR(A940))</f>
        <v/>
      </c>
      <c r="D940" s="54">
        <f>IF(A940="","",INDEX(lst_months,MONTH(A940)))</f>
        <v/>
      </c>
      <c r="E940" s="55" t="n"/>
      <c r="F940" s="54">
        <f>IF(E940="","",IFERROR(IF(INDEX(lst_exp_item_cat,MATCH(E940,lst_exp_items,0))="","❔ Без категории",INDEX(lst_exp_item_cat,MATCH(E940,lst_exp_items,0))),"❔ Без категории"))</f>
        <v/>
      </c>
      <c r="G940" s="43" t="n"/>
      <c r="H940" s="56" t="n"/>
      <c r="I940" s="43" t="n"/>
      <c r="J940" s="57">
        <f>IF(OR(A940="",H940=""),"",IF(COUNTIFS(exp_year,C940,exp_month,D940,exp_item,E940,exp_status,"&lt;&gt;❌ Отменено")&gt;0,1,0))</f>
        <v/>
      </c>
    </row>
    <row r="941">
      <c r="A941" s="52" t="n"/>
      <c r="B941" s="53">
        <f>IF(A941="","",CHOOSE(WEEKDAY(A941,2),"Пн","Вт","Ср","Чт","Пт","Сб","Вс"))</f>
        <v/>
      </c>
      <c r="C941" s="53">
        <f>IF(A941="","",YEAR(A941))</f>
        <v/>
      </c>
      <c r="D941" s="54">
        <f>IF(A941="","",INDEX(lst_months,MONTH(A941)))</f>
        <v/>
      </c>
      <c r="E941" s="55" t="n"/>
      <c r="F941" s="54">
        <f>IF(E941="","",IFERROR(IF(INDEX(lst_exp_item_cat,MATCH(E941,lst_exp_items,0))="","❔ Без категории",INDEX(lst_exp_item_cat,MATCH(E941,lst_exp_items,0))),"❔ Без категории"))</f>
        <v/>
      </c>
      <c r="G941" s="43" t="n"/>
      <c r="H941" s="56" t="n"/>
      <c r="I941" s="43" t="n"/>
      <c r="J941" s="57">
        <f>IF(OR(A941="",H941=""),"",IF(COUNTIFS(exp_year,C941,exp_month,D941,exp_item,E941,exp_status,"&lt;&gt;❌ Отменено")&gt;0,1,0))</f>
        <v/>
      </c>
    </row>
    <row r="942">
      <c r="A942" s="52" t="n"/>
      <c r="B942" s="53">
        <f>IF(A942="","",CHOOSE(WEEKDAY(A942,2),"Пн","Вт","Ср","Чт","Пт","Сб","Вс"))</f>
        <v/>
      </c>
      <c r="C942" s="53">
        <f>IF(A942="","",YEAR(A942))</f>
        <v/>
      </c>
      <c r="D942" s="54">
        <f>IF(A942="","",INDEX(lst_months,MONTH(A942)))</f>
        <v/>
      </c>
      <c r="E942" s="55" t="n"/>
      <c r="F942" s="54">
        <f>IF(E942="","",IFERROR(IF(INDEX(lst_exp_item_cat,MATCH(E942,lst_exp_items,0))="","❔ Без категории",INDEX(lst_exp_item_cat,MATCH(E942,lst_exp_items,0))),"❔ Без категории"))</f>
        <v/>
      </c>
      <c r="G942" s="43" t="n"/>
      <c r="H942" s="56" t="n"/>
      <c r="I942" s="43" t="n"/>
      <c r="J942" s="57">
        <f>IF(OR(A942="",H942=""),"",IF(COUNTIFS(exp_year,C942,exp_month,D942,exp_item,E942,exp_status,"&lt;&gt;❌ Отменено")&gt;0,1,0))</f>
        <v/>
      </c>
    </row>
    <row r="943">
      <c r="A943" s="52" t="n"/>
      <c r="B943" s="53">
        <f>IF(A943="","",CHOOSE(WEEKDAY(A943,2),"Пн","Вт","Ср","Чт","Пт","Сб","Вс"))</f>
        <v/>
      </c>
      <c r="C943" s="53">
        <f>IF(A943="","",YEAR(A943))</f>
        <v/>
      </c>
      <c r="D943" s="54">
        <f>IF(A943="","",INDEX(lst_months,MONTH(A943)))</f>
        <v/>
      </c>
      <c r="E943" s="55" t="n"/>
      <c r="F943" s="54">
        <f>IF(E943="","",IFERROR(IF(INDEX(lst_exp_item_cat,MATCH(E943,lst_exp_items,0))="","❔ Без категории",INDEX(lst_exp_item_cat,MATCH(E943,lst_exp_items,0))),"❔ Без категории"))</f>
        <v/>
      </c>
      <c r="G943" s="43" t="n"/>
      <c r="H943" s="56" t="n"/>
      <c r="I943" s="43" t="n"/>
      <c r="J943" s="57">
        <f>IF(OR(A943="",H943=""),"",IF(COUNTIFS(exp_year,C943,exp_month,D943,exp_item,E943,exp_status,"&lt;&gt;❌ Отменено")&gt;0,1,0))</f>
        <v/>
      </c>
    </row>
    <row r="944">
      <c r="A944" s="52" t="n"/>
      <c r="B944" s="53">
        <f>IF(A944="","",CHOOSE(WEEKDAY(A944,2),"Пн","Вт","Ср","Чт","Пт","Сб","Вс"))</f>
        <v/>
      </c>
      <c r="C944" s="53">
        <f>IF(A944="","",YEAR(A944))</f>
        <v/>
      </c>
      <c r="D944" s="54">
        <f>IF(A944="","",INDEX(lst_months,MONTH(A944)))</f>
        <v/>
      </c>
      <c r="E944" s="55" t="n"/>
      <c r="F944" s="54">
        <f>IF(E944="","",IFERROR(IF(INDEX(lst_exp_item_cat,MATCH(E944,lst_exp_items,0))="","❔ Без категории",INDEX(lst_exp_item_cat,MATCH(E944,lst_exp_items,0))),"❔ Без категории"))</f>
        <v/>
      </c>
      <c r="G944" s="43" t="n"/>
      <c r="H944" s="56" t="n"/>
      <c r="I944" s="43" t="n"/>
      <c r="J944" s="57">
        <f>IF(OR(A944="",H944=""),"",IF(COUNTIFS(exp_year,C944,exp_month,D944,exp_item,E944,exp_status,"&lt;&gt;❌ Отменено")&gt;0,1,0))</f>
        <v/>
      </c>
    </row>
    <row r="945">
      <c r="A945" s="52" t="n"/>
      <c r="B945" s="53">
        <f>IF(A945="","",CHOOSE(WEEKDAY(A945,2),"Пн","Вт","Ср","Чт","Пт","Сб","Вс"))</f>
        <v/>
      </c>
      <c r="C945" s="53">
        <f>IF(A945="","",YEAR(A945))</f>
        <v/>
      </c>
      <c r="D945" s="54">
        <f>IF(A945="","",INDEX(lst_months,MONTH(A945)))</f>
        <v/>
      </c>
      <c r="E945" s="55" t="n"/>
      <c r="F945" s="54">
        <f>IF(E945="","",IFERROR(IF(INDEX(lst_exp_item_cat,MATCH(E945,lst_exp_items,0))="","❔ Без категории",INDEX(lst_exp_item_cat,MATCH(E945,lst_exp_items,0))),"❔ Без категории"))</f>
        <v/>
      </c>
      <c r="G945" s="43" t="n"/>
      <c r="H945" s="56" t="n"/>
      <c r="I945" s="43" t="n"/>
      <c r="J945" s="57">
        <f>IF(OR(A945="",H945=""),"",IF(COUNTIFS(exp_year,C945,exp_month,D945,exp_item,E945,exp_status,"&lt;&gt;❌ Отменено")&gt;0,1,0))</f>
        <v/>
      </c>
    </row>
    <row r="946">
      <c r="A946" s="52" t="n"/>
      <c r="B946" s="53">
        <f>IF(A946="","",CHOOSE(WEEKDAY(A946,2),"Пн","Вт","Ср","Чт","Пт","Сб","Вс"))</f>
        <v/>
      </c>
      <c r="C946" s="53">
        <f>IF(A946="","",YEAR(A946))</f>
        <v/>
      </c>
      <c r="D946" s="54">
        <f>IF(A946="","",INDEX(lst_months,MONTH(A946)))</f>
        <v/>
      </c>
      <c r="E946" s="55" t="n"/>
      <c r="F946" s="54">
        <f>IF(E946="","",IFERROR(IF(INDEX(lst_exp_item_cat,MATCH(E946,lst_exp_items,0))="","❔ Без категории",INDEX(lst_exp_item_cat,MATCH(E946,lst_exp_items,0))),"❔ Без категории"))</f>
        <v/>
      </c>
      <c r="G946" s="43" t="n"/>
      <c r="H946" s="56" t="n"/>
      <c r="I946" s="43" t="n"/>
      <c r="J946" s="57">
        <f>IF(OR(A946="",H946=""),"",IF(COUNTIFS(exp_year,C946,exp_month,D946,exp_item,E946,exp_status,"&lt;&gt;❌ Отменено")&gt;0,1,0))</f>
        <v/>
      </c>
    </row>
    <row r="947">
      <c r="A947" s="52" t="n"/>
      <c r="B947" s="53">
        <f>IF(A947="","",CHOOSE(WEEKDAY(A947,2),"Пн","Вт","Ср","Чт","Пт","Сб","Вс"))</f>
        <v/>
      </c>
      <c r="C947" s="53">
        <f>IF(A947="","",YEAR(A947))</f>
        <v/>
      </c>
      <c r="D947" s="54">
        <f>IF(A947="","",INDEX(lst_months,MONTH(A947)))</f>
        <v/>
      </c>
      <c r="E947" s="55" t="n"/>
      <c r="F947" s="54">
        <f>IF(E947="","",IFERROR(IF(INDEX(lst_exp_item_cat,MATCH(E947,lst_exp_items,0))="","❔ Без категории",INDEX(lst_exp_item_cat,MATCH(E947,lst_exp_items,0))),"❔ Без категории"))</f>
        <v/>
      </c>
      <c r="G947" s="43" t="n"/>
      <c r="H947" s="56" t="n"/>
      <c r="I947" s="43" t="n"/>
      <c r="J947" s="57">
        <f>IF(OR(A947="",H947=""),"",IF(COUNTIFS(exp_year,C947,exp_month,D947,exp_item,E947,exp_status,"&lt;&gt;❌ Отменено")&gt;0,1,0))</f>
        <v/>
      </c>
    </row>
    <row r="948">
      <c r="A948" s="52" t="n"/>
      <c r="B948" s="53">
        <f>IF(A948="","",CHOOSE(WEEKDAY(A948,2),"Пн","Вт","Ср","Чт","Пт","Сб","Вс"))</f>
        <v/>
      </c>
      <c r="C948" s="53">
        <f>IF(A948="","",YEAR(A948))</f>
        <v/>
      </c>
      <c r="D948" s="54">
        <f>IF(A948="","",INDEX(lst_months,MONTH(A948)))</f>
        <v/>
      </c>
      <c r="E948" s="55" t="n"/>
      <c r="F948" s="54">
        <f>IF(E948="","",IFERROR(IF(INDEX(lst_exp_item_cat,MATCH(E948,lst_exp_items,0))="","❔ Без категории",INDEX(lst_exp_item_cat,MATCH(E948,lst_exp_items,0))),"❔ Без категории"))</f>
        <v/>
      </c>
      <c r="G948" s="43" t="n"/>
      <c r="H948" s="56" t="n"/>
      <c r="I948" s="43" t="n"/>
      <c r="J948" s="57">
        <f>IF(OR(A948="",H948=""),"",IF(COUNTIFS(exp_year,C948,exp_month,D948,exp_item,E948,exp_status,"&lt;&gt;❌ Отменено")&gt;0,1,0))</f>
        <v/>
      </c>
    </row>
    <row r="949">
      <c r="A949" s="52" t="n"/>
      <c r="B949" s="53">
        <f>IF(A949="","",CHOOSE(WEEKDAY(A949,2),"Пн","Вт","Ср","Чт","Пт","Сб","Вс"))</f>
        <v/>
      </c>
      <c r="C949" s="53">
        <f>IF(A949="","",YEAR(A949))</f>
        <v/>
      </c>
      <c r="D949" s="54">
        <f>IF(A949="","",INDEX(lst_months,MONTH(A949)))</f>
        <v/>
      </c>
      <c r="E949" s="55" t="n"/>
      <c r="F949" s="54">
        <f>IF(E949="","",IFERROR(IF(INDEX(lst_exp_item_cat,MATCH(E949,lst_exp_items,0))="","❔ Без категории",INDEX(lst_exp_item_cat,MATCH(E949,lst_exp_items,0))),"❔ Без категории"))</f>
        <v/>
      </c>
      <c r="G949" s="43" t="n"/>
      <c r="H949" s="56" t="n"/>
      <c r="I949" s="43" t="n"/>
      <c r="J949" s="57">
        <f>IF(OR(A949="",H949=""),"",IF(COUNTIFS(exp_year,C949,exp_month,D949,exp_item,E949,exp_status,"&lt;&gt;❌ Отменено")&gt;0,1,0))</f>
        <v/>
      </c>
    </row>
    <row r="950">
      <c r="A950" s="52" t="n"/>
      <c r="B950" s="53">
        <f>IF(A950="","",CHOOSE(WEEKDAY(A950,2),"Пн","Вт","Ср","Чт","Пт","Сб","Вс"))</f>
        <v/>
      </c>
      <c r="C950" s="53">
        <f>IF(A950="","",YEAR(A950))</f>
        <v/>
      </c>
      <c r="D950" s="54">
        <f>IF(A950="","",INDEX(lst_months,MONTH(A950)))</f>
        <v/>
      </c>
      <c r="E950" s="55" t="n"/>
      <c r="F950" s="54">
        <f>IF(E950="","",IFERROR(IF(INDEX(lst_exp_item_cat,MATCH(E950,lst_exp_items,0))="","❔ Без категории",INDEX(lst_exp_item_cat,MATCH(E950,lst_exp_items,0))),"❔ Без категории"))</f>
        <v/>
      </c>
      <c r="G950" s="43" t="n"/>
      <c r="H950" s="56" t="n"/>
      <c r="I950" s="43" t="n"/>
      <c r="J950" s="57">
        <f>IF(OR(A950="",H950=""),"",IF(COUNTIFS(exp_year,C950,exp_month,D950,exp_item,E950,exp_status,"&lt;&gt;❌ Отменено")&gt;0,1,0))</f>
        <v/>
      </c>
    </row>
    <row r="951">
      <c r="A951" s="52" t="n"/>
      <c r="B951" s="53">
        <f>IF(A951="","",CHOOSE(WEEKDAY(A951,2),"Пн","Вт","Ср","Чт","Пт","Сб","Вс"))</f>
        <v/>
      </c>
      <c r="C951" s="53">
        <f>IF(A951="","",YEAR(A951))</f>
        <v/>
      </c>
      <c r="D951" s="54">
        <f>IF(A951="","",INDEX(lst_months,MONTH(A951)))</f>
        <v/>
      </c>
      <c r="E951" s="55" t="n"/>
      <c r="F951" s="54">
        <f>IF(E951="","",IFERROR(IF(INDEX(lst_exp_item_cat,MATCH(E951,lst_exp_items,0))="","❔ Без категории",INDEX(lst_exp_item_cat,MATCH(E951,lst_exp_items,0))),"❔ Без категории"))</f>
        <v/>
      </c>
      <c r="G951" s="43" t="n"/>
      <c r="H951" s="56" t="n"/>
      <c r="I951" s="43" t="n"/>
      <c r="J951" s="57">
        <f>IF(OR(A951="",H951=""),"",IF(COUNTIFS(exp_year,C951,exp_month,D951,exp_item,E951,exp_status,"&lt;&gt;❌ Отменено")&gt;0,1,0))</f>
        <v/>
      </c>
    </row>
    <row r="952">
      <c r="A952" s="52" t="n"/>
      <c r="B952" s="53">
        <f>IF(A952="","",CHOOSE(WEEKDAY(A952,2),"Пн","Вт","Ср","Чт","Пт","Сб","Вс"))</f>
        <v/>
      </c>
      <c r="C952" s="53">
        <f>IF(A952="","",YEAR(A952))</f>
        <v/>
      </c>
      <c r="D952" s="54">
        <f>IF(A952="","",INDEX(lst_months,MONTH(A952)))</f>
        <v/>
      </c>
      <c r="E952" s="55" t="n"/>
      <c r="F952" s="54">
        <f>IF(E952="","",IFERROR(IF(INDEX(lst_exp_item_cat,MATCH(E952,lst_exp_items,0))="","❔ Без категории",INDEX(lst_exp_item_cat,MATCH(E952,lst_exp_items,0))),"❔ Без категории"))</f>
        <v/>
      </c>
      <c r="G952" s="43" t="n"/>
      <c r="H952" s="56" t="n"/>
      <c r="I952" s="43" t="n"/>
      <c r="J952" s="57">
        <f>IF(OR(A952="",H952=""),"",IF(COUNTIFS(exp_year,C952,exp_month,D952,exp_item,E952,exp_status,"&lt;&gt;❌ Отменено")&gt;0,1,0))</f>
        <v/>
      </c>
    </row>
    <row r="953">
      <c r="A953" s="52" t="n"/>
      <c r="B953" s="53">
        <f>IF(A953="","",CHOOSE(WEEKDAY(A953,2),"Пн","Вт","Ср","Чт","Пт","Сб","Вс"))</f>
        <v/>
      </c>
      <c r="C953" s="53">
        <f>IF(A953="","",YEAR(A953))</f>
        <v/>
      </c>
      <c r="D953" s="54">
        <f>IF(A953="","",INDEX(lst_months,MONTH(A953)))</f>
        <v/>
      </c>
      <c r="E953" s="55" t="n"/>
      <c r="F953" s="54">
        <f>IF(E953="","",IFERROR(IF(INDEX(lst_exp_item_cat,MATCH(E953,lst_exp_items,0))="","❔ Без категории",INDEX(lst_exp_item_cat,MATCH(E953,lst_exp_items,0))),"❔ Без категории"))</f>
        <v/>
      </c>
      <c r="G953" s="43" t="n"/>
      <c r="H953" s="56" t="n"/>
      <c r="I953" s="43" t="n"/>
      <c r="J953" s="57">
        <f>IF(OR(A953="",H953=""),"",IF(COUNTIFS(exp_year,C953,exp_month,D953,exp_item,E953,exp_status,"&lt;&gt;❌ Отменено")&gt;0,1,0))</f>
        <v/>
      </c>
    </row>
    <row r="954">
      <c r="A954" s="52" t="n"/>
      <c r="B954" s="53">
        <f>IF(A954="","",CHOOSE(WEEKDAY(A954,2),"Пн","Вт","Ср","Чт","Пт","Сб","Вс"))</f>
        <v/>
      </c>
      <c r="C954" s="53">
        <f>IF(A954="","",YEAR(A954))</f>
        <v/>
      </c>
      <c r="D954" s="54">
        <f>IF(A954="","",INDEX(lst_months,MONTH(A954)))</f>
        <v/>
      </c>
      <c r="E954" s="55" t="n"/>
      <c r="F954" s="54">
        <f>IF(E954="","",IFERROR(IF(INDEX(lst_exp_item_cat,MATCH(E954,lst_exp_items,0))="","❔ Без категории",INDEX(lst_exp_item_cat,MATCH(E954,lst_exp_items,0))),"❔ Без категории"))</f>
        <v/>
      </c>
      <c r="G954" s="43" t="n"/>
      <c r="H954" s="56" t="n"/>
      <c r="I954" s="43" t="n"/>
      <c r="J954" s="57">
        <f>IF(OR(A954="",H954=""),"",IF(COUNTIFS(exp_year,C954,exp_month,D954,exp_item,E954,exp_status,"&lt;&gt;❌ Отменено")&gt;0,1,0))</f>
        <v/>
      </c>
    </row>
    <row r="955">
      <c r="A955" s="52" t="n"/>
      <c r="B955" s="53">
        <f>IF(A955="","",CHOOSE(WEEKDAY(A955,2),"Пн","Вт","Ср","Чт","Пт","Сб","Вс"))</f>
        <v/>
      </c>
      <c r="C955" s="53">
        <f>IF(A955="","",YEAR(A955))</f>
        <v/>
      </c>
      <c r="D955" s="54">
        <f>IF(A955="","",INDEX(lst_months,MONTH(A955)))</f>
        <v/>
      </c>
      <c r="E955" s="55" t="n"/>
      <c r="F955" s="54">
        <f>IF(E955="","",IFERROR(IF(INDEX(lst_exp_item_cat,MATCH(E955,lst_exp_items,0))="","❔ Без категории",INDEX(lst_exp_item_cat,MATCH(E955,lst_exp_items,0))),"❔ Без категории"))</f>
        <v/>
      </c>
      <c r="G955" s="43" t="n"/>
      <c r="H955" s="56" t="n"/>
      <c r="I955" s="43" t="n"/>
      <c r="J955" s="57">
        <f>IF(OR(A955="",H955=""),"",IF(COUNTIFS(exp_year,C955,exp_month,D955,exp_item,E955,exp_status,"&lt;&gt;❌ Отменено")&gt;0,1,0))</f>
        <v/>
      </c>
    </row>
    <row r="956">
      <c r="A956" s="52" t="n"/>
      <c r="B956" s="53">
        <f>IF(A956="","",CHOOSE(WEEKDAY(A956,2),"Пн","Вт","Ср","Чт","Пт","Сб","Вс"))</f>
        <v/>
      </c>
      <c r="C956" s="53">
        <f>IF(A956="","",YEAR(A956))</f>
        <v/>
      </c>
      <c r="D956" s="54">
        <f>IF(A956="","",INDEX(lst_months,MONTH(A956)))</f>
        <v/>
      </c>
      <c r="E956" s="55" t="n"/>
      <c r="F956" s="54">
        <f>IF(E956="","",IFERROR(IF(INDEX(lst_exp_item_cat,MATCH(E956,lst_exp_items,0))="","❔ Без категории",INDEX(lst_exp_item_cat,MATCH(E956,lst_exp_items,0))),"❔ Без категории"))</f>
        <v/>
      </c>
      <c r="G956" s="43" t="n"/>
      <c r="H956" s="56" t="n"/>
      <c r="I956" s="43" t="n"/>
      <c r="J956" s="57">
        <f>IF(OR(A956="",H956=""),"",IF(COUNTIFS(exp_year,C956,exp_month,D956,exp_item,E956,exp_status,"&lt;&gt;❌ Отменено")&gt;0,1,0))</f>
        <v/>
      </c>
    </row>
    <row r="957">
      <c r="A957" s="52" t="n"/>
      <c r="B957" s="53">
        <f>IF(A957="","",CHOOSE(WEEKDAY(A957,2),"Пн","Вт","Ср","Чт","Пт","Сб","Вс"))</f>
        <v/>
      </c>
      <c r="C957" s="53">
        <f>IF(A957="","",YEAR(A957))</f>
        <v/>
      </c>
      <c r="D957" s="54">
        <f>IF(A957="","",INDEX(lst_months,MONTH(A957)))</f>
        <v/>
      </c>
      <c r="E957" s="55" t="n"/>
      <c r="F957" s="54">
        <f>IF(E957="","",IFERROR(IF(INDEX(lst_exp_item_cat,MATCH(E957,lst_exp_items,0))="","❔ Без категории",INDEX(lst_exp_item_cat,MATCH(E957,lst_exp_items,0))),"❔ Без категории"))</f>
        <v/>
      </c>
      <c r="G957" s="43" t="n"/>
      <c r="H957" s="56" t="n"/>
      <c r="I957" s="43" t="n"/>
      <c r="J957" s="57">
        <f>IF(OR(A957="",H957=""),"",IF(COUNTIFS(exp_year,C957,exp_month,D957,exp_item,E957,exp_status,"&lt;&gt;❌ Отменено")&gt;0,1,0))</f>
        <v/>
      </c>
    </row>
    <row r="958">
      <c r="A958" s="52" t="n"/>
      <c r="B958" s="53">
        <f>IF(A958="","",CHOOSE(WEEKDAY(A958,2),"Пн","Вт","Ср","Чт","Пт","Сб","Вс"))</f>
        <v/>
      </c>
      <c r="C958" s="53">
        <f>IF(A958="","",YEAR(A958))</f>
        <v/>
      </c>
      <c r="D958" s="54">
        <f>IF(A958="","",INDEX(lst_months,MONTH(A958)))</f>
        <v/>
      </c>
      <c r="E958" s="55" t="n"/>
      <c r="F958" s="54">
        <f>IF(E958="","",IFERROR(IF(INDEX(lst_exp_item_cat,MATCH(E958,lst_exp_items,0))="","❔ Без категории",INDEX(lst_exp_item_cat,MATCH(E958,lst_exp_items,0))),"❔ Без категории"))</f>
        <v/>
      </c>
      <c r="G958" s="43" t="n"/>
      <c r="H958" s="56" t="n"/>
      <c r="I958" s="43" t="n"/>
      <c r="J958" s="57">
        <f>IF(OR(A958="",H958=""),"",IF(COUNTIFS(exp_year,C958,exp_month,D958,exp_item,E958,exp_status,"&lt;&gt;❌ Отменено")&gt;0,1,0))</f>
        <v/>
      </c>
    </row>
    <row r="959">
      <c r="A959" s="52" t="n"/>
      <c r="B959" s="53">
        <f>IF(A959="","",CHOOSE(WEEKDAY(A959,2),"Пн","Вт","Ср","Чт","Пт","Сб","Вс"))</f>
        <v/>
      </c>
      <c r="C959" s="53">
        <f>IF(A959="","",YEAR(A959))</f>
        <v/>
      </c>
      <c r="D959" s="54">
        <f>IF(A959="","",INDEX(lst_months,MONTH(A959)))</f>
        <v/>
      </c>
      <c r="E959" s="55" t="n"/>
      <c r="F959" s="54">
        <f>IF(E959="","",IFERROR(IF(INDEX(lst_exp_item_cat,MATCH(E959,lst_exp_items,0))="","❔ Без категории",INDEX(lst_exp_item_cat,MATCH(E959,lst_exp_items,0))),"❔ Без категории"))</f>
        <v/>
      </c>
      <c r="G959" s="43" t="n"/>
      <c r="H959" s="56" t="n"/>
      <c r="I959" s="43" t="n"/>
      <c r="J959" s="57">
        <f>IF(OR(A959="",H959=""),"",IF(COUNTIFS(exp_year,C959,exp_month,D959,exp_item,E959,exp_status,"&lt;&gt;❌ Отменено")&gt;0,1,0))</f>
        <v/>
      </c>
    </row>
    <row r="960">
      <c r="A960" s="52" t="n"/>
      <c r="B960" s="53">
        <f>IF(A960="","",CHOOSE(WEEKDAY(A960,2),"Пн","Вт","Ср","Чт","Пт","Сб","Вс"))</f>
        <v/>
      </c>
      <c r="C960" s="53">
        <f>IF(A960="","",YEAR(A960))</f>
        <v/>
      </c>
      <c r="D960" s="54">
        <f>IF(A960="","",INDEX(lst_months,MONTH(A960)))</f>
        <v/>
      </c>
      <c r="E960" s="55" t="n"/>
      <c r="F960" s="54">
        <f>IF(E960="","",IFERROR(IF(INDEX(lst_exp_item_cat,MATCH(E960,lst_exp_items,0))="","❔ Без категории",INDEX(lst_exp_item_cat,MATCH(E960,lst_exp_items,0))),"❔ Без категории"))</f>
        <v/>
      </c>
      <c r="G960" s="43" t="n"/>
      <c r="H960" s="56" t="n"/>
      <c r="I960" s="43" t="n"/>
      <c r="J960" s="57">
        <f>IF(OR(A960="",H960=""),"",IF(COUNTIFS(exp_year,C960,exp_month,D960,exp_item,E960,exp_status,"&lt;&gt;❌ Отменено")&gt;0,1,0))</f>
        <v/>
      </c>
    </row>
    <row r="961">
      <c r="A961" s="52" t="n"/>
      <c r="B961" s="53">
        <f>IF(A961="","",CHOOSE(WEEKDAY(A961,2),"Пн","Вт","Ср","Чт","Пт","Сб","Вс"))</f>
        <v/>
      </c>
      <c r="C961" s="53">
        <f>IF(A961="","",YEAR(A961))</f>
        <v/>
      </c>
      <c r="D961" s="54">
        <f>IF(A961="","",INDEX(lst_months,MONTH(A961)))</f>
        <v/>
      </c>
      <c r="E961" s="55" t="n"/>
      <c r="F961" s="54">
        <f>IF(E961="","",IFERROR(IF(INDEX(lst_exp_item_cat,MATCH(E961,lst_exp_items,0))="","❔ Без категории",INDEX(lst_exp_item_cat,MATCH(E961,lst_exp_items,0))),"❔ Без категории"))</f>
        <v/>
      </c>
      <c r="G961" s="43" t="n"/>
      <c r="H961" s="56" t="n"/>
      <c r="I961" s="43" t="n"/>
      <c r="J961" s="57">
        <f>IF(OR(A961="",H961=""),"",IF(COUNTIFS(exp_year,C961,exp_month,D961,exp_item,E961,exp_status,"&lt;&gt;❌ Отменено")&gt;0,1,0))</f>
        <v/>
      </c>
    </row>
    <row r="962">
      <c r="A962" s="52" t="n"/>
      <c r="B962" s="53">
        <f>IF(A962="","",CHOOSE(WEEKDAY(A962,2),"Пн","Вт","Ср","Чт","Пт","Сб","Вс"))</f>
        <v/>
      </c>
      <c r="C962" s="53">
        <f>IF(A962="","",YEAR(A962))</f>
        <v/>
      </c>
      <c r="D962" s="54">
        <f>IF(A962="","",INDEX(lst_months,MONTH(A962)))</f>
        <v/>
      </c>
      <c r="E962" s="55" t="n"/>
      <c r="F962" s="54">
        <f>IF(E962="","",IFERROR(IF(INDEX(lst_exp_item_cat,MATCH(E962,lst_exp_items,0))="","❔ Без категории",INDEX(lst_exp_item_cat,MATCH(E962,lst_exp_items,0))),"❔ Без категории"))</f>
        <v/>
      </c>
      <c r="G962" s="43" t="n"/>
      <c r="H962" s="56" t="n"/>
      <c r="I962" s="43" t="n"/>
      <c r="J962" s="57">
        <f>IF(OR(A962="",H962=""),"",IF(COUNTIFS(exp_year,C962,exp_month,D962,exp_item,E962,exp_status,"&lt;&gt;❌ Отменено")&gt;0,1,0))</f>
        <v/>
      </c>
    </row>
    <row r="963">
      <c r="A963" s="52" t="n"/>
      <c r="B963" s="53">
        <f>IF(A963="","",CHOOSE(WEEKDAY(A963,2),"Пн","Вт","Ср","Чт","Пт","Сб","Вс"))</f>
        <v/>
      </c>
      <c r="C963" s="53">
        <f>IF(A963="","",YEAR(A963))</f>
        <v/>
      </c>
      <c r="D963" s="54">
        <f>IF(A963="","",INDEX(lst_months,MONTH(A963)))</f>
        <v/>
      </c>
      <c r="E963" s="55" t="n"/>
      <c r="F963" s="54">
        <f>IF(E963="","",IFERROR(IF(INDEX(lst_exp_item_cat,MATCH(E963,lst_exp_items,0))="","❔ Без категории",INDEX(lst_exp_item_cat,MATCH(E963,lst_exp_items,0))),"❔ Без категории"))</f>
        <v/>
      </c>
      <c r="G963" s="43" t="n"/>
      <c r="H963" s="56" t="n"/>
      <c r="I963" s="43" t="n"/>
      <c r="J963" s="57">
        <f>IF(OR(A963="",H963=""),"",IF(COUNTIFS(exp_year,C963,exp_month,D963,exp_item,E963,exp_status,"&lt;&gt;❌ Отменено")&gt;0,1,0))</f>
        <v/>
      </c>
    </row>
    <row r="964">
      <c r="A964" s="52" t="n"/>
      <c r="B964" s="53">
        <f>IF(A964="","",CHOOSE(WEEKDAY(A964,2),"Пн","Вт","Ср","Чт","Пт","Сб","Вс"))</f>
        <v/>
      </c>
      <c r="C964" s="53">
        <f>IF(A964="","",YEAR(A964))</f>
        <v/>
      </c>
      <c r="D964" s="54">
        <f>IF(A964="","",INDEX(lst_months,MONTH(A964)))</f>
        <v/>
      </c>
      <c r="E964" s="55" t="n"/>
      <c r="F964" s="54">
        <f>IF(E964="","",IFERROR(IF(INDEX(lst_exp_item_cat,MATCH(E964,lst_exp_items,0))="","❔ Без категории",INDEX(lst_exp_item_cat,MATCH(E964,lst_exp_items,0))),"❔ Без категории"))</f>
        <v/>
      </c>
      <c r="G964" s="43" t="n"/>
      <c r="H964" s="56" t="n"/>
      <c r="I964" s="43" t="n"/>
      <c r="J964" s="57">
        <f>IF(OR(A964="",H964=""),"",IF(COUNTIFS(exp_year,C964,exp_month,D964,exp_item,E964,exp_status,"&lt;&gt;❌ Отменено")&gt;0,1,0))</f>
        <v/>
      </c>
    </row>
    <row r="965">
      <c r="A965" s="52" t="n"/>
      <c r="B965" s="53">
        <f>IF(A965="","",CHOOSE(WEEKDAY(A965,2),"Пн","Вт","Ср","Чт","Пт","Сб","Вс"))</f>
        <v/>
      </c>
      <c r="C965" s="53">
        <f>IF(A965="","",YEAR(A965))</f>
        <v/>
      </c>
      <c r="D965" s="54">
        <f>IF(A965="","",INDEX(lst_months,MONTH(A965)))</f>
        <v/>
      </c>
      <c r="E965" s="55" t="n"/>
      <c r="F965" s="54">
        <f>IF(E965="","",IFERROR(IF(INDEX(lst_exp_item_cat,MATCH(E965,lst_exp_items,0))="","❔ Без категории",INDEX(lst_exp_item_cat,MATCH(E965,lst_exp_items,0))),"❔ Без категории"))</f>
        <v/>
      </c>
      <c r="G965" s="43" t="n"/>
      <c r="H965" s="56" t="n"/>
      <c r="I965" s="43" t="n"/>
      <c r="J965" s="57">
        <f>IF(OR(A965="",H965=""),"",IF(COUNTIFS(exp_year,C965,exp_month,D965,exp_item,E965,exp_status,"&lt;&gt;❌ Отменено")&gt;0,1,0))</f>
        <v/>
      </c>
    </row>
    <row r="966">
      <c r="A966" s="52" t="n"/>
      <c r="B966" s="53">
        <f>IF(A966="","",CHOOSE(WEEKDAY(A966,2),"Пн","Вт","Ср","Чт","Пт","Сб","Вс"))</f>
        <v/>
      </c>
      <c r="C966" s="53">
        <f>IF(A966="","",YEAR(A966))</f>
        <v/>
      </c>
      <c r="D966" s="54">
        <f>IF(A966="","",INDEX(lst_months,MONTH(A966)))</f>
        <v/>
      </c>
      <c r="E966" s="55" t="n"/>
      <c r="F966" s="54">
        <f>IF(E966="","",IFERROR(IF(INDEX(lst_exp_item_cat,MATCH(E966,lst_exp_items,0))="","❔ Без категории",INDEX(lst_exp_item_cat,MATCH(E966,lst_exp_items,0))),"❔ Без категории"))</f>
        <v/>
      </c>
      <c r="G966" s="43" t="n"/>
      <c r="H966" s="56" t="n"/>
      <c r="I966" s="43" t="n"/>
      <c r="J966" s="57">
        <f>IF(OR(A966="",H966=""),"",IF(COUNTIFS(exp_year,C966,exp_month,D966,exp_item,E966,exp_status,"&lt;&gt;❌ Отменено")&gt;0,1,0))</f>
        <v/>
      </c>
    </row>
    <row r="967">
      <c r="A967" s="52" t="n"/>
      <c r="B967" s="53">
        <f>IF(A967="","",CHOOSE(WEEKDAY(A967,2),"Пн","Вт","Ср","Чт","Пт","Сб","Вс"))</f>
        <v/>
      </c>
      <c r="C967" s="53">
        <f>IF(A967="","",YEAR(A967))</f>
        <v/>
      </c>
      <c r="D967" s="54">
        <f>IF(A967="","",INDEX(lst_months,MONTH(A967)))</f>
        <v/>
      </c>
      <c r="E967" s="55" t="n"/>
      <c r="F967" s="54">
        <f>IF(E967="","",IFERROR(IF(INDEX(lst_exp_item_cat,MATCH(E967,lst_exp_items,0))="","❔ Без категории",INDEX(lst_exp_item_cat,MATCH(E967,lst_exp_items,0))),"❔ Без категории"))</f>
        <v/>
      </c>
      <c r="G967" s="43" t="n"/>
      <c r="H967" s="56" t="n"/>
      <c r="I967" s="43" t="n"/>
      <c r="J967" s="57">
        <f>IF(OR(A967="",H967=""),"",IF(COUNTIFS(exp_year,C967,exp_month,D967,exp_item,E967,exp_status,"&lt;&gt;❌ Отменено")&gt;0,1,0))</f>
        <v/>
      </c>
    </row>
    <row r="968">
      <c r="A968" s="52" t="n"/>
      <c r="B968" s="53">
        <f>IF(A968="","",CHOOSE(WEEKDAY(A968,2),"Пн","Вт","Ср","Чт","Пт","Сб","Вс"))</f>
        <v/>
      </c>
      <c r="C968" s="53">
        <f>IF(A968="","",YEAR(A968))</f>
        <v/>
      </c>
      <c r="D968" s="54">
        <f>IF(A968="","",INDEX(lst_months,MONTH(A968)))</f>
        <v/>
      </c>
      <c r="E968" s="55" t="n"/>
      <c r="F968" s="54">
        <f>IF(E968="","",IFERROR(IF(INDEX(lst_exp_item_cat,MATCH(E968,lst_exp_items,0))="","❔ Без категории",INDEX(lst_exp_item_cat,MATCH(E968,lst_exp_items,0))),"❔ Без категории"))</f>
        <v/>
      </c>
      <c r="G968" s="43" t="n"/>
      <c r="H968" s="56" t="n"/>
      <c r="I968" s="43" t="n"/>
      <c r="J968" s="57">
        <f>IF(OR(A968="",H968=""),"",IF(COUNTIFS(exp_year,C968,exp_month,D968,exp_item,E968,exp_status,"&lt;&gt;❌ Отменено")&gt;0,1,0))</f>
        <v/>
      </c>
    </row>
    <row r="969">
      <c r="A969" s="52" t="n"/>
      <c r="B969" s="53">
        <f>IF(A969="","",CHOOSE(WEEKDAY(A969,2),"Пн","Вт","Ср","Чт","Пт","Сб","Вс"))</f>
        <v/>
      </c>
      <c r="C969" s="53">
        <f>IF(A969="","",YEAR(A969))</f>
        <v/>
      </c>
      <c r="D969" s="54">
        <f>IF(A969="","",INDEX(lst_months,MONTH(A969)))</f>
        <v/>
      </c>
      <c r="E969" s="55" t="n"/>
      <c r="F969" s="54">
        <f>IF(E969="","",IFERROR(IF(INDEX(lst_exp_item_cat,MATCH(E969,lst_exp_items,0))="","❔ Без категории",INDEX(lst_exp_item_cat,MATCH(E969,lst_exp_items,0))),"❔ Без категории"))</f>
        <v/>
      </c>
      <c r="G969" s="43" t="n"/>
      <c r="H969" s="56" t="n"/>
      <c r="I969" s="43" t="n"/>
      <c r="J969" s="57">
        <f>IF(OR(A969="",H969=""),"",IF(COUNTIFS(exp_year,C969,exp_month,D969,exp_item,E969,exp_status,"&lt;&gt;❌ Отменено")&gt;0,1,0))</f>
        <v/>
      </c>
    </row>
    <row r="970">
      <c r="A970" s="52" t="n"/>
      <c r="B970" s="53">
        <f>IF(A970="","",CHOOSE(WEEKDAY(A970,2),"Пн","Вт","Ср","Чт","Пт","Сб","Вс"))</f>
        <v/>
      </c>
      <c r="C970" s="53">
        <f>IF(A970="","",YEAR(A970))</f>
        <v/>
      </c>
      <c r="D970" s="54">
        <f>IF(A970="","",INDEX(lst_months,MONTH(A970)))</f>
        <v/>
      </c>
      <c r="E970" s="55" t="n"/>
      <c r="F970" s="54">
        <f>IF(E970="","",IFERROR(IF(INDEX(lst_exp_item_cat,MATCH(E970,lst_exp_items,0))="","❔ Без категории",INDEX(lst_exp_item_cat,MATCH(E970,lst_exp_items,0))),"❔ Без категории"))</f>
        <v/>
      </c>
      <c r="G970" s="43" t="n"/>
      <c r="H970" s="56" t="n"/>
      <c r="I970" s="43" t="n"/>
      <c r="J970" s="57">
        <f>IF(OR(A970="",H970=""),"",IF(COUNTIFS(exp_year,C970,exp_month,D970,exp_item,E970,exp_status,"&lt;&gt;❌ Отменено")&gt;0,1,0))</f>
        <v/>
      </c>
    </row>
    <row r="971">
      <c r="A971" s="52" t="n"/>
      <c r="B971" s="53">
        <f>IF(A971="","",CHOOSE(WEEKDAY(A971,2),"Пн","Вт","Ср","Чт","Пт","Сб","Вс"))</f>
        <v/>
      </c>
      <c r="C971" s="53">
        <f>IF(A971="","",YEAR(A971))</f>
        <v/>
      </c>
      <c r="D971" s="54">
        <f>IF(A971="","",INDEX(lst_months,MONTH(A971)))</f>
        <v/>
      </c>
      <c r="E971" s="55" t="n"/>
      <c r="F971" s="54">
        <f>IF(E971="","",IFERROR(IF(INDEX(lst_exp_item_cat,MATCH(E971,lst_exp_items,0))="","❔ Без категории",INDEX(lst_exp_item_cat,MATCH(E971,lst_exp_items,0))),"❔ Без категории"))</f>
        <v/>
      </c>
      <c r="G971" s="43" t="n"/>
      <c r="H971" s="56" t="n"/>
      <c r="I971" s="43" t="n"/>
      <c r="J971" s="57">
        <f>IF(OR(A971="",H971=""),"",IF(COUNTIFS(exp_year,C971,exp_month,D971,exp_item,E971,exp_status,"&lt;&gt;❌ Отменено")&gt;0,1,0))</f>
        <v/>
      </c>
    </row>
    <row r="972">
      <c r="A972" s="52" t="n"/>
      <c r="B972" s="53">
        <f>IF(A972="","",CHOOSE(WEEKDAY(A972,2),"Пн","Вт","Ср","Чт","Пт","Сб","Вс"))</f>
        <v/>
      </c>
      <c r="C972" s="53">
        <f>IF(A972="","",YEAR(A972))</f>
        <v/>
      </c>
      <c r="D972" s="54">
        <f>IF(A972="","",INDEX(lst_months,MONTH(A972)))</f>
        <v/>
      </c>
      <c r="E972" s="55" t="n"/>
      <c r="F972" s="54">
        <f>IF(E972="","",IFERROR(IF(INDEX(lst_exp_item_cat,MATCH(E972,lst_exp_items,0))="","❔ Без категории",INDEX(lst_exp_item_cat,MATCH(E972,lst_exp_items,0))),"❔ Без категории"))</f>
        <v/>
      </c>
      <c r="G972" s="43" t="n"/>
      <c r="H972" s="56" t="n"/>
      <c r="I972" s="43" t="n"/>
      <c r="J972" s="57">
        <f>IF(OR(A972="",H972=""),"",IF(COUNTIFS(exp_year,C972,exp_month,D972,exp_item,E972,exp_status,"&lt;&gt;❌ Отменено")&gt;0,1,0))</f>
        <v/>
      </c>
    </row>
    <row r="973">
      <c r="A973" s="52" t="n"/>
      <c r="B973" s="53">
        <f>IF(A973="","",CHOOSE(WEEKDAY(A973,2),"Пн","Вт","Ср","Чт","Пт","Сб","Вс"))</f>
        <v/>
      </c>
      <c r="C973" s="53">
        <f>IF(A973="","",YEAR(A973))</f>
        <v/>
      </c>
      <c r="D973" s="54">
        <f>IF(A973="","",INDEX(lst_months,MONTH(A973)))</f>
        <v/>
      </c>
      <c r="E973" s="55" t="n"/>
      <c r="F973" s="54">
        <f>IF(E973="","",IFERROR(IF(INDEX(lst_exp_item_cat,MATCH(E973,lst_exp_items,0))="","❔ Без категории",INDEX(lst_exp_item_cat,MATCH(E973,lst_exp_items,0))),"❔ Без категории"))</f>
        <v/>
      </c>
      <c r="G973" s="43" t="n"/>
      <c r="H973" s="56" t="n"/>
      <c r="I973" s="43" t="n"/>
      <c r="J973" s="57">
        <f>IF(OR(A973="",H973=""),"",IF(COUNTIFS(exp_year,C973,exp_month,D973,exp_item,E973,exp_status,"&lt;&gt;❌ Отменено")&gt;0,1,0))</f>
        <v/>
      </c>
    </row>
    <row r="974">
      <c r="A974" s="52" t="n"/>
      <c r="B974" s="53">
        <f>IF(A974="","",CHOOSE(WEEKDAY(A974,2),"Пн","Вт","Ср","Чт","Пт","Сб","Вс"))</f>
        <v/>
      </c>
      <c r="C974" s="53">
        <f>IF(A974="","",YEAR(A974))</f>
        <v/>
      </c>
      <c r="D974" s="54">
        <f>IF(A974="","",INDEX(lst_months,MONTH(A974)))</f>
        <v/>
      </c>
      <c r="E974" s="55" t="n"/>
      <c r="F974" s="54">
        <f>IF(E974="","",IFERROR(IF(INDEX(lst_exp_item_cat,MATCH(E974,lst_exp_items,0))="","❔ Без категории",INDEX(lst_exp_item_cat,MATCH(E974,lst_exp_items,0))),"❔ Без категории"))</f>
        <v/>
      </c>
      <c r="G974" s="43" t="n"/>
      <c r="H974" s="56" t="n"/>
      <c r="I974" s="43" t="n"/>
      <c r="J974" s="57">
        <f>IF(OR(A974="",H974=""),"",IF(COUNTIFS(exp_year,C974,exp_month,D974,exp_item,E974,exp_status,"&lt;&gt;❌ Отменено")&gt;0,1,0))</f>
        <v/>
      </c>
    </row>
    <row r="975">
      <c r="A975" s="52" t="n"/>
      <c r="B975" s="53">
        <f>IF(A975="","",CHOOSE(WEEKDAY(A975,2),"Пн","Вт","Ср","Чт","Пт","Сб","Вс"))</f>
        <v/>
      </c>
      <c r="C975" s="53">
        <f>IF(A975="","",YEAR(A975))</f>
        <v/>
      </c>
      <c r="D975" s="54">
        <f>IF(A975="","",INDEX(lst_months,MONTH(A975)))</f>
        <v/>
      </c>
      <c r="E975" s="55" t="n"/>
      <c r="F975" s="54">
        <f>IF(E975="","",IFERROR(IF(INDEX(lst_exp_item_cat,MATCH(E975,lst_exp_items,0))="","❔ Без категории",INDEX(lst_exp_item_cat,MATCH(E975,lst_exp_items,0))),"❔ Без категории"))</f>
        <v/>
      </c>
      <c r="G975" s="43" t="n"/>
      <c r="H975" s="56" t="n"/>
      <c r="I975" s="43" t="n"/>
      <c r="J975" s="57">
        <f>IF(OR(A975="",H975=""),"",IF(COUNTIFS(exp_year,C975,exp_month,D975,exp_item,E975,exp_status,"&lt;&gt;❌ Отменено")&gt;0,1,0))</f>
        <v/>
      </c>
    </row>
    <row r="976">
      <c r="A976" s="52" t="n"/>
      <c r="B976" s="53">
        <f>IF(A976="","",CHOOSE(WEEKDAY(A976,2),"Пн","Вт","Ср","Чт","Пт","Сб","Вс"))</f>
        <v/>
      </c>
      <c r="C976" s="53">
        <f>IF(A976="","",YEAR(A976))</f>
        <v/>
      </c>
      <c r="D976" s="54">
        <f>IF(A976="","",INDEX(lst_months,MONTH(A976)))</f>
        <v/>
      </c>
      <c r="E976" s="55" t="n"/>
      <c r="F976" s="54">
        <f>IF(E976="","",IFERROR(IF(INDEX(lst_exp_item_cat,MATCH(E976,lst_exp_items,0))="","❔ Без категории",INDEX(lst_exp_item_cat,MATCH(E976,lst_exp_items,0))),"❔ Без категории"))</f>
        <v/>
      </c>
      <c r="G976" s="43" t="n"/>
      <c r="H976" s="56" t="n"/>
      <c r="I976" s="43" t="n"/>
      <c r="J976" s="57">
        <f>IF(OR(A976="",H976=""),"",IF(COUNTIFS(exp_year,C976,exp_month,D976,exp_item,E976,exp_status,"&lt;&gt;❌ Отменено")&gt;0,1,0))</f>
        <v/>
      </c>
    </row>
    <row r="977">
      <c r="A977" s="52" t="n"/>
      <c r="B977" s="53">
        <f>IF(A977="","",CHOOSE(WEEKDAY(A977,2),"Пн","Вт","Ср","Чт","Пт","Сб","Вс"))</f>
        <v/>
      </c>
      <c r="C977" s="53">
        <f>IF(A977="","",YEAR(A977))</f>
        <v/>
      </c>
      <c r="D977" s="54">
        <f>IF(A977="","",INDEX(lst_months,MONTH(A977)))</f>
        <v/>
      </c>
      <c r="E977" s="55" t="n"/>
      <c r="F977" s="54">
        <f>IF(E977="","",IFERROR(IF(INDEX(lst_exp_item_cat,MATCH(E977,lst_exp_items,0))="","❔ Без категории",INDEX(lst_exp_item_cat,MATCH(E977,lst_exp_items,0))),"❔ Без категории"))</f>
        <v/>
      </c>
      <c r="G977" s="43" t="n"/>
      <c r="H977" s="56" t="n"/>
      <c r="I977" s="43" t="n"/>
      <c r="J977" s="57">
        <f>IF(OR(A977="",H977=""),"",IF(COUNTIFS(exp_year,C977,exp_month,D977,exp_item,E977,exp_status,"&lt;&gt;❌ Отменено")&gt;0,1,0))</f>
        <v/>
      </c>
    </row>
    <row r="978">
      <c r="A978" s="52" t="n"/>
      <c r="B978" s="53">
        <f>IF(A978="","",CHOOSE(WEEKDAY(A978,2),"Пн","Вт","Ср","Чт","Пт","Сб","Вс"))</f>
        <v/>
      </c>
      <c r="C978" s="53">
        <f>IF(A978="","",YEAR(A978))</f>
        <v/>
      </c>
      <c r="D978" s="54">
        <f>IF(A978="","",INDEX(lst_months,MONTH(A978)))</f>
        <v/>
      </c>
      <c r="E978" s="55" t="n"/>
      <c r="F978" s="54">
        <f>IF(E978="","",IFERROR(IF(INDEX(lst_exp_item_cat,MATCH(E978,lst_exp_items,0))="","❔ Без категории",INDEX(lst_exp_item_cat,MATCH(E978,lst_exp_items,0))),"❔ Без категории"))</f>
        <v/>
      </c>
      <c r="G978" s="43" t="n"/>
      <c r="H978" s="56" t="n"/>
      <c r="I978" s="43" t="n"/>
      <c r="J978" s="57">
        <f>IF(OR(A978="",H978=""),"",IF(COUNTIFS(exp_year,C978,exp_month,D978,exp_item,E978,exp_status,"&lt;&gt;❌ Отменено")&gt;0,1,0))</f>
        <v/>
      </c>
    </row>
    <row r="979">
      <c r="A979" s="52" t="n"/>
      <c r="B979" s="53">
        <f>IF(A979="","",CHOOSE(WEEKDAY(A979,2),"Пн","Вт","Ср","Чт","Пт","Сб","Вс"))</f>
        <v/>
      </c>
      <c r="C979" s="53">
        <f>IF(A979="","",YEAR(A979))</f>
        <v/>
      </c>
      <c r="D979" s="54">
        <f>IF(A979="","",INDEX(lst_months,MONTH(A979)))</f>
        <v/>
      </c>
      <c r="E979" s="55" t="n"/>
      <c r="F979" s="54">
        <f>IF(E979="","",IFERROR(IF(INDEX(lst_exp_item_cat,MATCH(E979,lst_exp_items,0))="","❔ Без категории",INDEX(lst_exp_item_cat,MATCH(E979,lst_exp_items,0))),"❔ Без категории"))</f>
        <v/>
      </c>
      <c r="G979" s="43" t="n"/>
      <c r="H979" s="56" t="n"/>
      <c r="I979" s="43" t="n"/>
      <c r="J979" s="57">
        <f>IF(OR(A979="",H979=""),"",IF(COUNTIFS(exp_year,C979,exp_month,D979,exp_item,E979,exp_status,"&lt;&gt;❌ Отменено")&gt;0,1,0))</f>
        <v/>
      </c>
    </row>
    <row r="980">
      <c r="A980" s="52" t="n"/>
      <c r="B980" s="53">
        <f>IF(A980="","",CHOOSE(WEEKDAY(A980,2),"Пн","Вт","Ср","Чт","Пт","Сб","Вс"))</f>
        <v/>
      </c>
      <c r="C980" s="53">
        <f>IF(A980="","",YEAR(A980))</f>
        <v/>
      </c>
      <c r="D980" s="54">
        <f>IF(A980="","",INDEX(lst_months,MONTH(A980)))</f>
        <v/>
      </c>
      <c r="E980" s="55" t="n"/>
      <c r="F980" s="54">
        <f>IF(E980="","",IFERROR(IF(INDEX(lst_exp_item_cat,MATCH(E980,lst_exp_items,0))="","❔ Без категории",INDEX(lst_exp_item_cat,MATCH(E980,lst_exp_items,0))),"❔ Без категории"))</f>
        <v/>
      </c>
      <c r="G980" s="43" t="n"/>
      <c r="H980" s="56" t="n"/>
      <c r="I980" s="43" t="n"/>
      <c r="J980" s="57">
        <f>IF(OR(A980="",H980=""),"",IF(COUNTIFS(exp_year,C980,exp_month,D980,exp_item,E980,exp_status,"&lt;&gt;❌ Отменено")&gt;0,1,0))</f>
        <v/>
      </c>
    </row>
    <row r="981">
      <c r="A981" s="52" t="n"/>
      <c r="B981" s="53">
        <f>IF(A981="","",CHOOSE(WEEKDAY(A981,2),"Пн","Вт","Ср","Чт","Пт","Сб","Вс"))</f>
        <v/>
      </c>
      <c r="C981" s="53">
        <f>IF(A981="","",YEAR(A981))</f>
        <v/>
      </c>
      <c r="D981" s="54">
        <f>IF(A981="","",INDEX(lst_months,MONTH(A981)))</f>
        <v/>
      </c>
      <c r="E981" s="55" t="n"/>
      <c r="F981" s="54">
        <f>IF(E981="","",IFERROR(IF(INDEX(lst_exp_item_cat,MATCH(E981,lst_exp_items,0))="","❔ Без категории",INDEX(lst_exp_item_cat,MATCH(E981,lst_exp_items,0))),"❔ Без категории"))</f>
        <v/>
      </c>
      <c r="G981" s="43" t="n"/>
      <c r="H981" s="56" t="n"/>
      <c r="I981" s="43" t="n"/>
      <c r="J981" s="57">
        <f>IF(OR(A981="",H981=""),"",IF(COUNTIFS(exp_year,C981,exp_month,D981,exp_item,E981,exp_status,"&lt;&gt;❌ Отменено")&gt;0,1,0))</f>
        <v/>
      </c>
    </row>
    <row r="982">
      <c r="A982" s="52" t="n"/>
      <c r="B982" s="53">
        <f>IF(A982="","",CHOOSE(WEEKDAY(A982,2),"Пн","Вт","Ср","Чт","Пт","Сб","Вс"))</f>
        <v/>
      </c>
      <c r="C982" s="53">
        <f>IF(A982="","",YEAR(A982))</f>
        <v/>
      </c>
      <c r="D982" s="54">
        <f>IF(A982="","",INDEX(lst_months,MONTH(A982)))</f>
        <v/>
      </c>
      <c r="E982" s="55" t="n"/>
      <c r="F982" s="54">
        <f>IF(E982="","",IFERROR(IF(INDEX(lst_exp_item_cat,MATCH(E982,lst_exp_items,0))="","❔ Без категории",INDEX(lst_exp_item_cat,MATCH(E982,lst_exp_items,0))),"❔ Без категории"))</f>
        <v/>
      </c>
      <c r="G982" s="43" t="n"/>
      <c r="H982" s="56" t="n"/>
      <c r="I982" s="43" t="n"/>
      <c r="J982" s="57">
        <f>IF(OR(A982="",H982=""),"",IF(COUNTIFS(exp_year,C982,exp_month,D982,exp_item,E982,exp_status,"&lt;&gt;❌ Отменено")&gt;0,1,0))</f>
        <v/>
      </c>
    </row>
    <row r="983">
      <c r="A983" s="52" t="n"/>
      <c r="B983" s="53">
        <f>IF(A983="","",CHOOSE(WEEKDAY(A983,2),"Пн","Вт","Ср","Чт","Пт","Сб","Вс"))</f>
        <v/>
      </c>
      <c r="C983" s="53">
        <f>IF(A983="","",YEAR(A983))</f>
        <v/>
      </c>
      <c r="D983" s="54">
        <f>IF(A983="","",INDEX(lst_months,MONTH(A983)))</f>
        <v/>
      </c>
      <c r="E983" s="55" t="n"/>
      <c r="F983" s="54">
        <f>IF(E983="","",IFERROR(IF(INDEX(lst_exp_item_cat,MATCH(E983,lst_exp_items,0))="","❔ Без категории",INDEX(lst_exp_item_cat,MATCH(E983,lst_exp_items,0))),"❔ Без категории"))</f>
        <v/>
      </c>
      <c r="G983" s="43" t="n"/>
      <c r="H983" s="56" t="n"/>
      <c r="I983" s="43" t="n"/>
      <c r="J983" s="57">
        <f>IF(OR(A983="",H983=""),"",IF(COUNTIFS(exp_year,C983,exp_month,D983,exp_item,E983,exp_status,"&lt;&gt;❌ Отменено")&gt;0,1,0))</f>
        <v/>
      </c>
    </row>
    <row r="984">
      <c r="A984" s="52" t="n"/>
      <c r="B984" s="53">
        <f>IF(A984="","",CHOOSE(WEEKDAY(A984,2),"Пн","Вт","Ср","Чт","Пт","Сб","Вс"))</f>
        <v/>
      </c>
      <c r="C984" s="53">
        <f>IF(A984="","",YEAR(A984))</f>
        <v/>
      </c>
      <c r="D984" s="54">
        <f>IF(A984="","",INDEX(lst_months,MONTH(A984)))</f>
        <v/>
      </c>
      <c r="E984" s="55" t="n"/>
      <c r="F984" s="54">
        <f>IF(E984="","",IFERROR(IF(INDEX(lst_exp_item_cat,MATCH(E984,lst_exp_items,0))="","❔ Без категории",INDEX(lst_exp_item_cat,MATCH(E984,lst_exp_items,0))),"❔ Без категории"))</f>
        <v/>
      </c>
      <c r="G984" s="43" t="n"/>
      <c r="H984" s="56" t="n"/>
      <c r="I984" s="43" t="n"/>
      <c r="J984" s="57">
        <f>IF(OR(A984="",H984=""),"",IF(COUNTIFS(exp_year,C984,exp_month,D984,exp_item,E984,exp_status,"&lt;&gt;❌ Отменено")&gt;0,1,0))</f>
        <v/>
      </c>
    </row>
    <row r="985">
      <c r="A985" s="52" t="n"/>
      <c r="B985" s="53">
        <f>IF(A985="","",CHOOSE(WEEKDAY(A985,2),"Пн","Вт","Ср","Чт","Пт","Сб","Вс"))</f>
        <v/>
      </c>
      <c r="C985" s="53">
        <f>IF(A985="","",YEAR(A985))</f>
        <v/>
      </c>
      <c r="D985" s="54">
        <f>IF(A985="","",INDEX(lst_months,MONTH(A985)))</f>
        <v/>
      </c>
      <c r="E985" s="55" t="n"/>
      <c r="F985" s="54">
        <f>IF(E985="","",IFERROR(IF(INDEX(lst_exp_item_cat,MATCH(E985,lst_exp_items,0))="","❔ Без категории",INDEX(lst_exp_item_cat,MATCH(E985,lst_exp_items,0))),"❔ Без категории"))</f>
        <v/>
      </c>
      <c r="G985" s="43" t="n"/>
      <c r="H985" s="56" t="n"/>
      <c r="I985" s="43" t="n"/>
      <c r="J985" s="57">
        <f>IF(OR(A985="",H985=""),"",IF(COUNTIFS(exp_year,C985,exp_month,D985,exp_item,E985,exp_status,"&lt;&gt;❌ Отменено")&gt;0,1,0))</f>
        <v/>
      </c>
    </row>
    <row r="986">
      <c r="A986" s="52" t="n"/>
      <c r="B986" s="53">
        <f>IF(A986="","",CHOOSE(WEEKDAY(A986,2),"Пн","Вт","Ср","Чт","Пт","Сб","Вс"))</f>
        <v/>
      </c>
      <c r="C986" s="53">
        <f>IF(A986="","",YEAR(A986))</f>
        <v/>
      </c>
      <c r="D986" s="54">
        <f>IF(A986="","",INDEX(lst_months,MONTH(A986)))</f>
        <v/>
      </c>
      <c r="E986" s="55" t="n"/>
      <c r="F986" s="54">
        <f>IF(E986="","",IFERROR(IF(INDEX(lst_exp_item_cat,MATCH(E986,lst_exp_items,0))="","❔ Без категории",INDEX(lst_exp_item_cat,MATCH(E986,lst_exp_items,0))),"❔ Без категории"))</f>
        <v/>
      </c>
      <c r="G986" s="43" t="n"/>
      <c r="H986" s="56" t="n"/>
      <c r="I986" s="43" t="n"/>
      <c r="J986" s="57">
        <f>IF(OR(A986="",H986=""),"",IF(COUNTIFS(exp_year,C986,exp_month,D986,exp_item,E986,exp_status,"&lt;&gt;❌ Отменено")&gt;0,1,0))</f>
        <v/>
      </c>
    </row>
    <row r="987">
      <c r="A987" s="52" t="n"/>
      <c r="B987" s="53">
        <f>IF(A987="","",CHOOSE(WEEKDAY(A987,2),"Пн","Вт","Ср","Чт","Пт","Сб","Вс"))</f>
        <v/>
      </c>
      <c r="C987" s="53">
        <f>IF(A987="","",YEAR(A987))</f>
        <v/>
      </c>
      <c r="D987" s="54">
        <f>IF(A987="","",INDEX(lst_months,MONTH(A987)))</f>
        <v/>
      </c>
      <c r="E987" s="55" t="n"/>
      <c r="F987" s="54">
        <f>IF(E987="","",IFERROR(IF(INDEX(lst_exp_item_cat,MATCH(E987,lst_exp_items,0))="","❔ Без категории",INDEX(lst_exp_item_cat,MATCH(E987,lst_exp_items,0))),"❔ Без категории"))</f>
        <v/>
      </c>
      <c r="G987" s="43" t="n"/>
      <c r="H987" s="56" t="n"/>
      <c r="I987" s="43" t="n"/>
      <c r="J987" s="57">
        <f>IF(OR(A987="",H987=""),"",IF(COUNTIFS(exp_year,C987,exp_month,D987,exp_item,E987,exp_status,"&lt;&gt;❌ Отменено")&gt;0,1,0))</f>
        <v/>
      </c>
    </row>
    <row r="988">
      <c r="A988" s="52" t="n"/>
      <c r="B988" s="53">
        <f>IF(A988="","",CHOOSE(WEEKDAY(A988,2),"Пн","Вт","Ср","Чт","Пт","Сб","Вс"))</f>
        <v/>
      </c>
      <c r="C988" s="53">
        <f>IF(A988="","",YEAR(A988))</f>
        <v/>
      </c>
      <c r="D988" s="54">
        <f>IF(A988="","",INDEX(lst_months,MONTH(A988)))</f>
        <v/>
      </c>
      <c r="E988" s="55" t="n"/>
      <c r="F988" s="54">
        <f>IF(E988="","",IFERROR(IF(INDEX(lst_exp_item_cat,MATCH(E988,lst_exp_items,0))="","❔ Без категории",INDEX(lst_exp_item_cat,MATCH(E988,lst_exp_items,0))),"❔ Без категории"))</f>
        <v/>
      </c>
      <c r="G988" s="43" t="n"/>
      <c r="H988" s="56" t="n"/>
      <c r="I988" s="43" t="n"/>
      <c r="J988" s="57">
        <f>IF(OR(A988="",H988=""),"",IF(COUNTIFS(exp_year,C988,exp_month,D988,exp_item,E988,exp_status,"&lt;&gt;❌ Отменено")&gt;0,1,0))</f>
        <v/>
      </c>
    </row>
    <row r="989">
      <c r="A989" s="52" t="n"/>
      <c r="B989" s="53">
        <f>IF(A989="","",CHOOSE(WEEKDAY(A989,2),"Пн","Вт","Ср","Чт","Пт","Сб","Вс"))</f>
        <v/>
      </c>
      <c r="C989" s="53">
        <f>IF(A989="","",YEAR(A989))</f>
        <v/>
      </c>
      <c r="D989" s="54">
        <f>IF(A989="","",INDEX(lst_months,MONTH(A989)))</f>
        <v/>
      </c>
      <c r="E989" s="55" t="n"/>
      <c r="F989" s="54">
        <f>IF(E989="","",IFERROR(IF(INDEX(lst_exp_item_cat,MATCH(E989,lst_exp_items,0))="","❔ Без категории",INDEX(lst_exp_item_cat,MATCH(E989,lst_exp_items,0))),"❔ Без категории"))</f>
        <v/>
      </c>
      <c r="G989" s="43" t="n"/>
      <c r="H989" s="56" t="n"/>
      <c r="I989" s="43" t="n"/>
      <c r="J989" s="57">
        <f>IF(OR(A989="",H989=""),"",IF(COUNTIFS(exp_year,C989,exp_month,D989,exp_item,E989,exp_status,"&lt;&gt;❌ Отменено")&gt;0,1,0))</f>
        <v/>
      </c>
    </row>
    <row r="990">
      <c r="A990" s="52" t="n"/>
      <c r="B990" s="53">
        <f>IF(A990="","",CHOOSE(WEEKDAY(A990,2),"Пн","Вт","Ср","Чт","Пт","Сб","Вс"))</f>
        <v/>
      </c>
      <c r="C990" s="53">
        <f>IF(A990="","",YEAR(A990))</f>
        <v/>
      </c>
      <c r="D990" s="54">
        <f>IF(A990="","",INDEX(lst_months,MONTH(A990)))</f>
        <v/>
      </c>
      <c r="E990" s="55" t="n"/>
      <c r="F990" s="54">
        <f>IF(E990="","",IFERROR(IF(INDEX(lst_exp_item_cat,MATCH(E990,lst_exp_items,0))="","❔ Без категории",INDEX(lst_exp_item_cat,MATCH(E990,lst_exp_items,0))),"❔ Без категории"))</f>
        <v/>
      </c>
      <c r="G990" s="43" t="n"/>
      <c r="H990" s="56" t="n"/>
      <c r="I990" s="43" t="n"/>
      <c r="J990" s="57">
        <f>IF(OR(A990="",H990=""),"",IF(COUNTIFS(exp_year,C990,exp_month,D990,exp_item,E990,exp_status,"&lt;&gt;❌ Отменено")&gt;0,1,0))</f>
        <v/>
      </c>
    </row>
    <row r="991">
      <c r="A991" s="52" t="n"/>
      <c r="B991" s="53">
        <f>IF(A991="","",CHOOSE(WEEKDAY(A991,2),"Пн","Вт","Ср","Чт","Пт","Сб","Вс"))</f>
        <v/>
      </c>
      <c r="C991" s="53">
        <f>IF(A991="","",YEAR(A991))</f>
        <v/>
      </c>
      <c r="D991" s="54">
        <f>IF(A991="","",INDEX(lst_months,MONTH(A991)))</f>
        <v/>
      </c>
      <c r="E991" s="55" t="n"/>
      <c r="F991" s="54">
        <f>IF(E991="","",IFERROR(IF(INDEX(lst_exp_item_cat,MATCH(E991,lst_exp_items,0))="","❔ Без категории",INDEX(lst_exp_item_cat,MATCH(E991,lst_exp_items,0))),"❔ Без категории"))</f>
        <v/>
      </c>
      <c r="G991" s="43" t="n"/>
      <c r="H991" s="56" t="n"/>
      <c r="I991" s="43" t="n"/>
      <c r="J991" s="57">
        <f>IF(OR(A991="",H991=""),"",IF(COUNTIFS(exp_year,C991,exp_month,D991,exp_item,E991,exp_status,"&lt;&gt;❌ Отменено")&gt;0,1,0))</f>
        <v/>
      </c>
    </row>
    <row r="992">
      <c r="A992" s="52" t="n"/>
      <c r="B992" s="53">
        <f>IF(A992="","",CHOOSE(WEEKDAY(A992,2),"Пн","Вт","Ср","Чт","Пт","Сб","Вс"))</f>
        <v/>
      </c>
      <c r="C992" s="53">
        <f>IF(A992="","",YEAR(A992))</f>
        <v/>
      </c>
      <c r="D992" s="54">
        <f>IF(A992="","",INDEX(lst_months,MONTH(A992)))</f>
        <v/>
      </c>
      <c r="E992" s="55" t="n"/>
      <c r="F992" s="54">
        <f>IF(E992="","",IFERROR(IF(INDEX(lst_exp_item_cat,MATCH(E992,lst_exp_items,0))="","❔ Без категории",INDEX(lst_exp_item_cat,MATCH(E992,lst_exp_items,0))),"❔ Без категории"))</f>
        <v/>
      </c>
      <c r="G992" s="43" t="n"/>
      <c r="H992" s="56" t="n"/>
      <c r="I992" s="43" t="n"/>
      <c r="J992" s="57">
        <f>IF(OR(A992="",H992=""),"",IF(COUNTIFS(exp_year,C992,exp_month,D992,exp_item,E992,exp_status,"&lt;&gt;❌ Отменено")&gt;0,1,0))</f>
        <v/>
      </c>
    </row>
    <row r="993">
      <c r="A993" s="52" t="n"/>
      <c r="B993" s="53">
        <f>IF(A993="","",CHOOSE(WEEKDAY(A993,2),"Пн","Вт","Ср","Чт","Пт","Сб","Вс"))</f>
        <v/>
      </c>
      <c r="C993" s="53">
        <f>IF(A993="","",YEAR(A993))</f>
        <v/>
      </c>
      <c r="D993" s="54">
        <f>IF(A993="","",INDEX(lst_months,MONTH(A993)))</f>
        <v/>
      </c>
      <c r="E993" s="55" t="n"/>
      <c r="F993" s="54">
        <f>IF(E993="","",IFERROR(IF(INDEX(lst_exp_item_cat,MATCH(E993,lst_exp_items,0))="","❔ Без категории",INDEX(lst_exp_item_cat,MATCH(E993,lst_exp_items,0))),"❔ Без категории"))</f>
        <v/>
      </c>
      <c r="G993" s="43" t="n"/>
      <c r="H993" s="56" t="n"/>
      <c r="I993" s="43" t="n"/>
      <c r="J993" s="57">
        <f>IF(OR(A993="",H993=""),"",IF(COUNTIFS(exp_year,C993,exp_month,D993,exp_item,E993,exp_status,"&lt;&gt;❌ Отменено")&gt;0,1,0))</f>
        <v/>
      </c>
    </row>
    <row r="994">
      <c r="A994" s="52" t="n"/>
      <c r="B994" s="53">
        <f>IF(A994="","",CHOOSE(WEEKDAY(A994,2),"Пн","Вт","Ср","Чт","Пт","Сб","Вс"))</f>
        <v/>
      </c>
      <c r="C994" s="53">
        <f>IF(A994="","",YEAR(A994))</f>
        <v/>
      </c>
      <c r="D994" s="54">
        <f>IF(A994="","",INDEX(lst_months,MONTH(A994)))</f>
        <v/>
      </c>
      <c r="E994" s="55" t="n"/>
      <c r="F994" s="54">
        <f>IF(E994="","",IFERROR(IF(INDEX(lst_exp_item_cat,MATCH(E994,lst_exp_items,0))="","❔ Без категории",INDEX(lst_exp_item_cat,MATCH(E994,lst_exp_items,0))),"❔ Без категории"))</f>
        <v/>
      </c>
      <c r="G994" s="43" t="n"/>
      <c r="H994" s="56" t="n"/>
      <c r="I994" s="43" t="n"/>
      <c r="J994" s="57">
        <f>IF(OR(A994="",H994=""),"",IF(COUNTIFS(exp_year,C994,exp_month,D994,exp_item,E994,exp_status,"&lt;&gt;❌ Отменено")&gt;0,1,0))</f>
        <v/>
      </c>
    </row>
    <row r="995">
      <c r="A995" s="52" t="n"/>
      <c r="B995" s="53">
        <f>IF(A995="","",CHOOSE(WEEKDAY(A995,2),"Пн","Вт","Ср","Чт","Пт","Сб","Вс"))</f>
        <v/>
      </c>
      <c r="C995" s="53">
        <f>IF(A995="","",YEAR(A995))</f>
        <v/>
      </c>
      <c r="D995" s="54">
        <f>IF(A995="","",INDEX(lst_months,MONTH(A995)))</f>
        <v/>
      </c>
      <c r="E995" s="55" t="n"/>
      <c r="F995" s="54">
        <f>IF(E995="","",IFERROR(IF(INDEX(lst_exp_item_cat,MATCH(E995,lst_exp_items,0))="","❔ Без категории",INDEX(lst_exp_item_cat,MATCH(E995,lst_exp_items,0))),"❔ Без категории"))</f>
        <v/>
      </c>
      <c r="G995" s="43" t="n"/>
      <c r="H995" s="56" t="n"/>
      <c r="I995" s="43" t="n"/>
      <c r="J995" s="57">
        <f>IF(OR(A995="",H995=""),"",IF(COUNTIFS(exp_year,C995,exp_month,D995,exp_item,E995,exp_status,"&lt;&gt;❌ Отменено")&gt;0,1,0))</f>
        <v/>
      </c>
    </row>
    <row r="996">
      <c r="A996" s="52" t="n"/>
      <c r="B996" s="53">
        <f>IF(A996="","",CHOOSE(WEEKDAY(A996,2),"Пн","Вт","Ср","Чт","Пт","Сб","Вс"))</f>
        <v/>
      </c>
      <c r="C996" s="53">
        <f>IF(A996="","",YEAR(A996))</f>
        <v/>
      </c>
      <c r="D996" s="54">
        <f>IF(A996="","",INDEX(lst_months,MONTH(A996)))</f>
        <v/>
      </c>
      <c r="E996" s="55" t="n"/>
      <c r="F996" s="54">
        <f>IF(E996="","",IFERROR(IF(INDEX(lst_exp_item_cat,MATCH(E996,lst_exp_items,0))="","❔ Без категории",INDEX(lst_exp_item_cat,MATCH(E996,lst_exp_items,0))),"❔ Без категории"))</f>
        <v/>
      </c>
      <c r="G996" s="43" t="n"/>
      <c r="H996" s="56" t="n"/>
      <c r="I996" s="43" t="n"/>
      <c r="J996" s="57">
        <f>IF(OR(A996="",H996=""),"",IF(COUNTIFS(exp_year,C996,exp_month,D996,exp_item,E996,exp_status,"&lt;&gt;❌ Отменено")&gt;0,1,0))</f>
        <v/>
      </c>
    </row>
    <row r="997">
      <c r="A997" s="52" t="n"/>
      <c r="B997" s="53">
        <f>IF(A997="","",CHOOSE(WEEKDAY(A997,2),"Пн","Вт","Ср","Чт","Пт","Сб","Вс"))</f>
        <v/>
      </c>
      <c r="C997" s="53">
        <f>IF(A997="","",YEAR(A997))</f>
        <v/>
      </c>
      <c r="D997" s="54">
        <f>IF(A997="","",INDEX(lst_months,MONTH(A997)))</f>
        <v/>
      </c>
      <c r="E997" s="55" t="n"/>
      <c r="F997" s="54">
        <f>IF(E997="","",IFERROR(IF(INDEX(lst_exp_item_cat,MATCH(E997,lst_exp_items,0))="","❔ Без категории",INDEX(lst_exp_item_cat,MATCH(E997,lst_exp_items,0))),"❔ Без категории"))</f>
        <v/>
      </c>
      <c r="G997" s="43" t="n"/>
      <c r="H997" s="56" t="n"/>
      <c r="I997" s="43" t="n"/>
      <c r="J997" s="57">
        <f>IF(OR(A997="",H997=""),"",IF(COUNTIFS(exp_year,C997,exp_month,D997,exp_item,E997,exp_status,"&lt;&gt;❌ Отменено")&gt;0,1,0))</f>
        <v/>
      </c>
    </row>
    <row r="998">
      <c r="A998" s="52" t="n"/>
      <c r="B998" s="53">
        <f>IF(A998="","",CHOOSE(WEEKDAY(A998,2),"Пн","Вт","Ср","Чт","Пт","Сб","Вс"))</f>
        <v/>
      </c>
      <c r="C998" s="53">
        <f>IF(A998="","",YEAR(A998))</f>
        <v/>
      </c>
      <c r="D998" s="54">
        <f>IF(A998="","",INDEX(lst_months,MONTH(A998)))</f>
        <v/>
      </c>
      <c r="E998" s="55" t="n"/>
      <c r="F998" s="54">
        <f>IF(E998="","",IFERROR(IF(INDEX(lst_exp_item_cat,MATCH(E998,lst_exp_items,0))="","❔ Без категории",INDEX(lst_exp_item_cat,MATCH(E998,lst_exp_items,0))),"❔ Без категории"))</f>
        <v/>
      </c>
      <c r="G998" s="43" t="n"/>
      <c r="H998" s="56" t="n"/>
      <c r="I998" s="43" t="n"/>
      <c r="J998" s="57">
        <f>IF(OR(A998="",H998=""),"",IF(COUNTIFS(exp_year,C998,exp_month,D998,exp_item,E998,exp_status,"&lt;&gt;❌ Отменено")&gt;0,1,0))</f>
        <v/>
      </c>
    </row>
    <row r="999">
      <c r="A999" s="52" t="n"/>
      <c r="B999" s="53">
        <f>IF(A999="","",CHOOSE(WEEKDAY(A999,2),"Пн","Вт","Ср","Чт","Пт","Сб","Вс"))</f>
        <v/>
      </c>
      <c r="C999" s="53">
        <f>IF(A999="","",YEAR(A999))</f>
        <v/>
      </c>
      <c r="D999" s="54">
        <f>IF(A999="","",INDEX(lst_months,MONTH(A999)))</f>
        <v/>
      </c>
      <c r="E999" s="55" t="n"/>
      <c r="F999" s="54">
        <f>IF(E999="","",IFERROR(IF(INDEX(lst_exp_item_cat,MATCH(E999,lst_exp_items,0))="","❔ Без категории",INDEX(lst_exp_item_cat,MATCH(E999,lst_exp_items,0))),"❔ Без категории"))</f>
        <v/>
      </c>
      <c r="G999" s="43" t="n"/>
      <c r="H999" s="56" t="n"/>
      <c r="I999" s="43" t="n"/>
      <c r="J999" s="57">
        <f>IF(OR(A999="",H999=""),"",IF(COUNTIFS(exp_year,C999,exp_month,D999,exp_item,E999,exp_status,"&lt;&gt;❌ Отменено")&gt;0,1,0))</f>
        <v/>
      </c>
    </row>
    <row r="1000">
      <c r="A1000" s="52" t="n"/>
      <c r="B1000" s="53">
        <f>IF(A1000="","",CHOOSE(WEEKDAY(A1000,2),"Пн","Вт","Ср","Чт","Пт","Сб","Вс"))</f>
        <v/>
      </c>
      <c r="C1000" s="53">
        <f>IF(A1000="","",YEAR(A1000))</f>
        <v/>
      </c>
      <c r="D1000" s="54">
        <f>IF(A1000="","",INDEX(lst_months,MONTH(A1000)))</f>
        <v/>
      </c>
      <c r="E1000" s="55" t="n"/>
      <c r="F1000" s="54">
        <f>IF(E1000="","",IFERROR(IF(INDEX(lst_exp_item_cat,MATCH(E1000,lst_exp_items,0))="","❔ Без категории",INDEX(lst_exp_item_cat,MATCH(E1000,lst_exp_items,0))),"❔ Без категории"))</f>
        <v/>
      </c>
      <c r="G1000" s="43" t="n"/>
      <c r="H1000" s="56" t="n"/>
      <c r="I1000" s="43" t="n"/>
      <c r="J1000" s="57">
        <f>IF(OR(A1000="",H1000=""),"",IF(COUNTIFS(exp_year,C1000,exp_month,D1000,exp_item,E1000,exp_status,"&lt;&gt;❌ Отменено")&gt;0,1,0))</f>
        <v/>
      </c>
    </row>
    <row r="1001">
      <c r="A1001" s="52" t="n"/>
      <c r="B1001" s="53">
        <f>IF(A1001="","",CHOOSE(WEEKDAY(A1001,2),"Пн","Вт","Ср","Чт","Пт","Сб","Вс"))</f>
        <v/>
      </c>
      <c r="C1001" s="53">
        <f>IF(A1001="","",YEAR(A1001))</f>
        <v/>
      </c>
      <c r="D1001" s="54">
        <f>IF(A1001="","",INDEX(lst_months,MONTH(A1001)))</f>
        <v/>
      </c>
      <c r="E1001" s="55" t="n"/>
      <c r="F1001" s="54">
        <f>IF(E1001="","",IFERROR(IF(INDEX(lst_exp_item_cat,MATCH(E1001,lst_exp_items,0))="","❔ Без категории",INDEX(lst_exp_item_cat,MATCH(E1001,lst_exp_items,0))),"❔ Без категории"))</f>
        <v/>
      </c>
      <c r="G1001" s="43" t="n"/>
      <c r="H1001" s="56" t="n"/>
      <c r="I1001" s="43" t="n"/>
      <c r="J1001" s="57">
        <f>IF(OR(A1001="",H1001=""),"",IF(COUNTIFS(exp_year,C1001,exp_month,D1001,exp_item,E1001,exp_status,"&lt;&gt;❌ Отменено")&gt;0,1,0))</f>
        <v/>
      </c>
    </row>
    <row r="1002">
      <c r="A1002" s="52" t="n"/>
      <c r="B1002" s="53">
        <f>IF(A1002="","",CHOOSE(WEEKDAY(A1002,2),"Пн","Вт","Ср","Чт","Пт","Сб","Вс"))</f>
        <v/>
      </c>
      <c r="C1002" s="53">
        <f>IF(A1002="","",YEAR(A1002))</f>
        <v/>
      </c>
      <c r="D1002" s="54">
        <f>IF(A1002="","",INDEX(lst_months,MONTH(A1002)))</f>
        <v/>
      </c>
      <c r="E1002" s="55" t="n"/>
      <c r="F1002" s="54">
        <f>IF(E1002="","",IFERROR(IF(INDEX(lst_exp_item_cat,MATCH(E1002,lst_exp_items,0))="","❔ Без категории",INDEX(lst_exp_item_cat,MATCH(E1002,lst_exp_items,0))),"❔ Без категории"))</f>
        <v/>
      </c>
      <c r="G1002" s="43" t="n"/>
      <c r="H1002" s="56" t="n"/>
      <c r="I1002" s="43" t="n"/>
      <c r="J1002" s="57">
        <f>IF(OR(A1002="",H1002=""),"",IF(COUNTIFS(exp_year,C1002,exp_month,D1002,exp_item,E1002,exp_status,"&lt;&gt;❌ Отменено")&gt;0,1,0))</f>
        <v/>
      </c>
    </row>
    <row r="1003">
      <c r="A1003" s="52" t="n"/>
      <c r="B1003" s="53">
        <f>IF(A1003="","",CHOOSE(WEEKDAY(A1003,2),"Пн","Вт","Ср","Чт","Пт","Сб","Вс"))</f>
        <v/>
      </c>
      <c r="C1003" s="53">
        <f>IF(A1003="","",YEAR(A1003))</f>
        <v/>
      </c>
      <c r="D1003" s="54">
        <f>IF(A1003="","",INDEX(lst_months,MONTH(A1003)))</f>
        <v/>
      </c>
      <c r="E1003" s="55" t="n"/>
      <c r="F1003" s="54">
        <f>IF(E1003="","",IFERROR(IF(INDEX(lst_exp_item_cat,MATCH(E1003,lst_exp_items,0))="","❔ Без категории",INDEX(lst_exp_item_cat,MATCH(E1003,lst_exp_items,0))),"❔ Без категории"))</f>
        <v/>
      </c>
      <c r="G1003" s="43" t="n"/>
      <c r="H1003" s="56" t="n"/>
      <c r="I1003" s="43" t="n"/>
      <c r="J1003" s="57">
        <f>IF(OR(A1003="",H1003=""),"",IF(COUNTIFS(exp_year,C1003,exp_month,D1003,exp_item,E1003,exp_status,"&lt;&gt;❌ Отменено")&gt;0,1,0))</f>
        <v/>
      </c>
    </row>
    <row r="1004">
      <c r="A1004" s="52" t="n"/>
      <c r="B1004" s="53">
        <f>IF(A1004="","",CHOOSE(WEEKDAY(A1004,2),"Пн","Вт","Ср","Чт","Пт","Сб","Вс"))</f>
        <v/>
      </c>
      <c r="C1004" s="53">
        <f>IF(A1004="","",YEAR(A1004))</f>
        <v/>
      </c>
      <c r="D1004" s="54">
        <f>IF(A1004="","",INDEX(lst_months,MONTH(A1004)))</f>
        <v/>
      </c>
      <c r="E1004" s="55" t="n"/>
      <c r="F1004" s="54">
        <f>IF(E1004="","",IFERROR(IF(INDEX(lst_exp_item_cat,MATCH(E1004,lst_exp_items,0))="","❔ Без категории",INDEX(lst_exp_item_cat,MATCH(E1004,lst_exp_items,0))),"❔ Без категории"))</f>
        <v/>
      </c>
      <c r="G1004" s="43" t="n"/>
      <c r="H1004" s="56" t="n"/>
      <c r="I1004" s="43" t="n"/>
      <c r="J1004" s="57">
        <f>IF(OR(A1004="",H1004=""),"",IF(COUNTIFS(exp_year,C1004,exp_month,D1004,exp_item,E1004,exp_status,"&lt;&gt;❌ Отменено")&gt;0,1,0))</f>
        <v/>
      </c>
    </row>
    <row r="1005">
      <c r="A1005" s="52" t="n"/>
      <c r="B1005" s="53">
        <f>IF(A1005="","",CHOOSE(WEEKDAY(A1005,2),"Пн","Вт","Ср","Чт","Пт","Сб","Вс"))</f>
        <v/>
      </c>
      <c r="C1005" s="53">
        <f>IF(A1005="","",YEAR(A1005))</f>
        <v/>
      </c>
      <c r="D1005" s="54">
        <f>IF(A1005="","",INDEX(lst_months,MONTH(A1005)))</f>
        <v/>
      </c>
      <c r="E1005" s="55" t="n"/>
      <c r="F1005" s="54">
        <f>IF(E1005="","",IFERROR(IF(INDEX(lst_exp_item_cat,MATCH(E1005,lst_exp_items,0))="","❔ Без категории",INDEX(lst_exp_item_cat,MATCH(E1005,lst_exp_items,0))),"❔ Без категории"))</f>
        <v/>
      </c>
      <c r="G1005" s="43" t="n"/>
      <c r="H1005" s="56" t="n"/>
      <c r="I1005" s="43" t="n"/>
      <c r="J1005" s="57">
        <f>IF(OR(A1005="",H1005=""),"",IF(COUNTIFS(exp_year,C1005,exp_month,D1005,exp_item,E1005,exp_status,"&lt;&gt;❌ Отменено")&gt;0,1,0))</f>
        <v/>
      </c>
    </row>
    <row r="1006">
      <c r="A1006" s="52" t="n"/>
      <c r="B1006" s="53">
        <f>IF(A1006="","",CHOOSE(WEEKDAY(A1006,2),"Пн","Вт","Ср","Чт","Пт","Сб","Вс"))</f>
        <v/>
      </c>
      <c r="C1006" s="53">
        <f>IF(A1006="","",YEAR(A1006))</f>
        <v/>
      </c>
      <c r="D1006" s="54">
        <f>IF(A1006="","",INDEX(lst_months,MONTH(A1006)))</f>
        <v/>
      </c>
      <c r="E1006" s="55" t="n"/>
      <c r="F1006" s="54">
        <f>IF(E1006="","",IFERROR(IF(INDEX(lst_exp_item_cat,MATCH(E1006,lst_exp_items,0))="","❔ Без категории",INDEX(lst_exp_item_cat,MATCH(E1006,lst_exp_items,0))),"❔ Без категории"))</f>
        <v/>
      </c>
      <c r="G1006" s="43" t="n"/>
      <c r="H1006" s="56" t="n"/>
      <c r="I1006" s="43" t="n"/>
      <c r="J1006" s="57">
        <f>IF(OR(A1006="",H1006=""),"",IF(COUNTIFS(exp_year,C1006,exp_month,D1006,exp_item,E1006,exp_status,"&lt;&gt;❌ Отменено")&gt;0,1,0))</f>
        <v/>
      </c>
    </row>
    <row r="1007">
      <c r="A1007" s="52" t="n"/>
      <c r="B1007" s="53">
        <f>IF(A1007="","",CHOOSE(WEEKDAY(A1007,2),"Пн","Вт","Ср","Чт","Пт","Сб","Вс"))</f>
        <v/>
      </c>
      <c r="C1007" s="53">
        <f>IF(A1007="","",YEAR(A1007))</f>
        <v/>
      </c>
      <c r="D1007" s="54">
        <f>IF(A1007="","",INDEX(lst_months,MONTH(A1007)))</f>
        <v/>
      </c>
      <c r="E1007" s="55" t="n"/>
      <c r="F1007" s="54">
        <f>IF(E1007="","",IFERROR(IF(INDEX(lst_exp_item_cat,MATCH(E1007,lst_exp_items,0))="","❔ Без категории",INDEX(lst_exp_item_cat,MATCH(E1007,lst_exp_items,0))),"❔ Без категории"))</f>
        <v/>
      </c>
      <c r="G1007" s="43" t="n"/>
      <c r="H1007" s="56" t="n"/>
      <c r="I1007" s="43" t="n"/>
      <c r="J1007" s="57">
        <f>IF(OR(A1007="",H1007=""),"",IF(COUNTIFS(exp_year,C1007,exp_month,D1007,exp_item,E1007,exp_status,"&lt;&gt;❌ Отменено")&gt;0,1,0))</f>
        <v/>
      </c>
    </row>
    <row r="1008">
      <c r="A1008" s="52" t="n"/>
      <c r="B1008" s="53">
        <f>IF(A1008="","",CHOOSE(WEEKDAY(A1008,2),"Пн","Вт","Ср","Чт","Пт","Сб","Вс"))</f>
        <v/>
      </c>
      <c r="C1008" s="53">
        <f>IF(A1008="","",YEAR(A1008))</f>
        <v/>
      </c>
      <c r="D1008" s="54">
        <f>IF(A1008="","",INDEX(lst_months,MONTH(A1008)))</f>
        <v/>
      </c>
      <c r="E1008" s="55" t="n"/>
      <c r="F1008" s="54">
        <f>IF(E1008="","",IFERROR(IF(INDEX(lst_exp_item_cat,MATCH(E1008,lst_exp_items,0))="","❔ Без категории",INDEX(lst_exp_item_cat,MATCH(E1008,lst_exp_items,0))),"❔ Без категории"))</f>
        <v/>
      </c>
      <c r="G1008" s="43" t="n"/>
      <c r="H1008" s="56" t="n"/>
      <c r="I1008" s="43" t="n"/>
      <c r="J1008" s="57">
        <f>IF(OR(A1008="",H1008=""),"",IF(COUNTIFS(exp_year,C1008,exp_month,D1008,exp_item,E1008,exp_status,"&lt;&gt;❌ Отменено")&gt;0,1,0))</f>
        <v/>
      </c>
    </row>
    <row r="1009">
      <c r="A1009" s="52" t="n"/>
      <c r="B1009" s="53">
        <f>IF(A1009="","",CHOOSE(WEEKDAY(A1009,2),"Пн","Вт","Ср","Чт","Пт","Сб","Вс"))</f>
        <v/>
      </c>
      <c r="C1009" s="53">
        <f>IF(A1009="","",YEAR(A1009))</f>
        <v/>
      </c>
      <c r="D1009" s="54">
        <f>IF(A1009="","",INDEX(lst_months,MONTH(A1009)))</f>
        <v/>
      </c>
      <c r="E1009" s="55" t="n"/>
      <c r="F1009" s="54">
        <f>IF(E1009="","",IFERROR(IF(INDEX(lst_exp_item_cat,MATCH(E1009,lst_exp_items,0))="","❔ Без категории",INDEX(lst_exp_item_cat,MATCH(E1009,lst_exp_items,0))),"❔ Без категории"))</f>
        <v/>
      </c>
      <c r="G1009" s="43" t="n"/>
      <c r="H1009" s="56" t="n"/>
      <c r="I1009" s="43" t="n"/>
      <c r="J1009" s="57">
        <f>IF(OR(A1009="",H1009=""),"",IF(COUNTIFS(exp_year,C1009,exp_month,D1009,exp_item,E1009,exp_status,"&lt;&gt;❌ Отменено")&gt;0,1,0))</f>
        <v/>
      </c>
    </row>
    <row r="1010">
      <c r="A1010" s="52" t="n"/>
      <c r="B1010" s="53">
        <f>IF(A1010="","",CHOOSE(WEEKDAY(A1010,2),"Пн","Вт","Ср","Чт","Пт","Сб","Вс"))</f>
        <v/>
      </c>
      <c r="C1010" s="53">
        <f>IF(A1010="","",YEAR(A1010))</f>
        <v/>
      </c>
      <c r="D1010" s="54">
        <f>IF(A1010="","",INDEX(lst_months,MONTH(A1010)))</f>
        <v/>
      </c>
      <c r="E1010" s="55" t="n"/>
      <c r="F1010" s="54">
        <f>IF(E1010="","",IFERROR(IF(INDEX(lst_exp_item_cat,MATCH(E1010,lst_exp_items,0))="","❔ Без категории",INDEX(lst_exp_item_cat,MATCH(E1010,lst_exp_items,0))),"❔ Без категории"))</f>
        <v/>
      </c>
      <c r="G1010" s="43" t="n"/>
      <c r="H1010" s="56" t="n"/>
      <c r="I1010" s="43" t="n"/>
      <c r="J1010" s="57">
        <f>IF(OR(A1010="",H1010=""),"",IF(COUNTIFS(exp_year,C1010,exp_month,D1010,exp_item,E1010,exp_status,"&lt;&gt;❌ Отменено")&gt;0,1,0))</f>
        <v/>
      </c>
    </row>
    <row r="1011">
      <c r="A1011" s="52" t="n"/>
      <c r="B1011" s="53">
        <f>IF(A1011="","",CHOOSE(WEEKDAY(A1011,2),"Пн","Вт","Ср","Чт","Пт","Сб","Вс"))</f>
        <v/>
      </c>
      <c r="C1011" s="53">
        <f>IF(A1011="","",YEAR(A1011))</f>
        <v/>
      </c>
      <c r="D1011" s="54">
        <f>IF(A1011="","",INDEX(lst_months,MONTH(A1011)))</f>
        <v/>
      </c>
      <c r="E1011" s="55" t="n"/>
      <c r="F1011" s="54">
        <f>IF(E1011="","",IFERROR(IF(INDEX(lst_exp_item_cat,MATCH(E1011,lst_exp_items,0))="","❔ Без категории",INDEX(lst_exp_item_cat,MATCH(E1011,lst_exp_items,0))),"❔ Без категории"))</f>
        <v/>
      </c>
      <c r="G1011" s="43" t="n"/>
      <c r="H1011" s="56" t="n"/>
      <c r="I1011" s="43" t="n"/>
      <c r="J1011" s="57">
        <f>IF(OR(A1011="",H1011=""),"",IF(COUNTIFS(exp_year,C1011,exp_month,D1011,exp_item,E1011,exp_status,"&lt;&gt;❌ Отменено")&gt;0,1,0))</f>
        <v/>
      </c>
    </row>
    <row r="1012">
      <c r="A1012" s="52" t="n"/>
      <c r="B1012" s="53">
        <f>IF(A1012="","",CHOOSE(WEEKDAY(A1012,2),"Пн","Вт","Ср","Чт","Пт","Сб","Вс"))</f>
        <v/>
      </c>
      <c r="C1012" s="53">
        <f>IF(A1012="","",YEAR(A1012))</f>
        <v/>
      </c>
      <c r="D1012" s="54">
        <f>IF(A1012="","",INDEX(lst_months,MONTH(A1012)))</f>
        <v/>
      </c>
      <c r="E1012" s="55" t="n"/>
      <c r="F1012" s="54">
        <f>IF(E1012="","",IFERROR(IF(INDEX(lst_exp_item_cat,MATCH(E1012,lst_exp_items,0))="","❔ Без категории",INDEX(lst_exp_item_cat,MATCH(E1012,lst_exp_items,0))),"❔ Без категории"))</f>
        <v/>
      </c>
      <c r="G1012" s="43" t="n"/>
      <c r="H1012" s="56" t="n"/>
      <c r="I1012" s="43" t="n"/>
      <c r="J1012" s="57">
        <f>IF(OR(A1012="",H1012=""),"",IF(COUNTIFS(exp_year,C1012,exp_month,D1012,exp_item,E1012,exp_status,"&lt;&gt;❌ Отменено")&gt;0,1,0))</f>
        <v/>
      </c>
    </row>
    <row r="1013">
      <c r="A1013" s="52" t="n"/>
      <c r="B1013" s="53">
        <f>IF(A1013="","",CHOOSE(WEEKDAY(A1013,2),"Пн","Вт","Ср","Чт","Пт","Сб","Вс"))</f>
        <v/>
      </c>
      <c r="C1013" s="53">
        <f>IF(A1013="","",YEAR(A1013))</f>
        <v/>
      </c>
      <c r="D1013" s="54">
        <f>IF(A1013="","",INDEX(lst_months,MONTH(A1013)))</f>
        <v/>
      </c>
      <c r="E1013" s="55" t="n"/>
      <c r="F1013" s="54">
        <f>IF(E1013="","",IFERROR(IF(INDEX(lst_exp_item_cat,MATCH(E1013,lst_exp_items,0))="","❔ Без категории",INDEX(lst_exp_item_cat,MATCH(E1013,lst_exp_items,0))),"❔ Без категории"))</f>
        <v/>
      </c>
      <c r="G1013" s="43" t="n"/>
      <c r="H1013" s="56" t="n"/>
      <c r="I1013" s="43" t="n"/>
      <c r="J1013" s="57">
        <f>IF(OR(A1013="",H1013=""),"",IF(COUNTIFS(exp_year,C1013,exp_month,D1013,exp_item,E1013,exp_status,"&lt;&gt;❌ Отменено")&gt;0,1,0))</f>
        <v/>
      </c>
    </row>
    <row r="1014">
      <c r="A1014" s="52" t="n"/>
      <c r="B1014" s="53">
        <f>IF(A1014="","",CHOOSE(WEEKDAY(A1014,2),"Пн","Вт","Ср","Чт","Пт","Сб","Вс"))</f>
        <v/>
      </c>
      <c r="C1014" s="53">
        <f>IF(A1014="","",YEAR(A1014))</f>
        <v/>
      </c>
      <c r="D1014" s="54">
        <f>IF(A1014="","",INDEX(lst_months,MONTH(A1014)))</f>
        <v/>
      </c>
      <c r="E1014" s="55" t="n"/>
      <c r="F1014" s="54">
        <f>IF(E1014="","",IFERROR(IF(INDEX(lst_exp_item_cat,MATCH(E1014,lst_exp_items,0))="","❔ Без категории",INDEX(lst_exp_item_cat,MATCH(E1014,lst_exp_items,0))),"❔ Без категории"))</f>
        <v/>
      </c>
      <c r="G1014" s="43" t="n"/>
      <c r="H1014" s="56" t="n"/>
      <c r="I1014" s="43" t="n"/>
      <c r="J1014" s="57">
        <f>IF(OR(A1014="",H1014=""),"",IF(COUNTIFS(exp_year,C1014,exp_month,D1014,exp_item,E1014,exp_status,"&lt;&gt;❌ Отменено")&gt;0,1,0))</f>
        <v/>
      </c>
    </row>
    <row r="1015">
      <c r="A1015" s="52" t="n"/>
      <c r="B1015" s="53">
        <f>IF(A1015="","",CHOOSE(WEEKDAY(A1015,2),"Пн","Вт","Ср","Чт","Пт","Сб","Вс"))</f>
        <v/>
      </c>
      <c r="C1015" s="53">
        <f>IF(A1015="","",YEAR(A1015))</f>
        <v/>
      </c>
      <c r="D1015" s="54">
        <f>IF(A1015="","",INDEX(lst_months,MONTH(A1015)))</f>
        <v/>
      </c>
      <c r="E1015" s="55" t="n"/>
      <c r="F1015" s="54">
        <f>IF(E1015="","",IFERROR(IF(INDEX(lst_exp_item_cat,MATCH(E1015,lst_exp_items,0))="","❔ Без категории",INDEX(lst_exp_item_cat,MATCH(E1015,lst_exp_items,0))),"❔ Без категории"))</f>
        <v/>
      </c>
      <c r="G1015" s="43" t="n"/>
      <c r="H1015" s="56" t="n"/>
      <c r="I1015" s="43" t="n"/>
      <c r="J1015" s="57">
        <f>IF(OR(A1015="",H1015=""),"",IF(COUNTIFS(exp_year,C1015,exp_month,D1015,exp_item,E1015,exp_status,"&lt;&gt;❌ Отменено")&gt;0,1,0))</f>
        <v/>
      </c>
    </row>
    <row r="1016">
      <c r="A1016" s="52" t="n"/>
      <c r="B1016" s="53">
        <f>IF(A1016="","",CHOOSE(WEEKDAY(A1016,2),"Пн","Вт","Ср","Чт","Пт","Сб","Вс"))</f>
        <v/>
      </c>
      <c r="C1016" s="53">
        <f>IF(A1016="","",YEAR(A1016))</f>
        <v/>
      </c>
      <c r="D1016" s="54">
        <f>IF(A1016="","",INDEX(lst_months,MONTH(A1016)))</f>
        <v/>
      </c>
      <c r="E1016" s="55" t="n"/>
      <c r="F1016" s="54">
        <f>IF(E1016="","",IFERROR(IF(INDEX(lst_exp_item_cat,MATCH(E1016,lst_exp_items,0))="","❔ Без категории",INDEX(lst_exp_item_cat,MATCH(E1016,lst_exp_items,0))),"❔ Без категории"))</f>
        <v/>
      </c>
      <c r="G1016" s="43" t="n"/>
      <c r="H1016" s="56" t="n"/>
      <c r="I1016" s="43" t="n"/>
      <c r="J1016" s="57">
        <f>IF(OR(A1016="",H1016=""),"",IF(COUNTIFS(exp_year,C1016,exp_month,D1016,exp_item,E1016,exp_status,"&lt;&gt;❌ Отменено")&gt;0,1,0))</f>
        <v/>
      </c>
    </row>
    <row r="1017">
      <c r="A1017" s="52" t="n"/>
      <c r="B1017" s="53">
        <f>IF(A1017="","",CHOOSE(WEEKDAY(A1017,2),"Пн","Вт","Ср","Чт","Пт","Сб","Вс"))</f>
        <v/>
      </c>
      <c r="C1017" s="53">
        <f>IF(A1017="","",YEAR(A1017))</f>
        <v/>
      </c>
      <c r="D1017" s="54">
        <f>IF(A1017="","",INDEX(lst_months,MONTH(A1017)))</f>
        <v/>
      </c>
      <c r="E1017" s="55" t="n"/>
      <c r="F1017" s="54">
        <f>IF(E1017="","",IFERROR(IF(INDEX(lst_exp_item_cat,MATCH(E1017,lst_exp_items,0))="","❔ Без категории",INDEX(lst_exp_item_cat,MATCH(E1017,lst_exp_items,0))),"❔ Без категории"))</f>
        <v/>
      </c>
      <c r="G1017" s="43" t="n"/>
      <c r="H1017" s="56" t="n"/>
      <c r="I1017" s="43" t="n"/>
      <c r="J1017" s="57">
        <f>IF(OR(A1017="",H1017=""),"",IF(COUNTIFS(exp_year,C1017,exp_month,D1017,exp_item,E1017,exp_status,"&lt;&gt;❌ Отменено")&gt;0,1,0))</f>
        <v/>
      </c>
    </row>
    <row r="1018">
      <c r="A1018" s="52" t="n"/>
      <c r="B1018" s="53">
        <f>IF(A1018="","",CHOOSE(WEEKDAY(A1018,2),"Пн","Вт","Ср","Чт","Пт","Сб","Вс"))</f>
        <v/>
      </c>
      <c r="C1018" s="53">
        <f>IF(A1018="","",YEAR(A1018))</f>
        <v/>
      </c>
      <c r="D1018" s="54">
        <f>IF(A1018="","",INDEX(lst_months,MONTH(A1018)))</f>
        <v/>
      </c>
      <c r="E1018" s="55" t="n"/>
      <c r="F1018" s="54">
        <f>IF(E1018="","",IFERROR(IF(INDEX(lst_exp_item_cat,MATCH(E1018,lst_exp_items,0))="","❔ Без категории",INDEX(lst_exp_item_cat,MATCH(E1018,lst_exp_items,0))),"❔ Без категории"))</f>
        <v/>
      </c>
      <c r="G1018" s="43" t="n"/>
      <c r="H1018" s="56" t="n"/>
      <c r="I1018" s="43" t="n"/>
      <c r="J1018" s="57">
        <f>IF(OR(A1018="",H1018=""),"",IF(COUNTIFS(exp_year,C1018,exp_month,D1018,exp_item,E1018,exp_status,"&lt;&gt;❌ Отменено")&gt;0,1,0))</f>
        <v/>
      </c>
    </row>
    <row r="1019">
      <c r="A1019" s="52" t="n"/>
      <c r="B1019" s="53">
        <f>IF(A1019="","",CHOOSE(WEEKDAY(A1019,2),"Пн","Вт","Ср","Чт","Пт","Сб","Вс"))</f>
        <v/>
      </c>
      <c r="C1019" s="53">
        <f>IF(A1019="","",YEAR(A1019))</f>
        <v/>
      </c>
      <c r="D1019" s="54">
        <f>IF(A1019="","",INDEX(lst_months,MONTH(A1019)))</f>
        <v/>
      </c>
      <c r="E1019" s="55" t="n"/>
      <c r="F1019" s="54">
        <f>IF(E1019="","",IFERROR(IF(INDEX(lst_exp_item_cat,MATCH(E1019,lst_exp_items,0))="","❔ Без категории",INDEX(lst_exp_item_cat,MATCH(E1019,lst_exp_items,0))),"❔ Без категории"))</f>
        <v/>
      </c>
      <c r="G1019" s="43" t="n"/>
      <c r="H1019" s="56" t="n"/>
      <c r="I1019" s="43" t="n"/>
      <c r="J1019" s="57">
        <f>IF(OR(A1019="",H1019=""),"",IF(COUNTIFS(exp_year,C1019,exp_month,D1019,exp_item,E1019,exp_status,"&lt;&gt;❌ Отменено")&gt;0,1,0))</f>
        <v/>
      </c>
    </row>
    <row r="1020">
      <c r="A1020" s="52" t="n"/>
      <c r="B1020" s="53">
        <f>IF(A1020="","",CHOOSE(WEEKDAY(A1020,2),"Пн","Вт","Ср","Чт","Пт","Сб","Вс"))</f>
        <v/>
      </c>
      <c r="C1020" s="53">
        <f>IF(A1020="","",YEAR(A1020))</f>
        <v/>
      </c>
      <c r="D1020" s="54">
        <f>IF(A1020="","",INDEX(lst_months,MONTH(A1020)))</f>
        <v/>
      </c>
      <c r="E1020" s="55" t="n"/>
      <c r="F1020" s="54">
        <f>IF(E1020="","",IFERROR(IF(INDEX(lst_exp_item_cat,MATCH(E1020,lst_exp_items,0))="","❔ Без категории",INDEX(lst_exp_item_cat,MATCH(E1020,lst_exp_items,0))),"❔ Без категории"))</f>
        <v/>
      </c>
      <c r="G1020" s="43" t="n"/>
      <c r="H1020" s="56" t="n"/>
      <c r="I1020" s="43" t="n"/>
      <c r="J1020" s="57">
        <f>IF(OR(A1020="",H1020=""),"",IF(COUNTIFS(exp_year,C1020,exp_month,D1020,exp_item,E1020,exp_status,"&lt;&gt;❌ Отменено")&gt;0,1,0))</f>
        <v/>
      </c>
    </row>
    <row r="1021">
      <c r="A1021" s="52" t="n"/>
      <c r="B1021" s="53">
        <f>IF(A1021="","",CHOOSE(WEEKDAY(A1021,2),"Пн","Вт","Ср","Чт","Пт","Сб","Вс"))</f>
        <v/>
      </c>
      <c r="C1021" s="53">
        <f>IF(A1021="","",YEAR(A1021))</f>
        <v/>
      </c>
      <c r="D1021" s="54">
        <f>IF(A1021="","",INDEX(lst_months,MONTH(A1021)))</f>
        <v/>
      </c>
      <c r="E1021" s="55" t="n"/>
      <c r="F1021" s="54">
        <f>IF(E1021="","",IFERROR(IF(INDEX(lst_exp_item_cat,MATCH(E1021,lst_exp_items,0))="","❔ Без категории",INDEX(lst_exp_item_cat,MATCH(E1021,lst_exp_items,0))),"❔ Без категории"))</f>
        <v/>
      </c>
      <c r="G1021" s="43" t="n"/>
      <c r="H1021" s="56" t="n"/>
      <c r="I1021" s="43" t="n"/>
      <c r="J1021" s="57">
        <f>IF(OR(A1021="",H1021=""),"",IF(COUNTIFS(exp_year,C1021,exp_month,D1021,exp_item,E1021,exp_status,"&lt;&gt;❌ Отменено")&gt;0,1,0))</f>
        <v/>
      </c>
    </row>
    <row r="1022">
      <c r="A1022" s="52" t="n"/>
      <c r="B1022" s="53">
        <f>IF(A1022="","",CHOOSE(WEEKDAY(A1022,2),"Пн","Вт","Ср","Чт","Пт","Сб","Вс"))</f>
        <v/>
      </c>
      <c r="C1022" s="53">
        <f>IF(A1022="","",YEAR(A1022))</f>
        <v/>
      </c>
      <c r="D1022" s="54">
        <f>IF(A1022="","",INDEX(lst_months,MONTH(A1022)))</f>
        <v/>
      </c>
      <c r="E1022" s="55" t="n"/>
      <c r="F1022" s="54">
        <f>IF(E1022="","",IFERROR(IF(INDEX(lst_exp_item_cat,MATCH(E1022,lst_exp_items,0))="","❔ Без категории",INDEX(lst_exp_item_cat,MATCH(E1022,lst_exp_items,0))),"❔ Без категории"))</f>
        <v/>
      </c>
      <c r="G1022" s="43" t="n"/>
      <c r="H1022" s="56" t="n"/>
      <c r="I1022" s="43" t="n"/>
      <c r="J1022" s="57">
        <f>IF(OR(A1022="",H1022=""),"",IF(COUNTIFS(exp_year,C1022,exp_month,D1022,exp_item,E1022,exp_status,"&lt;&gt;❌ Отменено")&gt;0,1,0))</f>
        <v/>
      </c>
    </row>
    <row r="1023">
      <c r="A1023" s="52" t="n"/>
      <c r="B1023" s="53">
        <f>IF(A1023="","",CHOOSE(WEEKDAY(A1023,2),"Пн","Вт","Ср","Чт","Пт","Сб","Вс"))</f>
        <v/>
      </c>
      <c r="C1023" s="53">
        <f>IF(A1023="","",YEAR(A1023))</f>
        <v/>
      </c>
      <c r="D1023" s="54">
        <f>IF(A1023="","",INDEX(lst_months,MONTH(A1023)))</f>
        <v/>
      </c>
      <c r="E1023" s="55" t="n"/>
      <c r="F1023" s="54">
        <f>IF(E1023="","",IFERROR(IF(INDEX(lst_exp_item_cat,MATCH(E1023,lst_exp_items,0))="","❔ Без категории",INDEX(lst_exp_item_cat,MATCH(E1023,lst_exp_items,0))),"❔ Без категории"))</f>
        <v/>
      </c>
      <c r="G1023" s="43" t="n"/>
      <c r="H1023" s="56" t="n"/>
      <c r="I1023" s="43" t="n"/>
      <c r="J1023" s="57">
        <f>IF(OR(A1023="",H1023=""),"",IF(COUNTIFS(exp_year,C1023,exp_month,D1023,exp_item,E1023,exp_status,"&lt;&gt;❌ Отменено")&gt;0,1,0))</f>
        <v/>
      </c>
    </row>
    <row r="1024">
      <c r="A1024" s="52" t="n"/>
      <c r="B1024" s="53">
        <f>IF(A1024="","",CHOOSE(WEEKDAY(A1024,2),"Пн","Вт","Ср","Чт","Пт","Сб","Вс"))</f>
        <v/>
      </c>
      <c r="C1024" s="53">
        <f>IF(A1024="","",YEAR(A1024))</f>
        <v/>
      </c>
      <c r="D1024" s="54">
        <f>IF(A1024="","",INDEX(lst_months,MONTH(A1024)))</f>
        <v/>
      </c>
      <c r="E1024" s="55" t="n"/>
      <c r="F1024" s="54">
        <f>IF(E1024="","",IFERROR(IF(INDEX(lst_exp_item_cat,MATCH(E1024,lst_exp_items,0))="","❔ Без категории",INDEX(lst_exp_item_cat,MATCH(E1024,lst_exp_items,0))),"❔ Без категории"))</f>
        <v/>
      </c>
      <c r="G1024" s="43" t="n"/>
      <c r="H1024" s="56" t="n"/>
      <c r="I1024" s="43" t="n"/>
      <c r="J1024" s="57">
        <f>IF(OR(A1024="",H1024=""),"",IF(COUNTIFS(exp_year,C1024,exp_month,D1024,exp_item,E1024,exp_status,"&lt;&gt;❌ Отменено")&gt;0,1,0))</f>
        <v/>
      </c>
    </row>
    <row r="1025">
      <c r="A1025" s="52" t="n"/>
      <c r="B1025" s="53">
        <f>IF(A1025="","",CHOOSE(WEEKDAY(A1025,2),"Пн","Вт","Ср","Чт","Пт","Сб","Вс"))</f>
        <v/>
      </c>
      <c r="C1025" s="53">
        <f>IF(A1025="","",YEAR(A1025))</f>
        <v/>
      </c>
      <c r="D1025" s="54">
        <f>IF(A1025="","",INDEX(lst_months,MONTH(A1025)))</f>
        <v/>
      </c>
      <c r="E1025" s="55" t="n"/>
      <c r="F1025" s="54">
        <f>IF(E1025="","",IFERROR(IF(INDEX(lst_exp_item_cat,MATCH(E1025,lst_exp_items,0))="","❔ Без категории",INDEX(lst_exp_item_cat,MATCH(E1025,lst_exp_items,0))),"❔ Без категории"))</f>
        <v/>
      </c>
      <c r="G1025" s="43" t="n"/>
      <c r="H1025" s="56" t="n"/>
      <c r="I1025" s="43" t="n"/>
      <c r="J1025" s="57">
        <f>IF(OR(A1025="",H1025=""),"",IF(COUNTIFS(exp_year,C1025,exp_month,D1025,exp_item,E1025,exp_status,"&lt;&gt;❌ Отменено")&gt;0,1,0))</f>
        <v/>
      </c>
    </row>
    <row r="1026">
      <c r="A1026" s="52" t="n"/>
      <c r="B1026" s="53">
        <f>IF(A1026="","",CHOOSE(WEEKDAY(A1026,2),"Пн","Вт","Ср","Чт","Пт","Сб","Вс"))</f>
        <v/>
      </c>
      <c r="C1026" s="53">
        <f>IF(A1026="","",YEAR(A1026))</f>
        <v/>
      </c>
      <c r="D1026" s="54">
        <f>IF(A1026="","",INDEX(lst_months,MONTH(A1026)))</f>
        <v/>
      </c>
      <c r="E1026" s="55" t="n"/>
      <c r="F1026" s="54">
        <f>IF(E1026="","",IFERROR(IF(INDEX(lst_exp_item_cat,MATCH(E1026,lst_exp_items,0))="","❔ Без категории",INDEX(lst_exp_item_cat,MATCH(E1026,lst_exp_items,0))),"❔ Без категории"))</f>
        <v/>
      </c>
      <c r="G1026" s="43" t="n"/>
      <c r="H1026" s="56" t="n"/>
      <c r="I1026" s="43" t="n"/>
      <c r="J1026" s="57">
        <f>IF(OR(A1026="",H1026=""),"",IF(COUNTIFS(exp_year,C1026,exp_month,D1026,exp_item,E1026,exp_status,"&lt;&gt;❌ Отменено")&gt;0,1,0))</f>
        <v/>
      </c>
    </row>
    <row r="1027">
      <c r="A1027" s="52" t="n"/>
      <c r="B1027" s="53">
        <f>IF(A1027="","",CHOOSE(WEEKDAY(A1027,2),"Пн","Вт","Ср","Чт","Пт","Сб","Вс"))</f>
        <v/>
      </c>
      <c r="C1027" s="53">
        <f>IF(A1027="","",YEAR(A1027))</f>
        <v/>
      </c>
      <c r="D1027" s="54">
        <f>IF(A1027="","",INDEX(lst_months,MONTH(A1027)))</f>
        <v/>
      </c>
      <c r="E1027" s="55" t="n"/>
      <c r="F1027" s="54">
        <f>IF(E1027="","",IFERROR(IF(INDEX(lst_exp_item_cat,MATCH(E1027,lst_exp_items,0))="","❔ Без категории",INDEX(lst_exp_item_cat,MATCH(E1027,lst_exp_items,0))),"❔ Без категории"))</f>
        <v/>
      </c>
      <c r="G1027" s="43" t="n"/>
      <c r="H1027" s="56" t="n"/>
      <c r="I1027" s="43" t="n"/>
      <c r="J1027" s="57">
        <f>IF(OR(A1027="",H1027=""),"",IF(COUNTIFS(exp_year,C1027,exp_month,D1027,exp_item,E1027,exp_status,"&lt;&gt;❌ Отменено")&gt;0,1,0))</f>
        <v/>
      </c>
    </row>
    <row r="1028">
      <c r="A1028" s="52" t="n"/>
      <c r="B1028" s="53">
        <f>IF(A1028="","",CHOOSE(WEEKDAY(A1028,2),"Пн","Вт","Ср","Чт","Пт","Сб","Вс"))</f>
        <v/>
      </c>
      <c r="C1028" s="53">
        <f>IF(A1028="","",YEAR(A1028))</f>
        <v/>
      </c>
      <c r="D1028" s="54">
        <f>IF(A1028="","",INDEX(lst_months,MONTH(A1028)))</f>
        <v/>
      </c>
      <c r="E1028" s="55" t="n"/>
      <c r="F1028" s="54">
        <f>IF(E1028="","",IFERROR(IF(INDEX(lst_exp_item_cat,MATCH(E1028,lst_exp_items,0))="","❔ Без категории",INDEX(lst_exp_item_cat,MATCH(E1028,lst_exp_items,0))),"❔ Без категории"))</f>
        <v/>
      </c>
      <c r="G1028" s="43" t="n"/>
      <c r="H1028" s="56" t="n"/>
      <c r="I1028" s="43" t="n"/>
      <c r="J1028" s="57">
        <f>IF(OR(A1028="",H1028=""),"",IF(COUNTIFS(exp_year,C1028,exp_month,D1028,exp_item,E1028,exp_status,"&lt;&gt;❌ Отменено")&gt;0,1,0))</f>
        <v/>
      </c>
    </row>
    <row r="1029">
      <c r="A1029" s="52" t="n"/>
      <c r="B1029" s="53">
        <f>IF(A1029="","",CHOOSE(WEEKDAY(A1029,2),"Пн","Вт","Ср","Чт","Пт","Сб","Вс"))</f>
        <v/>
      </c>
      <c r="C1029" s="53">
        <f>IF(A1029="","",YEAR(A1029))</f>
        <v/>
      </c>
      <c r="D1029" s="54">
        <f>IF(A1029="","",INDEX(lst_months,MONTH(A1029)))</f>
        <v/>
      </c>
      <c r="E1029" s="55" t="n"/>
      <c r="F1029" s="54">
        <f>IF(E1029="","",IFERROR(IF(INDEX(lst_exp_item_cat,MATCH(E1029,lst_exp_items,0))="","❔ Без категории",INDEX(lst_exp_item_cat,MATCH(E1029,lst_exp_items,0))),"❔ Без категории"))</f>
        <v/>
      </c>
      <c r="G1029" s="43" t="n"/>
      <c r="H1029" s="56" t="n"/>
      <c r="I1029" s="43" t="n"/>
      <c r="J1029" s="57">
        <f>IF(OR(A1029="",H1029=""),"",IF(COUNTIFS(exp_year,C1029,exp_month,D1029,exp_item,E1029,exp_status,"&lt;&gt;❌ Отменено")&gt;0,1,0))</f>
        <v/>
      </c>
    </row>
    <row r="1030">
      <c r="A1030" s="52" t="n"/>
      <c r="B1030" s="53">
        <f>IF(A1030="","",CHOOSE(WEEKDAY(A1030,2),"Пн","Вт","Ср","Чт","Пт","Сб","Вс"))</f>
        <v/>
      </c>
      <c r="C1030" s="53">
        <f>IF(A1030="","",YEAR(A1030))</f>
        <v/>
      </c>
      <c r="D1030" s="54">
        <f>IF(A1030="","",INDEX(lst_months,MONTH(A1030)))</f>
        <v/>
      </c>
      <c r="E1030" s="55" t="n"/>
      <c r="F1030" s="54">
        <f>IF(E1030="","",IFERROR(IF(INDEX(lst_exp_item_cat,MATCH(E1030,lst_exp_items,0))="","❔ Без категории",INDEX(lst_exp_item_cat,MATCH(E1030,lst_exp_items,0))),"❔ Без категории"))</f>
        <v/>
      </c>
      <c r="G1030" s="43" t="n"/>
      <c r="H1030" s="56" t="n"/>
      <c r="I1030" s="43" t="n"/>
      <c r="J1030" s="57">
        <f>IF(OR(A1030="",H1030=""),"",IF(COUNTIFS(exp_year,C1030,exp_month,D1030,exp_item,E1030,exp_status,"&lt;&gt;❌ Отменено")&gt;0,1,0))</f>
        <v/>
      </c>
    </row>
    <row r="1031">
      <c r="A1031" s="52" t="n"/>
      <c r="B1031" s="53">
        <f>IF(A1031="","",CHOOSE(WEEKDAY(A1031,2),"Пн","Вт","Ср","Чт","Пт","Сб","Вс"))</f>
        <v/>
      </c>
      <c r="C1031" s="53">
        <f>IF(A1031="","",YEAR(A1031))</f>
        <v/>
      </c>
      <c r="D1031" s="54">
        <f>IF(A1031="","",INDEX(lst_months,MONTH(A1031)))</f>
        <v/>
      </c>
      <c r="E1031" s="55" t="n"/>
      <c r="F1031" s="54">
        <f>IF(E1031="","",IFERROR(IF(INDEX(lst_exp_item_cat,MATCH(E1031,lst_exp_items,0))="","❔ Без категории",INDEX(lst_exp_item_cat,MATCH(E1031,lst_exp_items,0))),"❔ Без категории"))</f>
        <v/>
      </c>
      <c r="G1031" s="43" t="n"/>
      <c r="H1031" s="56" t="n"/>
      <c r="I1031" s="43" t="n"/>
      <c r="J1031" s="57">
        <f>IF(OR(A1031="",H1031=""),"",IF(COUNTIFS(exp_year,C1031,exp_month,D1031,exp_item,E1031,exp_status,"&lt;&gt;❌ Отменено")&gt;0,1,0))</f>
        <v/>
      </c>
    </row>
    <row r="1032">
      <c r="A1032" s="52" t="n"/>
      <c r="B1032" s="53">
        <f>IF(A1032="","",CHOOSE(WEEKDAY(A1032,2),"Пн","Вт","Ср","Чт","Пт","Сб","Вс"))</f>
        <v/>
      </c>
      <c r="C1032" s="53">
        <f>IF(A1032="","",YEAR(A1032))</f>
        <v/>
      </c>
      <c r="D1032" s="54">
        <f>IF(A1032="","",INDEX(lst_months,MONTH(A1032)))</f>
        <v/>
      </c>
      <c r="E1032" s="55" t="n"/>
      <c r="F1032" s="54">
        <f>IF(E1032="","",IFERROR(IF(INDEX(lst_exp_item_cat,MATCH(E1032,lst_exp_items,0))="","❔ Без категории",INDEX(lst_exp_item_cat,MATCH(E1032,lst_exp_items,0))),"❔ Без категории"))</f>
        <v/>
      </c>
      <c r="G1032" s="43" t="n"/>
      <c r="H1032" s="56" t="n"/>
      <c r="I1032" s="43" t="n"/>
      <c r="J1032" s="57">
        <f>IF(OR(A1032="",H1032=""),"",IF(COUNTIFS(exp_year,C1032,exp_month,D1032,exp_item,E1032,exp_status,"&lt;&gt;❌ Отменено")&gt;0,1,0))</f>
        <v/>
      </c>
    </row>
    <row r="1033">
      <c r="A1033" s="52" t="n"/>
      <c r="B1033" s="53">
        <f>IF(A1033="","",CHOOSE(WEEKDAY(A1033,2),"Пн","Вт","Ср","Чт","Пт","Сб","Вс"))</f>
        <v/>
      </c>
      <c r="C1033" s="53">
        <f>IF(A1033="","",YEAR(A1033))</f>
        <v/>
      </c>
      <c r="D1033" s="54">
        <f>IF(A1033="","",INDEX(lst_months,MONTH(A1033)))</f>
        <v/>
      </c>
      <c r="E1033" s="55" t="n"/>
      <c r="F1033" s="54">
        <f>IF(E1033="","",IFERROR(IF(INDEX(lst_exp_item_cat,MATCH(E1033,lst_exp_items,0))="","❔ Без категории",INDEX(lst_exp_item_cat,MATCH(E1033,lst_exp_items,0))),"❔ Без категории"))</f>
        <v/>
      </c>
      <c r="G1033" s="43" t="n"/>
      <c r="H1033" s="56" t="n"/>
      <c r="I1033" s="43" t="n"/>
      <c r="J1033" s="57">
        <f>IF(OR(A1033="",H1033=""),"",IF(COUNTIFS(exp_year,C1033,exp_month,D1033,exp_item,E1033,exp_status,"&lt;&gt;❌ Отменено")&gt;0,1,0))</f>
        <v/>
      </c>
    </row>
    <row r="1034">
      <c r="A1034" s="52" t="n"/>
      <c r="B1034" s="53">
        <f>IF(A1034="","",CHOOSE(WEEKDAY(A1034,2),"Пн","Вт","Ср","Чт","Пт","Сб","Вс"))</f>
        <v/>
      </c>
      <c r="C1034" s="53">
        <f>IF(A1034="","",YEAR(A1034))</f>
        <v/>
      </c>
      <c r="D1034" s="54">
        <f>IF(A1034="","",INDEX(lst_months,MONTH(A1034)))</f>
        <v/>
      </c>
      <c r="E1034" s="55" t="n"/>
      <c r="F1034" s="54">
        <f>IF(E1034="","",IFERROR(IF(INDEX(lst_exp_item_cat,MATCH(E1034,lst_exp_items,0))="","❔ Без категории",INDEX(lst_exp_item_cat,MATCH(E1034,lst_exp_items,0))),"❔ Без категории"))</f>
        <v/>
      </c>
      <c r="G1034" s="43" t="n"/>
      <c r="H1034" s="56" t="n"/>
      <c r="I1034" s="43" t="n"/>
      <c r="J1034" s="57">
        <f>IF(OR(A1034="",H1034=""),"",IF(COUNTIFS(exp_year,C1034,exp_month,D1034,exp_item,E1034,exp_status,"&lt;&gt;❌ Отменено")&gt;0,1,0))</f>
        <v/>
      </c>
    </row>
    <row r="1035">
      <c r="A1035" s="52" t="n"/>
      <c r="B1035" s="53">
        <f>IF(A1035="","",CHOOSE(WEEKDAY(A1035,2),"Пн","Вт","Ср","Чт","Пт","Сб","Вс"))</f>
        <v/>
      </c>
      <c r="C1035" s="53">
        <f>IF(A1035="","",YEAR(A1035))</f>
        <v/>
      </c>
      <c r="D1035" s="54">
        <f>IF(A1035="","",INDEX(lst_months,MONTH(A1035)))</f>
        <v/>
      </c>
      <c r="E1035" s="55" t="n"/>
      <c r="F1035" s="54">
        <f>IF(E1035="","",IFERROR(IF(INDEX(lst_exp_item_cat,MATCH(E1035,lst_exp_items,0))="","❔ Без категории",INDEX(lst_exp_item_cat,MATCH(E1035,lst_exp_items,0))),"❔ Без категории"))</f>
        <v/>
      </c>
      <c r="G1035" s="43" t="n"/>
      <c r="H1035" s="56" t="n"/>
      <c r="I1035" s="43" t="n"/>
      <c r="J1035" s="57">
        <f>IF(OR(A1035="",H1035=""),"",IF(COUNTIFS(exp_year,C1035,exp_month,D1035,exp_item,E1035,exp_status,"&lt;&gt;❌ Отменено")&gt;0,1,0))</f>
        <v/>
      </c>
    </row>
    <row r="1036">
      <c r="A1036" s="52" t="n"/>
      <c r="B1036" s="53">
        <f>IF(A1036="","",CHOOSE(WEEKDAY(A1036,2),"Пн","Вт","Ср","Чт","Пт","Сб","Вс"))</f>
        <v/>
      </c>
      <c r="C1036" s="53">
        <f>IF(A1036="","",YEAR(A1036))</f>
        <v/>
      </c>
      <c r="D1036" s="54">
        <f>IF(A1036="","",INDEX(lst_months,MONTH(A1036)))</f>
        <v/>
      </c>
      <c r="E1036" s="55" t="n"/>
      <c r="F1036" s="54">
        <f>IF(E1036="","",IFERROR(IF(INDEX(lst_exp_item_cat,MATCH(E1036,lst_exp_items,0))="","❔ Без категории",INDEX(lst_exp_item_cat,MATCH(E1036,lst_exp_items,0))),"❔ Без категории"))</f>
        <v/>
      </c>
      <c r="G1036" s="43" t="n"/>
      <c r="H1036" s="56" t="n"/>
      <c r="I1036" s="43" t="n"/>
      <c r="J1036" s="57">
        <f>IF(OR(A1036="",H1036=""),"",IF(COUNTIFS(exp_year,C1036,exp_month,D1036,exp_item,E1036,exp_status,"&lt;&gt;❌ Отменено")&gt;0,1,0))</f>
        <v/>
      </c>
    </row>
    <row r="1037">
      <c r="A1037" s="52" t="n"/>
      <c r="B1037" s="53">
        <f>IF(A1037="","",CHOOSE(WEEKDAY(A1037,2),"Пн","Вт","Ср","Чт","Пт","Сб","Вс"))</f>
        <v/>
      </c>
      <c r="C1037" s="53">
        <f>IF(A1037="","",YEAR(A1037))</f>
        <v/>
      </c>
      <c r="D1037" s="54">
        <f>IF(A1037="","",INDEX(lst_months,MONTH(A1037)))</f>
        <v/>
      </c>
      <c r="E1037" s="55" t="n"/>
      <c r="F1037" s="54">
        <f>IF(E1037="","",IFERROR(IF(INDEX(lst_exp_item_cat,MATCH(E1037,lst_exp_items,0))="","❔ Без категории",INDEX(lst_exp_item_cat,MATCH(E1037,lst_exp_items,0))),"❔ Без категории"))</f>
        <v/>
      </c>
      <c r="G1037" s="43" t="n"/>
      <c r="H1037" s="56" t="n"/>
      <c r="I1037" s="43" t="n"/>
      <c r="J1037" s="57">
        <f>IF(OR(A1037="",H1037=""),"",IF(COUNTIFS(exp_year,C1037,exp_month,D1037,exp_item,E1037,exp_status,"&lt;&gt;❌ Отменено")&gt;0,1,0))</f>
        <v/>
      </c>
    </row>
    <row r="1038">
      <c r="A1038" s="52" t="n"/>
      <c r="B1038" s="53">
        <f>IF(A1038="","",CHOOSE(WEEKDAY(A1038,2),"Пн","Вт","Ср","Чт","Пт","Сб","Вс"))</f>
        <v/>
      </c>
      <c r="C1038" s="53">
        <f>IF(A1038="","",YEAR(A1038))</f>
        <v/>
      </c>
      <c r="D1038" s="54">
        <f>IF(A1038="","",INDEX(lst_months,MONTH(A1038)))</f>
        <v/>
      </c>
      <c r="E1038" s="55" t="n"/>
      <c r="F1038" s="54">
        <f>IF(E1038="","",IFERROR(IF(INDEX(lst_exp_item_cat,MATCH(E1038,lst_exp_items,0))="","❔ Без категории",INDEX(lst_exp_item_cat,MATCH(E1038,lst_exp_items,0))),"❔ Без категории"))</f>
        <v/>
      </c>
      <c r="G1038" s="43" t="n"/>
      <c r="H1038" s="56" t="n"/>
      <c r="I1038" s="43" t="n"/>
      <c r="J1038" s="57">
        <f>IF(OR(A1038="",H1038=""),"",IF(COUNTIFS(exp_year,C1038,exp_month,D1038,exp_item,E1038,exp_status,"&lt;&gt;❌ Отменено")&gt;0,1,0))</f>
        <v/>
      </c>
    </row>
    <row r="1039">
      <c r="A1039" s="52" t="n"/>
      <c r="B1039" s="53">
        <f>IF(A1039="","",CHOOSE(WEEKDAY(A1039,2),"Пн","Вт","Ср","Чт","Пт","Сб","Вс"))</f>
        <v/>
      </c>
      <c r="C1039" s="53">
        <f>IF(A1039="","",YEAR(A1039))</f>
        <v/>
      </c>
      <c r="D1039" s="54">
        <f>IF(A1039="","",INDEX(lst_months,MONTH(A1039)))</f>
        <v/>
      </c>
      <c r="E1039" s="55" t="n"/>
      <c r="F1039" s="54">
        <f>IF(E1039="","",IFERROR(IF(INDEX(lst_exp_item_cat,MATCH(E1039,lst_exp_items,0))="","❔ Без категории",INDEX(lst_exp_item_cat,MATCH(E1039,lst_exp_items,0))),"❔ Без категории"))</f>
        <v/>
      </c>
      <c r="G1039" s="43" t="n"/>
      <c r="H1039" s="56" t="n"/>
      <c r="I1039" s="43" t="n"/>
      <c r="J1039" s="57">
        <f>IF(OR(A1039="",H1039=""),"",IF(COUNTIFS(exp_year,C1039,exp_month,D1039,exp_item,E1039,exp_status,"&lt;&gt;❌ Отменено")&gt;0,1,0))</f>
        <v/>
      </c>
    </row>
    <row r="1040">
      <c r="A1040" s="52" t="n"/>
      <c r="B1040" s="53">
        <f>IF(A1040="","",CHOOSE(WEEKDAY(A1040,2),"Пн","Вт","Ср","Чт","Пт","Сб","Вс"))</f>
        <v/>
      </c>
      <c r="C1040" s="53">
        <f>IF(A1040="","",YEAR(A1040))</f>
        <v/>
      </c>
      <c r="D1040" s="54">
        <f>IF(A1040="","",INDEX(lst_months,MONTH(A1040)))</f>
        <v/>
      </c>
      <c r="E1040" s="55" t="n"/>
      <c r="F1040" s="54">
        <f>IF(E1040="","",IFERROR(IF(INDEX(lst_exp_item_cat,MATCH(E1040,lst_exp_items,0))="","❔ Без категории",INDEX(lst_exp_item_cat,MATCH(E1040,lst_exp_items,0))),"❔ Без категории"))</f>
        <v/>
      </c>
      <c r="G1040" s="43" t="n"/>
      <c r="H1040" s="56" t="n"/>
      <c r="I1040" s="43" t="n"/>
      <c r="J1040" s="57">
        <f>IF(OR(A1040="",H1040=""),"",IF(COUNTIFS(exp_year,C1040,exp_month,D1040,exp_item,E1040,exp_status,"&lt;&gt;❌ Отменено")&gt;0,1,0))</f>
        <v/>
      </c>
    </row>
    <row r="1041">
      <c r="A1041" s="52" t="n"/>
      <c r="B1041" s="53">
        <f>IF(A1041="","",CHOOSE(WEEKDAY(A1041,2),"Пн","Вт","Ср","Чт","Пт","Сб","Вс"))</f>
        <v/>
      </c>
      <c r="C1041" s="53">
        <f>IF(A1041="","",YEAR(A1041))</f>
        <v/>
      </c>
      <c r="D1041" s="54">
        <f>IF(A1041="","",INDEX(lst_months,MONTH(A1041)))</f>
        <v/>
      </c>
      <c r="E1041" s="55" t="n"/>
      <c r="F1041" s="54">
        <f>IF(E1041="","",IFERROR(IF(INDEX(lst_exp_item_cat,MATCH(E1041,lst_exp_items,0))="","❔ Без категории",INDEX(lst_exp_item_cat,MATCH(E1041,lst_exp_items,0))),"❔ Без категории"))</f>
        <v/>
      </c>
      <c r="G1041" s="43" t="n"/>
      <c r="H1041" s="56" t="n"/>
      <c r="I1041" s="43" t="n"/>
      <c r="J1041" s="57">
        <f>IF(OR(A1041="",H1041=""),"",IF(COUNTIFS(exp_year,C1041,exp_month,D1041,exp_item,E1041,exp_status,"&lt;&gt;❌ Отменено")&gt;0,1,0))</f>
        <v/>
      </c>
    </row>
    <row r="1042">
      <c r="A1042" s="52" t="n"/>
      <c r="B1042" s="53">
        <f>IF(A1042="","",CHOOSE(WEEKDAY(A1042,2),"Пн","Вт","Ср","Чт","Пт","Сб","Вс"))</f>
        <v/>
      </c>
      <c r="C1042" s="53">
        <f>IF(A1042="","",YEAR(A1042))</f>
        <v/>
      </c>
      <c r="D1042" s="54">
        <f>IF(A1042="","",INDEX(lst_months,MONTH(A1042)))</f>
        <v/>
      </c>
      <c r="E1042" s="55" t="n"/>
      <c r="F1042" s="54">
        <f>IF(E1042="","",IFERROR(IF(INDEX(lst_exp_item_cat,MATCH(E1042,lst_exp_items,0))="","❔ Без категории",INDEX(lst_exp_item_cat,MATCH(E1042,lst_exp_items,0))),"❔ Без категории"))</f>
        <v/>
      </c>
      <c r="G1042" s="43" t="n"/>
      <c r="H1042" s="56" t="n"/>
      <c r="I1042" s="43" t="n"/>
      <c r="J1042" s="57">
        <f>IF(OR(A1042="",H1042=""),"",IF(COUNTIFS(exp_year,C1042,exp_month,D1042,exp_item,E1042,exp_status,"&lt;&gt;❌ Отменено")&gt;0,1,0))</f>
        <v/>
      </c>
    </row>
    <row r="1043">
      <c r="A1043" s="52" t="n"/>
      <c r="B1043" s="53">
        <f>IF(A1043="","",CHOOSE(WEEKDAY(A1043,2),"Пн","Вт","Ср","Чт","Пт","Сб","Вс"))</f>
        <v/>
      </c>
      <c r="C1043" s="53">
        <f>IF(A1043="","",YEAR(A1043))</f>
        <v/>
      </c>
      <c r="D1043" s="54">
        <f>IF(A1043="","",INDEX(lst_months,MONTH(A1043)))</f>
        <v/>
      </c>
      <c r="E1043" s="55" t="n"/>
      <c r="F1043" s="54">
        <f>IF(E1043="","",IFERROR(IF(INDEX(lst_exp_item_cat,MATCH(E1043,lst_exp_items,0))="","❔ Без категории",INDEX(lst_exp_item_cat,MATCH(E1043,lst_exp_items,0))),"❔ Без категории"))</f>
        <v/>
      </c>
      <c r="G1043" s="43" t="n"/>
      <c r="H1043" s="56" t="n"/>
      <c r="I1043" s="43" t="n"/>
      <c r="J1043" s="57">
        <f>IF(OR(A1043="",H1043=""),"",IF(COUNTIFS(exp_year,C1043,exp_month,D1043,exp_item,E1043,exp_status,"&lt;&gt;❌ Отменено")&gt;0,1,0))</f>
        <v/>
      </c>
    </row>
    <row r="1044">
      <c r="A1044" s="52" t="n"/>
      <c r="B1044" s="53">
        <f>IF(A1044="","",CHOOSE(WEEKDAY(A1044,2),"Пн","Вт","Ср","Чт","Пт","Сб","Вс"))</f>
        <v/>
      </c>
      <c r="C1044" s="53">
        <f>IF(A1044="","",YEAR(A1044))</f>
        <v/>
      </c>
      <c r="D1044" s="54">
        <f>IF(A1044="","",INDEX(lst_months,MONTH(A1044)))</f>
        <v/>
      </c>
      <c r="E1044" s="55" t="n"/>
      <c r="F1044" s="54">
        <f>IF(E1044="","",IFERROR(IF(INDEX(lst_exp_item_cat,MATCH(E1044,lst_exp_items,0))="","❔ Без категории",INDEX(lst_exp_item_cat,MATCH(E1044,lst_exp_items,0))),"❔ Без категории"))</f>
        <v/>
      </c>
      <c r="G1044" s="43" t="n"/>
      <c r="H1044" s="56" t="n"/>
      <c r="I1044" s="43" t="n"/>
      <c r="J1044" s="57">
        <f>IF(OR(A1044="",H1044=""),"",IF(COUNTIFS(exp_year,C1044,exp_month,D1044,exp_item,E1044,exp_status,"&lt;&gt;❌ Отменено")&gt;0,1,0))</f>
        <v/>
      </c>
    </row>
    <row r="1045">
      <c r="A1045" s="52" t="n"/>
      <c r="B1045" s="53">
        <f>IF(A1045="","",CHOOSE(WEEKDAY(A1045,2),"Пн","Вт","Ср","Чт","Пт","Сб","Вс"))</f>
        <v/>
      </c>
      <c r="C1045" s="53">
        <f>IF(A1045="","",YEAR(A1045))</f>
        <v/>
      </c>
      <c r="D1045" s="54">
        <f>IF(A1045="","",INDEX(lst_months,MONTH(A1045)))</f>
        <v/>
      </c>
      <c r="E1045" s="55" t="n"/>
      <c r="F1045" s="54">
        <f>IF(E1045="","",IFERROR(IF(INDEX(lst_exp_item_cat,MATCH(E1045,lst_exp_items,0))="","❔ Без категории",INDEX(lst_exp_item_cat,MATCH(E1045,lst_exp_items,0))),"❔ Без категории"))</f>
        <v/>
      </c>
      <c r="G1045" s="43" t="n"/>
      <c r="H1045" s="56" t="n"/>
      <c r="I1045" s="43" t="n"/>
      <c r="J1045" s="57">
        <f>IF(OR(A1045="",H1045=""),"",IF(COUNTIFS(exp_year,C1045,exp_month,D1045,exp_item,E1045,exp_status,"&lt;&gt;❌ Отменено")&gt;0,1,0))</f>
        <v/>
      </c>
    </row>
    <row r="1046">
      <c r="A1046" s="52" t="n"/>
      <c r="B1046" s="53">
        <f>IF(A1046="","",CHOOSE(WEEKDAY(A1046,2),"Пн","Вт","Ср","Чт","Пт","Сб","Вс"))</f>
        <v/>
      </c>
      <c r="C1046" s="53">
        <f>IF(A1046="","",YEAR(A1046))</f>
        <v/>
      </c>
      <c r="D1046" s="54">
        <f>IF(A1046="","",INDEX(lst_months,MONTH(A1046)))</f>
        <v/>
      </c>
      <c r="E1046" s="55" t="n"/>
      <c r="F1046" s="54">
        <f>IF(E1046="","",IFERROR(IF(INDEX(lst_exp_item_cat,MATCH(E1046,lst_exp_items,0))="","❔ Без категории",INDEX(lst_exp_item_cat,MATCH(E1046,lst_exp_items,0))),"❔ Без категории"))</f>
        <v/>
      </c>
      <c r="G1046" s="43" t="n"/>
      <c r="H1046" s="56" t="n"/>
      <c r="I1046" s="43" t="n"/>
      <c r="J1046" s="57">
        <f>IF(OR(A1046="",H1046=""),"",IF(COUNTIFS(exp_year,C1046,exp_month,D1046,exp_item,E1046,exp_status,"&lt;&gt;❌ Отменено")&gt;0,1,0))</f>
        <v/>
      </c>
    </row>
    <row r="1047">
      <c r="A1047" s="52" t="n"/>
      <c r="B1047" s="53">
        <f>IF(A1047="","",CHOOSE(WEEKDAY(A1047,2),"Пн","Вт","Ср","Чт","Пт","Сб","Вс"))</f>
        <v/>
      </c>
      <c r="C1047" s="53">
        <f>IF(A1047="","",YEAR(A1047))</f>
        <v/>
      </c>
      <c r="D1047" s="54">
        <f>IF(A1047="","",INDEX(lst_months,MONTH(A1047)))</f>
        <v/>
      </c>
      <c r="E1047" s="55" t="n"/>
      <c r="F1047" s="54">
        <f>IF(E1047="","",IFERROR(IF(INDEX(lst_exp_item_cat,MATCH(E1047,lst_exp_items,0))="","❔ Без категории",INDEX(lst_exp_item_cat,MATCH(E1047,lst_exp_items,0))),"❔ Без категории"))</f>
        <v/>
      </c>
      <c r="G1047" s="43" t="n"/>
      <c r="H1047" s="56" t="n"/>
      <c r="I1047" s="43" t="n"/>
      <c r="J1047" s="57">
        <f>IF(OR(A1047="",H1047=""),"",IF(COUNTIFS(exp_year,C1047,exp_month,D1047,exp_item,E1047,exp_status,"&lt;&gt;❌ Отменено")&gt;0,1,0))</f>
        <v/>
      </c>
    </row>
    <row r="1048">
      <c r="A1048" s="52" t="n"/>
      <c r="B1048" s="53">
        <f>IF(A1048="","",CHOOSE(WEEKDAY(A1048,2),"Пн","Вт","Ср","Чт","Пт","Сб","Вс"))</f>
        <v/>
      </c>
      <c r="C1048" s="53">
        <f>IF(A1048="","",YEAR(A1048))</f>
        <v/>
      </c>
      <c r="D1048" s="54">
        <f>IF(A1048="","",INDEX(lst_months,MONTH(A1048)))</f>
        <v/>
      </c>
      <c r="E1048" s="55" t="n"/>
      <c r="F1048" s="54">
        <f>IF(E1048="","",IFERROR(IF(INDEX(lst_exp_item_cat,MATCH(E1048,lst_exp_items,0))="","❔ Без категории",INDEX(lst_exp_item_cat,MATCH(E1048,lst_exp_items,0))),"❔ Без категории"))</f>
        <v/>
      </c>
      <c r="G1048" s="43" t="n"/>
      <c r="H1048" s="56" t="n"/>
      <c r="I1048" s="43" t="n"/>
      <c r="J1048" s="57">
        <f>IF(OR(A1048="",H1048=""),"",IF(COUNTIFS(exp_year,C1048,exp_month,D1048,exp_item,E1048,exp_status,"&lt;&gt;❌ Отменено")&gt;0,1,0))</f>
        <v/>
      </c>
    </row>
    <row r="1049">
      <c r="A1049" s="52" t="n"/>
      <c r="B1049" s="53">
        <f>IF(A1049="","",CHOOSE(WEEKDAY(A1049,2),"Пн","Вт","Ср","Чт","Пт","Сб","Вс"))</f>
        <v/>
      </c>
      <c r="C1049" s="53">
        <f>IF(A1049="","",YEAR(A1049))</f>
        <v/>
      </c>
      <c r="D1049" s="54">
        <f>IF(A1049="","",INDEX(lst_months,MONTH(A1049)))</f>
        <v/>
      </c>
      <c r="E1049" s="55" t="n"/>
      <c r="F1049" s="54">
        <f>IF(E1049="","",IFERROR(IF(INDEX(lst_exp_item_cat,MATCH(E1049,lst_exp_items,0))="","❔ Без категории",INDEX(lst_exp_item_cat,MATCH(E1049,lst_exp_items,0))),"❔ Без категории"))</f>
        <v/>
      </c>
      <c r="G1049" s="43" t="n"/>
      <c r="H1049" s="56" t="n"/>
      <c r="I1049" s="43" t="n"/>
      <c r="J1049" s="57">
        <f>IF(OR(A1049="",H1049=""),"",IF(COUNTIFS(exp_year,C1049,exp_month,D1049,exp_item,E1049,exp_status,"&lt;&gt;❌ Отменено")&gt;0,1,0))</f>
        <v/>
      </c>
    </row>
    <row r="1050">
      <c r="A1050" s="52" t="n"/>
      <c r="B1050" s="53">
        <f>IF(A1050="","",CHOOSE(WEEKDAY(A1050,2),"Пн","Вт","Ср","Чт","Пт","Сб","Вс"))</f>
        <v/>
      </c>
      <c r="C1050" s="53">
        <f>IF(A1050="","",YEAR(A1050))</f>
        <v/>
      </c>
      <c r="D1050" s="54">
        <f>IF(A1050="","",INDEX(lst_months,MONTH(A1050)))</f>
        <v/>
      </c>
      <c r="E1050" s="55" t="n"/>
      <c r="F1050" s="54">
        <f>IF(E1050="","",IFERROR(IF(INDEX(lst_exp_item_cat,MATCH(E1050,lst_exp_items,0))="","❔ Без категории",INDEX(lst_exp_item_cat,MATCH(E1050,lst_exp_items,0))),"❔ Без категории"))</f>
        <v/>
      </c>
      <c r="G1050" s="43" t="n"/>
      <c r="H1050" s="56" t="n"/>
      <c r="I1050" s="43" t="n"/>
      <c r="J1050" s="57">
        <f>IF(OR(A1050="",H1050=""),"",IF(COUNTIFS(exp_year,C1050,exp_month,D1050,exp_item,E1050,exp_status,"&lt;&gt;❌ Отменено")&gt;0,1,0))</f>
        <v/>
      </c>
    </row>
    <row r="1051">
      <c r="A1051" s="52" t="n"/>
      <c r="B1051" s="53">
        <f>IF(A1051="","",CHOOSE(WEEKDAY(A1051,2),"Пн","Вт","Ср","Чт","Пт","Сб","Вс"))</f>
        <v/>
      </c>
      <c r="C1051" s="53">
        <f>IF(A1051="","",YEAR(A1051))</f>
        <v/>
      </c>
      <c r="D1051" s="54">
        <f>IF(A1051="","",INDEX(lst_months,MONTH(A1051)))</f>
        <v/>
      </c>
      <c r="E1051" s="55" t="n"/>
      <c r="F1051" s="54">
        <f>IF(E1051="","",IFERROR(IF(INDEX(lst_exp_item_cat,MATCH(E1051,lst_exp_items,0))="","❔ Без категории",INDEX(lst_exp_item_cat,MATCH(E1051,lst_exp_items,0))),"❔ Без категории"))</f>
        <v/>
      </c>
      <c r="G1051" s="43" t="n"/>
      <c r="H1051" s="56" t="n"/>
      <c r="I1051" s="43" t="n"/>
      <c r="J1051" s="57">
        <f>IF(OR(A1051="",H1051=""),"",IF(COUNTIFS(exp_year,C1051,exp_month,D1051,exp_item,E1051,exp_status,"&lt;&gt;❌ Отменено")&gt;0,1,0))</f>
        <v/>
      </c>
    </row>
    <row r="1052">
      <c r="A1052" s="52" t="n"/>
      <c r="B1052" s="53">
        <f>IF(A1052="","",CHOOSE(WEEKDAY(A1052,2),"Пн","Вт","Ср","Чт","Пт","Сб","Вс"))</f>
        <v/>
      </c>
      <c r="C1052" s="53">
        <f>IF(A1052="","",YEAR(A1052))</f>
        <v/>
      </c>
      <c r="D1052" s="54">
        <f>IF(A1052="","",INDEX(lst_months,MONTH(A1052)))</f>
        <v/>
      </c>
      <c r="E1052" s="55" t="n"/>
      <c r="F1052" s="54">
        <f>IF(E1052="","",IFERROR(IF(INDEX(lst_exp_item_cat,MATCH(E1052,lst_exp_items,0))="","❔ Без категории",INDEX(lst_exp_item_cat,MATCH(E1052,lst_exp_items,0))),"❔ Без категории"))</f>
        <v/>
      </c>
      <c r="G1052" s="43" t="n"/>
      <c r="H1052" s="56" t="n"/>
      <c r="I1052" s="43" t="n"/>
      <c r="J1052" s="57">
        <f>IF(OR(A1052="",H1052=""),"",IF(COUNTIFS(exp_year,C1052,exp_month,D1052,exp_item,E1052,exp_status,"&lt;&gt;❌ Отменено")&gt;0,1,0))</f>
        <v/>
      </c>
    </row>
    <row r="1053">
      <c r="A1053" s="52" t="n"/>
      <c r="B1053" s="53">
        <f>IF(A1053="","",CHOOSE(WEEKDAY(A1053,2),"Пн","Вт","Ср","Чт","Пт","Сб","Вс"))</f>
        <v/>
      </c>
      <c r="C1053" s="53">
        <f>IF(A1053="","",YEAR(A1053))</f>
        <v/>
      </c>
      <c r="D1053" s="54">
        <f>IF(A1053="","",INDEX(lst_months,MONTH(A1053)))</f>
        <v/>
      </c>
      <c r="E1053" s="55" t="n"/>
      <c r="F1053" s="54">
        <f>IF(E1053="","",IFERROR(IF(INDEX(lst_exp_item_cat,MATCH(E1053,lst_exp_items,0))="","❔ Без категории",INDEX(lst_exp_item_cat,MATCH(E1053,lst_exp_items,0))),"❔ Без категории"))</f>
        <v/>
      </c>
      <c r="G1053" s="43" t="n"/>
      <c r="H1053" s="56" t="n"/>
      <c r="I1053" s="43" t="n"/>
      <c r="J1053" s="57">
        <f>IF(OR(A1053="",H1053=""),"",IF(COUNTIFS(exp_year,C1053,exp_month,D1053,exp_item,E1053,exp_status,"&lt;&gt;❌ Отменено")&gt;0,1,0))</f>
        <v/>
      </c>
    </row>
    <row r="1054">
      <c r="A1054" s="52" t="n"/>
      <c r="B1054" s="53">
        <f>IF(A1054="","",CHOOSE(WEEKDAY(A1054,2),"Пн","Вт","Ср","Чт","Пт","Сб","Вс"))</f>
        <v/>
      </c>
      <c r="C1054" s="53">
        <f>IF(A1054="","",YEAR(A1054))</f>
        <v/>
      </c>
      <c r="D1054" s="54">
        <f>IF(A1054="","",INDEX(lst_months,MONTH(A1054)))</f>
        <v/>
      </c>
      <c r="E1054" s="55" t="n"/>
      <c r="F1054" s="54">
        <f>IF(E1054="","",IFERROR(IF(INDEX(lst_exp_item_cat,MATCH(E1054,lst_exp_items,0))="","❔ Без категории",INDEX(lst_exp_item_cat,MATCH(E1054,lst_exp_items,0))),"❔ Без категории"))</f>
        <v/>
      </c>
      <c r="G1054" s="43" t="n"/>
      <c r="H1054" s="56" t="n"/>
      <c r="I1054" s="43" t="n"/>
      <c r="J1054" s="57">
        <f>IF(OR(A1054="",H1054=""),"",IF(COUNTIFS(exp_year,C1054,exp_month,D1054,exp_item,E1054,exp_status,"&lt;&gt;❌ Отменено")&gt;0,1,0))</f>
        <v/>
      </c>
    </row>
    <row r="1055">
      <c r="A1055" s="52" t="n"/>
      <c r="B1055" s="53">
        <f>IF(A1055="","",CHOOSE(WEEKDAY(A1055,2),"Пн","Вт","Ср","Чт","Пт","Сб","Вс"))</f>
        <v/>
      </c>
      <c r="C1055" s="53">
        <f>IF(A1055="","",YEAR(A1055))</f>
        <v/>
      </c>
      <c r="D1055" s="54">
        <f>IF(A1055="","",INDEX(lst_months,MONTH(A1055)))</f>
        <v/>
      </c>
      <c r="E1055" s="55" t="n"/>
      <c r="F1055" s="54">
        <f>IF(E1055="","",IFERROR(IF(INDEX(lst_exp_item_cat,MATCH(E1055,lst_exp_items,0))="","❔ Без категории",INDEX(lst_exp_item_cat,MATCH(E1055,lst_exp_items,0))),"❔ Без категории"))</f>
        <v/>
      </c>
      <c r="G1055" s="43" t="n"/>
      <c r="H1055" s="56" t="n"/>
      <c r="I1055" s="43" t="n"/>
      <c r="J1055" s="57">
        <f>IF(OR(A1055="",H1055=""),"",IF(COUNTIFS(exp_year,C1055,exp_month,D1055,exp_item,E1055,exp_status,"&lt;&gt;❌ Отменено")&gt;0,1,0))</f>
        <v/>
      </c>
    </row>
    <row r="1056">
      <c r="A1056" s="52" t="n"/>
      <c r="B1056" s="53">
        <f>IF(A1056="","",CHOOSE(WEEKDAY(A1056,2),"Пн","Вт","Ср","Чт","Пт","Сб","Вс"))</f>
        <v/>
      </c>
      <c r="C1056" s="53">
        <f>IF(A1056="","",YEAR(A1056))</f>
        <v/>
      </c>
      <c r="D1056" s="54">
        <f>IF(A1056="","",INDEX(lst_months,MONTH(A1056)))</f>
        <v/>
      </c>
      <c r="E1056" s="55" t="n"/>
      <c r="F1056" s="54">
        <f>IF(E1056="","",IFERROR(IF(INDEX(lst_exp_item_cat,MATCH(E1056,lst_exp_items,0))="","❔ Без категории",INDEX(lst_exp_item_cat,MATCH(E1056,lst_exp_items,0))),"❔ Без категории"))</f>
        <v/>
      </c>
      <c r="G1056" s="43" t="n"/>
      <c r="H1056" s="56" t="n"/>
      <c r="I1056" s="43" t="n"/>
      <c r="J1056" s="57">
        <f>IF(OR(A1056="",H1056=""),"",IF(COUNTIFS(exp_year,C1056,exp_month,D1056,exp_item,E1056,exp_status,"&lt;&gt;❌ Отменено")&gt;0,1,0))</f>
        <v/>
      </c>
    </row>
    <row r="1057">
      <c r="A1057" s="52" t="n"/>
      <c r="B1057" s="53">
        <f>IF(A1057="","",CHOOSE(WEEKDAY(A1057,2),"Пн","Вт","Ср","Чт","Пт","Сб","Вс"))</f>
        <v/>
      </c>
      <c r="C1057" s="53">
        <f>IF(A1057="","",YEAR(A1057))</f>
        <v/>
      </c>
      <c r="D1057" s="54">
        <f>IF(A1057="","",INDEX(lst_months,MONTH(A1057)))</f>
        <v/>
      </c>
      <c r="E1057" s="55" t="n"/>
      <c r="F1057" s="54">
        <f>IF(E1057="","",IFERROR(IF(INDEX(lst_exp_item_cat,MATCH(E1057,lst_exp_items,0))="","❔ Без категории",INDEX(lst_exp_item_cat,MATCH(E1057,lst_exp_items,0))),"❔ Без категории"))</f>
        <v/>
      </c>
      <c r="G1057" s="43" t="n"/>
      <c r="H1057" s="56" t="n"/>
      <c r="I1057" s="43" t="n"/>
      <c r="J1057" s="57">
        <f>IF(OR(A1057="",H1057=""),"",IF(COUNTIFS(exp_year,C1057,exp_month,D1057,exp_item,E1057,exp_status,"&lt;&gt;❌ Отменено")&gt;0,1,0))</f>
        <v/>
      </c>
    </row>
    <row r="1058">
      <c r="A1058" s="52" t="n"/>
      <c r="B1058" s="53">
        <f>IF(A1058="","",CHOOSE(WEEKDAY(A1058,2),"Пн","Вт","Ср","Чт","Пт","Сб","Вс"))</f>
        <v/>
      </c>
      <c r="C1058" s="53">
        <f>IF(A1058="","",YEAR(A1058))</f>
        <v/>
      </c>
      <c r="D1058" s="54">
        <f>IF(A1058="","",INDEX(lst_months,MONTH(A1058)))</f>
        <v/>
      </c>
      <c r="E1058" s="55" t="n"/>
      <c r="F1058" s="54">
        <f>IF(E1058="","",IFERROR(IF(INDEX(lst_exp_item_cat,MATCH(E1058,lst_exp_items,0))="","❔ Без категории",INDEX(lst_exp_item_cat,MATCH(E1058,lst_exp_items,0))),"❔ Без категории"))</f>
        <v/>
      </c>
      <c r="G1058" s="43" t="n"/>
      <c r="H1058" s="56" t="n"/>
      <c r="I1058" s="43" t="n"/>
      <c r="J1058" s="57">
        <f>IF(OR(A1058="",H1058=""),"",IF(COUNTIFS(exp_year,C1058,exp_month,D1058,exp_item,E1058,exp_status,"&lt;&gt;❌ Отменено")&gt;0,1,0))</f>
        <v/>
      </c>
    </row>
    <row r="1059">
      <c r="A1059" s="52" t="n"/>
      <c r="B1059" s="53">
        <f>IF(A1059="","",CHOOSE(WEEKDAY(A1059,2),"Пн","Вт","Ср","Чт","Пт","Сб","Вс"))</f>
        <v/>
      </c>
      <c r="C1059" s="53">
        <f>IF(A1059="","",YEAR(A1059))</f>
        <v/>
      </c>
      <c r="D1059" s="54">
        <f>IF(A1059="","",INDEX(lst_months,MONTH(A1059)))</f>
        <v/>
      </c>
      <c r="E1059" s="55" t="n"/>
      <c r="F1059" s="54">
        <f>IF(E1059="","",IFERROR(IF(INDEX(lst_exp_item_cat,MATCH(E1059,lst_exp_items,0))="","❔ Без категории",INDEX(lst_exp_item_cat,MATCH(E1059,lst_exp_items,0))),"❔ Без категории"))</f>
        <v/>
      </c>
      <c r="G1059" s="43" t="n"/>
      <c r="H1059" s="56" t="n"/>
      <c r="I1059" s="43" t="n"/>
      <c r="J1059" s="57">
        <f>IF(OR(A1059="",H1059=""),"",IF(COUNTIFS(exp_year,C1059,exp_month,D1059,exp_item,E1059,exp_status,"&lt;&gt;❌ Отменено")&gt;0,1,0))</f>
        <v/>
      </c>
    </row>
    <row r="1060">
      <c r="A1060" s="52" t="n"/>
      <c r="B1060" s="53">
        <f>IF(A1060="","",CHOOSE(WEEKDAY(A1060,2),"Пн","Вт","Ср","Чт","Пт","Сб","Вс"))</f>
        <v/>
      </c>
      <c r="C1060" s="53">
        <f>IF(A1060="","",YEAR(A1060))</f>
        <v/>
      </c>
      <c r="D1060" s="54">
        <f>IF(A1060="","",INDEX(lst_months,MONTH(A1060)))</f>
        <v/>
      </c>
      <c r="E1060" s="55" t="n"/>
      <c r="F1060" s="54">
        <f>IF(E1060="","",IFERROR(IF(INDEX(lst_exp_item_cat,MATCH(E1060,lst_exp_items,0))="","❔ Без категории",INDEX(lst_exp_item_cat,MATCH(E1060,lst_exp_items,0))),"❔ Без категории"))</f>
        <v/>
      </c>
      <c r="G1060" s="43" t="n"/>
      <c r="H1060" s="56" t="n"/>
      <c r="I1060" s="43" t="n"/>
      <c r="J1060" s="57">
        <f>IF(OR(A1060="",H1060=""),"",IF(COUNTIFS(exp_year,C1060,exp_month,D1060,exp_item,E1060,exp_status,"&lt;&gt;❌ Отменено")&gt;0,1,0))</f>
        <v/>
      </c>
    </row>
    <row r="1061">
      <c r="A1061" s="52" t="n"/>
      <c r="B1061" s="53">
        <f>IF(A1061="","",CHOOSE(WEEKDAY(A1061,2),"Пн","Вт","Ср","Чт","Пт","Сб","Вс"))</f>
        <v/>
      </c>
      <c r="C1061" s="53">
        <f>IF(A1061="","",YEAR(A1061))</f>
        <v/>
      </c>
      <c r="D1061" s="54">
        <f>IF(A1061="","",INDEX(lst_months,MONTH(A1061)))</f>
        <v/>
      </c>
      <c r="E1061" s="55" t="n"/>
      <c r="F1061" s="54">
        <f>IF(E1061="","",IFERROR(IF(INDEX(lst_exp_item_cat,MATCH(E1061,lst_exp_items,0))="","❔ Без категории",INDEX(lst_exp_item_cat,MATCH(E1061,lst_exp_items,0))),"❔ Без категории"))</f>
        <v/>
      </c>
      <c r="G1061" s="43" t="n"/>
      <c r="H1061" s="56" t="n"/>
      <c r="I1061" s="43" t="n"/>
      <c r="J1061" s="57">
        <f>IF(OR(A1061="",H1061=""),"",IF(COUNTIFS(exp_year,C1061,exp_month,D1061,exp_item,E1061,exp_status,"&lt;&gt;❌ Отменено")&gt;0,1,0))</f>
        <v/>
      </c>
    </row>
    <row r="1062">
      <c r="A1062" s="52" t="n"/>
      <c r="B1062" s="53">
        <f>IF(A1062="","",CHOOSE(WEEKDAY(A1062,2),"Пн","Вт","Ср","Чт","Пт","Сб","Вс"))</f>
        <v/>
      </c>
      <c r="C1062" s="53">
        <f>IF(A1062="","",YEAR(A1062))</f>
        <v/>
      </c>
      <c r="D1062" s="54">
        <f>IF(A1062="","",INDEX(lst_months,MONTH(A1062)))</f>
        <v/>
      </c>
      <c r="E1062" s="55" t="n"/>
      <c r="F1062" s="54">
        <f>IF(E1062="","",IFERROR(IF(INDEX(lst_exp_item_cat,MATCH(E1062,lst_exp_items,0))="","❔ Без категории",INDEX(lst_exp_item_cat,MATCH(E1062,lst_exp_items,0))),"❔ Без категории"))</f>
        <v/>
      </c>
      <c r="G1062" s="43" t="n"/>
      <c r="H1062" s="56" t="n"/>
      <c r="I1062" s="43" t="n"/>
      <c r="J1062" s="57">
        <f>IF(OR(A1062="",H1062=""),"",IF(COUNTIFS(exp_year,C1062,exp_month,D1062,exp_item,E1062,exp_status,"&lt;&gt;❌ Отменено")&gt;0,1,0))</f>
        <v/>
      </c>
    </row>
    <row r="1063">
      <c r="A1063" s="52" t="n"/>
      <c r="B1063" s="53">
        <f>IF(A1063="","",CHOOSE(WEEKDAY(A1063,2),"Пн","Вт","Ср","Чт","Пт","Сб","Вс"))</f>
        <v/>
      </c>
      <c r="C1063" s="53">
        <f>IF(A1063="","",YEAR(A1063))</f>
        <v/>
      </c>
      <c r="D1063" s="54">
        <f>IF(A1063="","",INDEX(lst_months,MONTH(A1063)))</f>
        <v/>
      </c>
      <c r="E1063" s="55" t="n"/>
      <c r="F1063" s="54">
        <f>IF(E1063="","",IFERROR(IF(INDEX(lst_exp_item_cat,MATCH(E1063,lst_exp_items,0))="","❔ Без категории",INDEX(lst_exp_item_cat,MATCH(E1063,lst_exp_items,0))),"❔ Без категории"))</f>
        <v/>
      </c>
      <c r="G1063" s="43" t="n"/>
      <c r="H1063" s="56" t="n"/>
      <c r="I1063" s="43" t="n"/>
      <c r="J1063" s="57">
        <f>IF(OR(A1063="",H1063=""),"",IF(COUNTIFS(exp_year,C1063,exp_month,D1063,exp_item,E1063,exp_status,"&lt;&gt;❌ Отменено")&gt;0,1,0))</f>
        <v/>
      </c>
    </row>
    <row r="1064">
      <c r="A1064" s="52" t="n"/>
      <c r="B1064" s="53">
        <f>IF(A1064="","",CHOOSE(WEEKDAY(A1064,2),"Пн","Вт","Ср","Чт","Пт","Сб","Вс"))</f>
        <v/>
      </c>
      <c r="C1064" s="53">
        <f>IF(A1064="","",YEAR(A1064))</f>
        <v/>
      </c>
      <c r="D1064" s="54">
        <f>IF(A1064="","",INDEX(lst_months,MONTH(A1064)))</f>
        <v/>
      </c>
      <c r="E1064" s="55" t="n"/>
      <c r="F1064" s="54">
        <f>IF(E1064="","",IFERROR(IF(INDEX(lst_exp_item_cat,MATCH(E1064,lst_exp_items,0))="","❔ Без категории",INDEX(lst_exp_item_cat,MATCH(E1064,lst_exp_items,0))),"❔ Без категории"))</f>
        <v/>
      </c>
      <c r="G1064" s="43" t="n"/>
      <c r="H1064" s="56" t="n"/>
      <c r="I1064" s="43" t="n"/>
      <c r="J1064" s="57">
        <f>IF(OR(A1064="",H1064=""),"",IF(COUNTIFS(exp_year,C1064,exp_month,D1064,exp_item,E1064,exp_status,"&lt;&gt;❌ Отменено")&gt;0,1,0))</f>
        <v/>
      </c>
    </row>
    <row r="1065">
      <c r="A1065" s="52" t="n"/>
      <c r="B1065" s="53">
        <f>IF(A1065="","",CHOOSE(WEEKDAY(A1065,2),"Пн","Вт","Ср","Чт","Пт","Сб","Вс"))</f>
        <v/>
      </c>
      <c r="C1065" s="53">
        <f>IF(A1065="","",YEAR(A1065))</f>
        <v/>
      </c>
      <c r="D1065" s="54">
        <f>IF(A1065="","",INDEX(lst_months,MONTH(A1065)))</f>
        <v/>
      </c>
      <c r="E1065" s="55" t="n"/>
      <c r="F1065" s="54">
        <f>IF(E1065="","",IFERROR(IF(INDEX(lst_exp_item_cat,MATCH(E1065,lst_exp_items,0))="","❔ Без категории",INDEX(lst_exp_item_cat,MATCH(E1065,lst_exp_items,0))),"❔ Без категории"))</f>
        <v/>
      </c>
      <c r="G1065" s="43" t="n"/>
      <c r="H1065" s="56" t="n"/>
      <c r="I1065" s="43" t="n"/>
      <c r="J1065" s="57">
        <f>IF(OR(A1065="",H1065=""),"",IF(COUNTIFS(exp_year,C1065,exp_month,D1065,exp_item,E1065,exp_status,"&lt;&gt;❌ Отменено")&gt;0,1,0))</f>
        <v/>
      </c>
    </row>
    <row r="1066">
      <c r="A1066" s="52" t="n"/>
      <c r="B1066" s="53">
        <f>IF(A1066="","",CHOOSE(WEEKDAY(A1066,2),"Пн","Вт","Ср","Чт","Пт","Сб","Вс"))</f>
        <v/>
      </c>
      <c r="C1066" s="53">
        <f>IF(A1066="","",YEAR(A1066))</f>
        <v/>
      </c>
      <c r="D1066" s="54">
        <f>IF(A1066="","",INDEX(lst_months,MONTH(A1066)))</f>
        <v/>
      </c>
      <c r="E1066" s="55" t="n"/>
      <c r="F1066" s="54">
        <f>IF(E1066="","",IFERROR(IF(INDEX(lst_exp_item_cat,MATCH(E1066,lst_exp_items,0))="","❔ Без категории",INDEX(lst_exp_item_cat,MATCH(E1066,lst_exp_items,0))),"❔ Без категории"))</f>
        <v/>
      </c>
      <c r="G1066" s="43" t="n"/>
      <c r="H1066" s="56" t="n"/>
      <c r="I1066" s="43" t="n"/>
      <c r="J1066" s="57">
        <f>IF(OR(A1066="",H1066=""),"",IF(COUNTIFS(exp_year,C1066,exp_month,D1066,exp_item,E1066,exp_status,"&lt;&gt;❌ Отменено")&gt;0,1,0))</f>
        <v/>
      </c>
    </row>
    <row r="1067">
      <c r="A1067" s="52" t="n"/>
      <c r="B1067" s="53">
        <f>IF(A1067="","",CHOOSE(WEEKDAY(A1067,2),"Пн","Вт","Ср","Чт","Пт","Сб","Вс"))</f>
        <v/>
      </c>
      <c r="C1067" s="53">
        <f>IF(A1067="","",YEAR(A1067))</f>
        <v/>
      </c>
      <c r="D1067" s="54">
        <f>IF(A1067="","",INDEX(lst_months,MONTH(A1067)))</f>
        <v/>
      </c>
      <c r="E1067" s="55" t="n"/>
      <c r="F1067" s="54">
        <f>IF(E1067="","",IFERROR(IF(INDEX(lst_exp_item_cat,MATCH(E1067,lst_exp_items,0))="","❔ Без категории",INDEX(lst_exp_item_cat,MATCH(E1067,lst_exp_items,0))),"❔ Без категории"))</f>
        <v/>
      </c>
      <c r="G1067" s="43" t="n"/>
      <c r="H1067" s="56" t="n"/>
      <c r="I1067" s="43" t="n"/>
      <c r="J1067" s="57">
        <f>IF(OR(A1067="",H1067=""),"",IF(COUNTIFS(exp_year,C1067,exp_month,D1067,exp_item,E1067,exp_status,"&lt;&gt;❌ Отменено")&gt;0,1,0))</f>
        <v/>
      </c>
    </row>
    <row r="1068">
      <c r="A1068" s="52" t="n"/>
      <c r="B1068" s="53">
        <f>IF(A1068="","",CHOOSE(WEEKDAY(A1068,2),"Пн","Вт","Ср","Чт","Пт","Сб","Вс"))</f>
        <v/>
      </c>
      <c r="C1068" s="53">
        <f>IF(A1068="","",YEAR(A1068))</f>
        <v/>
      </c>
      <c r="D1068" s="54">
        <f>IF(A1068="","",INDEX(lst_months,MONTH(A1068)))</f>
        <v/>
      </c>
      <c r="E1068" s="55" t="n"/>
      <c r="F1068" s="54">
        <f>IF(E1068="","",IFERROR(IF(INDEX(lst_exp_item_cat,MATCH(E1068,lst_exp_items,0))="","❔ Без категории",INDEX(lst_exp_item_cat,MATCH(E1068,lst_exp_items,0))),"❔ Без категории"))</f>
        <v/>
      </c>
      <c r="G1068" s="43" t="n"/>
      <c r="H1068" s="56" t="n"/>
      <c r="I1068" s="43" t="n"/>
      <c r="J1068" s="57">
        <f>IF(OR(A1068="",H1068=""),"",IF(COUNTIFS(exp_year,C1068,exp_month,D1068,exp_item,E1068,exp_status,"&lt;&gt;❌ Отменено")&gt;0,1,0))</f>
        <v/>
      </c>
    </row>
    <row r="1069">
      <c r="A1069" s="52" t="n"/>
      <c r="B1069" s="53">
        <f>IF(A1069="","",CHOOSE(WEEKDAY(A1069,2),"Пн","Вт","Ср","Чт","Пт","Сб","Вс"))</f>
        <v/>
      </c>
      <c r="C1069" s="53">
        <f>IF(A1069="","",YEAR(A1069))</f>
        <v/>
      </c>
      <c r="D1069" s="54">
        <f>IF(A1069="","",INDEX(lst_months,MONTH(A1069)))</f>
        <v/>
      </c>
      <c r="E1069" s="55" t="n"/>
      <c r="F1069" s="54">
        <f>IF(E1069="","",IFERROR(IF(INDEX(lst_exp_item_cat,MATCH(E1069,lst_exp_items,0))="","❔ Без категории",INDEX(lst_exp_item_cat,MATCH(E1069,lst_exp_items,0))),"❔ Без категории"))</f>
        <v/>
      </c>
      <c r="G1069" s="43" t="n"/>
      <c r="H1069" s="56" t="n"/>
      <c r="I1069" s="43" t="n"/>
      <c r="J1069" s="57">
        <f>IF(OR(A1069="",H1069=""),"",IF(COUNTIFS(exp_year,C1069,exp_month,D1069,exp_item,E1069,exp_status,"&lt;&gt;❌ Отменено")&gt;0,1,0))</f>
        <v/>
      </c>
    </row>
    <row r="1070">
      <c r="A1070" s="52" t="n"/>
      <c r="B1070" s="53">
        <f>IF(A1070="","",CHOOSE(WEEKDAY(A1070,2),"Пн","Вт","Ср","Чт","Пт","Сб","Вс"))</f>
        <v/>
      </c>
      <c r="C1070" s="53">
        <f>IF(A1070="","",YEAR(A1070))</f>
        <v/>
      </c>
      <c r="D1070" s="54">
        <f>IF(A1070="","",INDEX(lst_months,MONTH(A1070)))</f>
        <v/>
      </c>
      <c r="E1070" s="55" t="n"/>
      <c r="F1070" s="54">
        <f>IF(E1070="","",IFERROR(IF(INDEX(lst_exp_item_cat,MATCH(E1070,lst_exp_items,0))="","❔ Без категории",INDEX(lst_exp_item_cat,MATCH(E1070,lst_exp_items,0))),"❔ Без категории"))</f>
        <v/>
      </c>
      <c r="G1070" s="43" t="n"/>
      <c r="H1070" s="56" t="n"/>
      <c r="I1070" s="43" t="n"/>
      <c r="J1070" s="57">
        <f>IF(OR(A1070="",H1070=""),"",IF(COUNTIFS(exp_year,C1070,exp_month,D1070,exp_item,E1070,exp_status,"&lt;&gt;❌ Отменено")&gt;0,1,0))</f>
        <v/>
      </c>
    </row>
    <row r="1071">
      <c r="A1071" s="52" t="n"/>
      <c r="B1071" s="53">
        <f>IF(A1071="","",CHOOSE(WEEKDAY(A1071,2),"Пн","Вт","Ср","Чт","Пт","Сб","Вс"))</f>
        <v/>
      </c>
      <c r="C1071" s="53">
        <f>IF(A1071="","",YEAR(A1071))</f>
        <v/>
      </c>
      <c r="D1071" s="54">
        <f>IF(A1071="","",INDEX(lst_months,MONTH(A1071)))</f>
        <v/>
      </c>
      <c r="E1071" s="55" t="n"/>
      <c r="F1071" s="54">
        <f>IF(E1071="","",IFERROR(IF(INDEX(lst_exp_item_cat,MATCH(E1071,lst_exp_items,0))="","❔ Без категории",INDEX(lst_exp_item_cat,MATCH(E1071,lst_exp_items,0))),"❔ Без категории"))</f>
        <v/>
      </c>
      <c r="G1071" s="43" t="n"/>
      <c r="H1071" s="56" t="n"/>
      <c r="I1071" s="43" t="n"/>
      <c r="J1071" s="57">
        <f>IF(OR(A1071="",H1071=""),"",IF(COUNTIFS(exp_year,C1071,exp_month,D1071,exp_item,E1071,exp_status,"&lt;&gt;❌ Отменено")&gt;0,1,0))</f>
        <v/>
      </c>
    </row>
    <row r="1072">
      <c r="A1072" s="52" t="n"/>
      <c r="B1072" s="53">
        <f>IF(A1072="","",CHOOSE(WEEKDAY(A1072,2),"Пн","Вт","Ср","Чт","Пт","Сб","Вс"))</f>
        <v/>
      </c>
      <c r="C1072" s="53">
        <f>IF(A1072="","",YEAR(A1072))</f>
        <v/>
      </c>
      <c r="D1072" s="54">
        <f>IF(A1072="","",INDEX(lst_months,MONTH(A1072)))</f>
        <v/>
      </c>
      <c r="E1072" s="55" t="n"/>
      <c r="F1072" s="54">
        <f>IF(E1072="","",IFERROR(IF(INDEX(lst_exp_item_cat,MATCH(E1072,lst_exp_items,0))="","❔ Без категории",INDEX(lst_exp_item_cat,MATCH(E1072,lst_exp_items,0))),"❔ Без категории"))</f>
        <v/>
      </c>
      <c r="G1072" s="43" t="n"/>
      <c r="H1072" s="56" t="n"/>
      <c r="I1072" s="43" t="n"/>
      <c r="J1072" s="57">
        <f>IF(OR(A1072="",H1072=""),"",IF(COUNTIFS(exp_year,C1072,exp_month,D1072,exp_item,E1072,exp_status,"&lt;&gt;❌ Отменено")&gt;0,1,0))</f>
        <v/>
      </c>
    </row>
    <row r="1073">
      <c r="A1073" s="52" t="n"/>
      <c r="B1073" s="53">
        <f>IF(A1073="","",CHOOSE(WEEKDAY(A1073,2),"Пн","Вт","Ср","Чт","Пт","Сб","Вс"))</f>
        <v/>
      </c>
      <c r="C1073" s="53">
        <f>IF(A1073="","",YEAR(A1073))</f>
        <v/>
      </c>
      <c r="D1073" s="54">
        <f>IF(A1073="","",INDEX(lst_months,MONTH(A1073)))</f>
        <v/>
      </c>
      <c r="E1073" s="55" t="n"/>
      <c r="F1073" s="54">
        <f>IF(E1073="","",IFERROR(IF(INDEX(lst_exp_item_cat,MATCH(E1073,lst_exp_items,0))="","❔ Без категории",INDEX(lst_exp_item_cat,MATCH(E1073,lst_exp_items,0))),"❔ Без категории"))</f>
        <v/>
      </c>
      <c r="G1073" s="43" t="n"/>
      <c r="H1073" s="56" t="n"/>
      <c r="I1073" s="43" t="n"/>
      <c r="J1073" s="57">
        <f>IF(OR(A1073="",H1073=""),"",IF(COUNTIFS(exp_year,C1073,exp_month,D1073,exp_item,E1073,exp_status,"&lt;&gt;❌ Отменено")&gt;0,1,0))</f>
        <v/>
      </c>
    </row>
    <row r="1074">
      <c r="A1074" s="52" t="n"/>
      <c r="B1074" s="53">
        <f>IF(A1074="","",CHOOSE(WEEKDAY(A1074,2),"Пн","Вт","Ср","Чт","Пт","Сб","Вс"))</f>
        <v/>
      </c>
      <c r="C1074" s="53">
        <f>IF(A1074="","",YEAR(A1074))</f>
        <v/>
      </c>
      <c r="D1074" s="54">
        <f>IF(A1074="","",INDEX(lst_months,MONTH(A1074)))</f>
        <v/>
      </c>
      <c r="E1074" s="55" t="n"/>
      <c r="F1074" s="54">
        <f>IF(E1074="","",IFERROR(IF(INDEX(lst_exp_item_cat,MATCH(E1074,lst_exp_items,0))="","❔ Без категории",INDEX(lst_exp_item_cat,MATCH(E1074,lst_exp_items,0))),"❔ Без категории"))</f>
        <v/>
      </c>
      <c r="G1074" s="43" t="n"/>
      <c r="H1074" s="56" t="n"/>
      <c r="I1074" s="43" t="n"/>
      <c r="J1074" s="57">
        <f>IF(OR(A1074="",H1074=""),"",IF(COUNTIFS(exp_year,C1074,exp_month,D1074,exp_item,E1074,exp_status,"&lt;&gt;❌ Отменено")&gt;0,1,0))</f>
        <v/>
      </c>
    </row>
    <row r="1075">
      <c r="A1075" s="52" t="n"/>
      <c r="B1075" s="53">
        <f>IF(A1075="","",CHOOSE(WEEKDAY(A1075,2),"Пн","Вт","Ср","Чт","Пт","Сб","Вс"))</f>
        <v/>
      </c>
      <c r="C1075" s="53">
        <f>IF(A1075="","",YEAR(A1075))</f>
        <v/>
      </c>
      <c r="D1075" s="54">
        <f>IF(A1075="","",INDEX(lst_months,MONTH(A1075)))</f>
        <v/>
      </c>
      <c r="E1075" s="55" t="n"/>
      <c r="F1075" s="54">
        <f>IF(E1075="","",IFERROR(IF(INDEX(lst_exp_item_cat,MATCH(E1075,lst_exp_items,0))="","❔ Без категории",INDEX(lst_exp_item_cat,MATCH(E1075,lst_exp_items,0))),"❔ Без категории"))</f>
        <v/>
      </c>
      <c r="G1075" s="43" t="n"/>
      <c r="H1075" s="56" t="n"/>
      <c r="I1075" s="43" t="n"/>
      <c r="J1075" s="57">
        <f>IF(OR(A1075="",H1075=""),"",IF(COUNTIFS(exp_year,C1075,exp_month,D1075,exp_item,E1075,exp_status,"&lt;&gt;❌ Отменено")&gt;0,1,0))</f>
        <v/>
      </c>
    </row>
    <row r="1076">
      <c r="A1076" s="52" t="n"/>
      <c r="B1076" s="53">
        <f>IF(A1076="","",CHOOSE(WEEKDAY(A1076,2),"Пн","Вт","Ср","Чт","Пт","Сб","Вс"))</f>
        <v/>
      </c>
      <c r="C1076" s="53">
        <f>IF(A1076="","",YEAR(A1076))</f>
        <v/>
      </c>
      <c r="D1076" s="54">
        <f>IF(A1076="","",INDEX(lst_months,MONTH(A1076)))</f>
        <v/>
      </c>
      <c r="E1076" s="55" t="n"/>
      <c r="F1076" s="54">
        <f>IF(E1076="","",IFERROR(IF(INDEX(lst_exp_item_cat,MATCH(E1076,lst_exp_items,0))="","❔ Без категории",INDEX(lst_exp_item_cat,MATCH(E1076,lst_exp_items,0))),"❔ Без категории"))</f>
        <v/>
      </c>
      <c r="G1076" s="43" t="n"/>
      <c r="H1076" s="56" t="n"/>
      <c r="I1076" s="43" t="n"/>
      <c r="J1076" s="57">
        <f>IF(OR(A1076="",H1076=""),"",IF(COUNTIFS(exp_year,C1076,exp_month,D1076,exp_item,E1076,exp_status,"&lt;&gt;❌ Отменено")&gt;0,1,0))</f>
        <v/>
      </c>
    </row>
    <row r="1077">
      <c r="A1077" s="52" t="n"/>
      <c r="B1077" s="53">
        <f>IF(A1077="","",CHOOSE(WEEKDAY(A1077,2),"Пн","Вт","Ср","Чт","Пт","Сб","Вс"))</f>
        <v/>
      </c>
      <c r="C1077" s="53">
        <f>IF(A1077="","",YEAR(A1077))</f>
        <v/>
      </c>
      <c r="D1077" s="54">
        <f>IF(A1077="","",INDEX(lst_months,MONTH(A1077)))</f>
        <v/>
      </c>
      <c r="E1077" s="55" t="n"/>
      <c r="F1077" s="54">
        <f>IF(E1077="","",IFERROR(IF(INDEX(lst_exp_item_cat,MATCH(E1077,lst_exp_items,0))="","❔ Без категории",INDEX(lst_exp_item_cat,MATCH(E1077,lst_exp_items,0))),"❔ Без категории"))</f>
        <v/>
      </c>
      <c r="G1077" s="43" t="n"/>
      <c r="H1077" s="56" t="n"/>
      <c r="I1077" s="43" t="n"/>
      <c r="J1077" s="57">
        <f>IF(OR(A1077="",H1077=""),"",IF(COUNTIFS(exp_year,C1077,exp_month,D1077,exp_item,E1077,exp_status,"&lt;&gt;❌ Отменено")&gt;0,1,0))</f>
        <v/>
      </c>
    </row>
    <row r="1078">
      <c r="A1078" s="52" t="n"/>
      <c r="B1078" s="53">
        <f>IF(A1078="","",CHOOSE(WEEKDAY(A1078,2),"Пн","Вт","Ср","Чт","Пт","Сб","Вс"))</f>
        <v/>
      </c>
      <c r="C1078" s="53">
        <f>IF(A1078="","",YEAR(A1078))</f>
        <v/>
      </c>
      <c r="D1078" s="54">
        <f>IF(A1078="","",INDEX(lst_months,MONTH(A1078)))</f>
        <v/>
      </c>
      <c r="E1078" s="55" t="n"/>
      <c r="F1078" s="54">
        <f>IF(E1078="","",IFERROR(IF(INDEX(lst_exp_item_cat,MATCH(E1078,lst_exp_items,0))="","❔ Без категории",INDEX(lst_exp_item_cat,MATCH(E1078,lst_exp_items,0))),"❔ Без категории"))</f>
        <v/>
      </c>
      <c r="G1078" s="43" t="n"/>
      <c r="H1078" s="56" t="n"/>
      <c r="I1078" s="43" t="n"/>
      <c r="J1078" s="57">
        <f>IF(OR(A1078="",H1078=""),"",IF(COUNTIFS(exp_year,C1078,exp_month,D1078,exp_item,E1078,exp_status,"&lt;&gt;❌ Отменено")&gt;0,1,0))</f>
        <v/>
      </c>
    </row>
    <row r="1079">
      <c r="A1079" s="52" t="n"/>
      <c r="B1079" s="53">
        <f>IF(A1079="","",CHOOSE(WEEKDAY(A1079,2),"Пн","Вт","Ср","Чт","Пт","Сб","Вс"))</f>
        <v/>
      </c>
      <c r="C1079" s="53">
        <f>IF(A1079="","",YEAR(A1079))</f>
        <v/>
      </c>
      <c r="D1079" s="54">
        <f>IF(A1079="","",INDEX(lst_months,MONTH(A1079)))</f>
        <v/>
      </c>
      <c r="E1079" s="55" t="n"/>
      <c r="F1079" s="54">
        <f>IF(E1079="","",IFERROR(IF(INDEX(lst_exp_item_cat,MATCH(E1079,lst_exp_items,0))="","❔ Без категории",INDEX(lst_exp_item_cat,MATCH(E1079,lst_exp_items,0))),"❔ Без категории"))</f>
        <v/>
      </c>
      <c r="G1079" s="43" t="n"/>
      <c r="H1079" s="56" t="n"/>
      <c r="I1079" s="43" t="n"/>
      <c r="J1079" s="57">
        <f>IF(OR(A1079="",H1079=""),"",IF(COUNTIFS(exp_year,C1079,exp_month,D1079,exp_item,E1079,exp_status,"&lt;&gt;❌ Отменено")&gt;0,1,0))</f>
        <v/>
      </c>
    </row>
    <row r="1080">
      <c r="A1080" s="52" t="n"/>
      <c r="B1080" s="53">
        <f>IF(A1080="","",CHOOSE(WEEKDAY(A1080,2),"Пн","Вт","Ср","Чт","Пт","Сб","Вс"))</f>
        <v/>
      </c>
      <c r="C1080" s="53">
        <f>IF(A1080="","",YEAR(A1080))</f>
        <v/>
      </c>
      <c r="D1080" s="54">
        <f>IF(A1080="","",INDEX(lst_months,MONTH(A1080)))</f>
        <v/>
      </c>
      <c r="E1080" s="55" t="n"/>
      <c r="F1080" s="54">
        <f>IF(E1080="","",IFERROR(IF(INDEX(lst_exp_item_cat,MATCH(E1080,lst_exp_items,0))="","❔ Без категории",INDEX(lst_exp_item_cat,MATCH(E1080,lst_exp_items,0))),"❔ Без категории"))</f>
        <v/>
      </c>
      <c r="G1080" s="43" t="n"/>
      <c r="H1080" s="56" t="n"/>
      <c r="I1080" s="43" t="n"/>
      <c r="J1080" s="57">
        <f>IF(OR(A1080="",H1080=""),"",IF(COUNTIFS(exp_year,C1080,exp_month,D1080,exp_item,E1080,exp_status,"&lt;&gt;❌ Отменено")&gt;0,1,0))</f>
        <v/>
      </c>
    </row>
    <row r="1081">
      <c r="A1081" s="52" t="n"/>
      <c r="B1081" s="53">
        <f>IF(A1081="","",CHOOSE(WEEKDAY(A1081,2),"Пн","Вт","Ср","Чт","Пт","Сб","Вс"))</f>
        <v/>
      </c>
      <c r="C1081" s="53">
        <f>IF(A1081="","",YEAR(A1081))</f>
        <v/>
      </c>
      <c r="D1081" s="54">
        <f>IF(A1081="","",INDEX(lst_months,MONTH(A1081)))</f>
        <v/>
      </c>
      <c r="E1081" s="55" t="n"/>
      <c r="F1081" s="54">
        <f>IF(E1081="","",IFERROR(IF(INDEX(lst_exp_item_cat,MATCH(E1081,lst_exp_items,0))="","❔ Без категории",INDEX(lst_exp_item_cat,MATCH(E1081,lst_exp_items,0))),"❔ Без категории"))</f>
        <v/>
      </c>
      <c r="G1081" s="43" t="n"/>
      <c r="H1081" s="56" t="n"/>
      <c r="I1081" s="43" t="n"/>
      <c r="J1081" s="57">
        <f>IF(OR(A1081="",H1081=""),"",IF(COUNTIFS(exp_year,C1081,exp_month,D1081,exp_item,E1081,exp_status,"&lt;&gt;❌ Отменено")&gt;0,1,0))</f>
        <v/>
      </c>
    </row>
    <row r="1082">
      <c r="A1082" s="52" t="n"/>
      <c r="B1082" s="53">
        <f>IF(A1082="","",CHOOSE(WEEKDAY(A1082,2),"Пн","Вт","Ср","Чт","Пт","Сб","Вс"))</f>
        <v/>
      </c>
      <c r="C1082" s="53">
        <f>IF(A1082="","",YEAR(A1082))</f>
        <v/>
      </c>
      <c r="D1082" s="54">
        <f>IF(A1082="","",INDEX(lst_months,MONTH(A1082)))</f>
        <v/>
      </c>
      <c r="E1082" s="55" t="n"/>
      <c r="F1082" s="54">
        <f>IF(E1082="","",IFERROR(IF(INDEX(lst_exp_item_cat,MATCH(E1082,lst_exp_items,0))="","❔ Без категории",INDEX(lst_exp_item_cat,MATCH(E1082,lst_exp_items,0))),"❔ Без категории"))</f>
        <v/>
      </c>
      <c r="G1082" s="43" t="n"/>
      <c r="H1082" s="56" t="n"/>
      <c r="I1082" s="43" t="n"/>
      <c r="J1082" s="57">
        <f>IF(OR(A1082="",H1082=""),"",IF(COUNTIFS(exp_year,C1082,exp_month,D1082,exp_item,E1082,exp_status,"&lt;&gt;❌ Отменено")&gt;0,1,0))</f>
        <v/>
      </c>
    </row>
    <row r="1083">
      <c r="A1083" s="52" t="n"/>
      <c r="B1083" s="53">
        <f>IF(A1083="","",CHOOSE(WEEKDAY(A1083,2),"Пн","Вт","Ср","Чт","Пт","Сб","Вс"))</f>
        <v/>
      </c>
      <c r="C1083" s="53">
        <f>IF(A1083="","",YEAR(A1083))</f>
        <v/>
      </c>
      <c r="D1083" s="54">
        <f>IF(A1083="","",INDEX(lst_months,MONTH(A1083)))</f>
        <v/>
      </c>
      <c r="E1083" s="55" t="n"/>
      <c r="F1083" s="54">
        <f>IF(E1083="","",IFERROR(IF(INDEX(lst_exp_item_cat,MATCH(E1083,lst_exp_items,0))="","❔ Без категории",INDEX(lst_exp_item_cat,MATCH(E1083,lst_exp_items,0))),"❔ Без категории"))</f>
        <v/>
      </c>
      <c r="G1083" s="43" t="n"/>
      <c r="H1083" s="56" t="n"/>
      <c r="I1083" s="43" t="n"/>
      <c r="J1083" s="57">
        <f>IF(OR(A1083="",H1083=""),"",IF(COUNTIFS(exp_year,C1083,exp_month,D1083,exp_item,E1083,exp_status,"&lt;&gt;❌ Отменено")&gt;0,1,0))</f>
        <v/>
      </c>
    </row>
    <row r="1084">
      <c r="A1084" s="52" t="n"/>
      <c r="B1084" s="53">
        <f>IF(A1084="","",CHOOSE(WEEKDAY(A1084,2),"Пн","Вт","Ср","Чт","Пт","Сб","Вс"))</f>
        <v/>
      </c>
      <c r="C1084" s="53">
        <f>IF(A1084="","",YEAR(A1084))</f>
        <v/>
      </c>
      <c r="D1084" s="54">
        <f>IF(A1084="","",INDEX(lst_months,MONTH(A1084)))</f>
        <v/>
      </c>
      <c r="E1084" s="55" t="n"/>
      <c r="F1084" s="54">
        <f>IF(E1084="","",IFERROR(IF(INDEX(lst_exp_item_cat,MATCH(E1084,lst_exp_items,0))="","❔ Без категории",INDEX(lst_exp_item_cat,MATCH(E1084,lst_exp_items,0))),"❔ Без категории"))</f>
        <v/>
      </c>
      <c r="G1084" s="43" t="n"/>
      <c r="H1084" s="56" t="n"/>
      <c r="I1084" s="43" t="n"/>
      <c r="J1084" s="57">
        <f>IF(OR(A1084="",H1084=""),"",IF(COUNTIFS(exp_year,C1084,exp_month,D1084,exp_item,E1084,exp_status,"&lt;&gt;❌ Отменено")&gt;0,1,0))</f>
        <v/>
      </c>
    </row>
    <row r="1085">
      <c r="A1085" s="52" t="n"/>
      <c r="B1085" s="53">
        <f>IF(A1085="","",CHOOSE(WEEKDAY(A1085,2),"Пн","Вт","Ср","Чт","Пт","Сб","Вс"))</f>
        <v/>
      </c>
      <c r="C1085" s="53">
        <f>IF(A1085="","",YEAR(A1085))</f>
        <v/>
      </c>
      <c r="D1085" s="54">
        <f>IF(A1085="","",INDEX(lst_months,MONTH(A1085)))</f>
        <v/>
      </c>
      <c r="E1085" s="55" t="n"/>
      <c r="F1085" s="54">
        <f>IF(E1085="","",IFERROR(IF(INDEX(lst_exp_item_cat,MATCH(E1085,lst_exp_items,0))="","❔ Без категории",INDEX(lst_exp_item_cat,MATCH(E1085,lst_exp_items,0))),"❔ Без категории"))</f>
        <v/>
      </c>
      <c r="G1085" s="43" t="n"/>
      <c r="H1085" s="56" t="n"/>
      <c r="I1085" s="43" t="n"/>
      <c r="J1085" s="57">
        <f>IF(OR(A1085="",H1085=""),"",IF(COUNTIFS(exp_year,C1085,exp_month,D1085,exp_item,E1085,exp_status,"&lt;&gt;❌ Отменено")&gt;0,1,0))</f>
        <v/>
      </c>
    </row>
    <row r="1086">
      <c r="A1086" s="52" t="n"/>
      <c r="B1086" s="53">
        <f>IF(A1086="","",CHOOSE(WEEKDAY(A1086,2),"Пн","Вт","Ср","Чт","Пт","Сб","Вс"))</f>
        <v/>
      </c>
      <c r="C1086" s="53">
        <f>IF(A1086="","",YEAR(A1086))</f>
        <v/>
      </c>
      <c r="D1086" s="54">
        <f>IF(A1086="","",INDEX(lst_months,MONTH(A1086)))</f>
        <v/>
      </c>
      <c r="E1086" s="55" t="n"/>
      <c r="F1086" s="54">
        <f>IF(E1086="","",IFERROR(IF(INDEX(lst_exp_item_cat,MATCH(E1086,lst_exp_items,0))="","❔ Без категории",INDEX(lst_exp_item_cat,MATCH(E1086,lst_exp_items,0))),"❔ Без категории"))</f>
        <v/>
      </c>
      <c r="G1086" s="43" t="n"/>
      <c r="H1086" s="56" t="n"/>
      <c r="I1086" s="43" t="n"/>
      <c r="J1086" s="57">
        <f>IF(OR(A1086="",H1086=""),"",IF(COUNTIFS(exp_year,C1086,exp_month,D1086,exp_item,E1086,exp_status,"&lt;&gt;❌ Отменено")&gt;0,1,0))</f>
        <v/>
      </c>
    </row>
    <row r="1087">
      <c r="A1087" s="52" t="n"/>
      <c r="B1087" s="53">
        <f>IF(A1087="","",CHOOSE(WEEKDAY(A1087,2),"Пн","Вт","Ср","Чт","Пт","Сб","Вс"))</f>
        <v/>
      </c>
      <c r="C1087" s="53">
        <f>IF(A1087="","",YEAR(A1087))</f>
        <v/>
      </c>
      <c r="D1087" s="54">
        <f>IF(A1087="","",INDEX(lst_months,MONTH(A1087)))</f>
        <v/>
      </c>
      <c r="E1087" s="55" t="n"/>
      <c r="F1087" s="54">
        <f>IF(E1087="","",IFERROR(IF(INDEX(lst_exp_item_cat,MATCH(E1087,lst_exp_items,0))="","❔ Без категории",INDEX(lst_exp_item_cat,MATCH(E1087,lst_exp_items,0))),"❔ Без категории"))</f>
        <v/>
      </c>
      <c r="G1087" s="43" t="n"/>
      <c r="H1087" s="56" t="n"/>
      <c r="I1087" s="43" t="n"/>
      <c r="J1087" s="57">
        <f>IF(OR(A1087="",H1087=""),"",IF(COUNTIFS(exp_year,C1087,exp_month,D1087,exp_item,E1087,exp_status,"&lt;&gt;❌ Отменено")&gt;0,1,0))</f>
        <v/>
      </c>
    </row>
    <row r="1088">
      <c r="A1088" s="52" t="n"/>
      <c r="B1088" s="53">
        <f>IF(A1088="","",CHOOSE(WEEKDAY(A1088,2),"Пн","Вт","Ср","Чт","Пт","Сб","Вс"))</f>
        <v/>
      </c>
      <c r="C1088" s="53">
        <f>IF(A1088="","",YEAR(A1088))</f>
        <v/>
      </c>
      <c r="D1088" s="54">
        <f>IF(A1088="","",INDEX(lst_months,MONTH(A1088)))</f>
        <v/>
      </c>
      <c r="E1088" s="55" t="n"/>
      <c r="F1088" s="54">
        <f>IF(E1088="","",IFERROR(IF(INDEX(lst_exp_item_cat,MATCH(E1088,lst_exp_items,0))="","❔ Без категории",INDEX(lst_exp_item_cat,MATCH(E1088,lst_exp_items,0))),"❔ Без категории"))</f>
        <v/>
      </c>
      <c r="G1088" s="43" t="n"/>
      <c r="H1088" s="56" t="n"/>
      <c r="I1088" s="43" t="n"/>
      <c r="J1088" s="57">
        <f>IF(OR(A1088="",H1088=""),"",IF(COUNTIFS(exp_year,C1088,exp_month,D1088,exp_item,E1088,exp_status,"&lt;&gt;❌ Отменено")&gt;0,1,0))</f>
        <v/>
      </c>
    </row>
    <row r="1089">
      <c r="A1089" s="52" t="n"/>
      <c r="B1089" s="53">
        <f>IF(A1089="","",CHOOSE(WEEKDAY(A1089,2),"Пн","Вт","Ср","Чт","Пт","Сб","Вс"))</f>
        <v/>
      </c>
      <c r="C1089" s="53">
        <f>IF(A1089="","",YEAR(A1089))</f>
        <v/>
      </c>
      <c r="D1089" s="54">
        <f>IF(A1089="","",INDEX(lst_months,MONTH(A1089)))</f>
        <v/>
      </c>
      <c r="E1089" s="55" t="n"/>
      <c r="F1089" s="54">
        <f>IF(E1089="","",IFERROR(IF(INDEX(lst_exp_item_cat,MATCH(E1089,lst_exp_items,0))="","❔ Без категории",INDEX(lst_exp_item_cat,MATCH(E1089,lst_exp_items,0))),"❔ Без категории"))</f>
        <v/>
      </c>
      <c r="G1089" s="43" t="n"/>
      <c r="H1089" s="56" t="n"/>
      <c r="I1089" s="43" t="n"/>
      <c r="J1089" s="57">
        <f>IF(OR(A1089="",H1089=""),"",IF(COUNTIFS(exp_year,C1089,exp_month,D1089,exp_item,E1089,exp_status,"&lt;&gt;❌ Отменено")&gt;0,1,0))</f>
        <v/>
      </c>
    </row>
    <row r="1090">
      <c r="A1090" s="52" t="n"/>
      <c r="B1090" s="53">
        <f>IF(A1090="","",CHOOSE(WEEKDAY(A1090,2),"Пн","Вт","Ср","Чт","Пт","Сб","Вс"))</f>
        <v/>
      </c>
      <c r="C1090" s="53">
        <f>IF(A1090="","",YEAR(A1090))</f>
        <v/>
      </c>
      <c r="D1090" s="54">
        <f>IF(A1090="","",INDEX(lst_months,MONTH(A1090)))</f>
        <v/>
      </c>
      <c r="E1090" s="55" t="n"/>
      <c r="F1090" s="54">
        <f>IF(E1090="","",IFERROR(IF(INDEX(lst_exp_item_cat,MATCH(E1090,lst_exp_items,0))="","❔ Без категории",INDEX(lst_exp_item_cat,MATCH(E1090,lst_exp_items,0))),"❔ Без категории"))</f>
        <v/>
      </c>
      <c r="G1090" s="43" t="n"/>
      <c r="H1090" s="56" t="n"/>
      <c r="I1090" s="43" t="n"/>
      <c r="J1090" s="57">
        <f>IF(OR(A1090="",H1090=""),"",IF(COUNTIFS(exp_year,C1090,exp_month,D1090,exp_item,E1090,exp_status,"&lt;&gt;❌ Отменено")&gt;0,1,0))</f>
        <v/>
      </c>
    </row>
    <row r="1091">
      <c r="A1091" s="52" t="n"/>
      <c r="B1091" s="53">
        <f>IF(A1091="","",CHOOSE(WEEKDAY(A1091,2),"Пн","Вт","Ср","Чт","Пт","Сб","Вс"))</f>
        <v/>
      </c>
      <c r="C1091" s="53">
        <f>IF(A1091="","",YEAR(A1091))</f>
        <v/>
      </c>
      <c r="D1091" s="54">
        <f>IF(A1091="","",INDEX(lst_months,MONTH(A1091)))</f>
        <v/>
      </c>
      <c r="E1091" s="55" t="n"/>
      <c r="F1091" s="54">
        <f>IF(E1091="","",IFERROR(IF(INDEX(lst_exp_item_cat,MATCH(E1091,lst_exp_items,0))="","❔ Без категории",INDEX(lst_exp_item_cat,MATCH(E1091,lst_exp_items,0))),"❔ Без категории"))</f>
        <v/>
      </c>
      <c r="G1091" s="43" t="n"/>
      <c r="H1091" s="56" t="n"/>
      <c r="I1091" s="43" t="n"/>
      <c r="J1091" s="57">
        <f>IF(OR(A1091="",H1091=""),"",IF(COUNTIFS(exp_year,C1091,exp_month,D1091,exp_item,E1091,exp_status,"&lt;&gt;❌ Отменено")&gt;0,1,0))</f>
        <v/>
      </c>
    </row>
    <row r="1092">
      <c r="A1092" s="52" t="n"/>
      <c r="B1092" s="53">
        <f>IF(A1092="","",CHOOSE(WEEKDAY(A1092,2),"Пн","Вт","Ср","Чт","Пт","Сб","Вс"))</f>
        <v/>
      </c>
      <c r="C1092" s="53">
        <f>IF(A1092="","",YEAR(A1092))</f>
        <v/>
      </c>
      <c r="D1092" s="54">
        <f>IF(A1092="","",INDEX(lst_months,MONTH(A1092)))</f>
        <v/>
      </c>
      <c r="E1092" s="55" t="n"/>
      <c r="F1092" s="54">
        <f>IF(E1092="","",IFERROR(IF(INDEX(lst_exp_item_cat,MATCH(E1092,lst_exp_items,0))="","❔ Без категории",INDEX(lst_exp_item_cat,MATCH(E1092,lst_exp_items,0))),"❔ Без категории"))</f>
        <v/>
      </c>
      <c r="G1092" s="43" t="n"/>
      <c r="H1092" s="56" t="n"/>
      <c r="I1092" s="43" t="n"/>
      <c r="J1092" s="57">
        <f>IF(OR(A1092="",H1092=""),"",IF(COUNTIFS(exp_year,C1092,exp_month,D1092,exp_item,E1092,exp_status,"&lt;&gt;❌ Отменено")&gt;0,1,0))</f>
        <v/>
      </c>
    </row>
    <row r="1093">
      <c r="A1093" s="52" t="n"/>
      <c r="B1093" s="53">
        <f>IF(A1093="","",CHOOSE(WEEKDAY(A1093,2),"Пн","Вт","Ср","Чт","Пт","Сб","Вс"))</f>
        <v/>
      </c>
      <c r="C1093" s="53">
        <f>IF(A1093="","",YEAR(A1093))</f>
        <v/>
      </c>
      <c r="D1093" s="54">
        <f>IF(A1093="","",INDEX(lst_months,MONTH(A1093)))</f>
        <v/>
      </c>
      <c r="E1093" s="55" t="n"/>
      <c r="F1093" s="54">
        <f>IF(E1093="","",IFERROR(IF(INDEX(lst_exp_item_cat,MATCH(E1093,lst_exp_items,0))="","❔ Без категории",INDEX(lst_exp_item_cat,MATCH(E1093,lst_exp_items,0))),"❔ Без категории"))</f>
        <v/>
      </c>
      <c r="G1093" s="43" t="n"/>
      <c r="H1093" s="56" t="n"/>
      <c r="I1093" s="43" t="n"/>
      <c r="J1093" s="57">
        <f>IF(OR(A1093="",H1093=""),"",IF(COUNTIFS(exp_year,C1093,exp_month,D1093,exp_item,E1093,exp_status,"&lt;&gt;❌ Отменено")&gt;0,1,0))</f>
        <v/>
      </c>
    </row>
    <row r="1094">
      <c r="A1094" s="52" t="n"/>
      <c r="B1094" s="53">
        <f>IF(A1094="","",CHOOSE(WEEKDAY(A1094,2),"Пн","Вт","Ср","Чт","Пт","Сб","Вс"))</f>
        <v/>
      </c>
      <c r="C1094" s="53">
        <f>IF(A1094="","",YEAR(A1094))</f>
        <v/>
      </c>
      <c r="D1094" s="54">
        <f>IF(A1094="","",INDEX(lst_months,MONTH(A1094)))</f>
        <v/>
      </c>
      <c r="E1094" s="55" t="n"/>
      <c r="F1094" s="54">
        <f>IF(E1094="","",IFERROR(IF(INDEX(lst_exp_item_cat,MATCH(E1094,lst_exp_items,0))="","❔ Без категории",INDEX(lst_exp_item_cat,MATCH(E1094,lst_exp_items,0))),"❔ Без категории"))</f>
        <v/>
      </c>
      <c r="G1094" s="43" t="n"/>
      <c r="H1094" s="56" t="n"/>
      <c r="I1094" s="43" t="n"/>
      <c r="J1094" s="57">
        <f>IF(OR(A1094="",H1094=""),"",IF(COUNTIFS(exp_year,C1094,exp_month,D1094,exp_item,E1094,exp_status,"&lt;&gt;❌ Отменено")&gt;0,1,0))</f>
        <v/>
      </c>
    </row>
    <row r="1095">
      <c r="A1095" s="52" t="n"/>
      <c r="B1095" s="53">
        <f>IF(A1095="","",CHOOSE(WEEKDAY(A1095,2),"Пн","Вт","Ср","Чт","Пт","Сб","Вс"))</f>
        <v/>
      </c>
      <c r="C1095" s="53">
        <f>IF(A1095="","",YEAR(A1095))</f>
        <v/>
      </c>
      <c r="D1095" s="54">
        <f>IF(A1095="","",INDEX(lst_months,MONTH(A1095)))</f>
        <v/>
      </c>
      <c r="E1095" s="55" t="n"/>
      <c r="F1095" s="54">
        <f>IF(E1095="","",IFERROR(IF(INDEX(lst_exp_item_cat,MATCH(E1095,lst_exp_items,0))="","❔ Без категории",INDEX(lst_exp_item_cat,MATCH(E1095,lst_exp_items,0))),"❔ Без категории"))</f>
        <v/>
      </c>
      <c r="G1095" s="43" t="n"/>
      <c r="H1095" s="56" t="n"/>
      <c r="I1095" s="43" t="n"/>
      <c r="J1095" s="57">
        <f>IF(OR(A1095="",H1095=""),"",IF(COUNTIFS(exp_year,C1095,exp_month,D1095,exp_item,E1095,exp_status,"&lt;&gt;❌ Отменено")&gt;0,1,0))</f>
        <v/>
      </c>
    </row>
    <row r="1096">
      <c r="A1096" s="52" t="n"/>
      <c r="B1096" s="53">
        <f>IF(A1096="","",CHOOSE(WEEKDAY(A1096,2),"Пн","Вт","Ср","Чт","Пт","Сб","Вс"))</f>
        <v/>
      </c>
      <c r="C1096" s="53">
        <f>IF(A1096="","",YEAR(A1096))</f>
        <v/>
      </c>
      <c r="D1096" s="54">
        <f>IF(A1096="","",INDEX(lst_months,MONTH(A1096)))</f>
        <v/>
      </c>
      <c r="E1096" s="55" t="n"/>
      <c r="F1096" s="54">
        <f>IF(E1096="","",IFERROR(IF(INDEX(lst_exp_item_cat,MATCH(E1096,lst_exp_items,0))="","❔ Без категории",INDEX(lst_exp_item_cat,MATCH(E1096,lst_exp_items,0))),"❔ Без категории"))</f>
        <v/>
      </c>
      <c r="G1096" s="43" t="n"/>
      <c r="H1096" s="56" t="n"/>
      <c r="I1096" s="43" t="n"/>
      <c r="J1096" s="57">
        <f>IF(OR(A1096="",H1096=""),"",IF(COUNTIFS(exp_year,C1096,exp_month,D1096,exp_item,E1096,exp_status,"&lt;&gt;❌ Отменено")&gt;0,1,0))</f>
        <v/>
      </c>
    </row>
    <row r="1097">
      <c r="A1097" s="52" t="n"/>
      <c r="B1097" s="53">
        <f>IF(A1097="","",CHOOSE(WEEKDAY(A1097,2),"Пн","Вт","Ср","Чт","Пт","Сб","Вс"))</f>
        <v/>
      </c>
      <c r="C1097" s="53">
        <f>IF(A1097="","",YEAR(A1097))</f>
        <v/>
      </c>
      <c r="D1097" s="54">
        <f>IF(A1097="","",INDEX(lst_months,MONTH(A1097)))</f>
        <v/>
      </c>
      <c r="E1097" s="55" t="n"/>
      <c r="F1097" s="54">
        <f>IF(E1097="","",IFERROR(IF(INDEX(lst_exp_item_cat,MATCH(E1097,lst_exp_items,0))="","❔ Без категории",INDEX(lst_exp_item_cat,MATCH(E1097,lst_exp_items,0))),"❔ Без категории"))</f>
        <v/>
      </c>
      <c r="G1097" s="43" t="n"/>
      <c r="H1097" s="56" t="n"/>
      <c r="I1097" s="43" t="n"/>
      <c r="J1097" s="57">
        <f>IF(OR(A1097="",H1097=""),"",IF(COUNTIFS(exp_year,C1097,exp_month,D1097,exp_item,E1097,exp_status,"&lt;&gt;❌ Отменено")&gt;0,1,0))</f>
        <v/>
      </c>
    </row>
    <row r="1098">
      <c r="A1098" s="52" t="n"/>
      <c r="B1098" s="53">
        <f>IF(A1098="","",CHOOSE(WEEKDAY(A1098,2),"Пн","Вт","Ср","Чт","Пт","Сб","Вс"))</f>
        <v/>
      </c>
      <c r="C1098" s="53">
        <f>IF(A1098="","",YEAR(A1098))</f>
        <v/>
      </c>
      <c r="D1098" s="54">
        <f>IF(A1098="","",INDEX(lst_months,MONTH(A1098)))</f>
        <v/>
      </c>
      <c r="E1098" s="55" t="n"/>
      <c r="F1098" s="54">
        <f>IF(E1098="","",IFERROR(IF(INDEX(lst_exp_item_cat,MATCH(E1098,lst_exp_items,0))="","❔ Без категории",INDEX(lst_exp_item_cat,MATCH(E1098,lst_exp_items,0))),"❔ Без категории"))</f>
        <v/>
      </c>
      <c r="G1098" s="43" t="n"/>
      <c r="H1098" s="56" t="n"/>
      <c r="I1098" s="43" t="n"/>
      <c r="J1098" s="57">
        <f>IF(OR(A1098="",H1098=""),"",IF(COUNTIFS(exp_year,C1098,exp_month,D1098,exp_item,E1098,exp_status,"&lt;&gt;❌ Отменено")&gt;0,1,0))</f>
        <v/>
      </c>
    </row>
    <row r="1099">
      <c r="A1099" s="52" t="n"/>
      <c r="B1099" s="53">
        <f>IF(A1099="","",CHOOSE(WEEKDAY(A1099,2),"Пн","Вт","Ср","Чт","Пт","Сб","Вс"))</f>
        <v/>
      </c>
      <c r="C1099" s="53">
        <f>IF(A1099="","",YEAR(A1099))</f>
        <v/>
      </c>
      <c r="D1099" s="54">
        <f>IF(A1099="","",INDEX(lst_months,MONTH(A1099)))</f>
        <v/>
      </c>
      <c r="E1099" s="55" t="n"/>
      <c r="F1099" s="54">
        <f>IF(E1099="","",IFERROR(IF(INDEX(lst_exp_item_cat,MATCH(E1099,lst_exp_items,0))="","❔ Без категории",INDEX(lst_exp_item_cat,MATCH(E1099,lst_exp_items,0))),"❔ Без категории"))</f>
        <v/>
      </c>
      <c r="G1099" s="43" t="n"/>
      <c r="H1099" s="56" t="n"/>
      <c r="I1099" s="43" t="n"/>
      <c r="J1099" s="57">
        <f>IF(OR(A1099="",H1099=""),"",IF(COUNTIFS(exp_year,C1099,exp_month,D1099,exp_item,E1099,exp_status,"&lt;&gt;❌ Отменено")&gt;0,1,0))</f>
        <v/>
      </c>
    </row>
    <row r="1100">
      <c r="A1100" s="52" t="n"/>
      <c r="B1100" s="53">
        <f>IF(A1100="","",CHOOSE(WEEKDAY(A1100,2),"Пн","Вт","Ср","Чт","Пт","Сб","Вс"))</f>
        <v/>
      </c>
      <c r="C1100" s="53">
        <f>IF(A1100="","",YEAR(A1100))</f>
        <v/>
      </c>
      <c r="D1100" s="54">
        <f>IF(A1100="","",INDEX(lst_months,MONTH(A1100)))</f>
        <v/>
      </c>
      <c r="E1100" s="55" t="n"/>
      <c r="F1100" s="54">
        <f>IF(E1100="","",IFERROR(IF(INDEX(lst_exp_item_cat,MATCH(E1100,lst_exp_items,0))="","❔ Без категории",INDEX(lst_exp_item_cat,MATCH(E1100,lst_exp_items,0))),"❔ Без категории"))</f>
        <v/>
      </c>
      <c r="G1100" s="43" t="n"/>
      <c r="H1100" s="56" t="n"/>
      <c r="I1100" s="43" t="n"/>
      <c r="J1100" s="57">
        <f>IF(OR(A1100="",H1100=""),"",IF(COUNTIFS(exp_year,C1100,exp_month,D1100,exp_item,E1100,exp_status,"&lt;&gt;❌ Отменено")&gt;0,1,0))</f>
        <v/>
      </c>
    </row>
    <row r="1101">
      <c r="A1101" s="52" t="n"/>
      <c r="B1101" s="53">
        <f>IF(A1101="","",CHOOSE(WEEKDAY(A1101,2),"Пн","Вт","Ср","Чт","Пт","Сб","Вс"))</f>
        <v/>
      </c>
      <c r="C1101" s="53">
        <f>IF(A1101="","",YEAR(A1101))</f>
        <v/>
      </c>
      <c r="D1101" s="54">
        <f>IF(A1101="","",INDEX(lst_months,MONTH(A1101)))</f>
        <v/>
      </c>
      <c r="E1101" s="55" t="n"/>
      <c r="F1101" s="54">
        <f>IF(E1101="","",IFERROR(IF(INDEX(lst_exp_item_cat,MATCH(E1101,lst_exp_items,0))="","❔ Без категории",INDEX(lst_exp_item_cat,MATCH(E1101,lst_exp_items,0))),"❔ Без категории"))</f>
        <v/>
      </c>
      <c r="G1101" s="43" t="n"/>
      <c r="H1101" s="56" t="n"/>
      <c r="I1101" s="43" t="n"/>
      <c r="J1101" s="57">
        <f>IF(OR(A1101="",H1101=""),"",IF(COUNTIFS(exp_year,C1101,exp_month,D1101,exp_item,E1101,exp_status,"&lt;&gt;❌ Отменено")&gt;0,1,0))</f>
        <v/>
      </c>
    </row>
    <row r="1102">
      <c r="A1102" s="52" t="n"/>
      <c r="B1102" s="53">
        <f>IF(A1102="","",CHOOSE(WEEKDAY(A1102,2),"Пн","Вт","Ср","Чт","Пт","Сб","Вс"))</f>
        <v/>
      </c>
      <c r="C1102" s="53">
        <f>IF(A1102="","",YEAR(A1102))</f>
        <v/>
      </c>
      <c r="D1102" s="54">
        <f>IF(A1102="","",INDEX(lst_months,MONTH(A1102)))</f>
        <v/>
      </c>
      <c r="E1102" s="55" t="n"/>
      <c r="F1102" s="54">
        <f>IF(E1102="","",IFERROR(IF(INDEX(lst_exp_item_cat,MATCH(E1102,lst_exp_items,0))="","❔ Без категории",INDEX(lst_exp_item_cat,MATCH(E1102,lst_exp_items,0))),"❔ Без категории"))</f>
        <v/>
      </c>
      <c r="G1102" s="43" t="n"/>
      <c r="H1102" s="56" t="n"/>
      <c r="I1102" s="43" t="n"/>
      <c r="J1102" s="57">
        <f>IF(OR(A1102="",H1102=""),"",IF(COUNTIFS(exp_year,C1102,exp_month,D1102,exp_item,E1102,exp_status,"&lt;&gt;❌ Отменено")&gt;0,1,0))</f>
        <v/>
      </c>
    </row>
    <row r="1103">
      <c r="A1103" s="52" t="n"/>
      <c r="B1103" s="53">
        <f>IF(A1103="","",CHOOSE(WEEKDAY(A1103,2),"Пн","Вт","Ср","Чт","Пт","Сб","Вс"))</f>
        <v/>
      </c>
      <c r="C1103" s="53">
        <f>IF(A1103="","",YEAR(A1103))</f>
        <v/>
      </c>
      <c r="D1103" s="54">
        <f>IF(A1103="","",INDEX(lst_months,MONTH(A1103)))</f>
        <v/>
      </c>
      <c r="E1103" s="55" t="n"/>
      <c r="F1103" s="54">
        <f>IF(E1103="","",IFERROR(IF(INDEX(lst_exp_item_cat,MATCH(E1103,lst_exp_items,0))="","❔ Без категории",INDEX(lst_exp_item_cat,MATCH(E1103,lst_exp_items,0))),"❔ Без категории"))</f>
        <v/>
      </c>
      <c r="G1103" s="43" t="n"/>
      <c r="H1103" s="56" t="n"/>
      <c r="I1103" s="43" t="n"/>
      <c r="J1103" s="57">
        <f>IF(OR(A1103="",H1103=""),"",IF(COUNTIFS(exp_year,C1103,exp_month,D1103,exp_item,E1103,exp_status,"&lt;&gt;❌ Отменено")&gt;0,1,0))</f>
        <v/>
      </c>
    </row>
    <row r="1104">
      <c r="A1104" s="52" t="n"/>
      <c r="B1104" s="53">
        <f>IF(A1104="","",CHOOSE(WEEKDAY(A1104,2),"Пн","Вт","Ср","Чт","Пт","Сб","Вс"))</f>
        <v/>
      </c>
      <c r="C1104" s="53">
        <f>IF(A1104="","",YEAR(A1104))</f>
        <v/>
      </c>
      <c r="D1104" s="54">
        <f>IF(A1104="","",INDEX(lst_months,MONTH(A1104)))</f>
        <v/>
      </c>
      <c r="E1104" s="55" t="n"/>
      <c r="F1104" s="54">
        <f>IF(E1104="","",IFERROR(IF(INDEX(lst_exp_item_cat,MATCH(E1104,lst_exp_items,0))="","❔ Без категории",INDEX(lst_exp_item_cat,MATCH(E1104,lst_exp_items,0))),"❔ Без категории"))</f>
        <v/>
      </c>
      <c r="G1104" s="43" t="n"/>
      <c r="H1104" s="56" t="n"/>
      <c r="I1104" s="43" t="n"/>
      <c r="J1104" s="57">
        <f>IF(OR(A1104="",H1104=""),"",IF(COUNTIFS(exp_year,C1104,exp_month,D1104,exp_item,E1104,exp_status,"&lt;&gt;❌ Отменено")&gt;0,1,0))</f>
        <v/>
      </c>
    </row>
    <row r="1105">
      <c r="A1105" s="52" t="n"/>
      <c r="B1105" s="53">
        <f>IF(A1105="","",CHOOSE(WEEKDAY(A1105,2),"Пн","Вт","Ср","Чт","Пт","Сб","Вс"))</f>
        <v/>
      </c>
      <c r="C1105" s="53">
        <f>IF(A1105="","",YEAR(A1105))</f>
        <v/>
      </c>
      <c r="D1105" s="54">
        <f>IF(A1105="","",INDEX(lst_months,MONTH(A1105)))</f>
        <v/>
      </c>
      <c r="E1105" s="55" t="n"/>
      <c r="F1105" s="54">
        <f>IF(E1105="","",IFERROR(IF(INDEX(lst_exp_item_cat,MATCH(E1105,lst_exp_items,0))="","❔ Без категории",INDEX(lst_exp_item_cat,MATCH(E1105,lst_exp_items,0))),"❔ Без категории"))</f>
        <v/>
      </c>
      <c r="G1105" s="43" t="n"/>
      <c r="H1105" s="56" t="n"/>
      <c r="I1105" s="43" t="n"/>
      <c r="J1105" s="57">
        <f>IF(OR(A1105="",H1105=""),"",IF(COUNTIFS(exp_year,C1105,exp_month,D1105,exp_item,E1105,exp_status,"&lt;&gt;❌ Отменено")&gt;0,1,0))</f>
        <v/>
      </c>
    </row>
    <row r="1106">
      <c r="A1106" s="52" t="n"/>
      <c r="B1106" s="53">
        <f>IF(A1106="","",CHOOSE(WEEKDAY(A1106,2),"Пн","Вт","Ср","Чт","Пт","Сб","Вс"))</f>
        <v/>
      </c>
      <c r="C1106" s="53">
        <f>IF(A1106="","",YEAR(A1106))</f>
        <v/>
      </c>
      <c r="D1106" s="54">
        <f>IF(A1106="","",INDEX(lst_months,MONTH(A1106)))</f>
        <v/>
      </c>
      <c r="E1106" s="55" t="n"/>
      <c r="F1106" s="54">
        <f>IF(E1106="","",IFERROR(IF(INDEX(lst_exp_item_cat,MATCH(E1106,lst_exp_items,0))="","❔ Без категории",INDEX(lst_exp_item_cat,MATCH(E1106,lst_exp_items,0))),"❔ Без категории"))</f>
        <v/>
      </c>
      <c r="G1106" s="43" t="n"/>
      <c r="H1106" s="56" t="n"/>
      <c r="I1106" s="43" t="n"/>
      <c r="J1106" s="57">
        <f>IF(OR(A1106="",H1106=""),"",IF(COUNTIFS(exp_year,C1106,exp_month,D1106,exp_item,E1106,exp_status,"&lt;&gt;❌ Отменено")&gt;0,1,0))</f>
        <v/>
      </c>
    </row>
    <row r="1107">
      <c r="A1107" s="52" t="n"/>
      <c r="B1107" s="53">
        <f>IF(A1107="","",CHOOSE(WEEKDAY(A1107,2),"Пн","Вт","Ср","Чт","Пт","Сб","Вс"))</f>
        <v/>
      </c>
      <c r="C1107" s="53">
        <f>IF(A1107="","",YEAR(A1107))</f>
        <v/>
      </c>
      <c r="D1107" s="54">
        <f>IF(A1107="","",INDEX(lst_months,MONTH(A1107)))</f>
        <v/>
      </c>
      <c r="E1107" s="55" t="n"/>
      <c r="F1107" s="54">
        <f>IF(E1107="","",IFERROR(IF(INDEX(lst_exp_item_cat,MATCH(E1107,lst_exp_items,0))="","❔ Без категории",INDEX(lst_exp_item_cat,MATCH(E1107,lst_exp_items,0))),"❔ Без категории"))</f>
        <v/>
      </c>
      <c r="G1107" s="43" t="n"/>
      <c r="H1107" s="56" t="n"/>
      <c r="I1107" s="43" t="n"/>
      <c r="J1107" s="57">
        <f>IF(OR(A1107="",H1107=""),"",IF(COUNTIFS(exp_year,C1107,exp_month,D1107,exp_item,E1107,exp_status,"&lt;&gt;❌ Отменено")&gt;0,1,0))</f>
        <v/>
      </c>
    </row>
    <row r="1108">
      <c r="A1108" s="52" t="n"/>
      <c r="B1108" s="53">
        <f>IF(A1108="","",CHOOSE(WEEKDAY(A1108,2),"Пн","Вт","Ср","Чт","Пт","Сб","Вс"))</f>
        <v/>
      </c>
      <c r="C1108" s="53">
        <f>IF(A1108="","",YEAR(A1108))</f>
        <v/>
      </c>
      <c r="D1108" s="54">
        <f>IF(A1108="","",INDEX(lst_months,MONTH(A1108)))</f>
        <v/>
      </c>
      <c r="E1108" s="55" t="n"/>
      <c r="F1108" s="54">
        <f>IF(E1108="","",IFERROR(IF(INDEX(lst_exp_item_cat,MATCH(E1108,lst_exp_items,0))="","❔ Без категории",INDEX(lst_exp_item_cat,MATCH(E1108,lst_exp_items,0))),"❔ Без категории"))</f>
        <v/>
      </c>
      <c r="G1108" s="43" t="n"/>
      <c r="H1108" s="56" t="n"/>
      <c r="I1108" s="43" t="n"/>
      <c r="J1108" s="57">
        <f>IF(OR(A1108="",H1108=""),"",IF(COUNTIFS(exp_year,C1108,exp_month,D1108,exp_item,E1108,exp_status,"&lt;&gt;❌ Отменено")&gt;0,1,0))</f>
        <v/>
      </c>
    </row>
    <row r="1109">
      <c r="A1109" s="52" t="n"/>
      <c r="B1109" s="53">
        <f>IF(A1109="","",CHOOSE(WEEKDAY(A1109,2),"Пн","Вт","Ср","Чт","Пт","Сб","Вс"))</f>
        <v/>
      </c>
      <c r="C1109" s="53">
        <f>IF(A1109="","",YEAR(A1109))</f>
        <v/>
      </c>
      <c r="D1109" s="54">
        <f>IF(A1109="","",INDEX(lst_months,MONTH(A1109)))</f>
        <v/>
      </c>
      <c r="E1109" s="55" t="n"/>
      <c r="F1109" s="54">
        <f>IF(E1109="","",IFERROR(IF(INDEX(lst_exp_item_cat,MATCH(E1109,lst_exp_items,0))="","❔ Без категории",INDEX(lst_exp_item_cat,MATCH(E1109,lst_exp_items,0))),"❔ Без категории"))</f>
        <v/>
      </c>
      <c r="G1109" s="43" t="n"/>
      <c r="H1109" s="56" t="n"/>
      <c r="I1109" s="43" t="n"/>
      <c r="J1109" s="57">
        <f>IF(OR(A1109="",H1109=""),"",IF(COUNTIFS(exp_year,C1109,exp_month,D1109,exp_item,E1109,exp_status,"&lt;&gt;❌ Отменено")&gt;0,1,0))</f>
        <v/>
      </c>
    </row>
    <row r="1110">
      <c r="A1110" s="52" t="n"/>
      <c r="B1110" s="53">
        <f>IF(A1110="","",CHOOSE(WEEKDAY(A1110,2),"Пн","Вт","Ср","Чт","Пт","Сб","Вс"))</f>
        <v/>
      </c>
      <c r="C1110" s="53">
        <f>IF(A1110="","",YEAR(A1110))</f>
        <v/>
      </c>
      <c r="D1110" s="54">
        <f>IF(A1110="","",INDEX(lst_months,MONTH(A1110)))</f>
        <v/>
      </c>
      <c r="E1110" s="55" t="n"/>
      <c r="F1110" s="54">
        <f>IF(E1110="","",IFERROR(IF(INDEX(lst_exp_item_cat,MATCH(E1110,lst_exp_items,0))="","❔ Без категории",INDEX(lst_exp_item_cat,MATCH(E1110,lst_exp_items,0))),"❔ Без категории"))</f>
        <v/>
      </c>
      <c r="G1110" s="43" t="n"/>
      <c r="H1110" s="56" t="n"/>
      <c r="I1110" s="43" t="n"/>
      <c r="J1110" s="57">
        <f>IF(OR(A1110="",H1110=""),"",IF(COUNTIFS(exp_year,C1110,exp_month,D1110,exp_item,E1110,exp_status,"&lt;&gt;❌ Отменено")&gt;0,1,0))</f>
        <v/>
      </c>
    </row>
    <row r="1111">
      <c r="A1111" s="52" t="n"/>
      <c r="B1111" s="53">
        <f>IF(A1111="","",CHOOSE(WEEKDAY(A1111,2),"Пн","Вт","Ср","Чт","Пт","Сб","Вс"))</f>
        <v/>
      </c>
      <c r="C1111" s="53">
        <f>IF(A1111="","",YEAR(A1111))</f>
        <v/>
      </c>
      <c r="D1111" s="54">
        <f>IF(A1111="","",INDEX(lst_months,MONTH(A1111)))</f>
        <v/>
      </c>
      <c r="E1111" s="55" t="n"/>
      <c r="F1111" s="54">
        <f>IF(E1111="","",IFERROR(IF(INDEX(lst_exp_item_cat,MATCH(E1111,lst_exp_items,0))="","❔ Без категории",INDEX(lst_exp_item_cat,MATCH(E1111,lst_exp_items,0))),"❔ Без категории"))</f>
        <v/>
      </c>
      <c r="G1111" s="43" t="n"/>
      <c r="H1111" s="56" t="n"/>
      <c r="I1111" s="43" t="n"/>
      <c r="J1111" s="57">
        <f>IF(OR(A1111="",H1111=""),"",IF(COUNTIFS(exp_year,C1111,exp_month,D1111,exp_item,E1111,exp_status,"&lt;&gt;❌ Отменено")&gt;0,1,0))</f>
        <v/>
      </c>
    </row>
    <row r="1112">
      <c r="A1112" s="52" t="n"/>
      <c r="B1112" s="53">
        <f>IF(A1112="","",CHOOSE(WEEKDAY(A1112,2),"Пн","Вт","Ср","Чт","Пт","Сб","Вс"))</f>
        <v/>
      </c>
      <c r="C1112" s="53">
        <f>IF(A1112="","",YEAR(A1112))</f>
        <v/>
      </c>
      <c r="D1112" s="54">
        <f>IF(A1112="","",INDEX(lst_months,MONTH(A1112)))</f>
        <v/>
      </c>
      <c r="E1112" s="55" t="n"/>
      <c r="F1112" s="54">
        <f>IF(E1112="","",IFERROR(IF(INDEX(lst_exp_item_cat,MATCH(E1112,lst_exp_items,0))="","❔ Без категории",INDEX(lst_exp_item_cat,MATCH(E1112,lst_exp_items,0))),"❔ Без категории"))</f>
        <v/>
      </c>
      <c r="G1112" s="43" t="n"/>
      <c r="H1112" s="56" t="n"/>
      <c r="I1112" s="43" t="n"/>
      <c r="J1112" s="57">
        <f>IF(OR(A1112="",H1112=""),"",IF(COUNTIFS(exp_year,C1112,exp_month,D1112,exp_item,E1112,exp_status,"&lt;&gt;❌ Отменено")&gt;0,1,0))</f>
        <v/>
      </c>
    </row>
    <row r="1113">
      <c r="A1113" s="52" t="n"/>
      <c r="B1113" s="53">
        <f>IF(A1113="","",CHOOSE(WEEKDAY(A1113,2),"Пн","Вт","Ср","Чт","Пт","Сб","Вс"))</f>
        <v/>
      </c>
      <c r="C1113" s="53">
        <f>IF(A1113="","",YEAR(A1113))</f>
        <v/>
      </c>
      <c r="D1113" s="54">
        <f>IF(A1113="","",INDEX(lst_months,MONTH(A1113)))</f>
        <v/>
      </c>
      <c r="E1113" s="55" t="n"/>
      <c r="F1113" s="54">
        <f>IF(E1113="","",IFERROR(IF(INDEX(lst_exp_item_cat,MATCH(E1113,lst_exp_items,0))="","❔ Без категории",INDEX(lst_exp_item_cat,MATCH(E1113,lst_exp_items,0))),"❔ Без категории"))</f>
        <v/>
      </c>
      <c r="G1113" s="43" t="n"/>
      <c r="H1113" s="56" t="n"/>
      <c r="I1113" s="43" t="n"/>
      <c r="J1113" s="57">
        <f>IF(OR(A1113="",H1113=""),"",IF(COUNTIFS(exp_year,C1113,exp_month,D1113,exp_item,E1113,exp_status,"&lt;&gt;❌ Отменено")&gt;0,1,0))</f>
        <v/>
      </c>
    </row>
    <row r="1114">
      <c r="A1114" s="52" t="n"/>
      <c r="B1114" s="53">
        <f>IF(A1114="","",CHOOSE(WEEKDAY(A1114,2),"Пн","Вт","Ср","Чт","Пт","Сб","Вс"))</f>
        <v/>
      </c>
      <c r="C1114" s="53">
        <f>IF(A1114="","",YEAR(A1114))</f>
        <v/>
      </c>
      <c r="D1114" s="54">
        <f>IF(A1114="","",INDEX(lst_months,MONTH(A1114)))</f>
        <v/>
      </c>
      <c r="E1114" s="55" t="n"/>
      <c r="F1114" s="54">
        <f>IF(E1114="","",IFERROR(IF(INDEX(lst_exp_item_cat,MATCH(E1114,lst_exp_items,0))="","❔ Без категории",INDEX(lst_exp_item_cat,MATCH(E1114,lst_exp_items,0))),"❔ Без категории"))</f>
        <v/>
      </c>
      <c r="G1114" s="43" t="n"/>
      <c r="H1114" s="56" t="n"/>
      <c r="I1114" s="43" t="n"/>
      <c r="J1114" s="57">
        <f>IF(OR(A1114="",H1114=""),"",IF(COUNTIFS(exp_year,C1114,exp_month,D1114,exp_item,E1114,exp_status,"&lt;&gt;❌ Отменено")&gt;0,1,0))</f>
        <v/>
      </c>
    </row>
    <row r="1115">
      <c r="A1115" s="52" t="n"/>
      <c r="B1115" s="53">
        <f>IF(A1115="","",CHOOSE(WEEKDAY(A1115,2),"Пн","Вт","Ср","Чт","Пт","Сб","Вс"))</f>
        <v/>
      </c>
      <c r="C1115" s="53">
        <f>IF(A1115="","",YEAR(A1115))</f>
        <v/>
      </c>
      <c r="D1115" s="54">
        <f>IF(A1115="","",INDEX(lst_months,MONTH(A1115)))</f>
        <v/>
      </c>
      <c r="E1115" s="55" t="n"/>
      <c r="F1115" s="54">
        <f>IF(E1115="","",IFERROR(IF(INDEX(lst_exp_item_cat,MATCH(E1115,lst_exp_items,0))="","❔ Без категории",INDEX(lst_exp_item_cat,MATCH(E1115,lst_exp_items,0))),"❔ Без категории"))</f>
        <v/>
      </c>
      <c r="G1115" s="43" t="n"/>
      <c r="H1115" s="56" t="n"/>
      <c r="I1115" s="43" t="n"/>
      <c r="J1115" s="57">
        <f>IF(OR(A1115="",H1115=""),"",IF(COUNTIFS(exp_year,C1115,exp_month,D1115,exp_item,E1115,exp_status,"&lt;&gt;❌ Отменено")&gt;0,1,0))</f>
        <v/>
      </c>
    </row>
    <row r="1116">
      <c r="A1116" s="52" t="n"/>
      <c r="B1116" s="53">
        <f>IF(A1116="","",CHOOSE(WEEKDAY(A1116,2),"Пн","Вт","Ср","Чт","Пт","Сб","Вс"))</f>
        <v/>
      </c>
      <c r="C1116" s="53">
        <f>IF(A1116="","",YEAR(A1116))</f>
        <v/>
      </c>
      <c r="D1116" s="54">
        <f>IF(A1116="","",INDEX(lst_months,MONTH(A1116)))</f>
        <v/>
      </c>
      <c r="E1116" s="55" t="n"/>
      <c r="F1116" s="54">
        <f>IF(E1116="","",IFERROR(IF(INDEX(lst_exp_item_cat,MATCH(E1116,lst_exp_items,0))="","❔ Без категории",INDEX(lst_exp_item_cat,MATCH(E1116,lst_exp_items,0))),"❔ Без категории"))</f>
        <v/>
      </c>
      <c r="G1116" s="43" t="n"/>
      <c r="H1116" s="56" t="n"/>
      <c r="I1116" s="43" t="n"/>
      <c r="J1116" s="57">
        <f>IF(OR(A1116="",H1116=""),"",IF(COUNTIFS(exp_year,C1116,exp_month,D1116,exp_item,E1116,exp_status,"&lt;&gt;❌ Отменено")&gt;0,1,0))</f>
        <v/>
      </c>
    </row>
    <row r="1117">
      <c r="A1117" s="52" t="n"/>
      <c r="B1117" s="53">
        <f>IF(A1117="","",CHOOSE(WEEKDAY(A1117,2),"Пн","Вт","Ср","Чт","Пт","Сб","Вс"))</f>
        <v/>
      </c>
      <c r="C1117" s="53">
        <f>IF(A1117="","",YEAR(A1117))</f>
        <v/>
      </c>
      <c r="D1117" s="54">
        <f>IF(A1117="","",INDEX(lst_months,MONTH(A1117)))</f>
        <v/>
      </c>
      <c r="E1117" s="55" t="n"/>
      <c r="F1117" s="54">
        <f>IF(E1117="","",IFERROR(IF(INDEX(lst_exp_item_cat,MATCH(E1117,lst_exp_items,0))="","❔ Без категории",INDEX(lst_exp_item_cat,MATCH(E1117,lst_exp_items,0))),"❔ Без категории"))</f>
        <v/>
      </c>
      <c r="G1117" s="43" t="n"/>
      <c r="H1117" s="56" t="n"/>
      <c r="I1117" s="43" t="n"/>
      <c r="J1117" s="57">
        <f>IF(OR(A1117="",H1117=""),"",IF(COUNTIFS(exp_year,C1117,exp_month,D1117,exp_item,E1117,exp_status,"&lt;&gt;❌ Отменено")&gt;0,1,0))</f>
        <v/>
      </c>
    </row>
    <row r="1118">
      <c r="A1118" s="52" t="n"/>
      <c r="B1118" s="53">
        <f>IF(A1118="","",CHOOSE(WEEKDAY(A1118,2),"Пн","Вт","Ср","Чт","Пт","Сб","Вс"))</f>
        <v/>
      </c>
      <c r="C1118" s="53">
        <f>IF(A1118="","",YEAR(A1118))</f>
        <v/>
      </c>
      <c r="D1118" s="54">
        <f>IF(A1118="","",INDEX(lst_months,MONTH(A1118)))</f>
        <v/>
      </c>
      <c r="E1118" s="55" t="n"/>
      <c r="F1118" s="54">
        <f>IF(E1118="","",IFERROR(IF(INDEX(lst_exp_item_cat,MATCH(E1118,lst_exp_items,0))="","❔ Без категории",INDEX(lst_exp_item_cat,MATCH(E1118,lst_exp_items,0))),"❔ Без категории"))</f>
        <v/>
      </c>
      <c r="G1118" s="43" t="n"/>
      <c r="H1118" s="56" t="n"/>
      <c r="I1118" s="43" t="n"/>
      <c r="J1118" s="57">
        <f>IF(OR(A1118="",H1118=""),"",IF(COUNTIFS(exp_year,C1118,exp_month,D1118,exp_item,E1118,exp_status,"&lt;&gt;❌ Отменено")&gt;0,1,0))</f>
        <v/>
      </c>
    </row>
    <row r="1119">
      <c r="A1119" s="52" t="n"/>
      <c r="B1119" s="53">
        <f>IF(A1119="","",CHOOSE(WEEKDAY(A1119,2),"Пн","Вт","Ср","Чт","Пт","Сб","Вс"))</f>
        <v/>
      </c>
      <c r="C1119" s="53">
        <f>IF(A1119="","",YEAR(A1119))</f>
        <v/>
      </c>
      <c r="D1119" s="54">
        <f>IF(A1119="","",INDEX(lst_months,MONTH(A1119)))</f>
        <v/>
      </c>
      <c r="E1119" s="55" t="n"/>
      <c r="F1119" s="54">
        <f>IF(E1119="","",IFERROR(IF(INDEX(lst_exp_item_cat,MATCH(E1119,lst_exp_items,0))="","❔ Без категории",INDEX(lst_exp_item_cat,MATCH(E1119,lst_exp_items,0))),"❔ Без категории"))</f>
        <v/>
      </c>
      <c r="G1119" s="43" t="n"/>
      <c r="H1119" s="56" t="n"/>
      <c r="I1119" s="43" t="n"/>
      <c r="J1119" s="57">
        <f>IF(OR(A1119="",H1119=""),"",IF(COUNTIFS(exp_year,C1119,exp_month,D1119,exp_item,E1119,exp_status,"&lt;&gt;❌ Отменено")&gt;0,1,0))</f>
        <v/>
      </c>
    </row>
    <row r="1120">
      <c r="A1120" s="52" t="n"/>
      <c r="B1120" s="53">
        <f>IF(A1120="","",CHOOSE(WEEKDAY(A1120,2),"Пн","Вт","Ср","Чт","Пт","Сб","Вс"))</f>
        <v/>
      </c>
      <c r="C1120" s="53">
        <f>IF(A1120="","",YEAR(A1120))</f>
        <v/>
      </c>
      <c r="D1120" s="54">
        <f>IF(A1120="","",INDEX(lst_months,MONTH(A1120)))</f>
        <v/>
      </c>
      <c r="E1120" s="55" t="n"/>
      <c r="F1120" s="54">
        <f>IF(E1120="","",IFERROR(IF(INDEX(lst_exp_item_cat,MATCH(E1120,lst_exp_items,0))="","❔ Без категории",INDEX(lst_exp_item_cat,MATCH(E1120,lst_exp_items,0))),"❔ Без категории"))</f>
        <v/>
      </c>
      <c r="G1120" s="43" t="n"/>
      <c r="H1120" s="56" t="n"/>
      <c r="I1120" s="43" t="n"/>
      <c r="J1120" s="57">
        <f>IF(OR(A1120="",H1120=""),"",IF(COUNTIFS(exp_year,C1120,exp_month,D1120,exp_item,E1120,exp_status,"&lt;&gt;❌ Отменено")&gt;0,1,0))</f>
        <v/>
      </c>
    </row>
    <row r="1121">
      <c r="A1121" s="52" t="n"/>
      <c r="B1121" s="53">
        <f>IF(A1121="","",CHOOSE(WEEKDAY(A1121,2),"Пн","Вт","Ср","Чт","Пт","Сб","Вс"))</f>
        <v/>
      </c>
      <c r="C1121" s="53">
        <f>IF(A1121="","",YEAR(A1121))</f>
        <v/>
      </c>
      <c r="D1121" s="54">
        <f>IF(A1121="","",INDEX(lst_months,MONTH(A1121)))</f>
        <v/>
      </c>
      <c r="E1121" s="55" t="n"/>
      <c r="F1121" s="54">
        <f>IF(E1121="","",IFERROR(IF(INDEX(lst_exp_item_cat,MATCH(E1121,lst_exp_items,0))="","❔ Без категории",INDEX(lst_exp_item_cat,MATCH(E1121,lst_exp_items,0))),"❔ Без категории"))</f>
        <v/>
      </c>
      <c r="G1121" s="43" t="n"/>
      <c r="H1121" s="56" t="n"/>
      <c r="I1121" s="43" t="n"/>
      <c r="J1121" s="57">
        <f>IF(OR(A1121="",H1121=""),"",IF(COUNTIFS(exp_year,C1121,exp_month,D1121,exp_item,E1121,exp_status,"&lt;&gt;❌ Отменено")&gt;0,1,0))</f>
        <v/>
      </c>
    </row>
    <row r="1122">
      <c r="A1122" s="52" t="n"/>
      <c r="B1122" s="53">
        <f>IF(A1122="","",CHOOSE(WEEKDAY(A1122,2),"Пн","Вт","Ср","Чт","Пт","Сб","Вс"))</f>
        <v/>
      </c>
      <c r="C1122" s="53">
        <f>IF(A1122="","",YEAR(A1122))</f>
        <v/>
      </c>
      <c r="D1122" s="54">
        <f>IF(A1122="","",INDEX(lst_months,MONTH(A1122)))</f>
        <v/>
      </c>
      <c r="E1122" s="55" t="n"/>
      <c r="F1122" s="54">
        <f>IF(E1122="","",IFERROR(IF(INDEX(lst_exp_item_cat,MATCH(E1122,lst_exp_items,0))="","❔ Без категории",INDEX(lst_exp_item_cat,MATCH(E1122,lst_exp_items,0))),"❔ Без категории"))</f>
        <v/>
      </c>
      <c r="G1122" s="43" t="n"/>
      <c r="H1122" s="56" t="n"/>
      <c r="I1122" s="43" t="n"/>
      <c r="J1122" s="57">
        <f>IF(OR(A1122="",H1122=""),"",IF(COUNTIFS(exp_year,C1122,exp_month,D1122,exp_item,E1122,exp_status,"&lt;&gt;❌ Отменено")&gt;0,1,0))</f>
        <v/>
      </c>
    </row>
    <row r="1123">
      <c r="A1123" s="52" t="n"/>
      <c r="B1123" s="53">
        <f>IF(A1123="","",CHOOSE(WEEKDAY(A1123,2),"Пн","Вт","Ср","Чт","Пт","Сб","Вс"))</f>
        <v/>
      </c>
      <c r="C1123" s="53">
        <f>IF(A1123="","",YEAR(A1123))</f>
        <v/>
      </c>
      <c r="D1123" s="54">
        <f>IF(A1123="","",INDEX(lst_months,MONTH(A1123)))</f>
        <v/>
      </c>
      <c r="E1123" s="55" t="n"/>
      <c r="F1123" s="54">
        <f>IF(E1123="","",IFERROR(IF(INDEX(lst_exp_item_cat,MATCH(E1123,lst_exp_items,0))="","❔ Без категории",INDEX(lst_exp_item_cat,MATCH(E1123,lst_exp_items,0))),"❔ Без категории"))</f>
        <v/>
      </c>
      <c r="G1123" s="43" t="n"/>
      <c r="H1123" s="56" t="n"/>
      <c r="I1123" s="43" t="n"/>
      <c r="J1123" s="57">
        <f>IF(OR(A1123="",H1123=""),"",IF(COUNTIFS(exp_year,C1123,exp_month,D1123,exp_item,E1123,exp_status,"&lt;&gt;❌ Отменено")&gt;0,1,0))</f>
        <v/>
      </c>
    </row>
    <row r="1124">
      <c r="A1124" s="52" t="n"/>
      <c r="B1124" s="53">
        <f>IF(A1124="","",CHOOSE(WEEKDAY(A1124,2),"Пн","Вт","Ср","Чт","Пт","Сб","Вс"))</f>
        <v/>
      </c>
      <c r="C1124" s="53">
        <f>IF(A1124="","",YEAR(A1124))</f>
        <v/>
      </c>
      <c r="D1124" s="54">
        <f>IF(A1124="","",INDEX(lst_months,MONTH(A1124)))</f>
        <v/>
      </c>
      <c r="E1124" s="55" t="n"/>
      <c r="F1124" s="54">
        <f>IF(E1124="","",IFERROR(IF(INDEX(lst_exp_item_cat,MATCH(E1124,lst_exp_items,0))="","❔ Без категории",INDEX(lst_exp_item_cat,MATCH(E1124,lst_exp_items,0))),"❔ Без категории"))</f>
        <v/>
      </c>
      <c r="G1124" s="43" t="n"/>
      <c r="H1124" s="56" t="n"/>
      <c r="I1124" s="43" t="n"/>
      <c r="J1124" s="57">
        <f>IF(OR(A1124="",H1124=""),"",IF(COUNTIFS(exp_year,C1124,exp_month,D1124,exp_item,E1124,exp_status,"&lt;&gt;❌ Отменено")&gt;0,1,0))</f>
        <v/>
      </c>
    </row>
    <row r="1125">
      <c r="A1125" s="52" t="n"/>
      <c r="B1125" s="53">
        <f>IF(A1125="","",CHOOSE(WEEKDAY(A1125,2),"Пн","Вт","Ср","Чт","Пт","Сб","Вс"))</f>
        <v/>
      </c>
      <c r="C1125" s="53">
        <f>IF(A1125="","",YEAR(A1125))</f>
        <v/>
      </c>
      <c r="D1125" s="54">
        <f>IF(A1125="","",INDEX(lst_months,MONTH(A1125)))</f>
        <v/>
      </c>
      <c r="E1125" s="55" t="n"/>
      <c r="F1125" s="54">
        <f>IF(E1125="","",IFERROR(IF(INDEX(lst_exp_item_cat,MATCH(E1125,lst_exp_items,0))="","❔ Без категории",INDEX(lst_exp_item_cat,MATCH(E1125,lst_exp_items,0))),"❔ Без категории"))</f>
        <v/>
      </c>
      <c r="G1125" s="43" t="n"/>
      <c r="H1125" s="56" t="n"/>
      <c r="I1125" s="43" t="n"/>
      <c r="J1125" s="57">
        <f>IF(OR(A1125="",H1125=""),"",IF(COUNTIFS(exp_year,C1125,exp_month,D1125,exp_item,E1125,exp_status,"&lt;&gt;❌ Отменено")&gt;0,1,0))</f>
        <v/>
      </c>
    </row>
    <row r="1126">
      <c r="A1126" s="52" t="n"/>
      <c r="B1126" s="53">
        <f>IF(A1126="","",CHOOSE(WEEKDAY(A1126,2),"Пн","Вт","Ср","Чт","Пт","Сб","Вс"))</f>
        <v/>
      </c>
      <c r="C1126" s="53">
        <f>IF(A1126="","",YEAR(A1126))</f>
        <v/>
      </c>
      <c r="D1126" s="54">
        <f>IF(A1126="","",INDEX(lst_months,MONTH(A1126)))</f>
        <v/>
      </c>
      <c r="E1126" s="55" t="n"/>
      <c r="F1126" s="54">
        <f>IF(E1126="","",IFERROR(IF(INDEX(lst_exp_item_cat,MATCH(E1126,lst_exp_items,0))="","❔ Без категории",INDEX(lst_exp_item_cat,MATCH(E1126,lst_exp_items,0))),"❔ Без категории"))</f>
        <v/>
      </c>
      <c r="G1126" s="43" t="n"/>
      <c r="H1126" s="56" t="n"/>
      <c r="I1126" s="43" t="n"/>
      <c r="J1126" s="57">
        <f>IF(OR(A1126="",H1126=""),"",IF(COUNTIFS(exp_year,C1126,exp_month,D1126,exp_item,E1126,exp_status,"&lt;&gt;❌ Отменено")&gt;0,1,0))</f>
        <v/>
      </c>
    </row>
    <row r="1127">
      <c r="A1127" s="52" t="n"/>
      <c r="B1127" s="53">
        <f>IF(A1127="","",CHOOSE(WEEKDAY(A1127,2),"Пн","Вт","Ср","Чт","Пт","Сб","Вс"))</f>
        <v/>
      </c>
      <c r="C1127" s="53">
        <f>IF(A1127="","",YEAR(A1127))</f>
        <v/>
      </c>
      <c r="D1127" s="54">
        <f>IF(A1127="","",INDEX(lst_months,MONTH(A1127)))</f>
        <v/>
      </c>
      <c r="E1127" s="55" t="n"/>
      <c r="F1127" s="54">
        <f>IF(E1127="","",IFERROR(IF(INDEX(lst_exp_item_cat,MATCH(E1127,lst_exp_items,0))="","❔ Без категории",INDEX(lst_exp_item_cat,MATCH(E1127,lst_exp_items,0))),"❔ Без категории"))</f>
        <v/>
      </c>
      <c r="G1127" s="43" t="n"/>
      <c r="H1127" s="56" t="n"/>
      <c r="I1127" s="43" t="n"/>
      <c r="J1127" s="57">
        <f>IF(OR(A1127="",H1127=""),"",IF(COUNTIFS(exp_year,C1127,exp_month,D1127,exp_item,E1127,exp_status,"&lt;&gt;❌ Отменено")&gt;0,1,0))</f>
        <v/>
      </c>
    </row>
    <row r="1128">
      <c r="A1128" s="52" t="n"/>
      <c r="B1128" s="53">
        <f>IF(A1128="","",CHOOSE(WEEKDAY(A1128,2),"Пн","Вт","Ср","Чт","Пт","Сб","Вс"))</f>
        <v/>
      </c>
      <c r="C1128" s="53">
        <f>IF(A1128="","",YEAR(A1128))</f>
        <v/>
      </c>
      <c r="D1128" s="54">
        <f>IF(A1128="","",INDEX(lst_months,MONTH(A1128)))</f>
        <v/>
      </c>
      <c r="E1128" s="55" t="n"/>
      <c r="F1128" s="54">
        <f>IF(E1128="","",IFERROR(IF(INDEX(lst_exp_item_cat,MATCH(E1128,lst_exp_items,0))="","❔ Без категории",INDEX(lst_exp_item_cat,MATCH(E1128,lst_exp_items,0))),"❔ Без категории"))</f>
        <v/>
      </c>
      <c r="G1128" s="43" t="n"/>
      <c r="H1128" s="56" t="n"/>
      <c r="I1128" s="43" t="n"/>
      <c r="J1128" s="57">
        <f>IF(OR(A1128="",H1128=""),"",IF(COUNTIFS(exp_year,C1128,exp_month,D1128,exp_item,E1128,exp_status,"&lt;&gt;❌ Отменено")&gt;0,1,0))</f>
        <v/>
      </c>
    </row>
    <row r="1129">
      <c r="A1129" s="52" t="n"/>
      <c r="B1129" s="53">
        <f>IF(A1129="","",CHOOSE(WEEKDAY(A1129,2),"Пн","Вт","Ср","Чт","Пт","Сб","Вс"))</f>
        <v/>
      </c>
      <c r="C1129" s="53">
        <f>IF(A1129="","",YEAR(A1129))</f>
        <v/>
      </c>
      <c r="D1129" s="54">
        <f>IF(A1129="","",INDEX(lst_months,MONTH(A1129)))</f>
        <v/>
      </c>
      <c r="E1129" s="55" t="n"/>
      <c r="F1129" s="54">
        <f>IF(E1129="","",IFERROR(IF(INDEX(lst_exp_item_cat,MATCH(E1129,lst_exp_items,0))="","❔ Без категории",INDEX(lst_exp_item_cat,MATCH(E1129,lst_exp_items,0))),"❔ Без категории"))</f>
        <v/>
      </c>
      <c r="G1129" s="43" t="n"/>
      <c r="H1129" s="56" t="n"/>
      <c r="I1129" s="43" t="n"/>
      <c r="J1129" s="57">
        <f>IF(OR(A1129="",H1129=""),"",IF(COUNTIFS(exp_year,C1129,exp_month,D1129,exp_item,E1129,exp_status,"&lt;&gt;❌ Отменено")&gt;0,1,0))</f>
        <v/>
      </c>
    </row>
    <row r="1130">
      <c r="A1130" s="52" t="n"/>
      <c r="B1130" s="53">
        <f>IF(A1130="","",CHOOSE(WEEKDAY(A1130,2),"Пн","Вт","Ср","Чт","Пт","Сб","Вс"))</f>
        <v/>
      </c>
      <c r="C1130" s="53">
        <f>IF(A1130="","",YEAR(A1130))</f>
        <v/>
      </c>
      <c r="D1130" s="54">
        <f>IF(A1130="","",INDEX(lst_months,MONTH(A1130)))</f>
        <v/>
      </c>
      <c r="E1130" s="55" t="n"/>
      <c r="F1130" s="54">
        <f>IF(E1130="","",IFERROR(IF(INDEX(lst_exp_item_cat,MATCH(E1130,lst_exp_items,0))="","❔ Без категории",INDEX(lst_exp_item_cat,MATCH(E1130,lst_exp_items,0))),"❔ Без категории"))</f>
        <v/>
      </c>
      <c r="G1130" s="43" t="n"/>
      <c r="H1130" s="56" t="n"/>
      <c r="I1130" s="43" t="n"/>
      <c r="J1130" s="57">
        <f>IF(OR(A1130="",H1130=""),"",IF(COUNTIFS(exp_year,C1130,exp_month,D1130,exp_item,E1130,exp_status,"&lt;&gt;❌ Отменено")&gt;0,1,0))</f>
        <v/>
      </c>
    </row>
    <row r="1131">
      <c r="A1131" s="52" t="n"/>
      <c r="B1131" s="53">
        <f>IF(A1131="","",CHOOSE(WEEKDAY(A1131,2),"Пн","Вт","Ср","Чт","Пт","Сб","Вс"))</f>
        <v/>
      </c>
      <c r="C1131" s="53">
        <f>IF(A1131="","",YEAR(A1131))</f>
        <v/>
      </c>
      <c r="D1131" s="54">
        <f>IF(A1131="","",INDEX(lst_months,MONTH(A1131)))</f>
        <v/>
      </c>
      <c r="E1131" s="55" t="n"/>
      <c r="F1131" s="54">
        <f>IF(E1131="","",IFERROR(IF(INDEX(lst_exp_item_cat,MATCH(E1131,lst_exp_items,0))="","❔ Без категории",INDEX(lst_exp_item_cat,MATCH(E1131,lst_exp_items,0))),"❔ Без категории"))</f>
        <v/>
      </c>
      <c r="G1131" s="43" t="n"/>
      <c r="H1131" s="56" t="n"/>
      <c r="I1131" s="43" t="n"/>
      <c r="J1131" s="57">
        <f>IF(OR(A1131="",H1131=""),"",IF(COUNTIFS(exp_year,C1131,exp_month,D1131,exp_item,E1131,exp_status,"&lt;&gt;❌ Отменено")&gt;0,1,0))</f>
        <v/>
      </c>
    </row>
    <row r="1132">
      <c r="A1132" s="52" t="n"/>
      <c r="B1132" s="53">
        <f>IF(A1132="","",CHOOSE(WEEKDAY(A1132,2),"Пн","Вт","Ср","Чт","Пт","Сб","Вс"))</f>
        <v/>
      </c>
      <c r="C1132" s="53">
        <f>IF(A1132="","",YEAR(A1132))</f>
        <v/>
      </c>
      <c r="D1132" s="54">
        <f>IF(A1132="","",INDEX(lst_months,MONTH(A1132)))</f>
        <v/>
      </c>
      <c r="E1132" s="55" t="n"/>
      <c r="F1132" s="54">
        <f>IF(E1132="","",IFERROR(IF(INDEX(lst_exp_item_cat,MATCH(E1132,lst_exp_items,0))="","❔ Без категории",INDEX(lst_exp_item_cat,MATCH(E1132,lst_exp_items,0))),"❔ Без категории"))</f>
        <v/>
      </c>
      <c r="G1132" s="43" t="n"/>
      <c r="H1132" s="56" t="n"/>
      <c r="I1132" s="43" t="n"/>
      <c r="J1132" s="57">
        <f>IF(OR(A1132="",H1132=""),"",IF(COUNTIFS(exp_year,C1132,exp_month,D1132,exp_item,E1132,exp_status,"&lt;&gt;❌ Отменено")&gt;0,1,0))</f>
        <v/>
      </c>
    </row>
    <row r="1133">
      <c r="A1133" s="52" t="n"/>
      <c r="B1133" s="53">
        <f>IF(A1133="","",CHOOSE(WEEKDAY(A1133,2),"Пн","Вт","Ср","Чт","Пт","Сб","Вс"))</f>
        <v/>
      </c>
      <c r="C1133" s="53">
        <f>IF(A1133="","",YEAR(A1133))</f>
        <v/>
      </c>
      <c r="D1133" s="54">
        <f>IF(A1133="","",INDEX(lst_months,MONTH(A1133)))</f>
        <v/>
      </c>
      <c r="E1133" s="55" t="n"/>
      <c r="F1133" s="54">
        <f>IF(E1133="","",IFERROR(IF(INDEX(lst_exp_item_cat,MATCH(E1133,lst_exp_items,0))="","❔ Без категории",INDEX(lst_exp_item_cat,MATCH(E1133,lst_exp_items,0))),"❔ Без категории"))</f>
        <v/>
      </c>
      <c r="G1133" s="43" t="n"/>
      <c r="H1133" s="56" t="n"/>
      <c r="I1133" s="43" t="n"/>
      <c r="J1133" s="57">
        <f>IF(OR(A1133="",H1133=""),"",IF(COUNTIFS(exp_year,C1133,exp_month,D1133,exp_item,E1133,exp_status,"&lt;&gt;❌ Отменено")&gt;0,1,0))</f>
        <v/>
      </c>
    </row>
    <row r="1134">
      <c r="A1134" s="52" t="n"/>
      <c r="B1134" s="53">
        <f>IF(A1134="","",CHOOSE(WEEKDAY(A1134,2),"Пн","Вт","Ср","Чт","Пт","Сб","Вс"))</f>
        <v/>
      </c>
      <c r="C1134" s="53">
        <f>IF(A1134="","",YEAR(A1134))</f>
        <v/>
      </c>
      <c r="D1134" s="54">
        <f>IF(A1134="","",INDEX(lst_months,MONTH(A1134)))</f>
        <v/>
      </c>
      <c r="E1134" s="55" t="n"/>
      <c r="F1134" s="54">
        <f>IF(E1134="","",IFERROR(IF(INDEX(lst_exp_item_cat,MATCH(E1134,lst_exp_items,0))="","❔ Без категории",INDEX(lst_exp_item_cat,MATCH(E1134,lst_exp_items,0))),"❔ Без категории"))</f>
        <v/>
      </c>
      <c r="G1134" s="43" t="n"/>
      <c r="H1134" s="56" t="n"/>
      <c r="I1134" s="43" t="n"/>
      <c r="J1134" s="57">
        <f>IF(OR(A1134="",H1134=""),"",IF(COUNTIFS(exp_year,C1134,exp_month,D1134,exp_item,E1134,exp_status,"&lt;&gt;❌ Отменено")&gt;0,1,0))</f>
        <v/>
      </c>
    </row>
    <row r="1135">
      <c r="A1135" s="52" t="n"/>
      <c r="B1135" s="53">
        <f>IF(A1135="","",CHOOSE(WEEKDAY(A1135,2),"Пн","Вт","Ср","Чт","Пт","Сб","Вс"))</f>
        <v/>
      </c>
      <c r="C1135" s="53">
        <f>IF(A1135="","",YEAR(A1135))</f>
        <v/>
      </c>
      <c r="D1135" s="54">
        <f>IF(A1135="","",INDEX(lst_months,MONTH(A1135)))</f>
        <v/>
      </c>
      <c r="E1135" s="55" t="n"/>
      <c r="F1135" s="54">
        <f>IF(E1135="","",IFERROR(IF(INDEX(lst_exp_item_cat,MATCH(E1135,lst_exp_items,0))="","❔ Без категории",INDEX(lst_exp_item_cat,MATCH(E1135,lst_exp_items,0))),"❔ Без категории"))</f>
        <v/>
      </c>
      <c r="G1135" s="43" t="n"/>
      <c r="H1135" s="56" t="n"/>
      <c r="I1135" s="43" t="n"/>
      <c r="J1135" s="57">
        <f>IF(OR(A1135="",H1135=""),"",IF(COUNTIFS(exp_year,C1135,exp_month,D1135,exp_item,E1135,exp_status,"&lt;&gt;❌ Отменено")&gt;0,1,0))</f>
        <v/>
      </c>
    </row>
    <row r="1136">
      <c r="A1136" s="52" t="n"/>
      <c r="B1136" s="53">
        <f>IF(A1136="","",CHOOSE(WEEKDAY(A1136,2),"Пн","Вт","Ср","Чт","Пт","Сб","Вс"))</f>
        <v/>
      </c>
      <c r="C1136" s="53">
        <f>IF(A1136="","",YEAR(A1136))</f>
        <v/>
      </c>
      <c r="D1136" s="54">
        <f>IF(A1136="","",INDEX(lst_months,MONTH(A1136)))</f>
        <v/>
      </c>
      <c r="E1136" s="55" t="n"/>
      <c r="F1136" s="54">
        <f>IF(E1136="","",IFERROR(IF(INDEX(lst_exp_item_cat,MATCH(E1136,lst_exp_items,0))="","❔ Без категории",INDEX(lst_exp_item_cat,MATCH(E1136,lst_exp_items,0))),"❔ Без категории"))</f>
        <v/>
      </c>
      <c r="G1136" s="43" t="n"/>
      <c r="H1136" s="56" t="n"/>
      <c r="I1136" s="43" t="n"/>
      <c r="J1136" s="57">
        <f>IF(OR(A1136="",H1136=""),"",IF(COUNTIFS(exp_year,C1136,exp_month,D1136,exp_item,E1136,exp_status,"&lt;&gt;❌ Отменено")&gt;0,1,0))</f>
        <v/>
      </c>
    </row>
    <row r="1137">
      <c r="A1137" s="52" t="n"/>
      <c r="B1137" s="53">
        <f>IF(A1137="","",CHOOSE(WEEKDAY(A1137,2),"Пн","Вт","Ср","Чт","Пт","Сб","Вс"))</f>
        <v/>
      </c>
      <c r="C1137" s="53">
        <f>IF(A1137="","",YEAR(A1137))</f>
        <v/>
      </c>
      <c r="D1137" s="54">
        <f>IF(A1137="","",INDEX(lst_months,MONTH(A1137)))</f>
        <v/>
      </c>
      <c r="E1137" s="55" t="n"/>
      <c r="F1137" s="54">
        <f>IF(E1137="","",IFERROR(IF(INDEX(lst_exp_item_cat,MATCH(E1137,lst_exp_items,0))="","❔ Без категории",INDEX(lst_exp_item_cat,MATCH(E1137,lst_exp_items,0))),"❔ Без категории"))</f>
        <v/>
      </c>
      <c r="G1137" s="43" t="n"/>
      <c r="H1137" s="56" t="n"/>
      <c r="I1137" s="43" t="n"/>
      <c r="J1137" s="57">
        <f>IF(OR(A1137="",H1137=""),"",IF(COUNTIFS(exp_year,C1137,exp_month,D1137,exp_item,E1137,exp_status,"&lt;&gt;❌ Отменено")&gt;0,1,0))</f>
        <v/>
      </c>
    </row>
    <row r="1138">
      <c r="A1138" s="52" t="n"/>
      <c r="B1138" s="53">
        <f>IF(A1138="","",CHOOSE(WEEKDAY(A1138,2),"Пн","Вт","Ср","Чт","Пт","Сб","Вс"))</f>
        <v/>
      </c>
      <c r="C1138" s="53">
        <f>IF(A1138="","",YEAR(A1138))</f>
        <v/>
      </c>
      <c r="D1138" s="54">
        <f>IF(A1138="","",INDEX(lst_months,MONTH(A1138)))</f>
        <v/>
      </c>
      <c r="E1138" s="55" t="n"/>
      <c r="F1138" s="54">
        <f>IF(E1138="","",IFERROR(IF(INDEX(lst_exp_item_cat,MATCH(E1138,lst_exp_items,0))="","❔ Без категории",INDEX(lst_exp_item_cat,MATCH(E1138,lst_exp_items,0))),"❔ Без категории"))</f>
        <v/>
      </c>
      <c r="G1138" s="43" t="n"/>
      <c r="H1138" s="56" t="n"/>
      <c r="I1138" s="43" t="n"/>
      <c r="J1138" s="57">
        <f>IF(OR(A1138="",H1138=""),"",IF(COUNTIFS(exp_year,C1138,exp_month,D1138,exp_item,E1138,exp_status,"&lt;&gt;❌ Отменено")&gt;0,1,0))</f>
        <v/>
      </c>
    </row>
    <row r="1139">
      <c r="A1139" s="52" t="n"/>
      <c r="B1139" s="53">
        <f>IF(A1139="","",CHOOSE(WEEKDAY(A1139,2),"Пн","Вт","Ср","Чт","Пт","Сб","Вс"))</f>
        <v/>
      </c>
      <c r="C1139" s="53">
        <f>IF(A1139="","",YEAR(A1139))</f>
        <v/>
      </c>
      <c r="D1139" s="54">
        <f>IF(A1139="","",INDEX(lst_months,MONTH(A1139)))</f>
        <v/>
      </c>
      <c r="E1139" s="55" t="n"/>
      <c r="F1139" s="54">
        <f>IF(E1139="","",IFERROR(IF(INDEX(lst_exp_item_cat,MATCH(E1139,lst_exp_items,0))="","❔ Без категории",INDEX(lst_exp_item_cat,MATCH(E1139,lst_exp_items,0))),"❔ Без категории"))</f>
        <v/>
      </c>
      <c r="G1139" s="43" t="n"/>
      <c r="H1139" s="56" t="n"/>
      <c r="I1139" s="43" t="n"/>
      <c r="J1139" s="57">
        <f>IF(OR(A1139="",H1139=""),"",IF(COUNTIFS(exp_year,C1139,exp_month,D1139,exp_item,E1139,exp_status,"&lt;&gt;❌ Отменено")&gt;0,1,0))</f>
        <v/>
      </c>
    </row>
    <row r="1140">
      <c r="A1140" s="52" t="n"/>
      <c r="B1140" s="53">
        <f>IF(A1140="","",CHOOSE(WEEKDAY(A1140,2),"Пн","Вт","Ср","Чт","Пт","Сб","Вс"))</f>
        <v/>
      </c>
      <c r="C1140" s="53">
        <f>IF(A1140="","",YEAR(A1140))</f>
        <v/>
      </c>
      <c r="D1140" s="54">
        <f>IF(A1140="","",INDEX(lst_months,MONTH(A1140)))</f>
        <v/>
      </c>
      <c r="E1140" s="55" t="n"/>
      <c r="F1140" s="54">
        <f>IF(E1140="","",IFERROR(IF(INDEX(lst_exp_item_cat,MATCH(E1140,lst_exp_items,0))="","❔ Без категории",INDEX(lst_exp_item_cat,MATCH(E1140,lst_exp_items,0))),"❔ Без категории"))</f>
        <v/>
      </c>
      <c r="G1140" s="43" t="n"/>
      <c r="H1140" s="56" t="n"/>
      <c r="I1140" s="43" t="n"/>
      <c r="J1140" s="57">
        <f>IF(OR(A1140="",H1140=""),"",IF(COUNTIFS(exp_year,C1140,exp_month,D1140,exp_item,E1140,exp_status,"&lt;&gt;❌ Отменено")&gt;0,1,0))</f>
        <v/>
      </c>
    </row>
    <row r="1141">
      <c r="A1141" s="52" t="n"/>
      <c r="B1141" s="53">
        <f>IF(A1141="","",CHOOSE(WEEKDAY(A1141,2),"Пн","Вт","Ср","Чт","Пт","Сб","Вс"))</f>
        <v/>
      </c>
      <c r="C1141" s="53">
        <f>IF(A1141="","",YEAR(A1141))</f>
        <v/>
      </c>
      <c r="D1141" s="54">
        <f>IF(A1141="","",INDEX(lst_months,MONTH(A1141)))</f>
        <v/>
      </c>
      <c r="E1141" s="55" t="n"/>
      <c r="F1141" s="54">
        <f>IF(E1141="","",IFERROR(IF(INDEX(lst_exp_item_cat,MATCH(E1141,lst_exp_items,0))="","❔ Без категории",INDEX(lst_exp_item_cat,MATCH(E1141,lst_exp_items,0))),"❔ Без категории"))</f>
        <v/>
      </c>
      <c r="G1141" s="43" t="n"/>
      <c r="H1141" s="56" t="n"/>
      <c r="I1141" s="43" t="n"/>
      <c r="J1141" s="57">
        <f>IF(OR(A1141="",H1141=""),"",IF(COUNTIFS(exp_year,C1141,exp_month,D1141,exp_item,E1141,exp_status,"&lt;&gt;❌ Отменено")&gt;0,1,0))</f>
        <v/>
      </c>
    </row>
    <row r="1142">
      <c r="A1142" s="52" t="n"/>
      <c r="B1142" s="53">
        <f>IF(A1142="","",CHOOSE(WEEKDAY(A1142,2),"Пн","Вт","Ср","Чт","Пт","Сб","Вс"))</f>
        <v/>
      </c>
      <c r="C1142" s="53">
        <f>IF(A1142="","",YEAR(A1142))</f>
        <v/>
      </c>
      <c r="D1142" s="54">
        <f>IF(A1142="","",INDEX(lst_months,MONTH(A1142)))</f>
        <v/>
      </c>
      <c r="E1142" s="55" t="n"/>
      <c r="F1142" s="54">
        <f>IF(E1142="","",IFERROR(IF(INDEX(lst_exp_item_cat,MATCH(E1142,lst_exp_items,0))="","❔ Без категории",INDEX(lst_exp_item_cat,MATCH(E1142,lst_exp_items,0))),"❔ Без категории"))</f>
        <v/>
      </c>
      <c r="G1142" s="43" t="n"/>
      <c r="H1142" s="56" t="n"/>
      <c r="I1142" s="43" t="n"/>
      <c r="J1142" s="57">
        <f>IF(OR(A1142="",H1142=""),"",IF(COUNTIFS(exp_year,C1142,exp_month,D1142,exp_item,E1142,exp_status,"&lt;&gt;❌ Отменено")&gt;0,1,0))</f>
        <v/>
      </c>
    </row>
    <row r="1143">
      <c r="A1143" s="52" t="n"/>
      <c r="B1143" s="53">
        <f>IF(A1143="","",CHOOSE(WEEKDAY(A1143,2),"Пн","Вт","Ср","Чт","Пт","Сб","Вс"))</f>
        <v/>
      </c>
      <c r="C1143" s="53">
        <f>IF(A1143="","",YEAR(A1143))</f>
        <v/>
      </c>
      <c r="D1143" s="54">
        <f>IF(A1143="","",INDEX(lst_months,MONTH(A1143)))</f>
        <v/>
      </c>
      <c r="E1143" s="55" t="n"/>
      <c r="F1143" s="54">
        <f>IF(E1143="","",IFERROR(IF(INDEX(lst_exp_item_cat,MATCH(E1143,lst_exp_items,0))="","❔ Без категории",INDEX(lst_exp_item_cat,MATCH(E1143,lst_exp_items,0))),"❔ Без категории"))</f>
        <v/>
      </c>
      <c r="G1143" s="43" t="n"/>
      <c r="H1143" s="56" t="n"/>
      <c r="I1143" s="43" t="n"/>
      <c r="J1143" s="57">
        <f>IF(OR(A1143="",H1143=""),"",IF(COUNTIFS(exp_year,C1143,exp_month,D1143,exp_item,E1143,exp_status,"&lt;&gt;❌ Отменено")&gt;0,1,0))</f>
        <v/>
      </c>
    </row>
    <row r="1144">
      <c r="A1144" s="52" t="n"/>
      <c r="B1144" s="53">
        <f>IF(A1144="","",CHOOSE(WEEKDAY(A1144,2),"Пн","Вт","Ср","Чт","Пт","Сб","Вс"))</f>
        <v/>
      </c>
      <c r="C1144" s="53">
        <f>IF(A1144="","",YEAR(A1144))</f>
        <v/>
      </c>
      <c r="D1144" s="54">
        <f>IF(A1144="","",INDEX(lst_months,MONTH(A1144)))</f>
        <v/>
      </c>
      <c r="E1144" s="55" t="n"/>
      <c r="F1144" s="54">
        <f>IF(E1144="","",IFERROR(IF(INDEX(lst_exp_item_cat,MATCH(E1144,lst_exp_items,0))="","❔ Без категории",INDEX(lst_exp_item_cat,MATCH(E1144,lst_exp_items,0))),"❔ Без категории"))</f>
        <v/>
      </c>
      <c r="G1144" s="43" t="n"/>
      <c r="H1144" s="56" t="n"/>
      <c r="I1144" s="43" t="n"/>
      <c r="J1144" s="57">
        <f>IF(OR(A1144="",H1144=""),"",IF(COUNTIFS(exp_year,C1144,exp_month,D1144,exp_item,E1144,exp_status,"&lt;&gt;❌ Отменено")&gt;0,1,0))</f>
        <v/>
      </c>
    </row>
    <row r="1145">
      <c r="A1145" s="52" t="n"/>
      <c r="B1145" s="53">
        <f>IF(A1145="","",CHOOSE(WEEKDAY(A1145,2),"Пн","Вт","Ср","Чт","Пт","Сб","Вс"))</f>
        <v/>
      </c>
      <c r="C1145" s="53">
        <f>IF(A1145="","",YEAR(A1145))</f>
        <v/>
      </c>
      <c r="D1145" s="54">
        <f>IF(A1145="","",INDEX(lst_months,MONTH(A1145)))</f>
        <v/>
      </c>
      <c r="E1145" s="55" t="n"/>
      <c r="F1145" s="54">
        <f>IF(E1145="","",IFERROR(IF(INDEX(lst_exp_item_cat,MATCH(E1145,lst_exp_items,0))="","❔ Без категории",INDEX(lst_exp_item_cat,MATCH(E1145,lst_exp_items,0))),"❔ Без категории"))</f>
        <v/>
      </c>
      <c r="G1145" s="43" t="n"/>
      <c r="H1145" s="56" t="n"/>
      <c r="I1145" s="43" t="n"/>
      <c r="J1145" s="57">
        <f>IF(OR(A1145="",H1145=""),"",IF(COUNTIFS(exp_year,C1145,exp_month,D1145,exp_item,E1145,exp_status,"&lt;&gt;❌ Отменено")&gt;0,1,0))</f>
        <v/>
      </c>
    </row>
    <row r="1146">
      <c r="A1146" s="52" t="n"/>
      <c r="B1146" s="53">
        <f>IF(A1146="","",CHOOSE(WEEKDAY(A1146,2),"Пн","Вт","Ср","Чт","Пт","Сб","Вс"))</f>
        <v/>
      </c>
      <c r="C1146" s="53">
        <f>IF(A1146="","",YEAR(A1146))</f>
        <v/>
      </c>
      <c r="D1146" s="54">
        <f>IF(A1146="","",INDEX(lst_months,MONTH(A1146)))</f>
        <v/>
      </c>
      <c r="E1146" s="55" t="n"/>
      <c r="F1146" s="54">
        <f>IF(E1146="","",IFERROR(IF(INDEX(lst_exp_item_cat,MATCH(E1146,lst_exp_items,0))="","❔ Без категории",INDEX(lst_exp_item_cat,MATCH(E1146,lst_exp_items,0))),"❔ Без категории"))</f>
        <v/>
      </c>
      <c r="G1146" s="43" t="n"/>
      <c r="H1146" s="56" t="n"/>
      <c r="I1146" s="43" t="n"/>
      <c r="J1146" s="57">
        <f>IF(OR(A1146="",H1146=""),"",IF(COUNTIFS(exp_year,C1146,exp_month,D1146,exp_item,E1146,exp_status,"&lt;&gt;❌ Отменено")&gt;0,1,0))</f>
        <v/>
      </c>
    </row>
    <row r="1147">
      <c r="A1147" s="52" t="n"/>
      <c r="B1147" s="53">
        <f>IF(A1147="","",CHOOSE(WEEKDAY(A1147,2),"Пн","Вт","Ср","Чт","Пт","Сб","Вс"))</f>
        <v/>
      </c>
      <c r="C1147" s="53">
        <f>IF(A1147="","",YEAR(A1147))</f>
        <v/>
      </c>
      <c r="D1147" s="54">
        <f>IF(A1147="","",INDEX(lst_months,MONTH(A1147)))</f>
        <v/>
      </c>
      <c r="E1147" s="55" t="n"/>
      <c r="F1147" s="54">
        <f>IF(E1147="","",IFERROR(IF(INDEX(lst_exp_item_cat,MATCH(E1147,lst_exp_items,0))="","❔ Без категории",INDEX(lst_exp_item_cat,MATCH(E1147,lst_exp_items,0))),"❔ Без категории"))</f>
        <v/>
      </c>
      <c r="G1147" s="43" t="n"/>
      <c r="H1147" s="56" t="n"/>
      <c r="I1147" s="43" t="n"/>
      <c r="J1147" s="57">
        <f>IF(OR(A1147="",H1147=""),"",IF(COUNTIFS(exp_year,C1147,exp_month,D1147,exp_item,E1147,exp_status,"&lt;&gt;❌ Отменено")&gt;0,1,0))</f>
        <v/>
      </c>
    </row>
    <row r="1148">
      <c r="A1148" s="52" t="n"/>
      <c r="B1148" s="53">
        <f>IF(A1148="","",CHOOSE(WEEKDAY(A1148,2),"Пн","Вт","Ср","Чт","Пт","Сб","Вс"))</f>
        <v/>
      </c>
      <c r="C1148" s="53">
        <f>IF(A1148="","",YEAR(A1148))</f>
        <v/>
      </c>
      <c r="D1148" s="54">
        <f>IF(A1148="","",INDEX(lst_months,MONTH(A1148)))</f>
        <v/>
      </c>
      <c r="E1148" s="55" t="n"/>
      <c r="F1148" s="54">
        <f>IF(E1148="","",IFERROR(IF(INDEX(lst_exp_item_cat,MATCH(E1148,lst_exp_items,0))="","❔ Без категории",INDEX(lst_exp_item_cat,MATCH(E1148,lst_exp_items,0))),"❔ Без категории"))</f>
        <v/>
      </c>
      <c r="G1148" s="43" t="n"/>
      <c r="H1148" s="56" t="n"/>
      <c r="I1148" s="43" t="n"/>
      <c r="J1148" s="57">
        <f>IF(OR(A1148="",H1148=""),"",IF(COUNTIFS(exp_year,C1148,exp_month,D1148,exp_item,E1148,exp_status,"&lt;&gt;❌ Отменено")&gt;0,1,0))</f>
        <v/>
      </c>
    </row>
    <row r="1149">
      <c r="A1149" s="52" t="n"/>
      <c r="B1149" s="53">
        <f>IF(A1149="","",CHOOSE(WEEKDAY(A1149,2),"Пн","Вт","Ср","Чт","Пт","Сб","Вс"))</f>
        <v/>
      </c>
      <c r="C1149" s="53">
        <f>IF(A1149="","",YEAR(A1149))</f>
        <v/>
      </c>
      <c r="D1149" s="54">
        <f>IF(A1149="","",INDEX(lst_months,MONTH(A1149)))</f>
        <v/>
      </c>
      <c r="E1149" s="55" t="n"/>
      <c r="F1149" s="54">
        <f>IF(E1149="","",IFERROR(IF(INDEX(lst_exp_item_cat,MATCH(E1149,lst_exp_items,0))="","❔ Без категории",INDEX(lst_exp_item_cat,MATCH(E1149,lst_exp_items,0))),"❔ Без категории"))</f>
        <v/>
      </c>
      <c r="G1149" s="43" t="n"/>
      <c r="H1149" s="56" t="n"/>
      <c r="I1149" s="43" t="n"/>
      <c r="J1149" s="57">
        <f>IF(OR(A1149="",H1149=""),"",IF(COUNTIFS(exp_year,C1149,exp_month,D1149,exp_item,E1149,exp_status,"&lt;&gt;❌ Отменено")&gt;0,1,0))</f>
        <v/>
      </c>
    </row>
    <row r="1150">
      <c r="A1150" s="52" t="n"/>
      <c r="B1150" s="53">
        <f>IF(A1150="","",CHOOSE(WEEKDAY(A1150,2),"Пн","Вт","Ср","Чт","Пт","Сб","Вс"))</f>
        <v/>
      </c>
      <c r="C1150" s="53">
        <f>IF(A1150="","",YEAR(A1150))</f>
        <v/>
      </c>
      <c r="D1150" s="54">
        <f>IF(A1150="","",INDEX(lst_months,MONTH(A1150)))</f>
        <v/>
      </c>
      <c r="E1150" s="55" t="n"/>
      <c r="F1150" s="54">
        <f>IF(E1150="","",IFERROR(IF(INDEX(lst_exp_item_cat,MATCH(E1150,lst_exp_items,0))="","❔ Без категории",INDEX(lst_exp_item_cat,MATCH(E1150,lst_exp_items,0))),"❔ Без категории"))</f>
        <v/>
      </c>
      <c r="G1150" s="43" t="n"/>
      <c r="H1150" s="56" t="n"/>
      <c r="I1150" s="43" t="n"/>
      <c r="J1150" s="57">
        <f>IF(OR(A1150="",H1150=""),"",IF(COUNTIFS(exp_year,C1150,exp_month,D1150,exp_item,E1150,exp_status,"&lt;&gt;❌ Отменено")&gt;0,1,0))</f>
        <v/>
      </c>
    </row>
    <row r="1151">
      <c r="A1151" s="52" t="n"/>
      <c r="B1151" s="53">
        <f>IF(A1151="","",CHOOSE(WEEKDAY(A1151,2),"Пн","Вт","Ср","Чт","Пт","Сб","Вс"))</f>
        <v/>
      </c>
      <c r="C1151" s="53">
        <f>IF(A1151="","",YEAR(A1151))</f>
        <v/>
      </c>
      <c r="D1151" s="54">
        <f>IF(A1151="","",INDEX(lst_months,MONTH(A1151)))</f>
        <v/>
      </c>
      <c r="E1151" s="55" t="n"/>
      <c r="F1151" s="54">
        <f>IF(E1151="","",IFERROR(IF(INDEX(lst_exp_item_cat,MATCH(E1151,lst_exp_items,0))="","❔ Без категории",INDEX(lst_exp_item_cat,MATCH(E1151,lst_exp_items,0))),"❔ Без категории"))</f>
        <v/>
      </c>
      <c r="G1151" s="43" t="n"/>
      <c r="H1151" s="56" t="n"/>
      <c r="I1151" s="43" t="n"/>
      <c r="J1151" s="57">
        <f>IF(OR(A1151="",H1151=""),"",IF(COUNTIFS(exp_year,C1151,exp_month,D1151,exp_item,E1151,exp_status,"&lt;&gt;❌ Отменено")&gt;0,1,0))</f>
        <v/>
      </c>
    </row>
    <row r="1152">
      <c r="A1152" s="52" t="n"/>
      <c r="B1152" s="53">
        <f>IF(A1152="","",CHOOSE(WEEKDAY(A1152,2),"Пн","Вт","Ср","Чт","Пт","Сб","Вс"))</f>
        <v/>
      </c>
      <c r="C1152" s="53">
        <f>IF(A1152="","",YEAR(A1152))</f>
        <v/>
      </c>
      <c r="D1152" s="54">
        <f>IF(A1152="","",INDEX(lst_months,MONTH(A1152)))</f>
        <v/>
      </c>
      <c r="E1152" s="55" t="n"/>
      <c r="F1152" s="54">
        <f>IF(E1152="","",IFERROR(IF(INDEX(lst_exp_item_cat,MATCH(E1152,lst_exp_items,0))="","❔ Без категории",INDEX(lst_exp_item_cat,MATCH(E1152,lst_exp_items,0))),"❔ Без категории"))</f>
        <v/>
      </c>
      <c r="G1152" s="43" t="n"/>
      <c r="H1152" s="56" t="n"/>
      <c r="I1152" s="43" t="n"/>
      <c r="J1152" s="57">
        <f>IF(OR(A1152="",H1152=""),"",IF(COUNTIFS(exp_year,C1152,exp_month,D1152,exp_item,E1152,exp_status,"&lt;&gt;❌ Отменено")&gt;0,1,0))</f>
        <v/>
      </c>
    </row>
    <row r="1153">
      <c r="A1153" s="52" t="n"/>
      <c r="B1153" s="53">
        <f>IF(A1153="","",CHOOSE(WEEKDAY(A1153,2),"Пн","Вт","Ср","Чт","Пт","Сб","Вс"))</f>
        <v/>
      </c>
      <c r="C1153" s="53">
        <f>IF(A1153="","",YEAR(A1153))</f>
        <v/>
      </c>
      <c r="D1153" s="54">
        <f>IF(A1153="","",INDEX(lst_months,MONTH(A1153)))</f>
        <v/>
      </c>
      <c r="E1153" s="55" t="n"/>
      <c r="F1153" s="54">
        <f>IF(E1153="","",IFERROR(IF(INDEX(lst_exp_item_cat,MATCH(E1153,lst_exp_items,0))="","❔ Без категории",INDEX(lst_exp_item_cat,MATCH(E1153,lst_exp_items,0))),"❔ Без категории"))</f>
        <v/>
      </c>
      <c r="G1153" s="43" t="n"/>
      <c r="H1153" s="56" t="n"/>
      <c r="I1153" s="43" t="n"/>
      <c r="J1153" s="57">
        <f>IF(OR(A1153="",H1153=""),"",IF(COUNTIFS(exp_year,C1153,exp_month,D1153,exp_item,E1153,exp_status,"&lt;&gt;❌ Отменено")&gt;0,1,0))</f>
        <v/>
      </c>
    </row>
    <row r="1154">
      <c r="A1154" s="52" t="n"/>
      <c r="B1154" s="53">
        <f>IF(A1154="","",CHOOSE(WEEKDAY(A1154,2),"Пн","Вт","Ср","Чт","Пт","Сб","Вс"))</f>
        <v/>
      </c>
      <c r="C1154" s="53">
        <f>IF(A1154="","",YEAR(A1154))</f>
        <v/>
      </c>
      <c r="D1154" s="54">
        <f>IF(A1154="","",INDEX(lst_months,MONTH(A1154)))</f>
        <v/>
      </c>
      <c r="E1154" s="55" t="n"/>
      <c r="F1154" s="54">
        <f>IF(E1154="","",IFERROR(IF(INDEX(lst_exp_item_cat,MATCH(E1154,lst_exp_items,0))="","❔ Без категории",INDEX(lst_exp_item_cat,MATCH(E1154,lst_exp_items,0))),"❔ Без категории"))</f>
        <v/>
      </c>
      <c r="G1154" s="43" t="n"/>
      <c r="H1154" s="56" t="n"/>
      <c r="I1154" s="43" t="n"/>
      <c r="J1154" s="57">
        <f>IF(OR(A1154="",H1154=""),"",IF(COUNTIFS(exp_year,C1154,exp_month,D1154,exp_item,E1154,exp_status,"&lt;&gt;❌ Отменено")&gt;0,1,0))</f>
        <v/>
      </c>
    </row>
    <row r="1155">
      <c r="A1155" s="52" t="n"/>
      <c r="B1155" s="53">
        <f>IF(A1155="","",CHOOSE(WEEKDAY(A1155,2),"Пн","Вт","Ср","Чт","Пт","Сб","Вс"))</f>
        <v/>
      </c>
      <c r="C1155" s="53">
        <f>IF(A1155="","",YEAR(A1155))</f>
        <v/>
      </c>
      <c r="D1155" s="54">
        <f>IF(A1155="","",INDEX(lst_months,MONTH(A1155)))</f>
        <v/>
      </c>
      <c r="E1155" s="55" t="n"/>
      <c r="F1155" s="54">
        <f>IF(E1155="","",IFERROR(IF(INDEX(lst_exp_item_cat,MATCH(E1155,lst_exp_items,0))="","❔ Без категории",INDEX(lst_exp_item_cat,MATCH(E1155,lst_exp_items,0))),"❔ Без категории"))</f>
        <v/>
      </c>
      <c r="G1155" s="43" t="n"/>
      <c r="H1155" s="56" t="n"/>
      <c r="I1155" s="43" t="n"/>
      <c r="J1155" s="57">
        <f>IF(OR(A1155="",H1155=""),"",IF(COUNTIFS(exp_year,C1155,exp_month,D1155,exp_item,E1155,exp_status,"&lt;&gt;❌ Отменено")&gt;0,1,0))</f>
        <v/>
      </c>
    </row>
    <row r="1156">
      <c r="A1156" s="52" t="n"/>
      <c r="B1156" s="53">
        <f>IF(A1156="","",CHOOSE(WEEKDAY(A1156,2),"Пн","Вт","Ср","Чт","Пт","Сб","Вс"))</f>
        <v/>
      </c>
      <c r="C1156" s="53">
        <f>IF(A1156="","",YEAR(A1156))</f>
        <v/>
      </c>
      <c r="D1156" s="54">
        <f>IF(A1156="","",INDEX(lst_months,MONTH(A1156)))</f>
        <v/>
      </c>
      <c r="E1156" s="55" t="n"/>
      <c r="F1156" s="54">
        <f>IF(E1156="","",IFERROR(IF(INDEX(lst_exp_item_cat,MATCH(E1156,lst_exp_items,0))="","❔ Без категории",INDEX(lst_exp_item_cat,MATCH(E1156,lst_exp_items,0))),"❔ Без категории"))</f>
        <v/>
      </c>
      <c r="G1156" s="43" t="n"/>
      <c r="H1156" s="56" t="n"/>
      <c r="I1156" s="43" t="n"/>
      <c r="J1156" s="57">
        <f>IF(OR(A1156="",H1156=""),"",IF(COUNTIFS(exp_year,C1156,exp_month,D1156,exp_item,E1156,exp_status,"&lt;&gt;❌ Отменено")&gt;0,1,0))</f>
        <v/>
      </c>
    </row>
    <row r="1157">
      <c r="A1157" s="52" t="n"/>
      <c r="B1157" s="53">
        <f>IF(A1157="","",CHOOSE(WEEKDAY(A1157,2),"Пн","Вт","Ср","Чт","Пт","Сб","Вс"))</f>
        <v/>
      </c>
      <c r="C1157" s="53">
        <f>IF(A1157="","",YEAR(A1157))</f>
        <v/>
      </c>
      <c r="D1157" s="54">
        <f>IF(A1157="","",INDEX(lst_months,MONTH(A1157)))</f>
        <v/>
      </c>
      <c r="E1157" s="55" t="n"/>
      <c r="F1157" s="54">
        <f>IF(E1157="","",IFERROR(IF(INDEX(lst_exp_item_cat,MATCH(E1157,lst_exp_items,0))="","❔ Без категории",INDEX(lst_exp_item_cat,MATCH(E1157,lst_exp_items,0))),"❔ Без категории"))</f>
        <v/>
      </c>
      <c r="G1157" s="43" t="n"/>
      <c r="H1157" s="56" t="n"/>
      <c r="I1157" s="43" t="n"/>
      <c r="J1157" s="57">
        <f>IF(OR(A1157="",H1157=""),"",IF(COUNTIFS(exp_year,C1157,exp_month,D1157,exp_item,E1157,exp_status,"&lt;&gt;❌ Отменено")&gt;0,1,0))</f>
        <v/>
      </c>
    </row>
    <row r="1158">
      <c r="A1158" s="52" t="n"/>
      <c r="B1158" s="53">
        <f>IF(A1158="","",CHOOSE(WEEKDAY(A1158,2),"Пн","Вт","Ср","Чт","Пт","Сб","Вс"))</f>
        <v/>
      </c>
      <c r="C1158" s="53">
        <f>IF(A1158="","",YEAR(A1158))</f>
        <v/>
      </c>
      <c r="D1158" s="54">
        <f>IF(A1158="","",INDEX(lst_months,MONTH(A1158)))</f>
        <v/>
      </c>
      <c r="E1158" s="55" t="n"/>
      <c r="F1158" s="54">
        <f>IF(E1158="","",IFERROR(IF(INDEX(lst_exp_item_cat,MATCH(E1158,lst_exp_items,0))="","❔ Без категории",INDEX(lst_exp_item_cat,MATCH(E1158,lst_exp_items,0))),"❔ Без категории"))</f>
        <v/>
      </c>
      <c r="G1158" s="43" t="n"/>
      <c r="H1158" s="56" t="n"/>
      <c r="I1158" s="43" t="n"/>
      <c r="J1158" s="57">
        <f>IF(OR(A1158="",H1158=""),"",IF(COUNTIFS(exp_year,C1158,exp_month,D1158,exp_item,E1158,exp_status,"&lt;&gt;❌ Отменено")&gt;0,1,0))</f>
        <v/>
      </c>
    </row>
    <row r="1159">
      <c r="A1159" s="52" t="n"/>
      <c r="B1159" s="53">
        <f>IF(A1159="","",CHOOSE(WEEKDAY(A1159,2),"Пн","Вт","Ср","Чт","Пт","Сб","Вс"))</f>
        <v/>
      </c>
      <c r="C1159" s="53">
        <f>IF(A1159="","",YEAR(A1159))</f>
        <v/>
      </c>
      <c r="D1159" s="54">
        <f>IF(A1159="","",INDEX(lst_months,MONTH(A1159)))</f>
        <v/>
      </c>
      <c r="E1159" s="55" t="n"/>
      <c r="F1159" s="54">
        <f>IF(E1159="","",IFERROR(IF(INDEX(lst_exp_item_cat,MATCH(E1159,lst_exp_items,0))="","❔ Без категории",INDEX(lst_exp_item_cat,MATCH(E1159,lst_exp_items,0))),"❔ Без категории"))</f>
        <v/>
      </c>
      <c r="G1159" s="43" t="n"/>
      <c r="H1159" s="56" t="n"/>
      <c r="I1159" s="43" t="n"/>
      <c r="J1159" s="57">
        <f>IF(OR(A1159="",H1159=""),"",IF(COUNTIFS(exp_year,C1159,exp_month,D1159,exp_item,E1159,exp_status,"&lt;&gt;❌ Отменено")&gt;0,1,0))</f>
        <v/>
      </c>
    </row>
    <row r="1160">
      <c r="A1160" s="52" t="n"/>
      <c r="B1160" s="53">
        <f>IF(A1160="","",CHOOSE(WEEKDAY(A1160,2),"Пн","Вт","Ср","Чт","Пт","Сб","Вс"))</f>
        <v/>
      </c>
      <c r="C1160" s="53">
        <f>IF(A1160="","",YEAR(A1160))</f>
        <v/>
      </c>
      <c r="D1160" s="54">
        <f>IF(A1160="","",INDEX(lst_months,MONTH(A1160)))</f>
        <v/>
      </c>
      <c r="E1160" s="55" t="n"/>
      <c r="F1160" s="54">
        <f>IF(E1160="","",IFERROR(IF(INDEX(lst_exp_item_cat,MATCH(E1160,lst_exp_items,0))="","❔ Без категории",INDEX(lst_exp_item_cat,MATCH(E1160,lst_exp_items,0))),"❔ Без категории"))</f>
        <v/>
      </c>
      <c r="G1160" s="43" t="n"/>
      <c r="H1160" s="56" t="n"/>
      <c r="I1160" s="43" t="n"/>
      <c r="J1160" s="57">
        <f>IF(OR(A1160="",H1160=""),"",IF(COUNTIFS(exp_year,C1160,exp_month,D1160,exp_item,E1160,exp_status,"&lt;&gt;❌ Отменено")&gt;0,1,0))</f>
        <v/>
      </c>
    </row>
    <row r="1161">
      <c r="A1161" s="52" t="n"/>
      <c r="B1161" s="53">
        <f>IF(A1161="","",CHOOSE(WEEKDAY(A1161,2),"Пн","Вт","Ср","Чт","Пт","Сб","Вс"))</f>
        <v/>
      </c>
      <c r="C1161" s="53">
        <f>IF(A1161="","",YEAR(A1161))</f>
        <v/>
      </c>
      <c r="D1161" s="54">
        <f>IF(A1161="","",INDEX(lst_months,MONTH(A1161)))</f>
        <v/>
      </c>
      <c r="E1161" s="55" t="n"/>
      <c r="F1161" s="54">
        <f>IF(E1161="","",IFERROR(IF(INDEX(lst_exp_item_cat,MATCH(E1161,lst_exp_items,0))="","❔ Без категории",INDEX(lst_exp_item_cat,MATCH(E1161,lst_exp_items,0))),"❔ Без категории"))</f>
        <v/>
      </c>
      <c r="G1161" s="43" t="n"/>
      <c r="H1161" s="56" t="n"/>
      <c r="I1161" s="43" t="n"/>
      <c r="J1161" s="57">
        <f>IF(OR(A1161="",H1161=""),"",IF(COUNTIFS(exp_year,C1161,exp_month,D1161,exp_item,E1161,exp_status,"&lt;&gt;❌ Отменено")&gt;0,1,0))</f>
        <v/>
      </c>
    </row>
    <row r="1162">
      <c r="A1162" s="52" t="n"/>
      <c r="B1162" s="53">
        <f>IF(A1162="","",CHOOSE(WEEKDAY(A1162,2),"Пн","Вт","Ср","Чт","Пт","Сб","Вс"))</f>
        <v/>
      </c>
      <c r="C1162" s="53">
        <f>IF(A1162="","",YEAR(A1162))</f>
        <v/>
      </c>
      <c r="D1162" s="54">
        <f>IF(A1162="","",INDEX(lst_months,MONTH(A1162)))</f>
        <v/>
      </c>
      <c r="E1162" s="55" t="n"/>
      <c r="F1162" s="54">
        <f>IF(E1162="","",IFERROR(IF(INDEX(lst_exp_item_cat,MATCH(E1162,lst_exp_items,0))="","❔ Без категории",INDEX(lst_exp_item_cat,MATCH(E1162,lst_exp_items,0))),"❔ Без категории"))</f>
        <v/>
      </c>
      <c r="G1162" s="43" t="n"/>
      <c r="H1162" s="56" t="n"/>
      <c r="I1162" s="43" t="n"/>
      <c r="J1162" s="57">
        <f>IF(OR(A1162="",H1162=""),"",IF(COUNTIFS(exp_year,C1162,exp_month,D1162,exp_item,E1162,exp_status,"&lt;&gt;❌ Отменено")&gt;0,1,0))</f>
        <v/>
      </c>
    </row>
    <row r="1163">
      <c r="A1163" s="52" t="n"/>
      <c r="B1163" s="53">
        <f>IF(A1163="","",CHOOSE(WEEKDAY(A1163,2),"Пн","Вт","Ср","Чт","Пт","Сб","Вс"))</f>
        <v/>
      </c>
      <c r="C1163" s="53">
        <f>IF(A1163="","",YEAR(A1163))</f>
        <v/>
      </c>
      <c r="D1163" s="54">
        <f>IF(A1163="","",INDEX(lst_months,MONTH(A1163)))</f>
        <v/>
      </c>
      <c r="E1163" s="55" t="n"/>
      <c r="F1163" s="54">
        <f>IF(E1163="","",IFERROR(IF(INDEX(lst_exp_item_cat,MATCH(E1163,lst_exp_items,0))="","❔ Без категории",INDEX(lst_exp_item_cat,MATCH(E1163,lst_exp_items,0))),"❔ Без категории"))</f>
        <v/>
      </c>
      <c r="G1163" s="43" t="n"/>
      <c r="H1163" s="56" t="n"/>
      <c r="I1163" s="43" t="n"/>
      <c r="J1163" s="57">
        <f>IF(OR(A1163="",H1163=""),"",IF(COUNTIFS(exp_year,C1163,exp_month,D1163,exp_item,E1163,exp_status,"&lt;&gt;❌ Отменено")&gt;0,1,0))</f>
        <v/>
      </c>
    </row>
    <row r="1164">
      <c r="A1164" s="52" t="n"/>
      <c r="B1164" s="53">
        <f>IF(A1164="","",CHOOSE(WEEKDAY(A1164,2),"Пн","Вт","Ср","Чт","Пт","Сб","Вс"))</f>
        <v/>
      </c>
      <c r="C1164" s="53">
        <f>IF(A1164="","",YEAR(A1164))</f>
        <v/>
      </c>
      <c r="D1164" s="54">
        <f>IF(A1164="","",INDEX(lst_months,MONTH(A1164)))</f>
        <v/>
      </c>
      <c r="E1164" s="55" t="n"/>
      <c r="F1164" s="54">
        <f>IF(E1164="","",IFERROR(IF(INDEX(lst_exp_item_cat,MATCH(E1164,lst_exp_items,0))="","❔ Без категории",INDEX(lst_exp_item_cat,MATCH(E1164,lst_exp_items,0))),"❔ Без категории"))</f>
        <v/>
      </c>
      <c r="G1164" s="43" t="n"/>
      <c r="H1164" s="56" t="n"/>
      <c r="I1164" s="43" t="n"/>
      <c r="J1164" s="57">
        <f>IF(OR(A1164="",H1164=""),"",IF(COUNTIFS(exp_year,C1164,exp_month,D1164,exp_item,E1164,exp_status,"&lt;&gt;❌ Отменено")&gt;0,1,0))</f>
        <v/>
      </c>
    </row>
    <row r="1165">
      <c r="A1165" s="52" t="n"/>
      <c r="B1165" s="53">
        <f>IF(A1165="","",CHOOSE(WEEKDAY(A1165,2),"Пн","Вт","Ср","Чт","Пт","Сб","Вс"))</f>
        <v/>
      </c>
      <c r="C1165" s="53">
        <f>IF(A1165="","",YEAR(A1165))</f>
        <v/>
      </c>
      <c r="D1165" s="54">
        <f>IF(A1165="","",INDEX(lst_months,MONTH(A1165)))</f>
        <v/>
      </c>
      <c r="E1165" s="55" t="n"/>
      <c r="F1165" s="54">
        <f>IF(E1165="","",IFERROR(IF(INDEX(lst_exp_item_cat,MATCH(E1165,lst_exp_items,0))="","❔ Без категории",INDEX(lst_exp_item_cat,MATCH(E1165,lst_exp_items,0))),"❔ Без категории"))</f>
        <v/>
      </c>
      <c r="G1165" s="43" t="n"/>
      <c r="H1165" s="56" t="n"/>
      <c r="I1165" s="43" t="n"/>
      <c r="J1165" s="57">
        <f>IF(OR(A1165="",H1165=""),"",IF(COUNTIFS(exp_year,C1165,exp_month,D1165,exp_item,E1165,exp_status,"&lt;&gt;❌ Отменено")&gt;0,1,0))</f>
        <v/>
      </c>
    </row>
    <row r="1166">
      <c r="A1166" s="52" t="n"/>
      <c r="B1166" s="53">
        <f>IF(A1166="","",CHOOSE(WEEKDAY(A1166,2),"Пн","Вт","Ср","Чт","Пт","Сб","Вс"))</f>
        <v/>
      </c>
      <c r="C1166" s="53">
        <f>IF(A1166="","",YEAR(A1166))</f>
        <v/>
      </c>
      <c r="D1166" s="54">
        <f>IF(A1166="","",INDEX(lst_months,MONTH(A1166)))</f>
        <v/>
      </c>
      <c r="E1166" s="55" t="n"/>
      <c r="F1166" s="54">
        <f>IF(E1166="","",IFERROR(IF(INDEX(lst_exp_item_cat,MATCH(E1166,lst_exp_items,0))="","❔ Без категории",INDEX(lst_exp_item_cat,MATCH(E1166,lst_exp_items,0))),"❔ Без категории"))</f>
        <v/>
      </c>
      <c r="G1166" s="43" t="n"/>
      <c r="H1166" s="56" t="n"/>
      <c r="I1166" s="43" t="n"/>
      <c r="J1166" s="57">
        <f>IF(OR(A1166="",H1166=""),"",IF(COUNTIFS(exp_year,C1166,exp_month,D1166,exp_item,E1166,exp_status,"&lt;&gt;❌ Отменено")&gt;0,1,0))</f>
        <v/>
      </c>
    </row>
    <row r="1167">
      <c r="A1167" s="52" t="n"/>
      <c r="B1167" s="53">
        <f>IF(A1167="","",CHOOSE(WEEKDAY(A1167,2),"Пн","Вт","Ср","Чт","Пт","Сб","Вс"))</f>
        <v/>
      </c>
      <c r="C1167" s="53">
        <f>IF(A1167="","",YEAR(A1167))</f>
        <v/>
      </c>
      <c r="D1167" s="54">
        <f>IF(A1167="","",INDEX(lst_months,MONTH(A1167)))</f>
        <v/>
      </c>
      <c r="E1167" s="55" t="n"/>
      <c r="F1167" s="54">
        <f>IF(E1167="","",IFERROR(IF(INDEX(lst_exp_item_cat,MATCH(E1167,lst_exp_items,0))="","❔ Без категории",INDEX(lst_exp_item_cat,MATCH(E1167,lst_exp_items,0))),"❔ Без категории"))</f>
        <v/>
      </c>
      <c r="G1167" s="43" t="n"/>
      <c r="H1167" s="56" t="n"/>
      <c r="I1167" s="43" t="n"/>
      <c r="J1167" s="57">
        <f>IF(OR(A1167="",H1167=""),"",IF(COUNTIFS(exp_year,C1167,exp_month,D1167,exp_item,E1167,exp_status,"&lt;&gt;❌ Отменено")&gt;0,1,0))</f>
        <v/>
      </c>
    </row>
    <row r="1168">
      <c r="A1168" s="52" t="n"/>
      <c r="B1168" s="53">
        <f>IF(A1168="","",CHOOSE(WEEKDAY(A1168,2),"Пн","Вт","Ср","Чт","Пт","Сб","Вс"))</f>
        <v/>
      </c>
      <c r="C1168" s="53">
        <f>IF(A1168="","",YEAR(A1168))</f>
        <v/>
      </c>
      <c r="D1168" s="54">
        <f>IF(A1168="","",INDEX(lst_months,MONTH(A1168)))</f>
        <v/>
      </c>
      <c r="E1168" s="55" t="n"/>
      <c r="F1168" s="54">
        <f>IF(E1168="","",IFERROR(IF(INDEX(lst_exp_item_cat,MATCH(E1168,lst_exp_items,0))="","❔ Без категории",INDEX(lst_exp_item_cat,MATCH(E1168,lst_exp_items,0))),"❔ Без категории"))</f>
        <v/>
      </c>
      <c r="G1168" s="43" t="n"/>
      <c r="H1168" s="56" t="n"/>
      <c r="I1168" s="43" t="n"/>
      <c r="J1168" s="57">
        <f>IF(OR(A1168="",H1168=""),"",IF(COUNTIFS(exp_year,C1168,exp_month,D1168,exp_item,E1168,exp_status,"&lt;&gt;❌ Отменено")&gt;0,1,0))</f>
        <v/>
      </c>
    </row>
    <row r="1169">
      <c r="A1169" s="52" t="n"/>
      <c r="B1169" s="53">
        <f>IF(A1169="","",CHOOSE(WEEKDAY(A1169,2),"Пн","Вт","Ср","Чт","Пт","Сб","Вс"))</f>
        <v/>
      </c>
      <c r="C1169" s="53">
        <f>IF(A1169="","",YEAR(A1169))</f>
        <v/>
      </c>
      <c r="D1169" s="54">
        <f>IF(A1169="","",INDEX(lst_months,MONTH(A1169)))</f>
        <v/>
      </c>
      <c r="E1169" s="55" t="n"/>
      <c r="F1169" s="54">
        <f>IF(E1169="","",IFERROR(IF(INDEX(lst_exp_item_cat,MATCH(E1169,lst_exp_items,0))="","❔ Без категории",INDEX(lst_exp_item_cat,MATCH(E1169,lst_exp_items,0))),"❔ Без категории"))</f>
        <v/>
      </c>
      <c r="G1169" s="43" t="n"/>
      <c r="H1169" s="56" t="n"/>
      <c r="I1169" s="43" t="n"/>
      <c r="J1169" s="57">
        <f>IF(OR(A1169="",H1169=""),"",IF(COUNTIFS(exp_year,C1169,exp_month,D1169,exp_item,E1169,exp_status,"&lt;&gt;❌ Отменено")&gt;0,1,0))</f>
        <v/>
      </c>
    </row>
    <row r="1170">
      <c r="A1170" s="52" t="n"/>
      <c r="B1170" s="53">
        <f>IF(A1170="","",CHOOSE(WEEKDAY(A1170,2),"Пн","Вт","Ср","Чт","Пт","Сб","Вс"))</f>
        <v/>
      </c>
      <c r="C1170" s="53">
        <f>IF(A1170="","",YEAR(A1170))</f>
        <v/>
      </c>
      <c r="D1170" s="54">
        <f>IF(A1170="","",INDEX(lst_months,MONTH(A1170)))</f>
        <v/>
      </c>
      <c r="E1170" s="55" t="n"/>
      <c r="F1170" s="54">
        <f>IF(E1170="","",IFERROR(IF(INDEX(lst_exp_item_cat,MATCH(E1170,lst_exp_items,0))="","❔ Без категории",INDEX(lst_exp_item_cat,MATCH(E1170,lst_exp_items,0))),"❔ Без категории"))</f>
        <v/>
      </c>
      <c r="G1170" s="43" t="n"/>
      <c r="H1170" s="56" t="n"/>
      <c r="I1170" s="43" t="n"/>
      <c r="J1170" s="57">
        <f>IF(OR(A1170="",H1170=""),"",IF(COUNTIFS(exp_year,C1170,exp_month,D1170,exp_item,E1170,exp_status,"&lt;&gt;❌ Отменено")&gt;0,1,0))</f>
        <v/>
      </c>
    </row>
    <row r="1171">
      <c r="A1171" s="52" t="n"/>
      <c r="B1171" s="53">
        <f>IF(A1171="","",CHOOSE(WEEKDAY(A1171,2),"Пн","Вт","Ср","Чт","Пт","Сб","Вс"))</f>
        <v/>
      </c>
      <c r="C1171" s="53">
        <f>IF(A1171="","",YEAR(A1171))</f>
        <v/>
      </c>
      <c r="D1171" s="54">
        <f>IF(A1171="","",INDEX(lst_months,MONTH(A1171)))</f>
        <v/>
      </c>
      <c r="E1171" s="55" t="n"/>
      <c r="F1171" s="54">
        <f>IF(E1171="","",IFERROR(IF(INDEX(lst_exp_item_cat,MATCH(E1171,lst_exp_items,0))="","❔ Без категории",INDEX(lst_exp_item_cat,MATCH(E1171,lst_exp_items,0))),"❔ Без категории"))</f>
        <v/>
      </c>
      <c r="G1171" s="43" t="n"/>
      <c r="H1171" s="56" t="n"/>
      <c r="I1171" s="43" t="n"/>
      <c r="J1171" s="57">
        <f>IF(OR(A1171="",H1171=""),"",IF(COUNTIFS(exp_year,C1171,exp_month,D1171,exp_item,E1171,exp_status,"&lt;&gt;❌ Отменено")&gt;0,1,0))</f>
        <v/>
      </c>
    </row>
    <row r="1172">
      <c r="A1172" s="52" t="n"/>
      <c r="B1172" s="53">
        <f>IF(A1172="","",CHOOSE(WEEKDAY(A1172,2),"Пн","Вт","Ср","Чт","Пт","Сб","Вс"))</f>
        <v/>
      </c>
      <c r="C1172" s="53">
        <f>IF(A1172="","",YEAR(A1172))</f>
        <v/>
      </c>
      <c r="D1172" s="54">
        <f>IF(A1172="","",INDEX(lst_months,MONTH(A1172)))</f>
        <v/>
      </c>
      <c r="E1172" s="55" t="n"/>
      <c r="F1172" s="54">
        <f>IF(E1172="","",IFERROR(IF(INDEX(lst_exp_item_cat,MATCH(E1172,lst_exp_items,0))="","❔ Без категории",INDEX(lst_exp_item_cat,MATCH(E1172,lst_exp_items,0))),"❔ Без категории"))</f>
        <v/>
      </c>
      <c r="G1172" s="43" t="n"/>
      <c r="H1172" s="56" t="n"/>
      <c r="I1172" s="43" t="n"/>
      <c r="J1172" s="57">
        <f>IF(OR(A1172="",H1172=""),"",IF(COUNTIFS(exp_year,C1172,exp_month,D1172,exp_item,E1172,exp_status,"&lt;&gt;❌ Отменено")&gt;0,1,0))</f>
        <v/>
      </c>
    </row>
    <row r="1173">
      <c r="A1173" s="52" t="n"/>
      <c r="B1173" s="53">
        <f>IF(A1173="","",CHOOSE(WEEKDAY(A1173,2),"Пн","Вт","Ср","Чт","Пт","Сб","Вс"))</f>
        <v/>
      </c>
      <c r="C1173" s="53">
        <f>IF(A1173="","",YEAR(A1173))</f>
        <v/>
      </c>
      <c r="D1173" s="54">
        <f>IF(A1173="","",INDEX(lst_months,MONTH(A1173)))</f>
        <v/>
      </c>
      <c r="E1173" s="55" t="n"/>
      <c r="F1173" s="54">
        <f>IF(E1173="","",IFERROR(IF(INDEX(lst_exp_item_cat,MATCH(E1173,lst_exp_items,0))="","❔ Без категории",INDEX(lst_exp_item_cat,MATCH(E1173,lst_exp_items,0))),"❔ Без категории"))</f>
        <v/>
      </c>
      <c r="G1173" s="43" t="n"/>
      <c r="H1173" s="56" t="n"/>
      <c r="I1173" s="43" t="n"/>
      <c r="J1173" s="57">
        <f>IF(OR(A1173="",H1173=""),"",IF(COUNTIFS(exp_year,C1173,exp_month,D1173,exp_item,E1173,exp_status,"&lt;&gt;❌ Отменено")&gt;0,1,0))</f>
        <v/>
      </c>
    </row>
    <row r="1174">
      <c r="A1174" s="52" t="n"/>
      <c r="B1174" s="53">
        <f>IF(A1174="","",CHOOSE(WEEKDAY(A1174,2),"Пн","Вт","Ср","Чт","Пт","Сб","Вс"))</f>
        <v/>
      </c>
      <c r="C1174" s="53">
        <f>IF(A1174="","",YEAR(A1174))</f>
        <v/>
      </c>
      <c r="D1174" s="54">
        <f>IF(A1174="","",INDEX(lst_months,MONTH(A1174)))</f>
        <v/>
      </c>
      <c r="E1174" s="55" t="n"/>
      <c r="F1174" s="54">
        <f>IF(E1174="","",IFERROR(IF(INDEX(lst_exp_item_cat,MATCH(E1174,lst_exp_items,0))="","❔ Без категории",INDEX(lst_exp_item_cat,MATCH(E1174,lst_exp_items,0))),"❔ Без категории"))</f>
        <v/>
      </c>
      <c r="G1174" s="43" t="n"/>
      <c r="H1174" s="56" t="n"/>
      <c r="I1174" s="43" t="n"/>
      <c r="J1174" s="57">
        <f>IF(OR(A1174="",H1174=""),"",IF(COUNTIFS(exp_year,C1174,exp_month,D1174,exp_item,E1174,exp_status,"&lt;&gt;❌ Отменено")&gt;0,1,0))</f>
        <v/>
      </c>
    </row>
    <row r="1175">
      <c r="A1175" s="52" t="n"/>
      <c r="B1175" s="53">
        <f>IF(A1175="","",CHOOSE(WEEKDAY(A1175,2),"Пн","Вт","Ср","Чт","Пт","Сб","Вс"))</f>
        <v/>
      </c>
      <c r="C1175" s="53">
        <f>IF(A1175="","",YEAR(A1175))</f>
        <v/>
      </c>
      <c r="D1175" s="54">
        <f>IF(A1175="","",INDEX(lst_months,MONTH(A1175)))</f>
        <v/>
      </c>
      <c r="E1175" s="55" t="n"/>
      <c r="F1175" s="54">
        <f>IF(E1175="","",IFERROR(IF(INDEX(lst_exp_item_cat,MATCH(E1175,lst_exp_items,0))="","❔ Без категории",INDEX(lst_exp_item_cat,MATCH(E1175,lst_exp_items,0))),"❔ Без категории"))</f>
        <v/>
      </c>
      <c r="G1175" s="43" t="n"/>
      <c r="H1175" s="56" t="n"/>
      <c r="I1175" s="43" t="n"/>
      <c r="J1175" s="57">
        <f>IF(OR(A1175="",H1175=""),"",IF(COUNTIFS(exp_year,C1175,exp_month,D1175,exp_item,E1175,exp_status,"&lt;&gt;❌ Отменено")&gt;0,1,0))</f>
        <v/>
      </c>
    </row>
    <row r="1176">
      <c r="A1176" s="52" t="n"/>
      <c r="B1176" s="53">
        <f>IF(A1176="","",CHOOSE(WEEKDAY(A1176,2),"Пн","Вт","Ср","Чт","Пт","Сб","Вс"))</f>
        <v/>
      </c>
      <c r="C1176" s="53">
        <f>IF(A1176="","",YEAR(A1176))</f>
        <v/>
      </c>
      <c r="D1176" s="54">
        <f>IF(A1176="","",INDEX(lst_months,MONTH(A1176)))</f>
        <v/>
      </c>
      <c r="E1176" s="55" t="n"/>
      <c r="F1176" s="54">
        <f>IF(E1176="","",IFERROR(IF(INDEX(lst_exp_item_cat,MATCH(E1176,lst_exp_items,0))="","❔ Без категории",INDEX(lst_exp_item_cat,MATCH(E1176,lst_exp_items,0))),"❔ Без категории"))</f>
        <v/>
      </c>
      <c r="G1176" s="43" t="n"/>
      <c r="H1176" s="56" t="n"/>
      <c r="I1176" s="43" t="n"/>
      <c r="J1176" s="57">
        <f>IF(OR(A1176="",H1176=""),"",IF(COUNTIFS(exp_year,C1176,exp_month,D1176,exp_item,E1176,exp_status,"&lt;&gt;❌ Отменено")&gt;0,1,0))</f>
        <v/>
      </c>
    </row>
    <row r="1177">
      <c r="A1177" s="52" t="n"/>
      <c r="B1177" s="53">
        <f>IF(A1177="","",CHOOSE(WEEKDAY(A1177,2),"Пн","Вт","Ср","Чт","Пт","Сб","Вс"))</f>
        <v/>
      </c>
      <c r="C1177" s="53">
        <f>IF(A1177="","",YEAR(A1177))</f>
        <v/>
      </c>
      <c r="D1177" s="54">
        <f>IF(A1177="","",INDEX(lst_months,MONTH(A1177)))</f>
        <v/>
      </c>
      <c r="E1177" s="55" t="n"/>
      <c r="F1177" s="54">
        <f>IF(E1177="","",IFERROR(IF(INDEX(lst_exp_item_cat,MATCH(E1177,lst_exp_items,0))="","❔ Без категории",INDEX(lst_exp_item_cat,MATCH(E1177,lst_exp_items,0))),"❔ Без категории"))</f>
        <v/>
      </c>
      <c r="G1177" s="43" t="n"/>
      <c r="H1177" s="56" t="n"/>
      <c r="I1177" s="43" t="n"/>
      <c r="J1177" s="57">
        <f>IF(OR(A1177="",H1177=""),"",IF(COUNTIFS(exp_year,C1177,exp_month,D1177,exp_item,E1177,exp_status,"&lt;&gt;❌ Отменено")&gt;0,1,0))</f>
        <v/>
      </c>
    </row>
    <row r="1178">
      <c r="A1178" s="52" t="n"/>
      <c r="B1178" s="53">
        <f>IF(A1178="","",CHOOSE(WEEKDAY(A1178,2),"Пн","Вт","Ср","Чт","Пт","Сб","Вс"))</f>
        <v/>
      </c>
      <c r="C1178" s="53">
        <f>IF(A1178="","",YEAR(A1178))</f>
        <v/>
      </c>
      <c r="D1178" s="54">
        <f>IF(A1178="","",INDEX(lst_months,MONTH(A1178)))</f>
        <v/>
      </c>
      <c r="E1178" s="55" t="n"/>
      <c r="F1178" s="54">
        <f>IF(E1178="","",IFERROR(IF(INDEX(lst_exp_item_cat,MATCH(E1178,lst_exp_items,0))="","❔ Без категории",INDEX(lst_exp_item_cat,MATCH(E1178,lst_exp_items,0))),"❔ Без категории"))</f>
        <v/>
      </c>
      <c r="G1178" s="43" t="n"/>
      <c r="H1178" s="56" t="n"/>
      <c r="I1178" s="43" t="n"/>
      <c r="J1178" s="57">
        <f>IF(OR(A1178="",H1178=""),"",IF(COUNTIFS(exp_year,C1178,exp_month,D1178,exp_item,E1178,exp_status,"&lt;&gt;❌ Отменено")&gt;0,1,0))</f>
        <v/>
      </c>
    </row>
    <row r="1179">
      <c r="A1179" s="52" t="n"/>
      <c r="B1179" s="53">
        <f>IF(A1179="","",CHOOSE(WEEKDAY(A1179,2),"Пн","Вт","Ср","Чт","Пт","Сб","Вс"))</f>
        <v/>
      </c>
      <c r="C1179" s="53">
        <f>IF(A1179="","",YEAR(A1179))</f>
        <v/>
      </c>
      <c r="D1179" s="54">
        <f>IF(A1179="","",INDEX(lst_months,MONTH(A1179)))</f>
        <v/>
      </c>
      <c r="E1179" s="55" t="n"/>
      <c r="F1179" s="54">
        <f>IF(E1179="","",IFERROR(IF(INDEX(lst_exp_item_cat,MATCH(E1179,lst_exp_items,0))="","❔ Без категории",INDEX(lst_exp_item_cat,MATCH(E1179,lst_exp_items,0))),"❔ Без категории"))</f>
        <v/>
      </c>
      <c r="G1179" s="43" t="n"/>
      <c r="H1179" s="56" t="n"/>
      <c r="I1179" s="43" t="n"/>
      <c r="J1179" s="57">
        <f>IF(OR(A1179="",H1179=""),"",IF(COUNTIFS(exp_year,C1179,exp_month,D1179,exp_item,E1179,exp_status,"&lt;&gt;❌ Отменено")&gt;0,1,0))</f>
        <v/>
      </c>
    </row>
    <row r="1180">
      <c r="A1180" s="52" t="n"/>
      <c r="B1180" s="53">
        <f>IF(A1180="","",CHOOSE(WEEKDAY(A1180,2),"Пн","Вт","Ср","Чт","Пт","Сб","Вс"))</f>
        <v/>
      </c>
      <c r="C1180" s="53">
        <f>IF(A1180="","",YEAR(A1180))</f>
        <v/>
      </c>
      <c r="D1180" s="54">
        <f>IF(A1180="","",INDEX(lst_months,MONTH(A1180)))</f>
        <v/>
      </c>
      <c r="E1180" s="55" t="n"/>
      <c r="F1180" s="54">
        <f>IF(E1180="","",IFERROR(IF(INDEX(lst_exp_item_cat,MATCH(E1180,lst_exp_items,0))="","❔ Без категории",INDEX(lst_exp_item_cat,MATCH(E1180,lst_exp_items,0))),"❔ Без категории"))</f>
        <v/>
      </c>
      <c r="G1180" s="43" t="n"/>
      <c r="H1180" s="56" t="n"/>
      <c r="I1180" s="43" t="n"/>
      <c r="J1180" s="57">
        <f>IF(OR(A1180="",H1180=""),"",IF(COUNTIFS(exp_year,C1180,exp_month,D1180,exp_item,E1180,exp_status,"&lt;&gt;❌ Отменено")&gt;0,1,0))</f>
        <v/>
      </c>
    </row>
    <row r="1181">
      <c r="A1181" s="52" t="n"/>
      <c r="B1181" s="53">
        <f>IF(A1181="","",CHOOSE(WEEKDAY(A1181,2),"Пн","Вт","Ср","Чт","Пт","Сб","Вс"))</f>
        <v/>
      </c>
      <c r="C1181" s="53">
        <f>IF(A1181="","",YEAR(A1181))</f>
        <v/>
      </c>
      <c r="D1181" s="54">
        <f>IF(A1181="","",INDEX(lst_months,MONTH(A1181)))</f>
        <v/>
      </c>
      <c r="E1181" s="55" t="n"/>
      <c r="F1181" s="54">
        <f>IF(E1181="","",IFERROR(IF(INDEX(lst_exp_item_cat,MATCH(E1181,lst_exp_items,0))="","❔ Без категории",INDEX(lst_exp_item_cat,MATCH(E1181,lst_exp_items,0))),"❔ Без категории"))</f>
        <v/>
      </c>
      <c r="G1181" s="43" t="n"/>
      <c r="H1181" s="56" t="n"/>
      <c r="I1181" s="43" t="n"/>
      <c r="J1181" s="57">
        <f>IF(OR(A1181="",H1181=""),"",IF(COUNTIFS(exp_year,C1181,exp_month,D1181,exp_item,E1181,exp_status,"&lt;&gt;❌ Отменено")&gt;0,1,0))</f>
        <v/>
      </c>
    </row>
    <row r="1182">
      <c r="A1182" s="52" t="n"/>
      <c r="B1182" s="53">
        <f>IF(A1182="","",CHOOSE(WEEKDAY(A1182,2),"Пн","Вт","Ср","Чт","Пт","Сб","Вс"))</f>
        <v/>
      </c>
      <c r="C1182" s="53">
        <f>IF(A1182="","",YEAR(A1182))</f>
        <v/>
      </c>
      <c r="D1182" s="54">
        <f>IF(A1182="","",INDEX(lst_months,MONTH(A1182)))</f>
        <v/>
      </c>
      <c r="E1182" s="55" t="n"/>
      <c r="F1182" s="54">
        <f>IF(E1182="","",IFERROR(IF(INDEX(lst_exp_item_cat,MATCH(E1182,lst_exp_items,0))="","❔ Без категории",INDEX(lst_exp_item_cat,MATCH(E1182,lst_exp_items,0))),"❔ Без категории"))</f>
        <v/>
      </c>
      <c r="G1182" s="43" t="n"/>
      <c r="H1182" s="56" t="n"/>
      <c r="I1182" s="43" t="n"/>
      <c r="J1182" s="57">
        <f>IF(OR(A1182="",H1182=""),"",IF(COUNTIFS(exp_year,C1182,exp_month,D1182,exp_item,E1182,exp_status,"&lt;&gt;❌ Отменено")&gt;0,1,0))</f>
        <v/>
      </c>
    </row>
    <row r="1183">
      <c r="A1183" s="52" t="n"/>
      <c r="B1183" s="53">
        <f>IF(A1183="","",CHOOSE(WEEKDAY(A1183,2),"Пн","Вт","Ср","Чт","Пт","Сб","Вс"))</f>
        <v/>
      </c>
      <c r="C1183" s="53">
        <f>IF(A1183="","",YEAR(A1183))</f>
        <v/>
      </c>
      <c r="D1183" s="54">
        <f>IF(A1183="","",INDEX(lst_months,MONTH(A1183)))</f>
        <v/>
      </c>
      <c r="E1183" s="55" t="n"/>
      <c r="F1183" s="54">
        <f>IF(E1183="","",IFERROR(IF(INDEX(lst_exp_item_cat,MATCH(E1183,lst_exp_items,0))="","❔ Без категории",INDEX(lst_exp_item_cat,MATCH(E1183,lst_exp_items,0))),"❔ Без категории"))</f>
        <v/>
      </c>
      <c r="G1183" s="43" t="n"/>
      <c r="H1183" s="56" t="n"/>
      <c r="I1183" s="43" t="n"/>
      <c r="J1183" s="57">
        <f>IF(OR(A1183="",H1183=""),"",IF(COUNTIFS(exp_year,C1183,exp_month,D1183,exp_item,E1183,exp_status,"&lt;&gt;❌ Отменено")&gt;0,1,0))</f>
        <v/>
      </c>
    </row>
    <row r="1184">
      <c r="A1184" s="52" t="n"/>
      <c r="B1184" s="53">
        <f>IF(A1184="","",CHOOSE(WEEKDAY(A1184,2),"Пн","Вт","Ср","Чт","Пт","Сб","Вс"))</f>
        <v/>
      </c>
      <c r="C1184" s="53">
        <f>IF(A1184="","",YEAR(A1184))</f>
        <v/>
      </c>
      <c r="D1184" s="54">
        <f>IF(A1184="","",INDEX(lst_months,MONTH(A1184)))</f>
        <v/>
      </c>
      <c r="E1184" s="55" t="n"/>
      <c r="F1184" s="54">
        <f>IF(E1184="","",IFERROR(IF(INDEX(lst_exp_item_cat,MATCH(E1184,lst_exp_items,0))="","❔ Без категории",INDEX(lst_exp_item_cat,MATCH(E1184,lst_exp_items,0))),"❔ Без категории"))</f>
        <v/>
      </c>
      <c r="G1184" s="43" t="n"/>
      <c r="H1184" s="56" t="n"/>
      <c r="I1184" s="43" t="n"/>
      <c r="J1184" s="57">
        <f>IF(OR(A1184="",H1184=""),"",IF(COUNTIFS(exp_year,C1184,exp_month,D1184,exp_item,E1184,exp_status,"&lt;&gt;❌ Отменено")&gt;0,1,0))</f>
        <v/>
      </c>
    </row>
    <row r="1185">
      <c r="A1185" s="52" t="n"/>
      <c r="B1185" s="53">
        <f>IF(A1185="","",CHOOSE(WEEKDAY(A1185,2),"Пн","Вт","Ср","Чт","Пт","Сб","Вс"))</f>
        <v/>
      </c>
      <c r="C1185" s="53">
        <f>IF(A1185="","",YEAR(A1185))</f>
        <v/>
      </c>
      <c r="D1185" s="54">
        <f>IF(A1185="","",INDEX(lst_months,MONTH(A1185)))</f>
        <v/>
      </c>
      <c r="E1185" s="55" t="n"/>
      <c r="F1185" s="54">
        <f>IF(E1185="","",IFERROR(IF(INDEX(lst_exp_item_cat,MATCH(E1185,lst_exp_items,0))="","❔ Без категории",INDEX(lst_exp_item_cat,MATCH(E1185,lst_exp_items,0))),"❔ Без категории"))</f>
        <v/>
      </c>
      <c r="G1185" s="43" t="n"/>
      <c r="H1185" s="56" t="n"/>
      <c r="I1185" s="43" t="n"/>
      <c r="J1185" s="57">
        <f>IF(OR(A1185="",H1185=""),"",IF(COUNTIFS(exp_year,C1185,exp_month,D1185,exp_item,E1185,exp_status,"&lt;&gt;❌ Отменено")&gt;0,1,0))</f>
        <v/>
      </c>
    </row>
    <row r="1186">
      <c r="A1186" s="52" t="n"/>
      <c r="B1186" s="53">
        <f>IF(A1186="","",CHOOSE(WEEKDAY(A1186,2),"Пн","Вт","Ср","Чт","Пт","Сб","Вс"))</f>
        <v/>
      </c>
      <c r="C1186" s="53">
        <f>IF(A1186="","",YEAR(A1186))</f>
        <v/>
      </c>
      <c r="D1186" s="54">
        <f>IF(A1186="","",INDEX(lst_months,MONTH(A1186)))</f>
        <v/>
      </c>
      <c r="E1186" s="55" t="n"/>
      <c r="F1186" s="54">
        <f>IF(E1186="","",IFERROR(IF(INDEX(lst_exp_item_cat,MATCH(E1186,lst_exp_items,0))="","❔ Без категории",INDEX(lst_exp_item_cat,MATCH(E1186,lst_exp_items,0))),"❔ Без категории"))</f>
        <v/>
      </c>
      <c r="G1186" s="43" t="n"/>
      <c r="H1186" s="56" t="n"/>
      <c r="I1186" s="43" t="n"/>
      <c r="J1186" s="57">
        <f>IF(OR(A1186="",H1186=""),"",IF(COUNTIFS(exp_year,C1186,exp_month,D1186,exp_item,E1186,exp_status,"&lt;&gt;❌ Отменено")&gt;0,1,0))</f>
        <v/>
      </c>
    </row>
    <row r="1187">
      <c r="A1187" s="52" t="n"/>
      <c r="B1187" s="53">
        <f>IF(A1187="","",CHOOSE(WEEKDAY(A1187,2),"Пн","Вт","Ср","Чт","Пт","Сб","Вс"))</f>
        <v/>
      </c>
      <c r="C1187" s="53">
        <f>IF(A1187="","",YEAR(A1187))</f>
        <v/>
      </c>
      <c r="D1187" s="54">
        <f>IF(A1187="","",INDEX(lst_months,MONTH(A1187)))</f>
        <v/>
      </c>
      <c r="E1187" s="55" t="n"/>
      <c r="F1187" s="54">
        <f>IF(E1187="","",IFERROR(IF(INDEX(lst_exp_item_cat,MATCH(E1187,lst_exp_items,0))="","❔ Без категории",INDEX(lst_exp_item_cat,MATCH(E1187,lst_exp_items,0))),"❔ Без категории"))</f>
        <v/>
      </c>
      <c r="G1187" s="43" t="n"/>
      <c r="H1187" s="56" t="n"/>
      <c r="I1187" s="43" t="n"/>
      <c r="J1187" s="57">
        <f>IF(OR(A1187="",H1187=""),"",IF(COUNTIFS(exp_year,C1187,exp_month,D1187,exp_item,E1187,exp_status,"&lt;&gt;❌ Отменено")&gt;0,1,0))</f>
        <v/>
      </c>
    </row>
    <row r="1188">
      <c r="A1188" s="52" t="n"/>
      <c r="B1188" s="53">
        <f>IF(A1188="","",CHOOSE(WEEKDAY(A1188,2),"Пн","Вт","Ср","Чт","Пт","Сб","Вс"))</f>
        <v/>
      </c>
      <c r="C1188" s="53">
        <f>IF(A1188="","",YEAR(A1188))</f>
        <v/>
      </c>
      <c r="D1188" s="54">
        <f>IF(A1188="","",INDEX(lst_months,MONTH(A1188)))</f>
        <v/>
      </c>
      <c r="E1188" s="55" t="n"/>
      <c r="F1188" s="54">
        <f>IF(E1188="","",IFERROR(IF(INDEX(lst_exp_item_cat,MATCH(E1188,lst_exp_items,0))="","❔ Без категории",INDEX(lst_exp_item_cat,MATCH(E1188,lst_exp_items,0))),"❔ Без категории"))</f>
        <v/>
      </c>
      <c r="G1188" s="43" t="n"/>
      <c r="H1188" s="56" t="n"/>
      <c r="I1188" s="43" t="n"/>
      <c r="J1188" s="57">
        <f>IF(OR(A1188="",H1188=""),"",IF(COUNTIFS(exp_year,C1188,exp_month,D1188,exp_item,E1188,exp_status,"&lt;&gt;❌ Отменено")&gt;0,1,0))</f>
        <v/>
      </c>
    </row>
    <row r="1189">
      <c r="A1189" s="52" t="n"/>
      <c r="B1189" s="53">
        <f>IF(A1189="","",CHOOSE(WEEKDAY(A1189,2),"Пн","Вт","Ср","Чт","Пт","Сб","Вс"))</f>
        <v/>
      </c>
      <c r="C1189" s="53">
        <f>IF(A1189="","",YEAR(A1189))</f>
        <v/>
      </c>
      <c r="D1189" s="54">
        <f>IF(A1189="","",INDEX(lst_months,MONTH(A1189)))</f>
        <v/>
      </c>
      <c r="E1189" s="55" t="n"/>
      <c r="F1189" s="54">
        <f>IF(E1189="","",IFERROR(IF(INDEX(lst_exp_item_cat,MATCH(E1189,lst_exp_items,0))="","❔ Без категории",INDEX(lst_exp_item_cat,MATCH(E1189,lst_exp_items,0))),"❔ Без категории"))</f>
        <v/>
      </c>
      <c r="G1189" s="43" t="n"/>
      <c r="H1189" s="56" t="n"/>
      <c r="I1189" s="43" t="n"/>
      <c r="J1189" s="57">
        <f>IF(OR(A1189="",H1189=""),"",IF(COUNTIFS(exp_year,C1189,exp_month,D1189,exp_item,E1189,exp_status,"&lt;&gt;❌ Отменено")&gt;0,1,0))</f>
        <v/>
      </c>
    </row>
    <row r="1190">
      <c r="A1190" s="52" t="n"/>
      <c r="B1190" s="53">
        <f>IF(A1190="","",CHOOSE(WEEKDAY(A1190,2),"Пн","Вт","Ср","Чт","Пт","Сб","Вс"))</f>
        <v/>
      </c>
      <c r="C1190" s="53">
        <f>IF(A1190="","",YEAR(A1190))</f>
        <v/>
      </c>
      <c r="D1190" s="54">
        <f>IF(A1190="","",INDEX(lst_months,MONTH(A1190)))</f>
        <v/>
      </c>
      <c r="E1190" s="55" t="n"/>
      <c r="F1190" s="54">
        <f>IF(E1190="","",IFERROR(IF(INDEX(lst_exp_item_cat,MATCH(E1190,lst_exp_items,0))="","❔ Без категории",INDEX(lst_exp_item_cat,MATCH(E1190,lst_exp_items,0))),"❔ Без категории"))</f>
        <v/>
      </c>
      <c r="G1190" s="43" t="n"/>
      <c r="H1190" s="56" t="n"/>
      <c r="I1190" s="43" t="n"/>
      <c r="J1190" s="57">
        <f>IF(OR(A1190="",H1190=""),"",IF(COUNTIFS(exp_year,C1190,exp_month,D1190,exp_item,E1190,exp_status,"&lt;&gt;❌ Отменено")&gt;0,1,0))</f>
        <v/>
      </c>
    </row>
    <row r="1191">
      <c r="A1191" s="52" t="n"/>
      <c r="B1191" s="53">
        <f>IF(A1191="","",CHOOSE(WEEKDAY(A1191,2),"Пн","Вт","Ср","Чт","Пт","Сб","Вс"))</f>
        <v/>
      </c>
      <c r="C1191" s="53">
        <f>IF(A1191="","",YEAR(A1191))</f>
        <v/>
      </c>
      <c r="D1191" s="54">
        <f>IF(A1191="","",INDEX(lst_months,MONTH(A1191)))</f>
        <v/>
      </c>
      <c r="E1191" s="55" t="n"/>
      <c r="F1191" s="54">
        <f>IF(E1191="","",IFERROR(IF(INDEX(lst_exp_item_cat,MATCH(E1191,lst_exp_items,0))="","❔ Без категории",INDEX(lst_exp_item_cat,MATCH(E1191,lst_exp_items,0))),"❔ Без категории"))</f>
        <v/>
      </c>
      <c r="G1191" s="43" t="n"/>
      <c r="H1191" s="56" t="n"/>
      <c r="I1191" s="43" t="n"/>
      <c r="J1191" s="57">
        <f>IF(OR(A1191="",H1191=""),"",IF(COUNTIFS(exp_year,C1191,exp_month,D1191,exp_item,E1191,exp_status,"&lt;&gt;❌ Отменено")&gt;0,1,0))</f>
        <v/>
      </c>
    </row>
    <row r="1192">
      <c r="A1192" s="52" t="n"/>
      <c r="B1192" s="53">
        <f>IF(A1192="","",CHOOSE(WEEKDAY(A1192,2),"Пн","Вт","Ср","Чт","Пт","Сб","Вс"))</f>
        <v/>
      </c>
      <c r="C1192" s="53">
        <f>IF(A1192="","",YEAR(A1192))</f>
        <v/>
      </c>
      <c r="D1192" s="54">
        <f>IF(A1192="","",INDEX(lst_months,MONTH(A1192)))</f>
        <v/>
      </c>
      <c r="E1192" s="55" t="n"/>
      <c r="F1192" s="54">
        <f>IF(E1192="","",IFERROR(IF(INDEX(lst_exp_item_cat,MATCH(E1192,lst_exp_items,0))="","❔ Без категории",INDEX(lst_exp_item_cat,MATCH(E1192,lst_exp_items,0))),"❔ Без категории"))</f>
        <v/>
      </c>
      <c r="G1192" s="43" t="n"/>
      <c r="H1192" s="56" t="n"/>
      <c r="I1192" s="43" t="n"/>
      <c r="J1192" s="57">
        <f>IF(OR(A1192="",H1192=""),"",IF(COUNTIFS(exp_year,C1192,exp_month,D1192,exp_item,E1192,exp_status,"&lt;&gt;❌ Отменено")&gt;0,1,0))</f>
        <v/>
      </c>
    </row>
    <row r="1193">
      <c r="A1193" s="52" t="n"/>
      <c r="B1193" s="53">
        <f>IF(A1193="","",CHOOSE(WEEKDAY(A1193,2),"Пн","Вт","Ср","Чт","Пт","Сб","Вс"))</f>
        <v/>
      </c>
      <c r="C1193" s="53">
        <f>IF(A1193="","",YEAR(A1193))</f>
        <v/>
      </c>
      <c r="D1193" s="54">
        <f>IF(A1193="","",INDEX(lst_months,MONTH(A1193)))</f>
        <v/>
      </c>
      <c r="E1193" s="55" t="n"/>
      <c r="F1193" s="54">
        <f>IF(E1193="","",IFERROR(IF(INDEX(lst_exp_item_cat,MATCH(E1193,lst_exp_items,0))="","❔ Без категории",INDEX(lst_exp_item_cat,MATCH(E1193,lst_exp_items,0))),"❔ Без категории"))</f>
        <v/>
      </c>
      <c r="G1193" s="43" t="n"/>
      <c r="H1193" s="56" t="n"/>
      <c r="I1193" s="43" t="n"/>
      <c r="J1193" s="57">
        <f>IF(OR(A1193="",H1193=""),"",IF(COUNTIFS(exp_year,C1193,exp_month,D1193,exp_item,E1193,exp_status,"&lt;&gt;❌ Отменено")&gt;0,1,0))</f>
        <v/>
      </c>
    </row>
    <row r="1194">
      <c r="A1194" s="52" t="n"/>
      <c r="B1194" s="53">
        <f>IF(A1194="","",CHOOSE(WEEKDAY(A1194,2),"Пн","Вт","Ср","Чт","Пт","Сб","Вс"))</f>
        <v/>
      </c>
      <c r="C1194" s="53">
        <f>IF(A1194="","",YEAR(A1194))</f>
        <v/>
      </c>
      <c r="D1194" s="54">
        <f>IF(A1194="","",INDEX(lst_months,MONTH(A1194)))</f>
        <v/>
      </c>
      <c r="E1194" s="55" t="n"/>
      <c r="F1194" s="54">
        <f>IF(E1194="","",IFERROR(IF(INDEX(lst_exp_item_cat,MATCH(E1194,lst_exp_items,0))="","❔ Без категории",INDEX(lst_exp_item_cat,MATCH(E1194,lst_exp_items,0))),"❔ Без категории"))</f>
        <v/>
      </c>
      <c r="G1194" s="43" t="n"/>
      <c r="H1194" s="56" t="n"/>
      <c r="I1194" s="43" t="n"/>
      <c r="J1194" s="57">
        <f>IF(OR(A1194="",H1194=""),"",IF(COUNTIFS(exp_year,C1194,exp_month,D1194,exp_item,E1194,exp_status,"&lt;&gt;❌ Отменено")&gt;0,1,0))</f>
        <v/>
      </c>
    </row>
    <row r="1195">
      <c r="A1195" s="52" t="n"/>
      <c r="B1195" s="53">
        <f>IF(A1195="","",CHOOSE(WEEKDAY(A1195,2),"Пн","Вт","Ср","Чт","Пт","Сб","Вс"))</f>
        <v/>
      </c>
      <c r="C1195" s="53">
        <f>IF(A1195="","",YEAR(A1195))</f>
        <v/>
      </c>
      <c r="D1195" s="54">
        <f>IF(A1195="","",INDEX(lst_months,MONTH(A1195)))</f>
        <v/>
      </c>
      <c r="E1195" s="55" t="n"/>
      <c r="F1195" s="54">
        <f>IF(E1195="","",IFERROR(IF(INDEX(lst_exp_item_cat,MATCH(E1195,lst_exp_items,0))="","❔ Без категории",INDEX(lst_exp_item_cat,MATCH(E1195,lst_exp_items,0))),"❔ Без категории"))</f>
        <v/>
      </c>
      <c r="G1195" s="43" t="n"/>
      <c r="H1195" s="56" t="n"/>
      <c r="I1195" s="43" t="n"/>
      <c r="J1195" s="57">
        <f>IF(OR(A1195="",H1195=""),"",IF(COUNTIFS(exp_year,C1195,exp_month,D1195,exp_item,E1195,exp_status,"&lt;&gt;❌ Отменено")&gt;0,1,0))</f>
        <v/>
      </c>
    </row>
    <row r="1196">
      <c r="A1196" s="52" t="n"/>
      <c r="B1196" s="53">
        <f>IF(A1196="","",CHOOSE(WEEKDAY(A1196,2),"Пн","Вт","Ср","Чт","Пт","Сб","Вс"))</f>
        <v/>
      </c>
      <c r="C1196" s="53">
        <f>IF(A1196="","",YEAR(A1196))</f>
        <v/>
      </c>
      <c r="D1196" s="54">
        <f>IF(A1196="","",INDEX(lst_months,MONTH(A1196)))</f>
        <v/>
      </c>
      <c r="E1196" s="55" t="n"/>
      <c r="F1196" s="54">
        <f>IF(E1196="","",IFERROR(IF(INDEX(lst_exp_item_cat,MATCH(E1196,lst_exp_items,0))="","❔ Без категории",INDEX(lst_exp_item_cat,MATCH(E1196,lst_exp_items,0))),"❔ Без категории"))</f>
        <v/>
      </c>
      <c r="G1196" s="43" t="n"/>
      <c r="H1196" s="56" t="n"/>
      <c r="I1196" s="43" t="n"/>
      <c r="J1196" s="57">
        <f>IF(OR(A1196="",H1196=""),"",IF(COUNTIFS(exp_year,C1196,exp_month,D1196,exp_item,E1196,exp_status,"&lt;&gt;❌ Отменено")&gt;0,1,0))</f>
        <v/>
      </c>
    </row>
    <row r="1197">
      <c r="A1197" s="52" t="n"/>
      <c r="B1197" s="53">
        <f>IF(A1197="","",CHOOSE(WEEKDAY(A1197,2),"Пн","Вт","Ср","Чт","Пт","Сб","Вс"))</f>
        <v/>
      </c>
      <c r="C1197" s="53">
        <f>IF(A1197="","",YEAR(A1197))</f>
        <v/>
      </c>
      <c r="D1197" s="54">
        <f>IF(A1197="","",INDEX(lst_months,MONTH(A1197)))</f>
        <v/>
      </c>
      <c r="E1197" s="55" t="n"/>
      <c r="F1197" s="54">
        <f>IF(E1197="","",IFERROR(IF(INDEX(lst_exp_item_cat,MATCH(E1197,lst_exp_items,0))="","❔ Без категории",INDEX(lst_exp_item_cat,MATCH(E1197,lst_exp_items,0))),"❔ Без категории"))</f>
        <v/>
      </c>
      <c r="G1197" s="43" t="n"/>
      <c r="H1197" s="56" t="n"/>
      <c r="I1197" s="43" t="n"/>
      <c r="J1197" s="57">
        <f>IF(OR(A1197="",H1197=""),"",IF(COUNTIFS(exp_year,C1197,exp_month,D1197,exp_item,E1197,exp_status,"&lt;&gt;❌ Отменено")&gt;0,1,0))</f>
        <v/>
      </c>
    </row>
    <row r="1198">
      <c r="A1198" s="52" t="n"/>
      <c r="B1198" s="53">
        <f>IF(A1198="","",CHOOSE(WEEKDAY(A1198,2),"Пн","Вт","Ср","Чт","Пт","Сб","Вс"))</f>
        <v/>
      </c>
      <c r="C1198" s="53">
        <f>IF(A1198="","",YEAR(A1198))</f>
        <v/>
      </c>
      <c r="D1198" s="54">
        <f>IF(A1198="","",INDEX(lst_months,MONTH(A1198)))</f>
        <v/>
      </c>
      <c r="E1198" s="55" t="n"/>
      <c r="F1198" s="54">
        <f>IF(E1198="","",IFERROR(IF(INDEX(lst_exp_item_cat,MATCH(E1198,lst_exp_items,0))="","❔ Без категории",INDEX(lst_exp_item_cat,MATCH(E1198,lst_exp_items,0))),"❔ Без категории"))</f>
        <v/>
      </c>
      <c r="G1198" s="43" t="n"/>
      <c r="H1198" s="56" t="n"/>
      <c r="I1198" s="43" t="n"/>
      <c r="J1198" s="57">
        <f>IF(OR(A1198="",H1198=""),"",IF(COUNTIFS(exp_year,C1198,exp_month,D1198,exp_item,E1198,exp_status,"&lt;&gt;❌ Отменено")&gt;0,1,0))</f>
        <v/>
      </c>
    </row>
    <row r="1199">
      <c r="A1199" s="52" t="n"/>
      <c r="B1199" s="53">
        <f>IF(A1199="","",CHOOSE(WEEKDAY(A1199,2),"Пн","Вт","Ср","Чт","Пт","Сб","Вс"))</f>
        <v/>
      </c>
      <c r="C1199" s="53">
        <f>IF(A1199="","",YEAR(A1199))</f>
        <v/>
      </c>
      <c r="D1199" s="54">
        <f>IF(A1199="","",INDEX(lst_months,MONTH(A1199)))</f>
        <v/>
      </c>
      <c r="E1199" s="55" t="n"/>
      <c r="F1199" s="54">
        <f>IF(E1199="","",IFERROR(IF(INDEX(lst_exp_item_cat,MATCH(E1199,lst_exp_items,0))="","❔ Без категории",INDEX(lst_exp_item_cat,MATCH(E1199,lst_exp_items,0))),"❔ Без категории"))</f>
        <v/>
      </c>
      <c r="G1199" s="43" t="n"/>
      <c r="H1199" s="56" t="n"/>
      <c r="I1199" s="43" t="n"/>
      <c r="J1199" s="57">
        <f>IF(OR(A1199="",H1199=""),"",IF(COUNTIFS(exp_year,C1199,exp_month,D1199,exp_item,E1199,exp_status,"&lt;&gt;❌ Отменено")&gt;0,1,0))</f>
        <v/>
      </c>
    </row>
    <row r="1200">
      <c r="A1200" s="52" t="n"/>
      <c r="B1200" s="53">
        <f>IF(A1200="","",CHOOSE(WEEKDAY(A1200,2),"Пн","Вт","Ср","Чт","Пт","Сб","Вс"))</f>
        <v/>
      </c>
      <c r="C1200" s="53">
        <f>IF(A1200="","",YEAR(A1200))</f>
        <v/>
      </c>
      <c r="D1200" s="54">
        <f>IF(A1200="","",INDEX(lst_months,MONTH(A1200)))</f>
        <v/>
      </c>
      <c r="E1200" s="55" t="n"/>
      <c r="F1200" s="54">
        <f>IF(E1200="","",IFERROR(IF(INDEX(lst_exp_item_cat,MATCH(E1200,lst_exp_items,0))="","❔ Без категории",INDEX(lst_exp_item_cat,MATCH(E1200,lst_exp_items,0))),"❔ Без категории"))</f>
        <v/>
      </c>
      <c r="G1200" s="43" t="n"/>
      <c r="H1200" s="56" t="n"/>
      <c r="I1200" s="43" t="n"/>
      <c r="J1200" s="57">
        <f>IF(OR(A1200="",H1200=""),"",IF(COUNTIFS(exp_year,C1200,exp_month,D1200,exp_item,E1200,exp_status,"&lt;&gt;❌ Отменено")&gt;0,1,0))</f>
        <v/>
      </c>
    </row>
    <row r="1201">
      <c r="A1201" s="52" t="n"/>
      <c r="B1201" s="53">
        <f>IF(A1201="","",CHOOSE(WEEKDAY(A1201,2),"Пн","Вт","Ср","Чт","Пт","Сб","Вс"))</f>
        <v/>
      </c>
      <c r="C1201" s="53">
        <f>IF(A1201="","",YEAR(A1201))</f>
        <v/>
      </c>
      <c r="D1201" s="54">
        <f>IF(A1201="","",INDEX(lst_months,MONTH(A1201)))</f>
        <v/>
      </c>
      <c r="E1201" s="55" t="n"/>
      <c r="F1201" s="54">
        <f>IF(E1201="","",IFERROR(IF(INDEX(lst_exp_item_cat,MATCH(E1201,lst_exp_items,0))="","❔ Без категории",INDEX(lst_exp_item_cat,MATCH(E1201,lst_exp_items,0))),"❔ Без категории"))</f>
        <v/>
      </c>
      <c r="G1201" s="43" t="n"/>
      <c r="H1201" s="56" t="n"/>
      <c r="I1201" s="43" t="n"/>
      <c r="J1201" s="57">
        <f>IF(OR(A1201="",H1201=""),"",IF(COUNTIFS(exp_year,C1201,exp_month,D1201,exp_item,E1201,exp_status,"&lt;&gt;❌ Отменено")&gt;0,1,0))</f>
        <v/>
      </c>
    </row>
    <row r="1202">
      <c r="A1202" s="52" t="n"/>
      <c r="B1202" s="53">
        <f>IF(A1202="","",CHOOSE(WEEKDAY(A1202,2),"Пн","Вт","Ср","Чт","Пт","Сб","Вс"))</f>
        <v/>
      </c>
      <c r="C1202" s="53">
        <f>IF(A1202="","",YEAR(A1202))</f>
        <v/>
      </c>
      <c r="D1202" s="54">
        <f>IF(A1202="","",INDEX(lst_months,MONTH(A1202)))</f>
        <v/>
      </c>
      <c r="E1202" s="55" t="n"/>
      <c r="F1202" s="54">
        <f>IF(E1202="","",IFERROR(IF(INDEX(lst_exp_item_cat,MATCH(E1202,lst_exp_items,0))="","❔ Без категории",INDEX(lst_exp_item_cat,MATCH(E1202,lst_exp_items,0))),"❔ Без категории"))</f>
        <v/>
      </c>
      <c r="G1202" s="43" t="n"/>
      <c r="H1202" s="56" t="n"/>
      <c r="I1202" s="43" t="n"/>
      <c r="J1202" s="57">
        <f>IF(OR(A1202="",H1202=""),"",IF(COUNTIFS(exp_year,C1202,exp_month,D1202,exp_item,E1202,exp_status,"&lt;&gt;❌ Отменено")&gt;0,1,0))</f>
        <v/>
      </c>
    </row>
    <row r="1203">
      <c r="A1203" s="52" t="n"/>
      <c r="B1203" s="53">
        <f>IF(A1203="","",CHOOSE(WEEKDAY(A1203,2),"Пн","Вт","Ср","Чт","Пт","Сб","Вс"))</f>
        <v/>
      </c>
      <c r="C1203" s="53">
        <f>IF(A1203="","",YEAR(A1203))</f>
        <v/>
      </c>
      <c r="D1203" s="54">
        <f>IF(A1203="","",INDEX(lst_months,MONTH(A1203)))</f>
        <v/>
      </c>
      <c r="E1203" s="55" t="n"/>
      <c r="F1203" s="54">
        <f>IF(E1203="","",IFERROR(IF(INDEX(lst_exp_item_cat,MATCH(E1203,lst_exp_items,0))="","❔ Без категории",INDEX(lst_exp_item_cat,MATCH(E1203,lst_exp_items,0))),"❔ Без категории"))</f>
        <v/>
      </c>
      <c r="G1203" s="43" t="n"/>
      <c r="H1203" s="56" t="n"/>
      <c r="I1203" s="43" t="n"/>
      <c r="J1203" s="57">
        <f>IF(OR(A1203="",H1203=""),"",IF(COUNTIFS(exp_year,C1203,exp_month,D1203,exp_item,E1203,exp_status,"&lt;&gt;❌ Отменено")&gt;0,1,0))</f>
        <v/>
      </c>
    </row>
    <row r="1204">
      <c r="A1204" s="52" t="n"/>
      <c r="B1204" s="53">
        <f>IF(A1204="","",CHOOSE(WEEKDAY(A1204,2),"Пн","Вт","Ср","Чт","Пт","Сб","Вс"))</f>
        <v/>
      </c>
      <c r="C1204" s="53">
        <f>IF(A1204="","",YEAR(A1204))</f>
        <v/>
      </c>
      <c r="D1204" s="54">
        <f>IF(A1204="","",INDEX(lst_months,MONTH(A1204)))</f>
        <v/>
      </c>
      <c r="E1204" s="55" t="n"/>
      <c r="F1204" s="54">
        <f>IF(E1204="","",IFERROR(IF(INDEX(lst_exp_item_cat,MATCH(E1204,lst_exp_items,0))="","❔ Без категории",INDEX(lst_exp_item_cat,MATCH(E1204,lst_exp_items,0))),"❔ Без категории"))</f>
        <v/>
      </c>
      <c r="G1204" s="43" t="n"/>
      <c r="H1204" s="56" t="n"/>
      <c r="I1204" s="43" t="n"/>
      <c r="J1204" s="57">
        <f>IF(OR(A1204="",H1204=""),"",IF(COUNTIFS(exp_year,C1204,exp_month,D1204,exp_item,E1204,exp_status,"&lt;&gt;❌ Отменено")&gt;0,1,0))</f>
        <v/>
      </c>
    </row>
    <row r="1205">
      <c r="A1205" s="52" t="n"/>
      <c r="B1205" s="53">
        <f>IF(A1205="","",CHOOSE(WEEKDAY(A1205,2),"Пн","Вт","Ср","Чт","Пт","Сб","Вс"))</f>
        <v/>
      </c>
      <c r="C1205" s="53">
        <f>IF(A1205="","",YEAR(A1205))</f>
        <v/>
      </c>
      <c r="D1205" s="54">
        <f>IF(A1205="","",INDEX(lst_months,MONTH(A1205)))</f>
        <v/>
      </c>
      <c r="E1205" s="55" t="n"/>
      <c r="F1205" s="54">
        <f>IF(E1205="","",IFERROR(IF(INDEX(lst_exp_item_cat,MATCH(E1205,lst_exp_items,0))="","❔ Без категории",INDEX(lst_exp_item_cat,MATCH(E1205,lst_exp_items,0))),"❔ Без категории"))</f>
        <v/>
      </c>
      <c r="G1205" s="43" t="n"/>
      <c r="H1205" s="56" t="n"/>
      <c r="I1205" s="43" t="n"/>
      <c r="J1205" s="57">
        <f>IF(OR(A1205="",H1205=""),"",IF(COUNTIFS(exp_year,C1205,exp_month,D1205,exp_item,E1205,exp_status,"&lt;&gt;❌ Отменено")&gt;0,1,0))</f>
        <v/>
      </c>
    </row>
    <row r="1206">
      <c r="A1206" s="52" t="n"/>
      <c r="B1206" s="53">
        <f>IF(A1206="","",CHOOSE(WEEKDAY(A1206,2),"Пн","Вт","Ср","Чт","Пт","Сб","Вс"))</f>
        <v/>
      </c>
      <c r="C1206" s="53">
        <f>IF(A1206="","",YEAR(A1206))</f>
        <v/>
      </c>
      <c r="D1206" s="54">
        <f>IF(A1206="","",INDEX(lst_months,MONTH(A1206)))</f>
        <v/>
      </c>
      <c r="E1206" s="55" t="n"/>
      <c r="F1206" s="54">
        <f>IF(E1206="","",IFERROR(IF(INDEX(lst_exp_item_cat,MATCH(E1206,lst_exp_items,0))="","❔ Без категории",INDEX(lst_exp_item_cat,MATCH(E1206,lst_exp_items,0))),"❔ Без категории"))</f>
        <v/>
      </c>
      <c r="G1206" s="43" t="n"/>
      <c r="H1206" s="56" t="n"/>
      <c r="I1206" s="43" t="n"/>
      <c r="J1206" s="57">
        <f>IF(OR(A1206="",H1206=""),"",IF(COUNTIFS(exp_year,C1206,exp_month,D1206,exp_item,E1206,exp_status,"&lt;&gt;❌ Отменено")&gt;0,1,0))</f>
        <v/>
      </c>
    </row>
    <row r="1207">
      <c r="A1207" s="52" t="n"/>
      <c r="B1207" s="53">
        <f>IF(A1207="","",CHOOSE(WEEKDAY(A1207,2),"Пн","Вт","Ср","Чт","Пт","Сб","Вс"))</f>
        <v/>
      </c>
      <c r="C1207" s="53">
        <f>IF(A1207="","",YEAR(A1207))</f>
        <v/>
      </c>
      <c r="D1207" s="54">
        <f>IF(A1207="","",INDEX(lst_months,MONTH(A1207)))</f>
        <v/>
      </c>
      <c r="E1207" s="55" t="n"/>
      <c r="F1207" s="54">
        <f>IF(E1207="","",IFERROR(IF(INDEX(lst_exp_item_cat,MATCH(E1207,lst_exp_items,0))="","❔ Без категории",INDEX(lst_exp_item_cat,MATCH(E1207,lst_exp_items,0))),"❔ Без категории"))</f>
        <v/>
      </c>
      <c r="G1207" s="43" t="n"/>
      <c r="H1207" s="56" t="n"/>
      <c r="I1207" s="43" t="n"/>
      <c r="J1207" s="57">
        <f>IF(OR(A1207="",H1207=""),"",IF(COUNTIFS(exp_year,C1207,exp_month,D1207,exp_item,E1207,exp_status,"&lt;&gt;❌ Отменено")&gt;0,1,0))</f>
        <v/>
      </c>
    </row>
    <row r="1208">
      <c r="A1208" s="52" t="n"/>
      <c r="B1208" s="53">
        <f>IF(A1208="","",CHOOSE(WEEKDAY(A1208,2),"Пн","Вт","Ср","Чт","Пт","Сб","Вс"))</f>
        <v/>
      </c>
      <c r="C1208" s="53">
        <f>IF(A1208="","",YEAR(A1208))</f>
        <v/>
      </c>
      <c r="D1208" s="54">
        <f>IF(A1208="","",INDEX(lst_months,MONTH(A1208)))</f>
        <v/>
      </c>
      <c r="E1208" s="55" t="n"/>
      <c r="F1208" s="54">
        <f>IF(E1208="","",IFERROR(IF(INDEX(lst_exp_item_cat,MATCH(E1208,lst_exp_items,0))="","❔ Без категории",INDEX(lst_exp_item_cat,MATCH(E1208,lst_exp_items,0))),"❔ Без категории"))</f>
        <v/>
      </c>
      <c r="G1208" s="43" t="n"/>
      <c r="H1208" s="56" t="n"/>
      <c r="I1208" s="43" t="n"/>
      <c r="J1208" s="57">
        <f>IF(OR(A1208="",H1208=""),"",IF(COUNTIFS(exp_year,C1208,exp_month,D1208,exp_item,E1208,exp_status,"&lt;&gt;❌ Отменено")&gt;0,1,0))</f>
        <v/>
      </c>
    </row>
    <row r="1209">
      <c r="A1209" s="52" t="n"/>
      <c r="B1209" s="53">
        <f>IF(A1209="","",CHOOSE(WEEKDAY(A1209,2),"Пн","Вт","Ср","Чт","Пт","Сб","Вс"))</f>
        <v/>
      </c>
      <c r="C1209" s="53">
        <f>IF(A1209="","",YEAR(A1209))</f>
        <v/>
      </c>
      <c r="D1209" s="54">
        <f>IF(A1209="","",INDEX(lst_months,MONTH(A1209)))</f>
        <v/>
      </c>
      <c r="E1209" s="55" t="n"/>
      <c r="F1209" s="54">
        <f>IF(E1209="","",IFERROR(IF(INDEX(lst_exp_item_cat,MATCH(E1209,lst_exp_items,0))="","❔ Без категории",INDEX(lst_exp_item_cat,MATCH(E1209,lst_exp_items,0))),"❔ Без категории"))</f>
        <v/>
      </c>
      <c r="G1209" s="43" t="n"/>
      <c r="H1209" s="56" t="n"/>
      <c r="I1209" s="43" t="n"/>
      <c r="J1209" s="57">
        <f>IF(OR(A1209="",H1209=""),"",IF(COUNTIFS(exp_year,C1209,exp_month,D1209,exp_item,E1209,exp_status,"&lt;&gt;❌ Отменено")&gt;0,1,0))</f>
        <v/>
      </c>
    </row>
    <row r="1210">
      <c r="A1210" s="52" t="n"/>
      <c r="B1210" s="53">
        <f>IF(A1210="","",CHOOSE(WEEKDAY(A1210,2),"Пн","Вт","Ср","Чт","Пт","Сб","Вс"))</f>
        <v/>
      </c>
      <c r="C1210" s="53">
        <f>IF(A1210="","",YEAR(A1210))</f>
        <v/>
      </c>
      <c r="D1210" s="54">
        <f>IF(A1210="","",INDEX(lst_months,MONTH(A1210)))</f>
        <v/>
      </c>
      <c r="E1210" s="55" t="n"/>
      <c r="F1210" s="54">
        <f>IF(E1210="","",IFERROR(IF(INDEX(lst_exp_item_cat,MATCH(E1210,lst_exp_items,0))="","❔ Без категории",INDEX(lst_exp_item_cat,MATCH(E1210,lst_exp_items,0))),"❔ Без категории"))</f>
        <v/>
      </c>
      <c r="G1210" s="43" t="n"/>
      <c r="H1210" s="56" t="n"/>
      <c r="I1210" s="43" t="n"/>
      <c r="J1210" s="57">
        <f>IF(OR(A1210="",H1210=""),"",IF(COUNTIFS(exp_year,C1210,exp_month,D1210,exp_item,E1210,exp_status,"&lt;&gt;❌ Отменено")&gt;0,1,0))</f>
        <v/>
      </c>
    </row>
    <row r="1211">
      <c r="A1211" s="52" t="n"/>
      <c r="B1211" s="53">
        <f>IF(A1211="","",CHOOSE(WEEKDAY(A1211,2),"Пн","Вт","Ср","Чт","Пт","Сб","Вс"))</f>
        <v/>
      </c>
      <c r="C1211" s="53">
        <f>IF(A1211="","",YEAR(A1211))</f>
        <v/>
      </c>
      <c r="D1211" s="54">
        <f>IF(A1211="","",INDEX(lst_months,MONTH(A1211)))</f>
        <v/>
      </c>
      <c r="E1211" s="55" t="n"/>
      <c r="F1211" s="54">
        <f>IF(E1211="","",IFERROR(IF(INDEX(lst_exp_item_cat,MATCH(E1211,lst_exp_items,0))="","❔ Без категории",INDEX(lst_exp_item_cat,MATCH(E1211,lst_exp_items,0))),"❔ Без категории"))</f>
        <v/>
      </c>
      <c r="G1211" s="43" t="n"/>
      <c r="H1211" s="56" t="n"/>
      <c r="I1211" s="43" t="n"/>
      <c r="J1211" s="57">
        <f>IF(OR(A1211="",H1211=""),"",IF(COUNTIFS(exp_year,C1211,exp_month,D1211,exp_item,E1211,exp_status,"&lt;&gt;❌ Отменено")&gt;0,1,0))</f>
        <v/>
      </c>
    </row>
    <row r="1212">
      <c r="A1212" s="52" t="n"/>
      <c r="B1212" s="53">
        <f>IF(A1212="","",CHOOSE(WEEKDAY(A1212,2),"Пн","Вт","Ср","Чт","Пт","Сб","Вс"))</f>
        <v/>
      </c>
      <c r="C1212" s="53">
        <f>IF(A1212="","",YEAR(A1212))</f>
        <v/>
      </c>
      <c r="D1212" s="54">
        <f>IF(A1212="","",INDEX(lst_months,MONTH(A1212)))</f>
        <v/>
      </c>
      <c r="E1212" s="55" t="n"/>
      <c r="F1212" s="54">
        <f>IF(E1212="","",IFERROR(IF(INDEX(lst_exp_item_cat,MATCH(E1212,lst_exp_items,0))="","❔ Без категории",INDEX(lst_exp_item_cat,MATCH(E1212,lst_exp_items,0))),"❔ Без категории"))</f>
        <v/>
      </c>
      <c r="G1212" s="43" t="n"/>
      <c r="H1212" s="56" t="n"/>
      <c r="I1212" s="43" t="n"/>
      <c r="J1212" s="57">
        <f>IF(OR(A1212="",H1212=""),"",IF(COUNTIFS(exp_year,C1212,exp_month,D1212,exp_item,E1212,exp_status,"&lt;&gt;❌ Отменено")&gt;0,1,0))</f>
        <v/>
      </c>
    </row>
    <row r="1213">
      <c r="A1213" s="52" t="n"/>
      <c r="B1213" s="53">
        <f>IF(A1213="","",CHOOSE(WEEKDAY(A1213,2),"Пн","Вт","Ср","Чт","Пт","Сб","Вс"))</f>
        <v/>
      </c>
      <c r="C1213" s="53">
        <f>IF(A1213="","",YEAR(A1213))</f>
        <v/>
      </c>
      <c r="D1213" s="54">
        <f>IF(A1213="","",INDEX(lst_months,MONTH(A1213)))</f>
        <v/>
      </c>
      <c r="E1213" s="55" t="n"/>
      <c r="F1213" s="54">
        <f>IF(E1213="","",IFERROR(IF(INDEX(lst_exp_item_cat,MATCH(E1213,lst_exp_items,0))="","❔ Без категории",INDEX(lst_exp_item_cat,MATCH(E1213,lst_exp_items,0))),"❔ Без категории"))</f>
        <v/>
      </c>
      <c r="G1213" s="43" t="n"/>
      <c r="H1213" s="56" t="n"/>
      <c r="I1213" s="43" t="n"/>
      <c r="J1213" s="57">
        <f>IF(OR(A1213="",H1213=""),"",IF(COUNTIFS(exp_year,C1213,exp_month,D1213,exp_item,E1213,exp_status,"&lt;&gt;❌ Отменено")&gt;0,1,0))</f>
        <v/>
      </c>
    </row>
    <row r="1214">
      <c r="A1214" s="52" t="n"/>
      <c r="B1214" s="53">
        <f>IF(A1214="","",CHOOSE(WEEKDAY(A1214,2),"Пн","Вт","Ср","Чт","Пт","Сб","Вс"))</f>
        <v/>
      </c>
      <c r="C1214" s="53">
        <f>IF(A1214="","",YEAR(A1214))</f>
        <v/>
      </c>
      <c r="D1214" s="54">
        <f>IF(A1214="","",INDEX(lst_months,MONTH(A1214)))</f>
        <v/>
      </c>
      <c r="E1214" s="55" t="n"/>
      <c r="F1214" s="54">
        <f>IF(E1214="","",IFERROR(IF(INDEX(lst_exp_item_cat,MATCH(E1214,lst_exp_items,0))="","❔ Без категории",INDEX(lst_exp_item_cat,MATCH(E1214,lst_exp_items,0))),"❔ Без категории"))</f>
        <v/>
      </c>
      <c r="G1214" s="43" t="n"/>
      <c r="H1214" s="56" t="n"/>
      <c r="I1214" s="43" t="n"/>
      <c r="J1214" s="57">
        <f>IF(OR(A1214="",H1214=""),"",IF(COUNTIFS(exp_year,C1214,exp_month,D1214,exp_item,E1214,exp_status,"&lt;&gt;❌ Отменено")&gt;0,1,0))</f>
        <v/>
      </c>
    </row>
    <row r="1215">
      <c r="A1215" s="52" t="n"/>
      <c r="B1215" s="53">
        <f>IF(A1215="","",CHOOSE(WEEKDAY(A1215,2),"Пн","Вт","Ср","Чт","Пт","Сб","Вс"))</f>
        <v/>
      </c>
      <c r="C1215" s="53">
        <f>IF(A1215="","",YEAR(A1215))</f>
        <v/>
      </c>
      <c r="D1215" s="54">
        <f>IF(A1215="","",INDEX(lst_months,MONTH(A1215)))</f>
        <v/>
      </c>
      <c r="E1215" s="55" t="n"/>
      <c r="F1215" s="54">
        <f>IF(E1215="","",IFERROR(IF(INDEX(lst_exp_item_cat,MATCH(E1215,lst_exp_items,0))="","❔ Без категории",INDEX(lst_exp_item_cat,MATCH(E1215,lst_exp_items,0))),"❔ Без категории"))</f>
        <v/>
      </c>
      <c r="G1215" s="43" t="n"/>
      <c r="H1215" s="56" t="n"/>
      <c r="I1215" s="43" t="n"/>
      <c r="J1215" s="57">
        <f>IF(OR(A1215="",H1215=""),"",IF(COUNTIFS(exp_year,C1215,exp_month,D1215,exp_item,E1215,exp_status,"&lt;&gt;❌ Отменено")&gt;0,1,0))</f>
        <v/>
      </c>
    </row>
    <row r="1216">
      <c r="A1216" s="52" t="n"/>
      <c r="B1216" s="53">
        <f>IF(A1216="","",CHOOSE(WEEKDAY(A1216,2),"Пн","Вт","Ср","Чт","Пт","Сб","Вс"))</f>
        <v/>
      </c>
      <c r="C1216" s="53">
        <f>IF(A1216="","",YEAR(A1216))</f>
        <v/>
      </c>
      <c r="D1216" s="54">
        <f>IF(A1216="","",INDEX(lst_months,MONTH(A1216)))</f>
        <v/>
      </c>
      <c r="E1216" s="55" t="n"/>
      <c r="F1216" s="54">
        <f>IF(E1216="","",IFERROR(IF(INDEX(lst_exp_item_cat,MATCH(E1216,lst_exp_items,0))="","❔ Без категории",INDEX(lst_exp_item_cat,MATCH(E1216,lst_exp_items,0))),"❔ Без категории"))</f>
        <v/>
      </c>
      <c r="G1216" s="43" t="n"/>
      <c r="H1216" s="56" t="n"/>
      <c r="I1216" s="43" t="n"/>
      <c r="J1216" s="57">
        <f>IF(OR(A1216="",H1216=""),"",IF(COUNTIFS(exp_year,C1216,exp_month,D1216,exp_item,E1216,exp_status,"&lt;&gt;❌ Отменено")&gt;0,1,0))</f>
        <v/>
      </c>
    </row>
    <row r="1217">
      <c r="A1217" s="52" t="n"/>
      <c r="B1217" s="53">
        <f>IF(A1217="","",CHOOSE(WEEKDAY(A1217,2),"Пн","Вт","Ср","Чт","Пт","Сб","Вс"))</f>
        <v/>
      </c>
      <c r="C1217" s="53">
        <f>IF(A1217="","",YEAR(A1217))</f>
        <v/>
      </c>
      <c r="D1217" s="54">
        <f>IF(A1217="","",INDEX(lst_months,MONTH(A1217)))</f>
        <v/>
      </c>
      <c r="E1217" s="55" t="n"/>
      <c r="F1217" s="54">
        <f>IF(E1217="","",IFERROR(IF(INDEX(lst_exp_item_cat,MATCH(E1217,lst_exp_items,0))="","❔ Без категории",INDEX(lst_exp_item_cat,MATCH(E1217,lst_exp_items,0))),"❔ Без категории"))</f>
        <v/>
      </c>
      <c r="G1217" s="43" t="n"/>
      <c r="H1217" s="56" t="n"/>
      <c r="I1217" s="43" t="n"/>
      <c r="J1217" s="57">
        <f>IF(OR(A1217="",H1217=""),"",IF(COUNTIFS(exp_year,C1217,exp_month,D1217,exp_item,E1217,exp_status,"&lt;&gt;❌ Отменено")&gt;0,1,0))</f>
        <v/>
      </c>
    </row>
    <row r="1218">
      <c r="A1218" s="52" t="n"/>
      <c r="B1218" s="53">
        <f>IF(A1218="","",CHOOSE(WEEKDAY(A1218,2),"Пн","Вт","Ср","Чт","Пт","Сб","Вс"))</f>
        <v/>
      </c>
      <c r="C1218" s="53">
        <f>IF(A1218="","",YEAR(A1218))</f>
        <v/>
      </c>
      <c r="D1218" s="54">
        <f>IF(A1218="","",INDEX(lst_months,MONTH(A1218)))</f>
        <v/>
      </c>
      <c r="E1218" s="55" t="n"/>
      <c r="F1218" s="54">
        <f>IF(E1218="","",IFERROR(IF(INDEX(lst_exp_item_cat,MATCH(E1218,lst_exp_items,0))="","❔ Без категории",INDEX(lst_exp_item_cat,MATCH(E1218,lst_exp_items,0))),"❔ Без категории"))</f>
        <v/>
      </c>
      <c r="G1218" s="43" t="n"/>
      <c r="H1218" s="56" t="n"/>
      <c r="I1218" s="43" t="n"/>
      <c r="J1218" s="57">
        <f>IF(OR(A1218="",H1218=""),"",IF(COUNTIFS(exp_year,C1218,exp_month,D1218,exp_item,E1218,exp_status,"&lt;&gt;❌ Отменено")&gt;0,1,0))</f>
        <v/>
      </c>
    </row>
    <row r="1219">
      <c r="A1219" s="52" t="n"/>
      <c r="B1219" s="53">
        <f>IF(A1219="","",CHOOSE(WEEKDAY(A1219,2),"Пн","Вт","Ср","Чт","Пт","Сб","Вс"))</f>
        <v/>
      </c>
      <c r="C1219" s="53">
        <f>IF(A1219="","",YEAR(A1219))</f>
        <v/>
      </c>
      <c r="D1219" s="54">
        <f>IF(A1219="","",INDEX(lst_months,MONTH(A1219)))</f>
        <v/>
      </c>
      <c r="E1219" s="55" t="n"/>
      <c r="F1219" s="54">
        <f>IF(E1219="","",IFERROR(IF(INDEX(lst_exp_item_cat,MATCH(E1219,lst_exp_items,0))="","❔ Без категории",INDEX(lst_exp_item_cat,MATCH(E1219,lst_exp_items,0))),"❔ Без категории"))</f>
        <v/>
      </c>
      <c r="G1219" s="43" t="n"/>
      <c r="H1219" s="56" t="n"/>
      <c r="I1219" s="43" t="n"/>
      <c r="J1219" s="57">
        <f>IF(OR(A1219="",H1219=""),"",IF(COUNTIFS(exp_year,C1219,exp_month,D1219,exp_item,E1219,exp_status,"&lt;&gt;❌ Отменено")&gt;0,1,0))</f>
        <v/>
      </c>
    </row>
    <row r="1220">
      <c r="A1220" s="52" t="n"/>
      <c r="B1220" s="53">
        <f>IF(A1220="","",CHOOSE(WEEKDAY(A1220,2),"Пн","Вт","Ср","Чт","Пт","Сб","Вс"))</f>
        <v/>
      </c>
      <c r="C1220" s="53">
        <f>IF(A1220="","",YEAR(A1220))</f>
        <v/>
      </c>
      <c r="D1220" s="54">
        <f>IF(A1220="","",INDEX(lst_months,MONTH(A1220)))</f>
        <v/>
      </c>
      <c r="E1220" s="55" t="n"/>
      <c r="F1220" s="54">
        <f>IF(E1220="","",IFERROR(IF(INDEX(lst_exp_item_cat,MATCH(E1220,lst_exp_items,0))="","❔ Без категории",INDEX(lst_exp_item_cat,MATCH(E1220,lst_exp_items,0))),"❔ Без категории"))</f>
        <v/>
      </c>
      <c r="G1220" s="43" t="n"/>
      <c r="H1220" s="56" t="n"/>
      <c r="I1220" s="43" t="n"/>
      <c r="J1220" s="57">
        <f>IF(OR(A1220="",H1220=""),"",IF(COUNTIFS(exp_year,C1220,exp_month,D1220,exp_item,E1220,exp_status,"&lt;&gt;❌ Отменено")&gt;0,1,0))</f>
        <v/>
      </c>
    </row>
    <row r="1221">
      <c r="A1221" s="52" t="n"/>
      <c r="B1221" s="53">
        <f>IF(A1221="","",CHOOSE(WEEKDAY(A1221,2),"Пн","Вт","Ср","Чт","Пт","Сб","Вс"))</f>
        <v/>
      </c>
      <c r="C1221" s="53">
        <f>IF(A1221="","",YEAR(A1221))</f>
        <v/>
      </c>
      <c r="D1221" s="54">
        <f>IF(A1221="","",INDEX(lst_months,MONTH(A1221)))</f>
        <v/>
      </c>
      <c r="E1221" s="55" t="n"/>
      <c r="F1221" s="54">
        <f>IF(E1221="","",IFERROR(IF(INDEX(lst_exp_item_cat,MATCH(E1221,lst_exp_items,0))="","❔ Без категории",INDEX(lst_exp_item_cat,MATCH(E1221,lst_exp_items,0))),"❔ Без категории"))</f>
        <v/>
      </c>
      <c r="G1221" s="43" t="n"/>
      <c r="H1221" s="56" t="n"/>
      <c r="I1221" s="43" t="n"/>
      <c r="J1221" s="57">
        <f>IF(OR(A1221="",H1221=""),"",IF(COUNTIFS(exp_year,C1221,exp_month,D1221,exp_item,E1221,exp_status,"&lt;&gt;❌ Отменено")&gt;0,1,0))</f>
        <v/>
      </c>
    </row>
    <row r="1222">
      <c r="A1222" s="52" t="n"/>
      <c r="B1222" s="53">
        <f>IF(A1222="","",CHOOSE(WEEKDAY(A1222,2),"Пн","Вт","Ср","Чт","Пт","Сб","Вс"))</f>
        <v/>
      </c>
      <c r="C1222" s="53">
        <f>IF(A1222="","",YEAR(A1222))</f>
        <v/>
      </c>
      <c r="D1222" s="54">
        <f>IF(A1222="","",INDEX(lst_months,MONTH(A1222)))</f>
        <v/>
      </c>
      <c r="E1222" s="55" t="n"/>
      <c r="F1222" s="54">
        <f>IF(E1222="","",IFERROR(IF(INDEX(lst_exp_item_cat,MATCH(E1222,lst_exp_items,0))="","❔ Без категории",INDEX(lst_exp_item_cat,MATCH(E1222,lst_exp_items,0))),"❔ Без категории"))</f>
        <v/>
      </c>
      <c r="G1222" s="43" t="n"/>
      <c r="H1222" s="56" t="n"/>
      <c r="I1222" s="43" t="n"/>
      <c r="J1222" s="57">
        <f>IF(OR(A1222="",H1222=""),"",IF(COUNTIFS(exp_year,C1222,exp_month,D1222,exp_item,E1222,exp_status,"&lt;&gt;❌ Отменено")&gt;0,1,0))</f>
        <v/>
      </c>
    </row>
    <row r="1223">
      <c r="A1223" s="52" t="n"/>
      <c r="B1223" s="53">
        <f>IF(A1223="","",CHOOSE(WEEKDAY(A1223,2),"Пн","Вт","Ср","Чт","Пт","Сб","Вс"))</f>
        <v/>
      </c>
      <c r="C1223" s="53">
        <f>IF(A1223="","",YEAR(A1223))</f>
        <v/>
      </c>
      <c r="D1223" s="54">
        <f>IF(A1223="","",INDEX(lst_months,MONTH(A1223)))</f>
        <v/>
      </c>
      <c r="E1223" s="55" t="n"/>
      <c r="F1223" s="54">
        <f>IF(E1223="","",IFERROR(IF(INDEX(lst_exp_item_cat,MATCH(E1223,lst_exp_items,0))="","❔ Без категории",INDEX(lst_exp_item_cat,MATCH(E1223,lst_exp_items,0))),"❔ Без категории"))</f>
        <v/>
      </c>
      <c r="G1223" s="43" t="n"/>
      <c r="H1223" s="56" t="n"/>
      <c r="I1223" s="43" t="n"/>
      <c r="J1223" s="57">
        <f>IF(OR(A1223="",H1223=""),"",IF(COUNTIFS(exp_year,C1223,exp_month,D1223,exp_item,E1223,exp_status,"&lt;&gt;❌ Отменено")&gt;0,1,0))</f>
        <v/>
      </c>
    </row>
    <row r="1224">
      <c r="A1224" s="52" t="n"/>
      <c r="B1224" s="53">
        <f>IF(A1224="","",CHOOSE(WEEKDAY(A1224,2),"Пн","Вт","Ср","Чт","Пт","Сб","Вс"))</f>
        <v/>
      </c>
      <c r="C1224" s="53">
        <f>IF(A1224="","",YEAR(A1224))</f>
        <v/>
      </c>
      <c r="D1224" s="54">
        <f>IF(A1224="","",INDEX(lst_months,MONTH(A1224)))</f>
        <v/>
      </c>
      <c r="E1224" s="55" t="n"/>
      <c r="F1224" s="54">
        <f>IF(E1224="","",IFERROR(IF(INDEX(lst_exp_item_cat,MATCH(E1224,lst_exp_items,0))="","❔ Без категории",INDEX(lst_exp_item_cat,MATCH(E1224,lst_exp_items,0))),"❔ Без категории"))</f>
        <v/>
      </c>
      <c r="G1224" s="43" t="n"/>
      <c r="H1224" s="56" t="n"/>
      <c r="I1224" s="43" t="n"/>
      <c r="J1224" s="57">
        <f>IF(OR(A1224="",H1224=""),"",IF(COUNTIFS(exp_year,C1224,exp_month,D1224,exp_item,E1224,exp_status,"&lt;&gt;❌ Отменено")&gt;0,1,0))</f>
        <v/>
      </c>
    </row>
    <row r="1225">
      <c r="A1225" s="52" t="n"/>
      <c r="B1225" s="53">
        <f>IF(A1225="","",CHOOSE(WEEKDAY(A1225,2),"Пн","Вт","Ср","Чт","Пт","Сб","Вс"))</f>
        <v/>
      </c>
      <c r="C1225" s="53">
        <f>IF(A1225="","",YEAR(A1225))</f>
        <v/>
      </c>
      <c r="D1225" s="54">
        <f>IF(A1225="","",INDEX(lst_months,MONTH(A1225)))</f>
        <v/>
      </c>
      <c r="E1225" s="55" t="n"/>
      <c r="F1225" s="54">
        <f>IF(E1225="","",IFERROR(IF(INDEX(lst_exp_item_cat,MATCH(E1225,lst_exp_items,0))="","❔ Без категории",INDEX(lst_exp_item_cat,MATCH(E1225,lst_exp_items,0))),"❔ Без категории"))</f>
        <v/>
      </c>
      <c r="G1225" s="43" t="n"/>
      <c r="H1225" s="56" t="n"/>
      <c r="I1225" s="43" t="n"/>
      <c r="J1225" s="57">
        <f>IF(OR(A1225="",H1225=""),"",IF(COUNTIFS(exp_year,C1225,exp_month,D1225,exp_item,E1225,exp_status,"&lt;&gt;❌ Отменено")&gt;0,1,0))</f>
        <v/>
      </c>
    </row>
    <row r="1226">
      <c r="A1226" s="52" t="n"/>
      <c r="B1226" s="53">
        <f>IF(A1226="","",CHOOSE(WEEKDAY(A1226,2),"Пн","Вт","Ср","Чт","Пт","Сб","Вс"))</f>
        <v/>
      </c>
      <c r="C1226" s="53">
        <f>IF(A1226="","",YEAR(A1226))</f>
        <v/>
      </c>
      <c r="D1226" s="54">
        <f>IF(A1226="","",INDEX(lst_months,MONTH(A1226)))</f>
        <v/>
      </c>
      <c r="E1226" s="55" t="n"/>
      <c r="F1226" s="54">
        <f>IF(E1226="","",IFERROR(IF(INDEX(lst_exp_item_cat,MATCH(E1226,lst_exp_items,0))="","❔ Без категории",INDEX(lst_exp_item_cat,MATCH(E1226,lst_exp_items,0))),"❔ Без категории"))</f>
        <v/>
      </c>
      <c r="G1226" s="43" t="n"/>
      <c r="H1226" s="56" t="n"/>
      <c r="I1226" s="43" t="n"/>
      <c r="J1226" s="57">
        <f>IF(OR(A1226="",H1226=""),"",IF(COUNTIFS(exp_year,C1226,exp_month,D1226,exp_item,E1226,exp_status,"&lt;&gt;❌ Отменено")&gt;0,1,0))</f>
        <v/>
      </c>
    </row>
    <row r="1227">
      <c r="A1227" s="52" t="n"/>
      <c r="B1227" s="53">
        <f>IF(A1227="","",CHOOSE(WEEKDAY(A1227,2),"Пн","Вт","Ср","Чт","Пт","Сб","Вс"))</f>
        <v/>
      </c>
      <c r="C1227" s="53">
        <f>IF(A1227="","",YEAR(A1227))</f>
        <v/>
      </c>
      <c r="D1227" s="54">
        <f>IF(A1227="","",INDEX(lst_months,MONTH(A1227)))</f>
        <v/>
      </c>
      <c r="E1227" s="55" t="n"/>
      <c r="F1227" s="54">
        <f>IF(E1227="","",IFERROR(IF(INDEX(lst_exp_item_cat,MATCH(E1227,lst_exp_items,0))="","❔ Без категории",INDEX(lst_exp_item_cat,MATCH(E1227,lst_exp_items,0))),"❔ Без категории"))</f>
        <v/>
      </c>
      <c r="G1227" s="43" t="n"/>
      <c r="H1227" s="56" t="n"/>
      <c r="I1227" s="43" t="n"/>
      <c r="J1227" s="57">
        <f>IF(OR(A1227="",H1227=""),"",IF(COUNTIFS(exp_year,C1227,exp_month,D1227,exp_item,E1227,exp_status,"&lt;&gt;❌ Отменено")&gt;0,1,0))</f>
        <v/>
      </c>
    </row>
    <row r="1228">
      <c r="A1228" s="52" t="n"/>
      <c r="B1228" s="53">
        <f>IF(A1228="","",CHOOSE(WEEKDAY(A1228,2),"Пн","Вт","Ср","Чт","Пт","Сб","Вс"))</f>
        <v/>
      </c>
      <c r="C1228" s="53">
        <f>IF(A1228="","",YEAR(A1228))</f>
        <v/>
      </c>
      <c r="D1228" s="54">
        <f>IF(A1228="","",INDEX(lst_months,MONTH(A1228)))</f>
        <v/>
      </c>
      <c r="E1228" s="55" t="n"/>
      <c r="F1228" s="54">
        <f>IF(E1228="","",IFERROR(IF(INDEX(lst_exp_item_cat,MATCH(E1228,lst_exp_items,0))="","❔ Без категории",INDEX(lst_exp_item_cat,MATCH(E1228,lst_exp_items,0))),"❔ Без категории"))</f>
        <v/>
      </c>
      <c r="G1228" s="43" t="n"/>
      <c r="H1228" s="56" t="n"/>
      <c r="I1228" s="43" t="n"/>
      <c r="J1228" s="57">
        <f>IF(OR(A1228="",H1228=""),"",IF(COUNTIFS(exp_year,C1228,exp_month,D1228,exp_item,E1228,exp_status,"&lt;&gt;❌ Отменено")&gt;0,1,0))</f>
        <v/>
      </c>
    </row>
    <row r="1229">
      <c r="A1229" s="52" t="n"/>
      <c r="B1229" s="53">
        <f>IF(A1229="","",CHOOSE(WEEKDAY(A1229,2),"Пн","Вт","Ср","Чт","Пт","Сб","Вс"))</f>
        <v/>
      </c>
      <c r="C1229" s="53">
        <f>IF(A1229="","",YEAR(A1229))</f>
        <v/>
      </c>
      <c r="D1229" s="54">
        <f>IF(A1229="","",INDEX(lst_months,MONTH(A1229)))</f>
        <v/>
      </c>
      <c r="E1229" s="55" t="n"/>
      <c r="F1229" s="54">
        <f>IF(E1229="","",IFERROR(IF(INDEX(lst_exp_item_cat,MATCH(E1229,lst_exp_items,0))="","❔ Без категории",INDEX(lst_exp_item_cat,MATCH(E1229,lst_exp_items,0))),"❔ Без категории"))</f>
        <v/>
      </c>
      <c r="G1229" s="43" t="n"/>
      <c r="H1229" s="56" t="n"/>
      <c r="I1229" s="43" t="n"/>
      <c r="J1229" s="57">
        <f>IF(OR(A1229="",H1229=""),"",IF(COUNTIFS(exp_year,C1229,exp_month,D1229,exp_item,E1229,exp_status,"&lt;&gt;❌ Отменено")&gt;0,1,0))</f>
        <v/>
      </c>
    </row>
    <row r="1230">
      <c r="A1230" s="52" t="n"/>
      <c r="B1230" s="53">
        <f>IF(A1230="","",CHOOSE(WEEKDAY(A1230,2),"Пн","Вт","Ср","Чт","Пт","Сб","Вс"))</f>
        <v/>
      </c>
      <c r="C1230" s="53">
        <f>IF(A1230="","",YEAR(A1230))</f>
        <v/>
      </c>
      <c r="D1230" s="54">
        <f>IF(A1230="","",INDEX(lst_months,MONTH(A1230)))</f>
        <v/>
      </c>
      <c r="E1230" s="55" t="n"/>
      <c r="F1230" s="54">
        <f>IF(E1230="","",IFERROR(IF(INDEX(lst_exp_item_cat,MATCH(E1230,lst_exp_items,0))="","❔ Без категории",INDEX(lst_exp_item_cat,MATCH(E1230,lst_exp_items,0))),"❔ Без категории"))</f>
        <v/>
      </c>
      <c r="G1230" s="43" t="n"/>
      <c r="H1230" s="56" t="n"/>
      <c r="I1230" s="43" t="n"/>
      <c r="J1230" s="57">
        <f>IF(OR(A1230="",H1230=""),"",IF(COUNTIFS(exp_year,C1230,exp_month,D1230,exp_item,E1230,exp_status,"&lt;&gt;❌ Отменено")&gt;0,1,0))</f>
        <v/>
      </c>
    </row>
    <row r="1231">
      <c r="A1231" s="52" t="n"/>
      <c r="B1231" s="53">
        <f>IF(A1231="","",CHOOSE(WEEKDAY(A1231,2),"Пн","Вт","Ср","Чт","Пт","Сб","Вс"))</f>
        <v/>
      </c>
      <c r="C1231" s="53">
        <f>IF(A1231="","",YEAR(A1231))</f>
        <v/>
      </c>
      <c r="D1231" s="54">
        <f>IF(A1231="","",INDEX(lst_months,MONTH(A1231)))</f>
        <v/>
      </c>
      <c r="E1231" s="55" t="n"/>
      <c r="F1231" s="54">
        <f>IF(E1231="","",IFERROR(IF(INDEX(lst_exp_item_cat,MATCH(E1231,lst_exp_items,0))="","❔ Без категории",INDEX(lst_exp_item_cat,MATCH(E1231,lst_exp_items,0))),"❔ Без категории"))</f>
        <v/>
      </c>
      <c r="G1231" s="43" t="n"/>
      <c r="H1231" s="56" t="n"/>
      <c r="I1231" s="43" t="n"/>
      <c r="J1231" s="57">
        <f>IF(OR(A1231="",H1231=""),"",IF(COUNTIFS(exp_year,C1231,exp_month,D1231,exp_item,E1231,exp_status,"&lt;&gt;❌ Отменено")&gt;0,1,0))</f>
        <v/>
      </c>
    </row>
    <row r="1232">
      <c r="A1232" s="52" t="n"/>
      <c r="B1232" s="53">
        <f>IF(A1232="","",CHOOSE(WEEKDAY(A1232,2),"Пн","Вт","Ср","Чт","Пт","Сб","Вс"))</f>
        <v/>
      </c>
      <c r="C1232" s="53">
        <f>IF(A1232="","",YEAR(A1232))</f>
        <v/>
      </c>
      <c r="D1232" s="54">
        <f>IF(A1232="","",INDEX(lst_months,MONTH(A1232)))</f>
        <v/>
      </c>
      <c r="E1232" s="55" t="n"/>
      <c r="F1232" s="54">
        <f>IF(E1232="","",IFERROR(IF(INDEX(lst_exp_item_cat,MATCH(E1232,lst_exp_items,0))="","❔ Без категории",INDEX(lst_exp_item_cat,MATCH(E1232,lst_exp_items,0))),"❔ Без категории"))</f>
        <v/>
      </c>
      <c r="G1232" s="43" t="n"/>
      <c r="H1232" s="56" t="n"/>
      <c r="I1232" s="43" t="n"/>
      <c r="J1232" s="57">
        <f>IF(OR(A1232="",H1232=""),"",IF(COUNTIFS(exp_year,C1232,exp_month,D1232,exp_item,E1232,exp_status,"&lt;&gt;❌ Отменено")&gt;0,1,0))</f>
        <v/>
      </c>
    </row>
    <row r="1233">
      <c r="A1233" s="52" t="n"/>
      <c r="B1233" s="53">
        <f>IF(A1233="","",CHOOSE(WEEKDAY(A1233,2),"Пн","Вт","Ср","Чт","Пт","Сб","Вс"))</f>
        <v/>
      </c>
      <c r="C1233" s="53">
        <f>IF(A1233="","",YEAR(A1233))</f>
        <v/>
      </c>
      <c r="D1233" s="54">
        <f>IF(A1233="","",INDEX(lst_months,MONTH(A1233)))</f>
        <v/>
      </c>
      <c r="E1233" s="55" t="n"/>
      <c r="F1233" s="54">
        <f>IF(E1233="","",IFERROR(IF(INDEX(lst_exp_item_cat,MATCH(E1233,lst_exp_items,0))="","❔ Без категории",INDEX(lst_exp_item_cat,MATCH(E1233,lst_exp_items,0))),"❔ Без категории"))</f>
        <v/>
      </c>
      <c r="G1233" s="43" t="n"/>
      <c r="H1233" s="56" t="n"/>
      <c r="I1233" s="43" t="n"/>
      <c r="J1233" s="57">
        <f>IF(OR(A1233="",H1233=""),"",IF(COUNTIFS(exp_year,C1233,exp_month,D1233,exp_item,E1233,exp_status,"&lt;&gt;❌ Отменено")&gt;0,1,0))</f>
        <v/>
      </c>
    </row>
    <row r="1234">
      <c r="A1234" s="52" t="n"/>
      <c r="B1234" s="53">
        <f>IF(A1234="","",CHOOSE(WEEKDAY(A1234,2),"Пн","Вт","Ср","Чт","Пт","Сб","Вс"))</f>
        <v/>
      </c>
      <c r="C1234" s="53">
        <f>IF(A1234="","",YEAR(A1234))</f>
        <v/>
      </c>
      <c r="D1234" s="54">
        <f>IF(A1234="","",INDEX(lst_months,MONTH(A1234)))</f>
        <v/>
      </c>
      <c r="E1234" s="55" t="n"/>
      <c r="F1234" s="54">
        <f>IF(E1234="","",IFERROR(IF(INDEX(lst_exp_item_cat,MATCH(E1234,lst_exp_items,0))="","❔ Без категории",INDEX(lst_exp_item_cat,MATCH(E1234,lst_exp_items,0))),"❔ Без категории"))</f>
        <v/>
      </c>
      <c r="G1234" s="43" t="n"/>
      <c r="H1234" s="56" t="n"/>
      <c r="I1234" s="43" t="n"/>
      <c r="J1234" s="57">
        <f>IF(OR(A1234="",H1234=""),"",IF(COUNTIFS(exp_year,C1234,exp_month,D1234,exp_item,E1234,exp_status,"&lt;&gt;❌ Отменено")&gt;0,1,0))</f>
        <v/>
      </c>
    </row>
    <row r="1235">
      <c r="A1235" s="52" t="n"/>
      <c r="B1235" s="53">
        <f>IF(A1235="","",CHOOSE(WEEKDAY(A1235,2),"Пн","Вт","Ср","Чт","Пт","Сб","Вс"))</f>
        <v/>
      </c>
      <c r="C1235" s="53">
        <f>IF(A1235="","",YEAR(A1235))</f>
        <v/>
      </c>
      <c r="D1235" s="54">
        <f>IF(A1235="","",INDEX(lst_months,MONTH(A1235)))</f>
        <v/>
      </c>
      <c r="E1235" s="55" t="n"/>
      <c r="F1235" s="54">
        <f>IF(E1235="","",IFERROR(IF(INDEX(lst_exp_item_cat,MATCH(E1235,lst_exp_items,0))="","❔ Без категории",INDEX(lst_exp_item_cat,MATCH(E1235,lst_exp_items,0))),"❔ Без категории"))</f>
        <v/>
      </c>
      <c r="G1235" s="43" t="n"/>
      <c r="H1235" s="56" t="n"/>
      <c r="I1235" s="43" t="n"/>
      <c r="J1235" s="57">
        <f>IF(OR(A1235="",H1235=""),"",IF(COUNTIFS(exp_year,C1235,exp_month,D1235,exp_item,E1235,exp_status,"&lt;&gt;❌ Отменено")&gt;0,1,0))</f>
        <v/>
      </c>
    </row>
    <row r="1236">
      <c r="A1236" s="52" t="n"/>
      <c r="B1236" s="53">
        <f>IF(A1236="","",CHOOSE(WEEKDAY(A1236,2),"Пн","Вт","Ср","Чт","Пт","Сб","Вс"))</f>
        <v/>
      </c>
      <c r="C1236" s="53">
        <f>IF(A1236="","",YEAR(A1236))</f>
        <v/>
      </c>
      <c r="D1236" s="54">
        <f>IF(A1236="","",INDEX(lst_months,MONTH(A1236)))</f>
        <v/>
      </c>
      <c r="E1236" s="55" t="n"/>
      <c r="F1236" s="54">
        <f>IF(E1236="","",IFERROR(IF(INDEX(lst_exp_item_cat,MATCH(E1236,lst_exp_items,0))="","❔ Без категории",INDEX(lst_exp_item_cat,MATCH(E1236,lst_exp_items,0))),"❔ Без категории"))</f>
        <v/>
      </c>
      <c r="G1236" s="43" t="n"/>
      <c r="H1236" s="56" t="n"/>
      <c r="I1236" s="43" t="n"/>
      <c r="J1236" s="57">
        <f>IF(OR(A1236="",H1236=""),"",IF(COUNTIFS(exp_year,C1236,exp_month,D1236,exp_item,E1236,exp_status,"&lt;&gt;❌ Отменено")&gt;0,1,0))</f>
        <v/>
      </c>
    </row>
    <row r="1237">
      <c r="A1237" s="52" t="n"/>
      <c r="B1237" s="53">
        <f>IF(A1237="","",CHOOSE(WEEKDAY(A1237,2),"Пн","Вт","Ср","Чт","Пт","Сб","Вс"))</f>
        <v/>
      </c>
      <c r="C1237" s="53">
        <f>IF(A1237="","",YEAR(A1237))</f>
        <v/>
      </c>
      <c r="D1237" s="54">
        <f>IF(A1237="","",INDEX(lst_months,MONTH(A1237)))</f>
        <v/>
      </c>
      <c r="E1237" s="55" t="n"/>
      <c r="F1237" s="54">
        <f>IF(E1237="","",IFERROR(IF(INDEX(lst_exp_item_cat,MATCH(E1237,lst_exp_items,0))="","❔ Без категории",INDEX(lst_exp_item_cat,MATCH(E1237,lst_exp_items,0))),"❔ Без категории"))</f>
        <v/>
      </c>
      <c r="G1237" s="43" t="n"/>
      <c r="H1237" s="56" t="n"/>
      <c r="I1237" s="43" t="n"/>
      <c r="J1237" s="57">
        <f>IF(OR(A1237="",H1237=""),"",IF(COUNTIFS(exp_year,C1237,exp_month,D1237,exp_item,E1237,exp_status,"&lt;&gt;❌ Отменено")&gt;0,1,0))</f>
        <v/>
      </c>
    </row>
    <row r="1238">
      <c r="A1238" s="52" t="n"/>
      <c r="B1238" s="53">
        <f>IF(A1238="","",CHOOSE(WEEKDAY(A1238,2),"Пн","Вт","Ср","Чт","Пт","Сб","Вс"))</f>
        <v/>
      </c>
      <c r="C1238" s="53">
        <f>IF(A1238="","",YEAR(A1238))</f>
        <v/>
      </c>
      <c r="D1238" s="54">
        <f>IF(A1238="","",INDEX(lst_months,MONTH(A1238)))</f>
        <v/>
      </c>
      <c r="E1238" s="55" t="n"/>
      <c r="F1238" s="54">
        <f>IF(E1238="","",IFERROR(IF(INDEX(lst_exp_item_cat,MATCH(E1238,lst_exp_items,0))="","❔ Без категории",INDEX(lst_exp_item_cat,MATCH(E1238,lst_exp_items,0))),"❔ Без категории"))</f>
        <v/>
      </c>
      <c r="G1238" s="43" t="n"/>
      <c r="H1238" s="56" t="n"/>
      <c r="I1238" s="43" t="n"/>
      <c r="J1238" s="57">
        <f>IF(OR(A1238="",H1238=""),"",IF(COUNTIFS(exp_year,C1238,exp_month,D1238,exp_item,E1238,exp_status,"&lt;&gt;❌ Отменено")&gt;0,1,0))</f>
        <v/>
      </c>
    </row>
    <row r="1239">
      <c r="A1239" s="52" t="n"/>
      <c r="B1239" s="53">
        <f>IF(A1239="","",CHOOSE(WEEKDAY(A1239,2),"Пн","Вт","Ср","Чт","Пт","Сб","Вс"))</f>
        <v/>
      </c>
      <c r="C1239" s="53">
        <f>IF(A1239="","",YEAR(A1239))</f>
        <v/>
      </c>
      <c r="D1239" s="54">
        <f>IF(A1239="","",INDEX(lst_months,MONTH(A1239)))</f>
        <v/>
      </c>
      <c r="E1239" s="55" t="n"/>
      <c r="F1239" s="54">
        <f>IF(E1239="","",IFERROR(IF(INDEX(lst_exp_item_cat,MATCH(E1239,lst_exp_items,0))="","❔ Без категории",INDEX(lst_exp_item_cat,MATCH(E1239,lst_exp_items,0))),"❔ Без категории"))</f>
        <v/>
      </c>
      <c r="G1239" s="43" t="n"/>
      <c r="H1239" s="56" t="n"/>
      <c r="I1239" s="43" t="n"/>
      <c r="J1239" s="57">
        <f>IF(OR(A1239="",H1239=""),"",IF(COUNTIFS(exp_year,C1239,exp_month,D1239,exp_item,E1239,exp_status,"&lt;&gt;❌ Отменено")&gt;0,1,0))</f>
        <v/>
      </c>
    </row>
    <row r="1240">
      <c r="A1240" s="52" t="n"/>
      <c r="B1240" s="53">
        <f>IF(A1240="","",CHOOSE(WEEKDAY(A1240,2),"Пн","Вт","Ср","Чт","Пт","Сб","Вс"))</f>
        <v/>
      </c>
      <c r="C1240" s="53">
        <f>IF(A1240="","",YEAR(A1240))</f>
        <v/>
      </c>
      <c r="D1240" s="54">
        <f>IF(A1240="","",INDEX(lst_months,MONTH(A1240)))</f>
        <v/>
      </c>
      <c r="E1240" s="55" t="n"/>
      <c r="F1240" s="54">
        <f>IF(E1240="","",IFERROR(IF(INDEX(lst_exp_item_cat,MATCH(E1240,lst_exp_items,0))="","❔ Без категории",INDEX(lst_exp_item_cat,MATCH(E1240,lst_exp_items,0))),"❔ Без категории"))</f>
        <v/>
      </c>
      <c r="G1240" s="43" t="n"/>
      <c r="H1240" s="56" t="n"/>
      <c r="I1240" s="43" t="n"/>
      <c r="J1240" s="57">
        <f>IF(OR(A1240="",H1240=""),"",IF(COUNTIFS(exp_year,C1240,exp_month,D1240,exp_item,E1240,exp_status,"&lt;&gt;❌ Отменено")&gt;0,1,0))</f>
        <v/>
      </c>
    </row>
    <row r="1241">
      <c r="A1241" s="52" t="n"/>
      <c r="B1241" s="53">
        <f>IF(A1241="","",CHOOSE(WEEKDAY(A1241,2),"Пн","Вт","Ср","Чт","Пт","Сб","Вс"))</f>
        <v/>
      </c>
      <c r="C1241" s="53">
        <f>IF(A1241="","",YEAR(A1241))</f>
        <v/>
      </c>
      <c r="D1241" s="54">
        <f>IF(A1241="","",INDEX(lst_months,MONTH(A1241)))</f>
        <v/>
      </c>
      <c r="E1241" s="55" t="n"/>
      <c r="F1241" s="54">
        <f>IF(E1241="","",IFERROR(IF(INDEX(lst_exp_item_cat,MATCH(E1241,lst_exp_items,0))="","❔ Без категории",INDEX(lst_exp_item_cat,MATCH(E1241,lst_exp_items,0))),"❔ Без категории"))</f>
        <v/>
      </c>
      <c r="G1241" s="43" t="n"/>
      <c r="H1241" s="56" t="n"/>
      <c r="I1241" s="43" t="n"/>
      <c r="J1241" s="57">
        <f>IF(OR(A1241="",H1241=""),"",IF(COUNTIFS(exp_year,C1241,exp_month,D1241,exp_item,E1241,exp_status,"&lt;&gt;❌ Отменено")&gt;0,1,0))</f>
        <v/>
      </c>
    </row>
    <row r="1242">
      <c r="A1242" s="52" t="n"/>
      <c r="B1242" s="53">
        <f>IF(A1242="","",CHOOSE(WEEKDAY(A1242,2),"Пн","Вт","Ср","Чт","Пт","Сб","Вс"))</f>
        <v/>
      </c>
      <c r="C1242" s="53">
        <f>IF(A1242="","",YEAR(A1242))</f>
        <v/>
      </c>
      <c r="D1242" s="54">
        <f>IF(A1242="","",INDEX(lst_months,MONTH(A1242)))</f>
        <v/>
      </c>
      <c r="E1242" s="55" t="n"/>
      <c r="F1242" s="54">
        <f>IF(E1242="","",IFERROR(IF(INDEX(lst_exp_item_cat,MATCH(E1242,lst_exp_items,0))="","❔ Без категории",INDEX(lst_exp_item_cat,MATCH(E1242,lst_exp_items,0))),"❔ Без категории"))</f>
        <v/>
      </c>
      <c r="G1242" s="43" t="n"/>
      <c r="H1242" s="56" t="n"/>
      <c r="I1242" s="43" t="n"/>
      <c r="J1242" s="57">
        <f>IF(OR(A1242="",H1242=""),"",IF(COUNTIFS(exp_year,C1242,exp_month,D1242,exp_item,E1242,exp_status,"&lt;&gt;❌ Отменено")&gt;0,1,0))</f>
        <v/>
      </c>
    </row>
    <row r="1243">
      <c r="A1243" s="52" t="n"/>
      <c r="B1243" s="53">
        <f>IF(A1243="","",CHOOSE(WEEKDAY(A1243,2),"Пн","Вт","Ср","Чт","Пт","Сб","Вс"))</f>
        <v/>
      </c>
      <c r="C1243" s="53">
        <f>IF(A1243="","",YEAR(A1243))</f>
        <v/>
      </c>
      <c r="D1243" s="54">
        <f>IF(A1243="","",INDEX(lst_months,MONTH(A1243)))</f>
        <v/>
      </c>
      <c r="E1243" s="55" t="n"/>
      <c r="F1243" s="54">
        <f>IF(E1243="","",IFERROR(IF(INDEX(lst_exp_item_cat,MATCH(E1243,lst_exp_items,0))="","❔ Без категории",INDEX(lst_exp_item_cat,MATCH(E1243,lst_exp_items,0))),"❔ Без категории"))</f>
        <v/>
      </c>
      <c r="G1243" s="43" t="n"/>
      <c r="H1243" s="56" t="n"/>
      <c r="I1243" s="43" t="n"/>
      <c r="J1243" s="57">
        <f>IF(OR(A1243="",H1243=""),"",IF(COUNTIFS(exp_year,C1243,exp_month,D1243,exp_item,E1243,exp_status,"&lt;&gt;❌ Отменено")&gt;0,1,0))</f>
        <v/>
      </c>
    </row>
    <row r="1244">
      <c r="A1244" s="52" t="n"/>
      <c r="B1244" s="53">
        <f>IF(A1244="","",CHOOSE(WEEKDAY(A1244,2),"Пн","Вт","Ср","Чт","Пт","Сб","Вс"))</f>
        <v/>
      </c>
      <c r="C1244" s="53">
        <f>IF(A1244="","",YEAR(A1244))</f>
        <v/>
      </c>
      <c r="D1244" s="54">
        <f>IF(A1244="","",INDEX(lst_months,MONTH(A1244)))</f>
        <v/>
      </c>
      <c r="E1244" s="55" t="n"/>
      <c r="F1244" s="54">
        <f>IF(E1244="","",IFERROR(IF(INDEX(lst_exp_item_cat,MATCH(E1244,lst_exp_items,0))="","❔ Без категории",INDEX(lst_exp_item_cat,MATCH(E1244,lst_exp_items,0))),"❔ Без категории"))</f>
        <v/>
      </c>
      <c r="G1244" s="43" t="n"/>
      <c r="H1244" s="56" t="n"/>
      <c r="I1244" s="43" t="n"/>
      <c r="J1244" s="57">
        <f>IF(OR(A1244="",H1244=""),"",IF(COUNTIFS(exp_year,C1244,exp_month,D1244,exp_item,E1244,exp_status,"&lt;&gt;❌ Отменено")&gt;0,1,0))</f>
        <v/>
      </c>
    </row>
    <row r="1245">
      <c r="A1245" s="52" t="n"/>
      <c r="B1245" s="53">
        <f>IF(A1245="","",CHOOSE(WEEKDAY(A1245,2),"Пн","Вт","Ср","Чт","Пт","Сб","Вс"))</f>
        <v/>
      </c>
      <c r="C1245" s="53">
        <f>IF(A1245="","",YEAR(A1245))</f>
        <v/>
      </c>
      <c r="D1245" s="54">
        <f>IF(A1245="","",INDEX(lst_months,MONTH(A1245)))</f>
        <v/>
      </c>
      <c r="E1245" s="55" t="n"/>
      <c r="F1245" s="54">
        <f>IF(E1245="","",IFERROR(IF(INDEX(lst_exp_item_cat,MATCH(E1245,lst_exp_items,0))="","❔ Без категории",INDEX(lst_exp_item_cat,MATCH(E1245,lst_exp_items,0))),"❔ Без категории"))</f>
        <v/>
      </c>
      <c r="G1245" s="43" t="n"/>
      <c r="H1245" s="56" t="n"/>
      <c r="I1245" s="43" t="n"/>
      <c r="J1245" s="57">
        <f>IF(OR(A1245="",H1245=""),"",IF(COUNTIFS(exp_year,C1245,exp_month,D1245,exp_item,E1245,exp_status,"&lt;&gt;❌ Отменено")&gt;0,1,0))</f>
        <v/>
      </c>
    </row>
    <row r="1246">
      <c r="A1246" s="52" t="n"/>
      <c r="B1246" s="53">
        <f>IF(A1246="","",CHOOSE(WEEKDAY(A1246,2),"Пн","Вт","Ср","Чт","Пт","Сб","Вс"))</f>
        <v/>
      </c>
      <c r="C1246" s="53">
        <f>IF(A1246="","",YEAR(A1246))</f>
        <v/>
      </c>
      <c r="D1246" s="54">
        <f>IF(A1246="","",INDEX(lst_months,MONTH(A1246)))</f>
        <v/>
      </c>
      <c r="E1246" s="55" t="n"/>
      <c r="F1246" s="54">
        <f>IF(E1246="","",IFERROR(IF(INDEX(lst_exp_item_cat,MATCH(E1246,lst_exp_items,0))="","❔ Без категории",INDEX(lst_exp_item_cat,MATCH(E1246,lst_exp_items,0))),"❔ Без категории"))</f>
        <v/>
      </c>
      <c r="G1246" s="43" t="n"/>
      <c r="H1246" s="56" t="n"/>
      <c r="I1246" s="43" t="n"/>
      <c r="J1246" s="57">
        <f>IF(OR(A1246="",H1246=""),"",IF(COUNTIFS(exp_year,C1246,exp_month,D1246,exp_item,E1246,exp_status,"&lt;&gt;❌ Отменено")&gt;0,1,0))</f>
        <v/>
      </c>
    </row>
    <row r="1247">
      <c r="A1247" s="52" t="n"/>
      <c r="B1247" s="53">
        <f>IF(A1247="","",CHOOSE(WEEKDAY(A1247,2),"Пн","Вт","Ср","Чт","Пт","Сб","Вс"))</f>
        <v/>
      </c>
      <c r="C1247" s="53">
        <f>IF(A1247="","",YEAR(A1247))</f>
        <v/>
      </c>
      <c r="D1247" s="54">
        <f>IF(A1247="","",INDEX(lst_months,MONTH(A1247)))</f>
        <v/>
      </c>
      <c r="E1247" s="55" t="n"/>
      <c r="F1247" s="54">
        <f>IF(E1247="","",IFERROR(IF(INDEX(lst_exp_item_cat,MATCH(E1247,lst_exp_items,0))="","❔ Без категории",INDEX(lst_exp_item_cat,MATCH(E1247,lst_exp_items,0))),"❔ Без категории"))</f>
        <v/>
      </c>
      <c r="G1247" s="43" t="n"/>
      <c r="H1247" s="56" t="n"/>
      <c r="I1247" s="43" t="n"/>
      <c r="J1247" s="57">
        <f>IF(OR(A1247="",H1247=""),"",IF(COUNTIFS(exp_year,C1247,exp_month,D1247,exp_item,E1247,exp_status,"&lt;&gt;❌ Отменено")&gt;0,1,0))</f>
        <v/>
      </c>
    </row>
    <row r="1248">
      <c r="A1248" s="52" t="n"/>
      <c r="B1248" s="53">
        <f>IF(A1248="","",CHOOSE(WEEKDAY(A1248,2),"Пн","Вт","Ср","Чт","Пт","Сб","Вс"))</f>
        <v/>
      </c>
      <c r="C1248" s="53">
        <f>IF(A1248="","",YEAR(A1248))</f>
        <v/>
      </c>
      <c r="D1248" s="54">
        <f>IF(A1248="","",INDEX(lst_months,MONTH(A1248)))</f>
        <v/>
      </c>
      <c r="E1248" s="55" t="n"/>
      <c r="F1248" s="54">
        <f>IF(E1248="","",IFERROR(IF(INDEX(lst_exp_item_cat,MATCH(E1248,lst_exp_items,0))="","❔ Без категории",INDEX(lst_exp_item_cat,MATCH(E1248,lst_exp_items,0))),"❔ Без категории"))</f>
        <v/>
      </c>
      <c r="G1248" s="43" t="n"/>
      <c r="H1248" s="56" t="n"/>
      <c r="I1248" s="43" t="n"/>
      <c r="J1248" s="57">
        <f>IF(OR(A1248="",H1248=""),"",IF(COUNTIFS(exp_year,C1248,exp_month,D1248,exp_item,E1248,exp_status,"&lt;&gt;❌ Отменено")&gt;0,1,0))</f>
        <v/>
      </c>
    </row>
    <row r="1249">
      <c r="A1249" s="52" t="n"/>
      <c r="B1249" s="53">
        <f>IF(A1249="","",CHOOSE(WEEKDAY(A1249,2),"Пн","Вт","Ср","Чт","Пт","Сб","Вс"))</f>
        <v/>
      </c>
      <c r="C1249" s="53">
        <f>IF(A1249="","",YEAR(A1249))</f>
        <v/>
      </c>
      <c r="D1249" s="54">
        <f>IF(A1249="","",INDEX(lst_months,MONTH(A1249)))</f>
        <v/>
      </c>
      <c r="E1249" s="55" t="n"/>
      <c r="F1249" s="54">
        <f>IF(E1249="","",IFERROR(IF(INDEX(lst_exp_item_cat,MATCH(E1249,lst_exp_items,0))="","❔ Без категории",INDEX(lst_exp_item_cat,MATCH(E1249,lst_exp_items,0))),"❔ Без категории"))</f>
        <v/>
      </c>
      <c r="G1249" s="43" t="n"/>
      <c r="H1249" s="56" t="n"/>
      <c r="I1249" s="43" t="n"/>
      <c r="J1249" s="57">
        <f>IF(OR(A1249="",H1249=""),"",IF(COUNTIFS(exp_year,C1249,exp_month,D1249,exp_item,E1249,exp_status,"&lt;&gt;❌ Отменено")&gt;0,1,0))</f>
        <v/>
      </c>
    </row>
    <row r="1250">
      <c r="A1250" s="52" t="n"/>
      <c r="B1250" s="53">
        <f>IF(A1250="","",CHOOSE(WEEKDAY(A1250,2),"Пн","Вт","Ср","Чт","Пт","Сб","Вс"))</f>
        <v/>
      </c>
      <c r="C1250" s="53">
        <f>IF(A1250="","",YEAR(A1250))</f>
        <v/>
      </c>
      <c r="D1250" s="54">
        <f>IF(A1250="","",INDEX(lst_months,MONTH(A1250)))</f>
        <v/>
      </c>
      <c r="E1250" s="55" t="n"/>
      <c r="F1250" s="54">
        <f>IF(E1250="","",IFERROR(IF(INDEX(lst_exp_item_cat,MATCH(E1250,lst_exp_items,0))="","❔ Без категории",INDEX(lst_exp_item_cat,MATCH(E1250,lst_exp_items,0))),"❔ Без категории"))</f>
        <v/>
      </c>
      <c r="G1250" s="43" t="n"/>
      <c r="H1250" s="56" t="n"/>
      <c r="I1250" s="43" t="n"/>
      <c r="J1250" s="57">
        <f>IF(OR(A1250="",H1250=""),"",IF(COUNTIFS(exp_year,C1250,exp_month,D1250,exp_item,E1250,exp_status,"&lt;&gt;❌ Отменено")&gt;0,1,0))</f>
        <v/>
      </c>
    </row>
    <row r="1251">
      <c r="A1251" s="52" t="n"/>
      <c r="B1251" s="53">
        <f>IF(A1251="","",CHOOSE(WEEKDAY(A1251,2),"Пн","Вт","Ср","Чт","Пт","Сб","Вс"))</f>
        <v/>
      </c>
      <c r="C1251" s="53">
        <f>IF(A1251="","",YEAR(A1251))</f>
        <v/>
      </c>
      <c r="D1251" s="54">
        <f>IF(A1251="","",INDEX(lst_months,MONTH(A1251)))</f>
        <v/>
      </c>
      <c r="E1251" s="55" t="n"/>
      <c r="F1251" s="54">
        <f>IF(E1251="","",IFERROR(IF(INDEX(lst_exp_item_cat,MATCH(E1251,lst_exp_items,0))="","❔ Без категории",INDEX(lst_exp_item_cat,MATCH(E1251,lst_exp_items,0))),"❔ Без категории"))</f>
        <v/>
      </c>
      <c r="G1251" s="43" t="n"/>
      <c r="H1251" s="56" t="n"/>
      <c r="I1251" s="43" t="n"/>
      <c r="J1251" s="57">
        <f>IF(OR(A1251="",H1251=""),"",IF(COUNTIFS(exp_year,C1251,exp_month,D1251,exp_item,E1251,exp_status,"&lt;&gt;❌ Отменено")&gt;0,1,0))</f>
        <v/>
      </c>
    </row>
    <row r="1252">
      <c r="A1252" s="52" t="n"/>
      <c r="B1252" s="53">
        <f>IF(A1252="","",CHOOSE(WEEKDAY(A1252,2),"Пн","Вт","Ср","Чт","Пт","Сб","Вс"))</f>
        <v/>
      </c>
      <c r="C1252" s="53">
        <f>IF(A1252="","",YEAR(A1252))</f>
        <v/>
      </c>
      <c r="D1252" s="54">
        <f>IF(A1252="","",INDEX(lst_months,MONTH(A1252)))</f>
        <v/>
      </c>
      <c r="E1252" s="55" t="n"/>
      <c r="F1252" s="54">
        <f>IF(E1252="","",IFERROR(IF(INDEX(lst_exp_item_cat,MATCH(E1252,lst_exp_items,0))="","❔ Без категории",INDEX(lst_exp_item_cat,MATCH(E1252,lst_exp_items,0))),"❔ Без категории"))</f>
        <v/>
      </c>
      <c r="G1252" s="43" t="n"/>
      <c r="H1252" s="56" t="n"/>
      <c r="I1252" s="43" t="n"/>
      <c r="J1252" s="57">
        <f>IF(OR(A1252="",H1252=""),"",IF(COUNTIFS(exp_year,C1252,exp_month,D1252,exp_item,E1252,exp_status,"&lt;&gt;❌ Отменено")&gt;0,1,0))</f>
        <v/>
      </c>
    </row>
    <row r="1253">
      <c r="A1253" s="52" t="n"/>
      <c r="B1253" s="53">
        <f>IF(A1253="","",CHOOSE(WEEKDAY(A1253,2),"Пн","Вт","Ср","Чт","Пт","Сб","Вс"))</f>
        <v/>
      </c>
      <c r="C1253" s="53">
        <f>IF(A1253="","",YEAR(A1253))</f>
        <v/>
      </c>
      <c r="D1253" s="54">
        <f>IF(A1253="","",INDEX(lst_months,MONTH(A1253)))</f>
        <v/>
      </c>
      <c r="E1253" s="55" t="n"/>
      <c r="F1253" s="54">
        <f>IF(E1253="","",IFERROR(IF(INDEX(lst_exp_item_cat,MATCH(E1253,lst_exp_items,0))="","❔ Без категории",INDEX(lst_exp_item_cat,MATCH(E1253,lst_exp_items,0))),"❔ Без категории"))</f>
        <v/>
      </c>
      <c r="G1253" s="43" t="n"/>
      <c r="H1253" s="56" t="n"/>
      <c r="I1253" s="43" t="n"/>
      <c r="J1253" s="57">
        <f>IF(OR(A1253="",H1253=""),"",IF(COUNTIFS(exp_year,C1253,exp_month,D1253,exp_item,E1253,exp_status,"&lt;&gt;❌ Отменено")&gt;0,1,0))</f>
        <v/>
      </c>
    </row>
    <row r="1254">
      <c r="A1254" s="52" t="n"/>
      <c r="B1254" s="53">
        <f>IF(A1254="","",CHOOSE(WEEKDAY(A1254,2),"Пн","Вт","Ср","Чт","Пт","Сб","Вс"))</f>
        <v/>
      </c>
      <c r="C1254" s="53">
        <f>IF(A1254="","",YEAR(A1254))</f>
        <v/>
      </c>
      <c r="D1254" s="54">
        <f>IF(A1254="","",INDEX(lst_months,MONTH(A1254)))</f>
        <v/>
      </c>
      <c r="E1254" s="55" t="n"/>
      <c r="F1254" s="54">
        <f>IF(E1254="","",IFERROR(IF(INDEX(lst_exp_item_cat,MATCH(E1254,lst_exp_items,0))="","❔ Без категории",INDEX(lst_exp_item_cat,MATCH(E1254,lst_exp_items,0))),"❔ Без категории"))</f>
        <v/>
      </c>
      <c r="G1254" s="43" t="n"/>
      <c r="H1254" s="56" t="n"/>
      <c r="I1254" s="43" t="n"/>
      <c r="J1254" s="57">
        <f>IF(OR(A1254="",H1254=""),"",IF(COUNTIFS(exp_year,C1254,exp_month,D1254,exp_item,E1254,exp_status,"&lt;&gt;❌ Отменено")&gt;0,1,0))</f>
        <v/>
      </c>
    </row>
    <row r="1255">
      <c r="A1255" s="52" t="n"/>
      <c r="B1255" s="53">
        <f>IF(A1255="","",CHOOSE(WEEKDAY(A1255,2),"Пн","Вт","Ср","Чт","Пт","Сб","Вс"))</f>
        <v/>
      </c>
      <c r="C1255" s="53">
        <f>IF(A1255="","",YEAR(A1255))</f>
        <v/>
      </c>
      <c r="D1255" s="54">
        <f>IF(A1255="","",INDEX(lst_months,MONTH(A1255)))</f>
        <v/>
      </c>
      <c r="E1255" s="55" t="n"/>
      <c r="F1255" s="54">
        <f>IF(E1255="","",IFERROR(IF(INDEX(lst_exp_item_cat,MATCH(E1255,lst_exp_items,0))="","❔ Без категории",INDEX(lst_exp_item_cat,MATCH(E1255,lst_exp_items,0))),"❔ Без категории"))</f>
        <v/>
      </c>
      <c r="G1255" s="43" t="n"/>
      <c r="H1255" s="56" t="n"/>
      <c r="I1255" s="43" t="n"/>
      <c r="J1255" s="57">
        <f>IF(OR(A1255="",H1255=""),"",IF(COUNTIFS(exp_year,C1255,exp_month,D1255,exp_item,E1255,exp_status,"&lt;&gt;❌ Отменено")&gt;0,1,0))</f>
        <v/>
      </c>
    </row>
    <row r="1256">
      <c r="A1256" s="52" t="n"/>
      <c r="B1256" s="53">
        <f>IF(A1256="","",CHOOSE(WEEKDAY(A1256,2),"Пн","Вт","Ср","Чт","Пт","Сб","Вс"))</f>
        <v/>
      </c>
      <c r="C1256" s="53">
        <f>IF(A1256="","",YEAR(A1256))</f>
        <v/>
      </c>
      <c r="D1256" s="54">
        <f>IF(A1256="","",INDEX(lst_months,MONTH(A1256)))</f>
        <v/>
      </c>
      <c r="E1256" s="55" t="n"/>
      <c r="F1256" s="54">
        <f>IF(E1256="","",IFERROR(IF(INDEX(lst_exp_item_cat,MATCH(E1256,lst_exp_items,0))="","❔ Без категории",INDEX(lst_exp_item_cat,MATCH(E1256,lst_exp_items,0))),"❔ Без категории"))</f>
        <v/>
      </c>
      <c r="G1256" s="43" t="n"/>
      <c r="H1256" s="56" t="n"/>
      <c r="I1256" s="43" t="n"/>
      <c r="J1256" s="57">
        <f>IF(OR(A1256="",H1256=""),"",IF(COUNTIFS(exp_year,C1256,exp_month,D1256,exp_item,E1256,exp_status,"&lt;&gt;❌ Отменено")&gt;0,1,0))</f>
        <v/>
      </c>
    </row>
    <row r="1257">
      <c r="A1257" s="52" t="n"/>
      <c r="B1257" s="53">
        <f>IF(A1257="","",CHOOSE(WEEKDAY(A1257,2),"Пн","Вт","Ср","Чт","Пт","Сб","Вс"))</f>
        <v/>
      </c>
      <c r="C1257" s="53">
        <f>IF(A1257="","",YEAR(A1257))</f>
        <v/>
      </c>
      <c r="D1257" s="54">
        <f>IF(A1257="","",INDEX(lst_months,MONTH(A1257)))</f>
        <v/>
      </c>
      <c r="E1257" s="55" t="n"/>
      <c r="F1257" s="54">
        <f>IF(E1257="","",IFERROR(IF(INDEX(lst_exp_item_cat,MATCH(E1257,lst_exp_items,0))="","❔ Без категории",INDEX(lst_exp_item_cat,MATCH(E1257,lst_exp_items,0))),"❔ Без категории"))</f>
        <v/>
      </c>
      <c r="G1257" s="43" t="n"/>
      <c r="H1257" s="56" t="n"/>
      <c r="I1257" s="43" t="n"/>
      <c r="J1257" s="57">
        <f>IF(OR(A1257="",H1257=""),"",IF(COUNTIFS(exp_year,C1257,exp_month,D1257,exp_item,E1257,exp_status,"&lt;&gt;❌ Отменено")&gt;0,1,0))</f>
        <v/>
      </c>
    </row>
    <row r="1258">
      <c r="A1258" s="52" t="n"/>
      <c r="B1258" s="53">
        <f>IF(A1258="","",CHOOSE(WEEKDAY(A1258,2),"Пн","Вт","Ср","Чт","Пт","Сб","Вс"))</f>
        <v/>
      </c>
      <c r="C1258" s="53">
        <f>IF(A1258="","",YEAR(A1258))</f>
        <v/>
      </c>
      <c r="D1258" s="54">
        <f>IF(A1258="","",INDEX(lst_months,MONTH(A1258)))</f>
        <v/>
      </c>
      <c r="E1258" s="55" t="n"/>
      <c r="F1258" s="54">
        <f>IF(E1258="","",IFERROR(IF(INDEX(lst_exp_item_cat,MATCH(E1258,lst_exp_items,0))="","❔ Без категории",INDEX(lst_exp_item_cat,MATCH(E1258,lst_exp_items,0))),"❔ Без категории"))</f>
        <v/>
      </c>
      <c r="G1258" s="43" t="n"/>
      <c r="H1258" s="56" t="n"/>
      <c r="I1258" s="43" t="n"/>
      <c r="J1258" s="57">
        <f>IF(OR(A1258="",H1258=""),"",IF(COUNTIFS(exp_year,C1258,exp_month,D1258,exp_item,E1258,exp_status,"&lt;&gt;❌ Отменено")&gt;0,1,0))</f>
        <v/>
      </c>
    </row>
    <row r="1259">
      <c r="A1259" s="52" t="n"/>
      <c r="B1259" s="53">
        <f>IF(A1259="","",CHOOSE(WEEKDAY(A1259,2),"Пн","Вт","Ср","Чт","Пт","Сб","Вс"))</f>
        <v/>
      </c>
      <c r="C1259" s="53">
        <f>IF(A1259="","",YEAR(A1259))</f>
        <v/>
      </c>
      <c r="D1259" s="54">
        <f>IF(A1259="","",INDEX(lst_months,MONTH(A1259)))</f>
        <v/>
      </c>
      <c r="E1259" s="55" t="n"/>
      <c r="F1259" s="54">
        <f>IF(E1259="","",IFERROR(IF(INDEX(lst_exp_item_cat,MATCH(E1259,lst_exp_items,0))="","❔ Без категории",INDEX(lst_exp_item_cat,MATCH(E1259,lst_exp_items,0))),"❔ Без категории"))</f>
        <v/>
      </c>
      <c r="G1259" s="43" t="n"/>
      <c r="H1259" s="56" t="n"/>
      <c r="I1259" s="43" t="n"/>
      <c r="J1259" s="57">
        <f>IF(OR(A1259="",H1259=""),"",IF(COUNTIFS(exp_year,C1259,exp_month,D1259,exp_item,E1259,exp_status,"&lt;&gt;❌ Отменено")&gt;0,1,0))</f>
        <v/>
      </c>
    </row>
    <row r="1260">
      <c r="A1260" s="52" t="n"/>
      <c r="B1260" s="53">
        <f>IF(A1260="","",CHOOSE(WEEKDAY(A1260,2),"Пн","Вт","Ср","Чт","Пт","Сб","Вс"))</f>
        <v/>
      </c>
      <c r="C1260" s="53">
        <f>IF(A1260="","",YEAR(A1260))</f>
        <v/>
      </c>
      <c r="D1260" s="54">
        <f>IF(A1260="","",INDEX(lst_months,MONTH(A1260)))</f>
        <v/>
      </c>
      <c r="E1260" s="55" t="n"/>
      <c r="F1260" s="54">
        <f>IF(E1260="","",IFERROR(IF(INDEX(lst_exp_item_cat,MATCH(E1260,lst_exp_items,0))="","❔ Без категории",INDEX(lst_exp_item_cat,MATCH(E1260,lst_exp_items,0))),"❔ Без категории"))</f>
        <v/>
      </c>
      <c r="G1260" s="43" t="n"/>
      <c r="H1260" s="56" t="n"/>
      <c r="I1260" s="43" t="n"/>
      <c r="J1260" s="57">
        <f>IF(OR(A1260="",H1260=""),"",IF(COUNTIFS(exp_year,C1260,exp_month,D1260,exp_item,E1260,exp_status,"&lt;&gt;❌ Отменено")&gt;0,1,0))</f>
        <v/>
      </c>
    </row>
    <row r="1261">
      <c r="A1261" s="52" t="n"/>
      <c r="B1261" s="53">
        <f>IF(A1261="","",CHOOSE(WEEKDAY(A1261,2),"Пн","Вт","Ср","Чт","Пт","Сб","Вс"))</f>
        <v/>
      </c>
      <c r="C1261" s="53">
        <f>IF(A1261="","",YEAR(A1261))</f>
        <v/>
      </c>
      <c r="D1261" s="54">
        <f>IF(A1261="","",INDEX(lst_months,MONTH(A1261)))</f>
        <v/>
      </c>
      <c r="E1261" s="55" t="n"/>
      <c r="F1261" s="54">
        <f>IF(E1261="","",IFERROR(IF(INDEX(lst_exp_item_cat,MATCH(E1261,lst_exp_items,0))="","❔ Без категории",INDEX(lst_exp_item_cat,MATCH(E1261,lst_exp_items,0))),"❔ Без категории"))</f>
        <v/>
      </c>
      <c r="G1261" s="43" t="n"/>
      <c r="H1261" s="56" t="n"/>
      <c r="I1261" s="43" t="n"/>
      <c r="J1261" s="57">
        <f>IF(OR(A1261="",H1261=""),"",IF(COUNTIFS(exp_year,C1261,exp_month,D1261,exp_item,E1261,exp_status,"&lt;&gt;❌ Отменено")&gt;0,1,0))</f>
        <v/>
      </c>
    </row>
    <row r="1262">
      <c r="A1262" s="52" t="n"/>
      <c r="B1262" s="53">
        <f>IF(A1262="","",CHOOSE(WEEKDAY(A1262,2),"Пн","Вт","Ср","Чт","Пт","Сб","Вс"))</f>
        <v/>
      </c>
      <c r="C1262" s="53">
        <f>IF(A1262="","",YEAR(A1262))</f>
        <v/>
      </c>
      <c r="D1262" s="54">
        <f>IF(A1262="","",INDEX(lst_months,MONTH(A1262)))</f>
        <v/>
      </c>
      <c r="E1262" s="55" t="n"/>
      <c r="F1262" s="54">
        <f>IF(E1262="","",IFERROR(IF(INDEX(lst_exp_item_cat,MATCH(E1262,lst_exp_items,0))="","❔ Без категории",INDEX(lst_exp_item_cat,MATCH(E1262,lst_exp_items,0))),"❔ Без категории"))</f>
        <v/>
      </c>
      <c r="G1262" s="43" t="n"/>
      <c r="H1262" s="56" t="n"/>
      <c r="I1262" s="43" t="n"/>
      <c r="J1262" s="57">
        <f>IF(OR(A1262="",H1262=""),"",IF(COUNTIFS(exp_year,C1262,exp_month,D1262,exp_item,E1262,exp_status,"&lt;&gt;❌ Отменено")&gt;0,1,0))</f>
        <v/>
      </c>
    </row>
    <row r="1263">
      <c r="A1263" s="52" t="n"/>
      <c r="B1263" s="53">
        <f>IF(A1263="","",CHOOSE(WEEKDAY(A1263,2),"Пн","Вт","Ср","Чт","Пт","Сб","Вс"))</f>
        <v/>
      </c>
      <c r="C1263" s="53">
        <f>IF(A1263="","",YEAR(A1263))</f>
        <v/>
      </c>
      <c r="D1263" s="54">
        <f>IF(A1263="","",INDEX(lst_months,MONTH(A1263)))</f>
        <v/>
      </c>
      <c r="E1263" s="55" t="n"/>
      <c r="F1263" s="54">
        <f>IF(E1263="","",IFERROR(IF(INDEX(lst_exp_item_cat,MATCH(E1263,lst_exp_items,0))="","❔ Без категории",INDEX(lst_exp_item_cat,MATCH(E1263,lst_exp_items,0))),"❔ Без категории"))</f>
        <v/>
      </c>
      <c r="G1263" s="43" t="n"/>
      <c r="H1263" s="56" t="n"/>
      <c r="I1263" s="43" t="n"/>
      <c r="J1263" s="57">
        <f>IF(OR(A1263="",H1263=""),"",IF(COUNTIFS(exp_year,C1263,exp_month,D1263,exp_item,E1263,exp_status,"&lt;&gt;❌ Отменено")&gt;0,1,0))</f>
        <v/>
      </c>
    </row>
    <row r="1264">
      <c r="A1264" s="52" t="n"/>
      <c r="B1264" s="53">
        <f>IF(A1264="","",CHOOSE(WEEKDAY(A1264,2),"Пн","Вт","Ср","Чт","Пт","Сб","Вс"))</f>
        <v/>
      </c>
      <c r="C1264" s="53">
        <f>IF(A1264="","",YEAR(A1264))</f>
        <v/>
      </c>
      <c r="D1264" s="54">
        <f>IF(A1264="","",INDEX(lst_months,MONTH(A1264)))</f>
        <v/>
      </c>
      <c r="E1264" s="55" t="n"/>
      <c r="F1264" s="54">
        <f>IF(E1264="","",IFERROR(IF(INDEX(lst_exp_item_cat,MATCH(E1264,lst_exp_items,0))="","❔ Без категории",INDEX(lst_exp_item_cat,MATCH(E1264,lst_exp_items,0))),"❔ Без категории"))</f>
        <v/>
      </c>
      <c r="G1264" s="43" t="n"/>
      <c r="H1264" s="56" t="n"/>
      <c r="I1264" s="43" t="n"/>
      <c r="J1264" s="57">
        <f>IF(OR(A1264="",H1264=""),"",IF(COUNTIFS(exp_year,C1264,exp_month,D1264,exp_item,E1264,exp_status,"&lt;&gt;❌ Отменено")&gt;0,1,0))</f>
        <v/>
      </c>
    </row>
    <row r="1265">
      <c r="A1265" s="52" t="n"/>
      <c r="B1265" s="53">
        <f>IF(A1265="","",CHOOSE(WEEKDAY(A1265,2),"Пн","Вт","Ср","Чт","Пт","Сб","Вс"))</f>
        <v/>
      </c>
      <c r="C1265" s="53">
        <f>IF(A1265="","",YEAR(A1265))</f>
        <v/>
      </c>
      <c r="D1265" s="54">
        <f>IF(A1265="","",INDEX(lst_months,MONTH(A1265)))</f>
        <v/>
      </c>
      <c r="E1265" s="55" t="n"/>
      <c r="F1265" s="54">
        <f>IF(E1265="","",IFERROR(IF(INDEX(lst_exp_item_cat,MATCH(E1265,lst_exp_items,0))="","❔ Без категории",INDEX(lst_exp_item_cat,MATCH(E1265,lst_exp_items,0))),"❔ Без категории"))</f>
        <v/>
      </c>
      <c r="G1265" s="43" t="n"/>
      <c r="H1265" s="56" t="n"/>
      <c r="I1265" s="43" t="n"/>
      <c r="J1265" s="57">
        <f>IF(OR(A1265="",H1265=""),"",IF(COUNTIFS(exp_year,C1265,exp_month,D1265,exp_item,E1265,exp_status,"&lt;&gt;❌ Отменено")&gt;0,1,0))</f>
        <v/>
      </c>
    </row>
    <row r="1266">
      <c r="A1266" s="52" t="n"/>
      <c r="B1266" s="53">
        <f>IF(A1266="","",CHOOSE(WEEKDAY(A1266,2),"Пн","Вт","Ср","Чт","Пт","Сб","Вс"))</f>
        <v/>
      </c>
      <c r="C1266" s="53">
        <f>IF(A1266="","",YEAR(A1266))</f>
        <v/>
      </c>
      <c r="D1266" s="54">
        <f>IF(A1266="","",INDEX(lst_months,MONTH(A1266)))</f>
        <v/>
      </c>
      <c r="E1266" s="55" t="n"/>
      <c r="F1266" s="54">
        <f>IF(E1266="","",IFERROR(IF(INDEX(lst_exp_item_cat,MATCH(E1266,lst_exp_items,0))="","❔ Без категории",INDEX(lst_exp_item_cat,MATCH(E1266,lst_exp_items,0))),"❔ Без категории"))</f>
        <v/>
      </c>
      <c r="G1266" s="43" t="n"/>
      <c r="H1266" s="56" t="n"/>
      <c r="I1266" s="43" t="n"/>
      <c r="J1266" s="57">
        <f>IF(OR(A1266="",H1266=""),"",IF(COUNTIFS(exp_year,C1266,exp_month,D1266,exp_item,E1266,exp_status,"&lt;&gt;❌ Отменено")&gt;0,1,0))</f>
        <v/>
      </c>
    </row>
    <row r="1267">
      <c r="A1267" s="52" t="n"/>
      <c r="B1267" s="53">
        <f>IF(A1267="","",CHOOSE(WEEKDAY(A1267,2),"Пн","Вт","Ср","Чт","Пт","Сб","Вс"))</f>
        <v/>
      </c>
      <c r="C1267" s="53">
        <f>IF(A1267="","",YEAR(A1267))</f>
        <v/>
      </c>
      <c r="D1267" s="54">
        <f>IF(A1267="","",INDEX(lst_months,MONTH(A1267)))</f>
        <v/>
      </c>
      <c r="E1267" s="55" t="n"/>
      <c r="F1267" s="54">
        <f>IF(E1267="","",IFERROR(IF(INDEX(lst_exp_item_cat,MATCH(E1267,lst_exp_items,0))="","❔ Без категории",INDEX(lst_exp_item_cat,MATCH(E1267,lst_exp_items,0))),"❔ Без категории"))</f>
        <v/>
      </c>
      <c r="G1267" s="43" t="n"/>
      <c r="H1267" s="56" t="n"/>
      <c r="I1267" s="43" t="n"/>
      <c r="J1267" s="57">
        <f>IF(OR(A1267="",H1267=""),"",IF(COUNTIFS(exp_year,C1267,exp_month,D1267,exp_item,E1267,exp_status,"&lt;&gt;❌ Отменено")&gt;0,1,0))</f>
        <v/>
      </c>
    </row>
    <row r="1268">
      <c r="A1268" s="52" t="n"/>
      <c r="B1268" s="53">
        <f>IF(A1268="","",CHOOSE(WEEKDAY(A1268,2),"Пн","Вт","Ср","Чт","Пт","Сб","Вс"))</f>
        <v/>
      </c>
      <c r="C1268" s="53">
        <f>IF(A1268="","",YEAR(A1268))</f>
        <v/>
      </c>
      <c r="D1268" s="54">
        <f>IF(A1268="","",INDEX(lst_months,MONTH(A1268)))</f>
        <v/>
      </c>
      <c r="E1268" s="55" t="n"/>
      <c r="F1268" s="54">
        <f>IF(E1268="","",IFERROR(IF(INDEX(lst_exp_item_cat,MATCH(E1268,lst_exp_items,0))="","❔ Без категории",INDEX(lst_exp_item_cat,MATCH(E1268,lst_exp_items,0))),"❔ Без категории"))</f>
        <v/>
      </c>
      <c r="G1268" s="43" t="n"/>
      <c r="H1268" s="56" t="n"/>
      <c r="I1268" s="43" t="n"/>
      <c r="J1268" s="57">
        <f>IF(OR(A1268="",H1268=""),"",IF(COUNTIFS(exp_year,C1268,exp_month,D1268,exp_item,E1268,exp_status,"&lt;&gt;❌ Отменено")&gt;0,1,0))</f>
        <v/>
      </c>
    </row>
    <row r="1269">
      <c r="A1269" s="52" t="n"/>
      <c r="B1269" s="53">
        <f>IF(A1269="","",CHOOSE(WEEKDAY(A1269,2),"Пн","Вт","Ср","Чт","Пт","Сб","Вс"))</f>
        <v/>
      </c>
      <c r="C1269" s="53">
        <f>IF(A1269="","",YEAR(A1269))</f>
        <v/>
      </c>
      <c r="D1269" s="54">
        <f>IF(A1269="","",INDEX(lst_months,MONTH(A1269)))</f>
        <v/>
      </c>
      <c r="E1269" s="55" t="n"/>
      <c r="F1269" s="54">
        <f>IF(E1269="","",IFERROR(IF(INDEX(lst_exp_item_cat,MATCH(E1269,lst_exp_items,0))="","❔ Без категории",INDEX(lst_exp_item_cat,MATCH(E1269,lst_exp_items,0))),"❔ Без категории"))</f>
        <v/>
      </c>
      <c r="G1269" s="43" t="n"/>
      <c r="H1269" s="56" t="n"/>
      <c r="I1269" s="43" t="n"/>
      <c r="J1269" s="57">
        <f>IF(OR(A1269="",H1269=""),"",IF(COUNTIFS(exp_year,C1269,exp_month,D1269,exp_item,E1269,exp_status,"&lt;&gt;❌ Отменено")&gt;0,1,0))</f>
        <v/>
      </c>
    </row>
    <row r="1270">
      <c r="A1270" s="52" t="n"/>
      <c r="B1270" s="53">
        <f>IF(A1270="","",CHOOSE(WEEKDAY(A1270,2),"Пн","Вт","Ср","Чт","Пт","Сб","Вс"))</f>
        <v/>
      </c>
      <c r="C1270" s="53">
        <f>IF(A1270="","",YEAR(A1270))</f>
        <v/>
      </c>
      <c r="D1270" s="54">
        <f>IF(A1270="","",INDEX(lst_months,MONTH(A1270)))</f>
        <v/>
      </c>
      <c r="E1270" s="55" t="n"/>
      <c r="F1270" s="54">
        <f>IF(E1270="","",IFERROR(IF(INDEX(lst_exp_item_cat,MATCH(E1270,lst_exp_items,0))="","❔ Без категории",INDEX(lst_exp_item_cat,MATCH(E1270,lst_exp_items,0))),"❔ Без категории"))</f>
        <v/>
      </c>
      <c r="G1270" s="43" t="n"/>
      <c r="H1270" s="56" t="n"/>
      <c r="I1270" s="43" t="n"/>
      <c r="J1270" s="57">
        <f>IF(OR(A1270="",H1270=""),"",IF(COUNTIFS(exp_year,C1270,exp_month,D1270,exp_item,E1270,exp_status,"&lt;&gt;❌ Отменено")&gt;0,1,0))</f>
        <v/>
      </c>
    </row>
    <row r="1271">
      <c r="A1271" s="52" t="n"/>
      <c r="B1271" s="53">
        <f>IF(A1271="","",CHOOSE(WEEKDAY(A1271,2),"Пн","Вт","Ср","Чт","Пт","Сб","Вс"))</f>
        <v/>
      </c>
      <c r="C1271" s="53">
        <f>IF(A1271="","",YEAR(A1271))</f>
        <v/>
      </c>
      <c r="D1271" s="54">
        <f>IF(A1271="","",INDEX(lst_months,MONTH(A1271)))</f>
        <v/>
      </c>
      <c r="E1271" s="55" t="n"/>
      <c r="F1271" s="54">
        <f>IF(E1271="","",IFERROR(IF(INDEX(lst_exp_item_cat,MATCH(E1271,lst_exp_items,0))="","❔ Без категории",INDEX(lst_exp_item_cat,MATCH(E1271,lst_exp_items,0))),"❔ Без категории"))</f>
        <v/>
      </c>
      <c r="G1271" s="43" t="n"/>
      <c r="H1271" s="56" t="n"/>
      <c r="I1271" s="43" t="n"/>
      <c r="J1271" s="57">
        <f>IF(OR(A1271="",H1271=""),"",IF(COUNTIFS(exp_year,C1271,exp_month,D1271,exp_item,E1271,exp_status,"&lt;&gt;❌ Отменено")&gt;0,1,0))</f>
        <v/>
      </c>
    </row>
    <row r="1272">
      <c r="A1272" s="52" t="n"/>
      <c r="B1272" s="53">
        <f>IF(A1272="","",CHOOSE(WEEKDAY(A1272,2),"Пн","Вт","Ср","Чт","Пт","Сб","Вс"))</f>
        <v/>
      </c>
      <c r="C1272" s="53">
        <f>IF(A1272="","",YEAR(A1272))</f>
        <v/>
      </c>
      <c r="D1272" s="54">
        <f>IF(A1272="","",INDEX(lst_months,MONTH(A1272)))</f>
        <v/>
      </c>
      <c r="E1272" s="55" t="n"/>
      <c r="F1272" s="54">
        <f>IF(E1272="","",IFERROR(IF(INDEX(lst_exp_item_cat,MATCH(E1272,lst_exp_items,0))="","❔ Без категории",INDEX(lst_exp_item_cat,MATCH(E1272,lst_exp_items,0))),"❔ Без категории"))</f>
        <v/>
      </c>
      <c r="G1272" s="43" t="n"/>
      <c r="H1272" s="56" t="n"/>
      <c r="I1272" s="43" t="n"/>
      <c r="J1272" s="57">
        <f>IF(OR(A1272="",H1272=""),"",IF(COUNTIFS(exp_year,C1272,exp_month,D1272,exp_item,E1272,exp_status,"&lt;&gt;❌ Отменено")&gt;0,1,0))</f>
        <v/>
      </c>
    </row>
    <row r="1273">
      <c r="A1273" s="52" t="n"/>
      <c r="B1273" s="53">
        <f>IF(A1273="","",CHOOSE(WEEKDAY(A1273,2),"Пн","Вт","Ср","Чт","Пт","Сб","Вс"))</f>
        <v/>
      </c>
      <c r="C1273" s="53">
        <f>IF(A1273="","",YEAR(A1273))</f>
        <v/>
      </c>
      <c r="D1273" s="54">
        <f>IF(A1273="","",INDEX(lst_months,MONTH(A1273)))</f>
        <v/>
      </c>
      <c r="E1273" s="55" t="n"/>
      <c r="F1273" s="54">
        <f>IF(E1273="","",IFERROR(IF(INDEX(lst_exp_item_cat,MATCH(E1273,lst_exp_items,0))="","❔ Без категории",INDEX(lst_exp_item_cat,MATCH(E1273,lst_exp_items,0))),"❔ Без категории"))</f>
        <v/>
      </c>
      <c r="G1273" s="43" t="n"/>
      <c r="H1273" s="56" t="n"/>
      <c r="I1273" s="43" t="n"/>
      <c r="J1273" s="57">
        <f>IF(OR(A1273="",H1273=""),"",IF(COUNTIFS(exp_year,C1273,exp_month,D1273,exp_item,E1273,exp_status,"&lt;&gt;❌ Отменено")&gt;0,1,0))</f>
        <v/>
      </c>
    </row>
    <row r="1274">
      <c r="A1274" s="52" t="n"/>
      <c r="B1274" s="53">
        <f>IF(A1274="","",CHOOSE(WEEKDAY(A1274,2),"Пн","Вт","Ср","Чт","Пт","Сб","Вс"))</f>
        <v/>
      </c>
      <c r="C1274" s="53">
        <f>IF(A1274="","",YEAR(A1274))</f>
        <v/>
      </c>
      <c r="D1274" s="54">
        <f>IF(A1274="","",INDEX(lst_months,MONTH(A1274)))</f>
        <v/>
      </c>
      <c r="E1274" s="55" t="n"/>
      <c r="F1274" s="54">
        <f>IF(E1274="","",IFERROR(IF(INDEX(lst_exp_item_cat,MATCH(E1274,lst_exp_items,0))="","❔ Без категории",INDEX(lst_exp_item_cat,MATCH(E1274,lst_exp_items,0))),"❔ Без категории"))</f>
        <v/>
      </c>
      <c r="G1274" s="43" t="n"/>
      <c r="H1274" s="56" t="n"/>
      <c r="I1274" s="43" t="n"/>
      <c r="J1274" s="57">
        <f>IF(OR(A1274="",H1274=""),"",IF(COUNTIFS(exp_year,C1274,exp_month,D1274,exp_item,E1274,exp_status,"&lt;&gt;❌ Отменено")&gt;0,1,0))</f>
        <v/>
      </c>
    </row>
    <row r="1275">
      <c r="A1275" s="52" t="n"/>
      <c r="B1275" s="53">
        <f>IF(A1275="","",CHOOSE(WEEKDAY(A1275,2),"Пн","Вт","Ср","Чт","Пт","Сб","Вс"))</f>
        <v/>
      </c>
      <c r="C1275" s="53">
        <f>IF(A1275="","",YEAR(A1275))</f>
        <v/>
      </c>
      <c r="D1275" s="54">
        <f>IF(A1275="","",INDEX(lst_months,MONTH(A1275)))</f>
        <v/>
      </c>
      <c r="E1275" s="55" t="n"/>
      <c r="F1275" s="54">
        <f>IF(E1275="","",IFERROR(IF(INDEX(lst_exp_item_cat,MATCH(E1275,lst_exp_items,0))="","❔ Без категории",INDEX(lst_exp_item_cat,MATCH(E1275,lst_exp_items,0))),"❔ Без категории"))</f>
        <v/>
      </c>
      <c r="G1275" s="43" t="n"/>
      <c r="H1275" s="56" t="n"/>
      <c r="I1275" s="43" t="n"/>
      <c r="J1275" s="57">
        <f>IF(OR(A1275="",H1275=""),"",IF(COUNTIFS(exp_year,C1275,exp_month,D1275,exp_item,E1275,exp_status,"&lt;&gt;❌ Отменено")&gt;0,1,0))</f>
        <v/>
      </c>
    </row>
    <row r="1276">
      <c r="A1276" s="52" t="n"/>
      <c r="B1276" s="53">
        <f>IF(A1276="","",CHOOSE(WEEKDAY(A1276,2),"Пн","Вт","Ср","Чт","Пт","Сб","Вс"))</f>
        <v/>
      </c>
      <c r="C1276" s="53">
        <f>IF(A1276="","",YEAR(A1276))</f>
        <v/>
      </c>
      <c r="D1276" s="54">
        <f>IF(A1276="","",INDEX(lst_months,MONTH(A1276)))</f>
        <v/>
      </c>
      <c r="E1276" s="55" t="n"/>
      <c r="F1276" s="54">
        <f>IF(E1276="","",IFERROR(IF(INDEX(lst_exp_item_cat,MATCH(E1276,lst_exp_items,0))="","❔ Без категории",INDEX(lst_exp_item_cat,MATCH(E1276,lst_exp_items,0))),"❔ Без категории"))</f>
        <v/>
      </c>
      <c r="G1276" s="43" t="n"/>
      <c r="H1276" s="56" t="n"/>
      <c r="I1276" s="43" t="n"/>
      <c r="J1276" s="57">
        <f>IF(OR(A1276="",H1276=""),"",IF(COUNTIFS(exp_year,C1276,exp_month,D1276,exp_item,E1276,exp_status,"&lt;&gt;❌ Отменено")&gt;0,1,0))</f>
        <v/>
      </c>
    </row>
    <row r="1277">
      <c r="A1277" s="52" t="n"/>
      <c r="B1277" s="53">
        <f>IF(A1277="","",CHOOSE(WEEKDAY(A1277,2),"Пн","Вт","Ср","Чт","Пт","Сб","Вс"))</f>
        <v/>
      </c>
      <c r="C1277" s="53">
        <f>IF(A1277="","",YEAR(A1277))</f>
        <v/>
      </c>
      <c r="D1277" s="54">
        <f>IF(A1277="","",INDEX(lst_months,MONTH(A1277)))</f>
        <v/>
      </c>
      <c r="E1277" s="55" t="n"/>
      <c r="F1277" s="54">
        <f>IF(E1277="","",IFERROR(IF(INDEX(lst_exp_item_cat,MATCH(E1277,lst_exp_items,0))="","❔ Без категории",INDEX(lst_exp_item_cat,MATCH(E1277,lst_exp_items,0))),"❔ Без категории"))</f>
        <v/>
      </c>
      <c r="G1277" s="43" t="n"/>
      <c r="H1277" s="56" t="n"/>
      <c r="I1277" s="43" t="n"/>
      <c r="J1277" s="57">
        <f>IF(OR(A1277="",H1277=""),"",IF(COUNTIFS(exp_year,C1277,exp_month,D1277,exp_item,E1277,exp_status,"&lt;&gt;❌ Отменено")&gt;0,1,0))</f>
        <v/>
      </c>
    </row>
    <row r="1278">
      <c r="A1278" s="52" t="n"/>
      <c r="B1278" s="53">
        <f>IF(A1278="","",CHOOSE(WEEKDAY(A1278,2),"Пн","Вт","Ср","Чт","Пт","Сб","Вс"))</f>
        <v/>
      </c>
      <c r="C1278" s="53">
        <f>IF(A1278="","",YEAR(A1278))</f>
        <v/>
      </c>
      <c r="D1278" s="54">
        <f>IF(A1278="","",INDEX(lst_months,MONTH(A1278)))</f>
        <v/>
      </c>
      <c r="E1278" s="55" t="n"/>
      <c r="F1278" s="54">
        <f>IF(E1278="","",IFERROR(IF(INDEX(lst_exp_item_cat,MATCH(E1278,lst_exp_items,0))="","❔ Без категории",INDEX(lst_exp_item_cat,MATCH(E1278,lst_exp_items,0))),"❔ Без категории"))</f>
        <v/>
      </c>
      <c r="G1278" s="43" t="n"/>
      <c r="H1278" s="56" t="n"/>
      <c r="I1278" s="43" t="n"/>
      <c r="J1278" s="57">
        <f>IF(OR(A1278="",H1278=""),"",IF(COUNTIFS(exp_year,C1278,exp_month,D1278,exp_item,E1278,exp_status,"&lt;&gt;❌ Отменено")&gt;0,1,0))</f>
        <v/>
      </c>
    </row>
    <row r="1279">
      <c r="A1279" s="52" t="n"/>
      <c r="B1279" s="53">
        <f>IF(A1279="","",CHOOSE(WEEKDAY(A1279,2),"Пн","Вт","Ср","Чт","Пт","Сб","Вс"))</f>
        <v/>
      </c>
      <c r="C1279" s="53">
        <f>IF(A1279="","",YEAR(A1279))</f>
        <v/>
      </c>
      <c r="D1279" s="54">
        <f>IF(A1279="","",INDEX(lst_months,MONTH(A1279)))</f>
        <v/>
      </c>
      <c r="E1279" s="55" t="n"/>
      <c r="F1279" s="54">
        <f>IF(E1279="","",IFERROR(IF(INDEX(lst_exp_item_cat,MATCH(E1279,lst_exp_items,0))="","❔ Без категории",INDEX(lst_exp_item_cat,MATCH(E1279,lst_exp_items,0))),"❔ Без категории"))</f>
        <v/>
      </c>
      <c r="G1279" s="43" t="n"/>
      <c r="H1279" s="56" t="n"/>
      <c r="I1279" s="43" t="n"/>
      <c r="J1279" s="57">
        <f>IF(OR(A1279="",H1279=""),"",IF(COUNTIFS(exp_year,C1279,exp_month,D1279,exp_item,E1279,exp_status,"&lt;&gt;❌ Отменено")&gt;0,1,0))</f>
        <v/>
      </c>
    </row>
    <row r="1280">
      <c r="A1280" s="52" t="n"/>
      <c r="B1280" s="53">
        <f>IF(A1280="","",CHOOSE(WEEKDAY(A1280,2),"Пн","Вт","Ср","Чт","Пт","Сб","Вс"))</f>
        <v/>
      </c>
      <c r="C1280" s="53">
        <f>IF(A1280="","",YEAR(A1280))</f>
        <v/>
      </c>
      <c r="D1280" s="54">
        <f>IF(A1280="","",INDEX(lst_months,MONTH(A1280)))</f>
        <v/>
      </c>
      <c r="E1280" s="55" t="n"/>
      <c r="F1280" s="54">
        <f>IF(E1280="","",IFERROR(IF(INDEX(lst_exp_item_cat,MATCH(E1280,lst_exp_items,0))="","❔ Без категории",INDEX(lst_exp_item_cat,MATCH(E1280,lst_exp_items,0))),"❔ Без категории"))</f>
        <v/>
      </c>
      <c r="G1280" s="43" t="n"/>
      <c r="H1280" s="56" t="n"/>
      <c r="I1280" s="43" t="n"/>
      <c r="J1280" s="57">
        <f>IF(OR(A1280="",H1280=""),"",IF(COUNTIFS(exp_year,C1280,exp_month,D1280,exp_item,E1280,exp_status,"&lt;&gt;❌ Отменено")&gt;0,1,0))</f>
        <v/>
      </c>
    </row>
    <row r="1281">
      <c r="A1281" s="52" t="n"/>
      <c r="B1281" s="53">
        <f>IF(A1281="","",CHOOSE(WEEKDAY(A1281,2),"Пн","Вт","Ср","Чт","Пт","Сб","Вс"))</f>
        <v/>
      </c>
      <c r="C1281" s="53">
        <f>IF(A1281="","",YEAR(A1281))</f>
        <v/>
      </c>
      <c r="D1281" s="54">
        <f>IF(A1281="","",INDEX(lst_months,MONTH(A1281)))</f>
        <v/>
      </c>
      <c r="E1281" s="55" t="n"/>
      <c r="F1281" s="54">
        <f>IF(E1281="","",IFERROR(IF(INDEX(lst_exp_item_cat,MATCH(E1281,lst_exp_items,0))="","❔ Без категории",INDEX(lst_exp_item_cat,MATCH(E1281,lst_exp_items,0))),"❔ Без категории"))</f>
        <v/>
      </c>
      <c r="G1281" s="43" t="n"/>
      <c r="H1281" s="56" t="n"/>
      <c r="I1281" s="43" t="n"/>
      <c r="J1281" s="57">
        <f>IF(OR(A1281="",H1281=""),"",IF(COUNTIFS(exp_year,C1281,exp_month,D1281,exp_item,E1281,exp_status,"&lt;&gt;❌ Отменено")&gt;0,1,0))</f>
        <v/>
      </c>
    </row>
    <row r="1282">
      <c r="A1282" s="52" t="n"/>
      <c r="B1282" s="53">
        <f>IF(A1282="","",CHOOSE(WEEKDAY(A1282,2),"Пн","Вт","Ср","Чт","Пт","Сб","Вс"))</f>
        <v/>
      </c>
      <c r="C1282" s="53">
        <f>IF(A1282="","",YEAR(A1282))</f>
        <v/>
      </c>
      <c r="D1282" s="54">
        <f>IF(A1282="","",INDEX(lst_months,MONTH(A1282)))</f>
        <v/>
      </c>
      <c r="E1282" s="55" t="n"/>
      <c r="F1282" s="54">
        <f>IF(E1282="","",IFERROR(IF(INDEX(lst_exp_item_cat,MATCH(E1282,lst_exp_items,0))="","❔ Без категории",INDEX(lst_exp_item_cat,MATCH(E1282,lst_exp_items,0))),"❔ Без категории"))</f>
        <v/>
      </c>
      <c r="G1282" s="43" t="n"/>
      <c r="H1282" s="56" t="n"/>
      <c r="I1282" s="43" t="n"/>
      <c r="J1282" s="57">
        <f>IF(OR(A1282="",H1282=""),"",IF(COUNTIFS(exp_year,C1282,exp_month,D1282,exp_item,E1282,exp_status,"&lt;&gt;❌ Отменено")&gt;0,1,0))</f>
        <v/>
      </c>
    </row>
    <row r="1283">
      <c r="A1283" s="52" t="n"/>
      <c r="B1283" s="53">
        <f>IF(A1283="","",CHOOSE(WEEKDAY(A1283,2),"Пн","Вт","Ср","Чт","Пт","Сб","Вс"))</f>
        <v/>
      </c>
      <c r="C1283" s="53">
        <f>IF(A1283="","",YEAR(A1283))</f>
        <v/>
      </c>
      <c r="D1283" s="54">
        <f>IF(A1283="","",INDEX(lst_months,MONTH(A1283)))</f>
        <v/>
      </c>
      <c r="E1283" s="55" t="n"/>
      <c r="F1283" s="54">
        <f>IF(E1283="","",IFERROR(IF(INDEX(lst_exp_item_cat,MATCH(E1283,lst_exp_items,0))="","❔ Без категории",INDEX(lst_exp_item_cat,MATCH(E1283,lst_exp_items,0))),"❔ Без категории"))</f>
        <v/>
      </c>
      <c r="G1283" s="43" t="n"/>
      <c r="H1283" s="56" t="n"/>
      <c r="I1283" s="43" t="n"/>
      <c r="J1283" s="57">
        <f>IF(OR(A1283="",H1283=""),"",IF(COUNTIFS(exp_year,C1283,exp_month,D1283,exp_item,E1283,exp_status,"&lt;&gt;❌ Отменено")&gt;0,1,0))</f>
        <v/>
      </c>
    </row>
    <row r="1284">
      <c r="A1284" s="52" t="n"/>
      <c r="B1284" s="53">
        <f>IF(A1284="","",CHOOSE(WEEKDAY(A1284,2),"Пн","Вт","Ср","Чт","Пт","Сб","Вс"))</f>
        <v/>
      </c>
      <c r="C1284" s="53">
        <f>IF(A1284="","",YEAR(A1284))</f>
        <v/>
      </c>
      <c r="D1284" s="54">
        <f>IF(A1284="","",INDEX(lst_months,MONTH(A1284)))</f>
        <v/>
      </c>
      <c r="E1284" s="55" t="n"/>
      <c r="F1284" s="54">
        <f>IF(E1284="","",IFERROR(IF(INDEX(lst_exp_item_cat,MATCH(E1284,lst_exp_items,0))="","❔ Без категории",INDEX(lst_exp_item_cat,MATCH(E1284,lst_exp_items,0))),"❔ Без категории"))</f>
        <v/>
      </c>
      <c r="G1284" s="43" t="n"/>
      <c r="H1284" s="56" t="n"/>
      <c r="I1284" s="43" t="n"/>
      <c r="J1284" s="57">
        <f>IF(OR(A1284="",H1284=""),"",IF(COUNTIFS(exp_year,C1284,exp_month,D1284,exp_item,E1284,exp_status,"&lt;&gt;❌ Отменено")&gt;0,1,0))</f>
        <v/>
      </c>
    </row>
    <row r="1285">
      <c r="A1285" s="52" t="n"/>
      <c r="B1285" s="53">
        <f>IF(A1285="","",CHOOSE(WEEKDAY(A1285,2),"Пн","Вт","Ср","Чт","Пт","Сб","Вс"))</f>
        <v/>
      </c>
      <c r="C1285" s="53">
        <f>IF(A1285="","",YEAR(A1285))</f>
        <v/>
      </c>
      <c r="D1285" s="54">
        <f>IF(A1285="","",INDEX(lst_months,MONTH(A1285)))</f>
        <v/>
      </c>
      <c r="E1285" s="55" t="n"/>
      <c r="F1285" s="54">
        <f>IF(E1285="","",IFERROR(IF(INDEX(lst_exp_item_cat,MATCH(E1285,lst_exp_items,0))="","❔ Без категории",INDEX(lst_exp_item_cat,MATCH(E1285,lst_exp_items,0))),"❔ Без категории"))</f>
        <v/>
      </c>
      <c r="G1285" s="43" t="n"/>
      <c r="H1285" s="56" t="n"/>
      <c r="I1285" s="43" t="n"/>
      <c r="J1285" s="57">
        <f>IF(OR(A1285="",H1285=""),"",IF(COUNTIFS(exp_year,C1285,exp_month,D1285,exp_item,E1285,exp_status,"&lt;&gt;❌ Отменено")&gt;0,1,0))</f>
        <v/>
      </c>
    </row>
    <row r="1286">
      <c r="A1286" s="52" t="n"/>
      <c r="B1286" s="53">
        <f>IF(A1286="","",CHOOSE(WEEKDAY(A1286,2),"Пн","Вт","Ср","Чт","Пт","Сб","Вс"))</f>
        <v/>
      </c>
      <c r="C1286" s="53">
        <f>IF(A1286="","",YEAR(A1286))</f>
        <v/>
      </c>
      <c r="D1286" s="54">
        <f>IF(A1286="","",INDEX(lst_months,MONTH(A1286)))</f>
        <v/>
      </c>
      <c r="E1286" s="55" t="n"/>
      <c r="F1286" s="54">
        <f>IF(E1286="","",IFERROR(IF(INDEX(lst_exp_item_cat,MATCH(E1286,lst_exp_items,0))="","❔ Без категории",INDEX(lst_exp_item_cat,MATCH(E1286,lst_exp_items,0))),"❔ Без категории"))</f>
        <v/>
      </c>
      <c r="G1286" s="43" t="n"/>
      <c r="H1286" s="56" t="n"/>
      <c r="I1286" s="43" t="n"/>
      <c r="J1286" s="57">
        <f>IF(OR(A1286="",H1286=""),"",IF(COUNTIFS(exp_year,C1286,exp_month,D1286,exp_item,E1286,exp_status,"&lt;&gt;❌ Отменено")&gt;0,1,0))</f>
        <v/>
      </c>
    </row>
    <row r="1287">
      <c r="A1287" s="52" t="n"/>
      <c r="B1287" s="53">
        <f>IF(A1287="","",CHOOSE(WEEKDAY(A1287,2),"Пн","Вт","Ср","Чт","Пт","Сб","Вс"))</f>
        <v/>
      </c>
      <c r="C1287" s="53">
        <f>IF(A1287="","",YEAR(A1287))</f>
        <v/>
      </c>
      <c r="D1287" s="54">
        <f>IF(A1287="","",INDEX(lst_months,MONTH(A1287)))</f>
        <v/>
      </c>
      <c r="E1287" s="55" t="n"/>
      <c r="F1287" s="54">
        <f>IF(E1287="","",IFERROR(IF(INDEX(lst_exp_item_cat,MATCH(E1287,lst_exp_items,0))="","❔ Без категории",INDEX(lst_exp_item_cat,MATCH(E1287,lst_exp_items,0))),"❔ Без категории"))</f>
        <v/>
      </c>
      <c r="G1287" s="43" t="n"/>
      <c r="H1287" s="56" t="n"/>
      <c r="I1287" s="43" t="n"/>
      <c r="J1287" s="57">
        <f>IF(OR(A1287="",H1287=""),"",IF(COUNTIFS(exp_year,C1287,exp_month,D1287,exp_item,E1287,exp_status,"&lt;&gt;❌ Отменено")&gt;0,1,0))</f>
        <v/>
      </c>
    </row>
    <row r="1288">
      <c r="A1288" s="52" t="n"/>
      <c r="B1288" s="53">
        <f>IF(A1288="","",CHOOSE(WEEKDAY(A1288,2),"Пн","Вт","Ср","Чт","Пт","Сб","Вс"))</f>
        <v/>
      </c>
      <c r="C1288" s="53">
        <f>IF(A1288="","",YEAR(A1288))</f>
        <v/>
      </c>
      <c r="D1288" s="54">
        <f>IF(A1288="","",INDEX(lst_months,MONTH(A1288)))</f>
        <v/>
      </c>
      <c r="E1288" s="55" t="n"/>
      <c r="F1288" s="54">
        <f>IF(E1288="","",IFERROR(IF(INDEX(lst_exp_item_cat,MATCH(E1288,lst_exp_items,0))="","❔ Без категории",INDEX(lst_exp_item_cat,MATCH(E1288,lst_exp_items,0))),"❔ Без категории"))</f>
        <v/>
      </c>
      <c r="G1288" s="43" t="n"/>
      <c r="H1288" s="56" t="n"/>
      <c r="I1288" s="43" t="n"/>
      <c r="J1288" s="57">
        <f>IF(OR(A1288="",H1288=""),"",IF(COUNTIFS(exp_year,C1288,exp_month,D1288,exp_item,E1288,exp_status,"&lt;&gt;❌ Отменено")&gt;0,1,0))</f>
        <v/>
      </c>
    </row>
    <row r="1289">
      <c r="A1289" s="52" t="n"/>
      <c r="B1289" s="53">
        <f>IF(A1289="","",CHOOSE(WEEKDAY(A1289,2),"Пн","Вт","Ср","Чт","Пт","Сб","Вс"))</f>
        <v/>
      </c>
      <c r="C1289" s="53">
        <f>IF(A1289="","",YEAR(A1289))</f>
        <v/>
      </c>
      <c r="D1289" s="54">
        <f>IF(A1289="","",INDEX(lst_months,MONTH(A1289)))</f>
        <v/>
      </c>
      <c r="E1289" s="55" t="n"/>
      <c r="F1289" s="54">
        <f>IF(E1289="","",IFERROR(IF(INDEX(lst_exp_item_cat,MATCH(E1289,lst_exp_items,0))="","❔ Без категории",INDEX(lst_exp_item_cat,MATCH(E1289,lst_exp_items,0))),"❔ Без категории"))</f>
        <v/>
      </c>
      <c r="G1289" s="43" t="n"/>
      <c r="H1289" s="56" t="n"/>
      <c r="I1289" s="43" t="n"/>
      <c r="J1289" s="57">
        <f>IF(OR(A1289="",H1289=""),"",IF(COUNTIFS(exp_year,C1289,exp_month,D1289,exp_item,E1289,exp_status,"&lt;&gt;❌ Отменено")&gt;0,1,0))</f>
        <v/>
      </c>
    </row>
    <row r="1290">
      <c r="A1290" s="52" t="n"/>
      <c r="B1290" s="53">
        <f>IF(A1290="","",CHOOSE(WEEKDAY(A1290,2),"Пн","Вт","Ср","Чт","Пт","Сб","Вс"))</f>
        <v/>
      </c>
      <c r="C1290" s="53">
        <f>IF(A1290="","",YEAR(A1290))</f>
        <v/>
      </c>
      <c r="D1290" s="54">
        <f>IF(A1290="","",INDEX(lst_months,MONTH(A1290)))</f>
        <v/>
      </c>
      <c r="E1290" s="55" t="n"/>
      <c r="F1290" s="54">
        <f>IF(E1290="","",IFERROR(IF(INDEX(lst_exp_item_cat,MATCH(E1290,lst_exp_items,0))="","❔ Без категории",INDEX(lst_exp_item_cat,MATCH(E1290,lst_exp_items,0))),"❔ Без категории"))</f>
        <v/>
      </c>
      <c r="G1290" s="43" t="n"/>
      <c r="H1290" s="56" t="n"/>
      <c r="I1290" s="43" t="n"/>
      <c r="J1290" s="57">
        <f>IF(OR(A1290="",H1290=""),"",IF(COUNTIFS(exp_year,C1290,exp_month,D1290,exp_item,E1290,exp_status,"&lt;&gt;❌ Отменено")&gt;0,1,0))</f>
        <v/>
      </c>
    </row>
    <row r="1291">
      <c r="A1291" s="52" t="n"/>
      <c r="B1291" s="53">
        <f>IF(A1291="","",CHOOSE(WEEKDAY(A1291,2),"Пн","Вт","Ср","Чт","Пт","Сб","Вс"))</f>
        <v/>
      </c>
      <c r="C1291" s="53">
        <f>IF(A1291="","",YEAR(A1291))</f>
        <v/>
      </c>
      <c r="D1291" s="54">
        <f>IF(A1291="","",INDEX(lst_months,MONTH(A1291)))</f>
        <v/>
      </c>
      <c r="E1291" s="55" t="n"/>
      <c r="F1291" s="54">
        <f>IF(E1291="","",IFERROR(IF(INDEX(lst_exp_item_cat,MATCH(E1291,lst_exp_items,0))="","❔ Без категории",INDEX(lst_exp_item_cat,MATCH(E1291,lst_exp_items,0))),"❔ Без категории"))</f>
        <v/>
      </c>
      <c r="G1291" s="43" t="n"/>
      <c r="H1291" s="56" t="n"/>
      <c r="I1291" s="43" t="n"/>
      <c r="J1291" s="57">
        <f>IF(OR(A1291="",H1291=""),"",IF(COUNTIFS(exp_year,C1291,exp_month,D1291,exp_item,E1291,exp_status,"&lt;&gt;❌ Отменено")&gt;0,1,0))</f>
        <v/>
      </c>
    </row>
    <row r="1292">
      <c r="A1292" s="52" t="n"/>
      <c r="B1292" s="53">
        <f>IF(A1292="","",CHOOSE(WEEKDAY(A1292,2),"Пн","Вт","Ср","Чт","Пт","Сб","Вс"))</f>
        <v/>
      </c>
      <c r="C1292" s="53">
        <f>IF(A1292="","",YEAR(A1292))</f>
        <v/>
      </c>
      <c r="D1292" s="54">
        <f>IF(A1292="","",INDEX(lst_months,MONTH(A1292)))</f>
        <v/>
      </c>
      <c r="E1292" s="55" t="n"/>
      <c r="F1292" s="54">
        <f>IF(E1292="","",IFERROR(IF(INDEX(lst_exp_item_cat,MATCH(E1292,lst_exp_items,0))="","❔ Без категории",INDEX(lst_exp_item_cat,MATCH(E1292,lst_exp_items,0))),"❔ Без категории"))</f>
        <v/>
      </c>
      <c r="G1292" s="43" t="n"/>
      <c r="H1292" s="56" t="n"/>
      <c r="I1292" s="43" t="n"/>
      <c r="J1292" s="57">
        <f>IF(OR(A1292="",H1292=""),"",IF(COUNTIFS(exp_year,C1292,exp_month,D1292,exp_item,E1292,exp_status,"&lt;&gt;❌ Отменено")&gt;0,1,0))</f>
        <v/>
      </c>
    </row>
    <row r="1293">
      <c r="A1293" s="52" t="n"/>
      <c r="B1293" s="53">
        <f>IF(A1293="","",CHOOSE(WEEKDAY(A1293,2),"Пн","Вт","Ср","Чт","Пт","Сб","Вс"))</f>
        <v/>
      </c>
      <c r="C1293" s="53">
        <f>IF(A1293="","",YEAR(A1293))</f>
        <v/>
      </c>
      <c r="D1293" s="54">
        <f>IF(A1293="","",INDEX(lst_months,MONTH(A1293)))</f>
        <v/>
      </c>
      <c r="E1293" s="55" t="n"/>
      <c r="F1293" s="54">
        <f>IF(E1293="","",IFERROR(IF(INDEX(lst_exp_item_cat,MATCH(E1293,lst_exp_items,0))="","❔ Без категории",INDEX(lst_exp_item_cat,MATCH(E1293,lst_exp_items,0))),"❔ Без категории"))</f>
        <v/>
      </c>
      <c r="G1293" s="43" t="n"/>
      <c r="H1293" s="56" t="n"/>
      <c r="I1293" s="43" t="n"/>
      <c r="J1293" s="57">
        <f>IF(OR(A1293="",H1293=""),"",IF(COUNTIFS(exp_year,C1293,exp_month,D1293,exp_item,E1293,exp_status,"&lt;&gt;❌ Отменено")&gt;0,1,0))</f>
        <v/>
      </c>
    </row>
    <row r="1294">
      <c r="A1294" s="52" t="n"/>
      <c r="B1294" s="53">
        <f>IF(A1294="","",CHOOSE(WEEKDAY(A1294,2),"Пн","Вт","Ср","Чт","Пт","Сб","Вс"))</f>
        <v/>
      </c>
      <c r="C1294" s="53">
        <f>IF(A1294="","",YEAR(A1294))</f>
        <v/>
      </c>
      <c r="D1294" s="54">
        <f>IF(A1294="","",INDEX(lst_months,MONTH(A1294)))</f>
        <v/>
      </c>
      <c r="E1294" s="55" t="n"/>
      <c r="F1294" s="54">
        <f>IF(E1294="","",IFERROR(IF(INDEX(lst_exp_item_cat,MATCH(E1294,lst_exp_items,0))="","❔ Без категории",INDEX(lst_exp_item_cat,MATCH(E1294,lst_exp_items,0))),"❔ Без категории"))</f>
        <v/>
      </c>
      <c r="G1294" s="43" t="n"/>
      <c r="H1294" s="56" t="n"/>
      <c r="I1294" s="43" t="n"/>
      <c r="J1294" s="57">
        <f>IF(OR(A1294="",H1294=""),"",IF(COUNTIFS(exp_year,C1294,exp_month,D1294,exp_item,E1294,exp_status,"&lt;&gt;❌ Отменено")&gt;0,1,0))</f>
        <v/>
      </c>
    </row>
    <row r="1295">
      <c r="A1295" s="52" t="n"/>
      <c r="B1295" s="53">
        <f>IF(A1295="","",CHOOSE(WEEKDAY(A1295,2),"Пн","Вт","Ср","Чт","Пт","Сб","Вс"))</f>
        <v/>
      </c>
      <c r="C1295" s="53">
        <f>IF(A1295="","",YEAR(A1295))</f>
        <v/>
      </c>
      <c r="D1295" s="54">
        <f>IF(A1295="","",INDEX(lst_months,MONTH(A1295)))</f>
        <v/>
      </c>
      <c r="E1295" s="55" t="n"/>
      <c r="F1295" s="54">
        <f>IF(E1295="","",IFERROR(IF(INDEX(lst_exp_item_cat,MATCH(E1295,lst_exp_items,0))="","❔ Без категории",INDEX(lst_exp_item_cat,MATCH(E1295,lst_exp_items,0))),"❔ Без категории"))</f>
        <v/>
      </c>
      <c r="G1295" s="43" t="n"/>
      <c r="H1295" s="56" t="n"/>
      <c r="I1295" s="43" t="n"/>
      <c r="J1295" s="57">
        <f>IF(OR(A1295="",H1295=""),"",IF(COUNTIFS(exp_year,C1295,exp_month,D1295,exp_item,E1295,exp_status,"&lt;&gt;❌ Отменено")&gt;0,1,0))</f>
        <v/>
      </c>
    </row>
    <row r="1296">
      <c r="A1296" s="52" t="n"/>
      <c r="B1296" s="53">
        <f>IF(A1296="","",CHOOSE(WEEKDAY(A1296,2),"Пн","Вт","Ср","Чт","Пт","Сб","Вс"))</f>
        <v/>
      </c>
      <c r="C1296" s="53">
        <f>IF(A1296="","",YEAR(A1296))</f>
        <v/>
      </c>
      <c r="D1296" s="54">
        <f>IF(A1296="","",INDEX(lst_months,MONTH(A1296)))</f>
        <v/>
      </c>
      <c r="E1296" s="55" t="n"/>
      <c r="F1296" s="54">
        <f>IF(E1296="","",IFERROR(IF(INDEX(lst_exp_item_cat,MATCH(E1296,lst_exp_items,0))="","❔ Без категории",INDEX(lst_exp_item_cat,MATCH(E1296,lst_exp_items,0))),"❔ Без категории"))</f>
        <v/>
      </c>
      <c r="G1296" s="43" t="n"/>
      <c r="H1296" s="56" t="n"/>
      <c r="I1296" s="43" t="n"/>
      <c r="J1296" s="57">
        <f>IF(OR(A1296="",H1296=""),"",IF(COUNTIFS(exp_year,C1296,exp_month,D1296,exp_item,E1296,exp_status,"&lt;&gt;❌ Отменено")&gt;0,1,0))</f>
        <v/>
      </c>
    </row>
    <row r="1297">
      <c r="A1297" s="52" t="n"/>
      <c r="B1297" s="53">
        <f>IF(A1297="","",CHOOSE(WEEKDAY(A1297,2),"Пн","Вт","Ср","Чт","Пт","Сб","Вс"))</f>
        <v/>
      </c>
      <c r="C1297" s="53">
        <f>IF(A1297="","",YEAR(A1297))</f>
        <v/>
      </c>
      <c r="D1297" s="54">
        <f>IF(A1297="","",INDEX(lst_months,MONTH(A1297)))</f>
        <v/>
      </c>
      <c r="E1297" s="55" t="n"/>
      <c r="F1297" s="54">
        <f>IF(E1297="","",IFERROR(IF(INDEX(lst_exp_item_cat,MATCH(E1297,lst_exp_items,0))="","❔ Без категории",INDEX(lst_exp_item_cat,MATCH(E1297,lst_exp_items,0))),"❔ Без категории"))</f>
        <v/>
      </c>
      <c r="G1297" s="43" t="n"/>
      <c r="H1297" s="56" t="n"/>
      <c r="I1297" s="43" t="n"/>
      <c r="J1297" s="57">
        <f>IF(OR(A1297="",H1297=""),"",IF(COUNTIFS(exp_year,C1297,exp_month,D1297,exp_item,E1297,exp_status,"&lt;&gt;❌ Отменено")&gt;0,1,0))</f>
        <v/>
      </c>
    </row>
    <row r="1298">
      <c r="A1298" s="52" t="n"/>
      <c r="B1298" s="53">
        <f>IF(A1298="","",CHOOSE(WEEKDAY(A1298,2),"Пн","Вт","Ср","Чт","Пт","Сб","Вс"))</f>
        <v/>
      </c>
      <c r="C1298" s="53">
        <f>IF(A1298="","",YEAR(A1298))</f>
        <v/>
      </c>
      <c r="D1298" s="54">
        <f>IF(A1298="","",INDEX(lst_months,MONTH(A1298)))</f>
        <v/>
      </c>
      <c r="E1298" s="55" t="n"/>
      <c r="F1298" s="54">
        <f>IF(E1298="","",IFERROR(IF(INDEX(lst_exp_item_cat,MATCH(E1298,lst_exp_items,0))="","❔ Без категории",INDEX(lst_exp_item_cat,MATCH(E1298,lst_exp_items,0))),"❔ Без категории"))</f>
        <v/>
      </c>
      <c r="G1298" s="43" t="n"/>
      <c r="H1298" s="56" t="n"/>
      <c r="I1298" s="43" t="n"/>
      <c r="J1298" s="57">
        <f>IF(OR(A1298="",H1298=""),"",IF(COUNTIFS(exp_year,C1298,exp_month,D1298,exp_item,E1298,exp_status,"&lt;&gt;❌ Отменено")&gt;0,1,0))</f>
        <v/>
      </c>
    </row>
    <row r="1299">
      <c r="A1299" s="52" t="n"/>
      <c r="B1299" s="53">
        <f>IF(A1299="","",CHOOSE(WEEKDAY(A1299,2),"Пн","Вт","Ср","Чт","Пт","Сб","Вс"))</f>
        <v/>
      </c>
      <c r="C1299" s="53">
        <f>IF(A1299="","",YEAR(A1299))</f>
        <v/>
      </c>
      <c r="D1299" s="54">
        <f>IF(A1299="","",INDEX(lst_months,MONTH(A1299)))</f>
        <v/>
      </c>
      <c r="E1299" s="55" t="n"/>
      <c r="F1299" s="54">
        <f>IF(E1299="","",IFERROR(IF(INDEX(lst_exp_item_cat,MATCH(E1299,lst_exp_items,0))="","❔ Без категории",INDEX(lst_exp_item_cat,MATCH(E1299,lst_exp_items,0))),"❔ Без категории"))</f>
        <v/>
      </c>
      <c r="G1299" s="43" t="n"/>
      <c r="H1299" s="56" t="n"/>
      <c r="I1299" s="43" t="n"/>
      <c r="J1299" s="57">
        <f>IF(OR(A1299="",H1299=""),"",IF(COUNTIFS(exp_year,C1299,exp_month,D1299,exp_item,E1299,exp_status,"&lt;&gt;❌ Отменено")&gt;0,1,0))</f>
        <v/>
      </c>
    </row>
    <row r="1300">
      <c r="A1300" s="52" t="n"/>
      <c r="B1300" s="53">
        <f>IF(A1300="","",CHOOSE(WEEKDAY(A1300,2),"Пн","Вт","Ср","Чт","Пт","Сб","Вс"))</f>
        <v/>
      </c>
      <c r="C1300" s="53">
        <f>IF(A1300="","",YEAR(A1300))</f>
        <v/>
      </c>
      <c r="D1300" s="54">
        <f>IF(A1300="","",INDEX(lst_months,MONTH(A1300)))</f>
        <v/>
      </c>
      <c r="E1300" s="55" t="n"/>
      <c r="F1300" s="54">
        <f>IF(E1300="","",IFERROR(IF(INDEX(lst_exp_item_cat,MATCH(E1300,lst_exp_items,0))="","❔ Без категории",INDEX(lst_exp_item_cat,MATCH(E1300,lst_exp_items,0))),"❔ Без категории"))</f>
        <v/>
      </c>
      <c r="G1300" s="43" t="n"/>
      <c r="H1300" s="56" t="n"/>
      <c r="I1300" s="43" t="n"/>
      <c r="J1300" s="57">
        <f>IF(OR(A1300="",H1300=""),"",IF(COUNTIFS(exp_year,C1300,exp_month,D1300,exp_item,E1300,exp_status,"&lt;&gt;❌ Отменено")&gt;0,1,0))</f>
        <v/>
      </c>
    </row>
    <row r="1301">
      <c r="A1301" s="52" t="n"/>
      <c r="B1301" s="53">
        <f>IF(A1301="","",CHOOSE(WEEKDAY(A1301,2),"Пн","Вт","Ср","Чт","Пт","Сб","Вс"))</f>
        <v/>
      </c>
      <c r="C1301" s="53">
        <f>IF(A1301="","",YEAR(A1301))</f>
        <v/>
      </c>
      <c r="D1301" s="54">
        <f>IF(A1301="","",INDEX(lst_months,MONTH(A1301)))</f>
        <v/>
      </c>
      <c r="E1301" s="55" t="n"/>
      <c r="F1301" s="54">
        <f>IF(E1301="","",IFERROR(IF(INDEX(lst_exp_item_cat,MATCH(E1301,lst_exp_items,0))="","❔ Без категории",INDEX(lst_exp_item_cat,MATCH(E1301,lst_exp_items,0))),"❔ Без категории"))</f>
        <v/>
      </c>
      <c r="G1301" s="43" t="n"/>
      <c r="H1301" s="56" t="n"/>
      <c r="I1301" s="43" t="n"/>
      <c r="J1301" s="57">
        <f>IF(OR(A1301="",H1301=""),"",IF(COUNTIFS(exp_year,C1301,exp_month,D1301,exp_item,E1301,exp_status,"&lt;&gt;❌ Отменено")&gt;0,1,0))</f>
        <v/>
      </c>
    </row>
    <row r="1302">
      <c r="A1302" s="52" t="n"/>
      <c r="B1302" s="53">
        <f>IF(A1302="","",CHOOSE(WEEKDAY(A1302,2),"Пн","Вт","Ср","Чт","Пт","Сб","Вс"))</f>
        <v/>
      </c>
      <c r="C1302" s="53">
        <f>IF(A1302="","",YEAR(A1302))</f>
        <v/>
      </c>
      <c r="D1302" s="54">
        <f>IF(A1302="","",INDEX(lst_months,MONTH(A1302)))</f>
        <v/>
      </c>
      <c r="E1302" s="55" t="n"/>
      <c r="F1302" s="54">
        <f>IF(E1302="","",IFERROR(IF(INDEX(lst_exp_item_cat,MATCH(E1302,lst_exp_items,0))="","❔ Без категории",INDEX(lst_exp_item_cat,MATCH(E1302,lst_exp_items,0))),"❔ Без категории"))</f>
        <v/>
      </c>
      <c r="G1302" s="43" t="n"/>
      <c r="H1302" s="56" t="n"/>
      <c r="I1302" s="43" t="n"/>
      <c r="J1302" s="57">
        <f>IF(OR(A1302="",H1302=""),"",IF(COUNTIFS(exp_year,C1302,exp_month,D1302,exp_item,E1302,exp_status,"&lt;&gt;❌ Отменено")&gt;0,1,0))</f>
        <v/>
      </c>
    </row>
    <row r="1303">
      <c r="A1303" s="52" t="n"/>
      <c r="B1303" s="53">
        <f>IF(A1303="","",CHOOSE(WEEKDAY(A1303,2),"Пн","Вт","Ср","Чт","Пт","Сб","Вс"))</f>
        <v/>
      </c>
      <c r="C1303" s="53">
        <f>IF(A1303="","",YEAR(A1303))</f>
        <v/>
      </c>
      <c r="D1303" s="54">
        <f>IF(A1303="","",INDEX(lst_months,MONTH(A1303)))</f>
        <v/>
      </c>
      <c r="E1303" s="55" t="n"/>
      <c r="F1303" s="54">
        <f>IF(E1303="","",IFERROR(IF(INDEX(lst_exp_item_cat,MATCH(E1303,lst_exp_items,0))="","❔ Без категории",INDEX(lst_exp_item_cat,MATCH(E1303,lst_exp_items,0))),"❔ Без категории"))</f>
        <v/>
      </c>
      <c r="G1303" s="43" t="n"/>
      <c r="H1303" s="56" t="n"/>
      <c r="I1303" s="43" t="n"/>
      <c r="J1303" s="57">
        <f>IF(OR(A1303="",H1303=""),"",IF(COUNTIFS(exp_year,C1303,exp_month,D1303,exp_item,E1303,exp_status,"&lt;&gt;❌ Отменено")&gt;0,1,0))</f>
        <v/>
      </c>
    </row>
    <row r="1304">
      <c r="A1304" s="52" t="n"/>
      <c r="B1304" s="53">
        <f>IF(A1304="","",CHOOSE(WEEKDAY(A1304,2),"Пн","Вт","Ср","Чт","Пт","Сб","Вс"))</f>
        <v/>
      </c>
      <c r="C1304" s="53">
        <f>IF(A1304="","",YEAR(A1304))</f>
        <v/>
      </c>
      <c r="D1304" s="54">
        <f>IF(A1304="","",INDEX(lst_months,MONTH(A1304)))</f>
        <v/>
      </c>
      <c r="E1304" s="55" t="n"/>
      <c r="F1304" s="54">
        <f>IF(E1304="","",IFERROR(IF(INDEX(lst_exp_item_cat,MATCH(E1304,lst_exp_items,0))="","❔ Без категории",INDEX(lst_exp_item_cat,MATCH(E1304,lst_exp_items,0))),"❔ Без категории"))</f>
        <v/>
      </c>
      <c r="G1304" s="43" t="n"/>
      <c r="H1304" s="56" t="n"/>
      <c r="I1304" s="43" t="n"/>
      <c r="J1304" s="57">
        <f>IF(OR(A1304="",H1304=""),"",IF(COUNTIFS(exp_year,C1304,exp_month,D1304,exp_item,E1304,exp_status,"&lt;&gt;❌ Отменено")&gt;0,1,0))</f>
        <v/>
      </c>
    </row>
    <row r="1305">
      <c r="A1305" s="52" t="n"/>
      <c r="B1305" s="53">
        <f>IF(A1305="","",CHOOSE(WEEKDAY(A1305,2),"Пн","Вт","Ср","Чт","Пт","Сб","Вс"))</f>
        <v/>
      </c>
      <c r="C1305" s="53">
        <f>IF(A1305="","",YEAR(A1305))</f>
        <v/>
      </c>
      <c r="D1305" s="54">
        <f>IF(A1305="","",INDEX(lst_months,MONTH(A1305)))</f>
        <v/>
      </c>
      <c r="E1305" s="55" t="n"/>
      <c r="F1305" s="54">
        <f>IF(E1305="","",IFERROR(IF(INDEX(lst_exp_item_cat,MATCH(E1305,lst_exp_items,0))="","❔ Без категории",INDEX(lst_exp_item_cat,MATCH(E1305,lst_exp_items,0))),"❔ Без категории"))</f>
        <v/>
      </c>
      <c r="G1305" s="43" t="n"/>
      <c r="H1305" s="56" t="n"/>
      <c r="I1305" s="43" t="n"/>
      <c r="J1305" s="57">
        <f>IF(OR(A1305="",H1305=""),"",IF(COUNTIFS(exp_year,C1305,exp_month,D1305,exp_item,E1305,exp_status,"&lt;&gt;❌ Отменено")&gt;0,1,0))</f>
        <v/>
      </c>
    </row>
    <row r="1306">
      <c r="A1306" s="52" t="n"/>
      <c r="B1306" s="53">
        <f>IF(A1306="","",CHOOSE(WEEKDAY(A1306,2),"Пн","Вт","Ср","Чт","Пт","Сб","Вс"))</f>
        <v/>
      </c>
      <c r="C1306" s="53">
        <f>IF(A1306="","",YEAR(A1306))</f>
        <v/>
      </c>
      <c r="D1306" s="54">
        <f>IF(A1306="","",INDEX(lst_months,MONTH(A1306)))</f>
        <v/>
      </c>
      <c r="E1306" s="55" t="n"/>
      <c r="F1306" s="54">
        <f>IF(E1306="","",IFERROR(IF(INDEX(lst_exp_item_cat,MATCH(E1306,lst_exp_items,0))="","❔ Без категории",INDEX(lst_exp_item_cat,MATCH(E1306,lst_exp_items,0))),"❔ Без категории"))</f>
        <v/>
      </c>
      <c r="G1306" s="43" t="n"/>
      <c r="H1306" s="56" t="n"/>
      <c r="I1306" s="43" t="n"/>
      <c r="J1306" s="57">
        <f>IF(OR(A1306="",H1306=""),"",IF(COUNTIFS(exp_year,C1306,exp_month,D1306,exp_item,E1306,exp_status,"&lt;&gt;❌ Отменено")&gt;0,1,0))</f>
        <v/>
      </c>
    </row>
    <row r="1307">
      <c r="A1307" s="52" t="n"/>
      <c r="B1307" s="53">
        <f>IF(A1307="","",CHOOSE(WEEKDAY(A1307,2),"Пн","Вт","Ср","Чт","Пт","Сб","Вс"))</f>
        <v/>
      </c>
      <c r="C1307" s="53">
        <f>IF(A1307="","",YEAR(A1307))</f>
        <v/>
      </c>
      <c r="D1307" s="54">
        <f>IF(A1307="","",INDEX(lst_months,MONTH(A1307)))</f>
        <v/>
      </c>
      <c r="E1307" s="55" t="n"/>
      <c r="F1307" s="54">
        <f>IF(E1307="","",IFERROR(IF(INDEX(lst_exp_item_cat,MATCH(E1307,lst_exp_items,0))="","❔ Без категории",INDEX(lst_exp_item_cat,MATCH(E1307,lst_exp_items,0))),"❔ Без категории"))</f>
        <v/>
      </c>
      <c r="G1307" s="43" t="n"/>
      <c r="H1307" s="56" t="n"/>
      <c r="I1307" s="43" t="n"/>
      <c r="J1307" s="57">
        <f>IF(OR(A1307="",H1307=""),"",IF(COUNTIFS(exp_year,C1307,exp_month,D1307,exp_item,E1307,exp_status,"&lt;&gt;❌ Отменено")&gt;0,1,0))</f>
        <v/>
      </c>
    </row>
    <row r="1308">
      <c r="A1308" s="52" t="n"/>
      <c r="B1308" s="53">
        <f>IF(A1308="","",CHOOSE(WEEKDAY(A1308,2),"Пн","Вт","Ср","Чт","Пт","Сб","Вс"))</f>
        <v/>
      </c>
      <c r="C1308" s="53">
        <f>IF(A1308="","",YEAR(A1308))</f>
        <v/>
      </c>
      <c r="D1308" s="54">
        <f>IF(A1308="","",INDEX(lst_months,MONTH(A1308)))</f>
        <v/>
      </c>
      <c r="E1308" s="55" t="n"/>
      <c r="F1308" s="54">
        <f>IF(E1308="","",IFERROR(IF(INDEX(lst_exp_item_cat,MATCH(E1308,lst_exp_items,0))="","❔ Без категории",INDEX(lst_exp_item_cat,MATCH(E1308,lst_exp_items,0))),"❔ Без категории"))</f>
        <v/>
      </c>
      <c r="G1308" s="43" t="n"/>
      <c r="H1308" s="56" t="n"/>
      <c r="I1308" s="43" t="n"/>
      <c r="J1308" s="57">
        <f>IF(OR(A1308="",H1308=""),"",IF(COUNTIFS(exp_year,C1308,exp_month,D1308,exp_item,E1308,exp_status,"&lt;&gt;❌ Отменено")&gt;0,1,0))</f>
        <v/>
      </c>
    </row>
    <row r="1309">
      <c r="A1309" s="52" t="n"/>
      <c r="B1309" s="53">
        <f>IF(A1309="","",CHOOSE(WEEKDAY(A1309,2),"Пн","Вт","Ср","Чт","Пт","Сб","Вс"))</f>
        <v/>
      </c>
      <c r="C1309" s="53">
        <f>IF(A1309="","",YEAR(A1309))</f>
        <v/>
      </c>
      <c r="D1309" s="54">
        <f>IF(A1309="","",INDEX(lst_months,MONTH(A1309)))</f>
        <v/>
      </c>
      <c r="E1309" s="55" t="n"/>
      <c r="F1309" s="54">
        <f>IF(E1309="","",IFERROR(IF(INDEX(lst_exp_item_cat,MATCH(E1309,lst_exp_items,0))="","❔ Без категории",INDEX(lst_exp_item_cat,MATCH(E1309,lst_exp_items,0))),"❔ Без категории"))</f>
        <v/>
      </c>
      <c r="G1309" s="43" t="n"/>
      <c r="H1309" s="56" t="n"/>
      <c r="I1309" s="43" t="n"/>
      <c r="J1309" s="57">
        <f>IF(OR(A1309="",H1309=""),"",IF(COUNTIFS(exp_year,C1309,exp_month,D1309,exp_item,E1309,exp_status,"&lt;&gt;❌ Отменено")&gt;0,1,0))</f>
        <v/>
      </c>
    </row>
    <row r="1310">
      <c r="A1310" s="52" t="n"/>
      <c r="B1310" s="53">
        <f>IF(A1310="","",CHOOSE(WEEKDAY(A1310,2),"Пн","Вт","Ср","Чт","Пт","Сб","Вс"))</f>
        <v/>
      </c>
      <c r="C1310" s="53">
        <f>IF(A1310="","",YEAR(A1310))</f>
        <v/>
      </c>
      <c r="D1310" s="54">
        <f>IF(A1310="","",INDEX(lst_months,MONTH(A1310)))</f>
        <v/>
      </c>
      <c r="E1310" s="55" t="n"/>
      <c r="F1310" s="54">
        <f>IF(E1310="","",IFERROR(IF(INDEX(lst_exp_item_cat,MATCH(E1310,lst_exp_items,0))="","❔ Без категории",INDEX(lst_exp_item_cat,MATCH(E1310,lst_exp_items,0))),"❔ Без категории"))</f>
        <v/>
      </c>
      <c r="G1310" s="43" t="n"/>
      <c r="H1310" s="56" t="n"/>
      <c r="I1310" s="43" t="n"/>
      <c r="J1310" s="57">
        <f>IF(OR(A1310="",H1310=""),"",IF(COUNTIFS(exp_year,C1310,exp_month,D1310,exp_item,E1310,exp_status,"&lt;&gt;❌ Отменено")&gt;0,1,0))</f>
        <v/>
      </c>
    </row>
    <row r="1311">
      <c r="A1311" s="52" t="n"/>
      <c r="B1311" s="53">
        <f>IF(A1311="","",CHOOSE(WEEKDAY(A1311,2),"Пн","Вт","Ср","Чт","Пт","Сб","Вс"))</f>
        <v/>
      </c>
      <c r="C1311" s="53">
        <f>IF(A1311="","",YEAR(A1311))</f>
        <v/>
      </c>
      <c r="D1311" s="54">
        <f>IF(A1311="","",INDEX(lst_months,MONTH(A1311)))</f>
        <v/>
      </c>
      <c r="E1311" s="55" t="n"/>
      <c r="F1311" s="54">
        <f>IF(E1311="","",IFERROR(IF(INDEX(lst_exp_item_cat,MATCH(E1311,lst_exp_items,0))="","❔ Без категории",INDEX(lst_exp_item_cat,MATCH(E1311,lst_exp_items,0))),"❔ Без категории"))</f>
        <v/>
      </c>
      <c r="G1311" s="43" t="n"/>
      <c r="H1311" s="56" t="n"/>
      <c r="I1311" s="43" t="n"/>
      <c r="J1311" s="57">
        <f>IF(OR(A1311="",H1311=""),"",IF(COUNTIFS(exp_year,C1311,exp_month,D1311,exp_item,E1311,exp_status,"&lt;&gt;❌ Отменено")&gt;0,1,0))</f>
        <v/>
      </c>
    </row>
    <row r="1312">
      <c r="A1312" s="52" t="n"/>
      <c r="B1312" s="53">
        <f>IF(A1312="","",CHOOSE(WEEKDAY(A1312,2),"Пн","Вт","Ср","Чт","Пт","Сб","Вс"))</f>
        <v/>
      </c>
      <c r="C1312" s="53">
        <f>IF(A1312="","",YEAR(A1312))</f>
        <v/>
      </c>
      <c r="D1312" s="54">
        <f>IF(A1312="","",INDEX(lst_months,MONTH(A1312)))</f>
        <v/>
      </c>
      <c r="E1312" s="55" t="n"/>
      <c r="F1312" s="54">
        <f>IF(E1312="","",IFERROR(IF(INDEX(lst_exp_item_cat,MATCH(E1312,lst_exp_items,0))="","❔ Без категории",INDEX(lst_exp_item_cat,MATCH(E1312,lst_exp_items,0))),"❔ Без категории"))</f>
        <v/>
      </c>
      <c r="G1312" s="43" t="n"/>
      <c r="H1312" s="56" t="n"/>
      <c r="I1312" s="43" t="n"/>
      <c r="J1312" s="57">
        <f>IF(OR(A1312="",H1312=""),"",IF(COUNTIFS(exp_year,C1312,exp_month,D1312,exp_item,E1312,exp_status,"&lt;&gt;❌ Отменено")&gt;0,1,0))</f>
        <v/>
      </c>
    </row>
    <row r="1313">
      <c r="A1313" s="52" t="n"/>
      <c r="B1313" s="53">
        <f>IF(A1313="","",CHOOSE(WEEKDAY(A1313,2),"Пн","Вт","Ср","Чт","Пт","Сб","Вс"))</f>
        <v/>
      </c>
      <c r="C1313" s="53">
        <f>IF(A1313="","",YEAR(A1313))</f>
        <v/>
      </c>
      <c r="D1313" s="54">
        <f>IF(A1313="","",INDEX(lst_months,MONTH(A1313)))</f>
        <v/>
      </c>
      <c r="E1313" s="55" t="n"/>
      <c r="F1313" s="54">
        <f>IF(E1313="","",IFERROR(IF(INDEX(lst_exp_item_cat,MATCH(E1313,lst_exp_items,0))="","❔ Без категории",INDEX(lst_exp_item_cat,MATCH(E1313,lst_exp_items,0))),"❔ Без категории"))</f>
        <v/>
      </c>
      <c r="G1313" s="43" t="n"/>
      <c r="H1313" s="56" t="n"/>
      <c r="I1313" s="43" t="n"/>
      <c r="J1313" s="57">
        <f>IF(OR(A1313="",H1313=""),"",IF(COUNTIFS(exp_year,C1313,exp_month,D1313,exp_item,E1313,exp_status,"&lt;&gt;❌ Отменено")&gt;0,1,0))</f>
        <v/>
      </c>
    </row>
    <row r="1314">
      <c r="A1314" s="52" t="n"/>
      <c r="B1314" s="53">
        <f>IF(A1314="","",CHOOSE(WEEKDAY(A1314,2),"Пн","Вт","Ср","Чт","Пт","Сб","Вс"))</f>
        <v/>
      </c>
      <c r="C1314" s="53">
        <f>IF(A1314="","",YEAR(A1314))</f>
        <v/>
      </c>
      <c r="D1314" s="54">
        <f>IF(A1314="","",INDEX(lst_months,MONTH(A1314)))</f>
        <v/>
      </c>
      <c r="E1314" s="55" t="n"/>
      <c r="F1314" s="54">
        <f>IF(E1314="","",IFERROR(IF(INDEX(lst_exp_item_cat,MATCH(E1314,lst_exp_items,0))="","❔ Без категории",INDEX(lst_exp_item_cat,MATCH(E1314,lst_exp_items,0))),"❔ Без категории"))</f>
        <v/>
      </c>
      <c r="G1314" s="43" t="n"/>
      <c r="H1314" s="56" t="n"/>
      <c r="I1314" s="43" t="n"/>
      <c r="J1314" s="57">
        <f>IF(OR(A1314="",H1314=""),"",IF(COUNTIFS(exp_year,C1314,exp_month,D1314,exp_item,E1314,exp_status,"&lt;&gt;❌ Отменено")&gt;0,1,0))</f>
        <v/>
      </c>
    </row>
    <row r="1315">
      <c r="A1315" s="52" t="n"/>
      <c r="B1315" s="53">
        <f>IF(A1315="","",CHOOSE(WEEKDAY(A1315,2),"Пн","Вт","Ср","Чт","Пт","Сб","Вс"))</f>
        <v/>
      </c>
      <c r="C1315" s="53">
        <f>IF(A1315="","",YEAR(A1315))</f>
        <v/>
      </c>
      <c r="D1315" s="54">
        <f>IF(A1315="","",INDEX(lst_months,MONTH(A1315)))</f>
        <v/>
      </c>
      <c r="E1315" s="55" t="n"/>
      <c r="F1315" s="54">
        <f>IF(E1315="","",IFERROR(IF(INDEX(lst_exp_item_cat,MATCH(E1315,lst_exp_items,0))="","❔ Без категории",INDEX(lst_exp_item_cat,MATCH(E1315,lst_exp_items,0))),"❔ Без категории"))</f>
        <v/>
      </c>
      <c r="G1315" s="43" t="n"/>
      <c r="H1315" s="56" t="n"/>
      <c r="I1315" s="43" t="n"/>
      <c r="J1315" s="57">
        <f>IF(OR(A1315="",H1315=""),"",IF(COUNTIFS(exp_year,C1315,exp_month,D1315,exp_item,E1315,exp_status,"&lt;&gt;❌ Отменено")&gt;0,1,0))</f>
        <v/>
      </c>
    </row>
    <row r="1316">
      <c r="A1316" s="52" t="n"/>
      <c r="B1316" s="53">
        <f>IF(A1316="","",CHOOSE(WEEKDAY(A1316,2),"Пн","Вт","Ср","Чт","Пт","Сб","Вс"))</f>
        <v/>
      </c>
      <c r="C1316" s="53">
        <f>IF(A1316="","",YEAR(A1316))</f>
        <v/>
      </c>
      <c r="D1316" s="54">
        <f>IF(A1316="","",INDEX(lst_months,MONTH(A1316)))</f>
        <v/>
      </c>
      <c r="E1316" s="55" t="n"/>
      <c r="F1316" s="54">
        <f>IF(E1316="","",IFERROR(IF(INDEX(lst_exp_item_cat,MATCH(E1316,lst_exp_items,0))="","❔ Без категории",INDEX(lst_exp_item_cat,MATCH(E1316,lst_exp_items,0))),"❔ Без категории"))</f>
        <v/>
      </c>
      <c r="G1316" s="43" t="n"/>
      <c r="H1316" s="56" t="n"/>
      <c r="I1316" s="43" t="n"/>
      <c r="J1316" s="57">
        <f>IF(OR(A1316="",H1316=""),"",IF(COUNTIFS(exp_year,C1316,exp_month,D1316,exp_item,E1316,exp_status,"&lt;&gt;❌ Отменено")&gt;0,1,0))</f>
        <v/>
      </c>
    </row>
    <row r="1317">
      <c r="A1317" s="52" t="n"/>
      <c r="B1317" s="53">
        <f>IF(A1317="","",CHOOSE(WEEKDAY(A1317,2),"Пн","Вт","Ср","Чт","Пт","Сб","Вс"))</f>
        <v/>
      </c>
      <c r="C1317" s="53">
        <f>IF(A1317="","",YEAR(A1317))</f>
        <v/>
      </c>
      <c r="D1317" s="54">
        <f>IF(A1317="","",INDEX(lst_months,MONTH(A1317)))</f>
        <v/>
      </c>
      <c r="E1317" s="55" t="n"/>
      <c r="F1317" s="54">
        <f>IF(E1317="","",IFERROR(IF(INDEX(lst_exp_item_cat,MATCH(E1317,lst_exp_items,0))="","❔ Без категории",INDEX(lst_exp_item_cat,MATCH(E1317,lst_exp_items,0))),"❔ Без категории"))</f>
        <v/>
      </c>
      <c r="G1317" s="43" t="n"/>
      <c r="H1317" s="56" t="n"/>
      <c r="I1317" s="43" t="n"/>
      <c r="J1317" s="57">
        <f>IF(OR(A1317="",H1317=""),"",IF(COUNTIFS(exp_year,C1317,exp_month,D1317,exp_item,E1317,exp_status,"&lt;&gt;❌ Отменено")&gt;0,1,0))</f>
        <v/>
      </c>
    </row>
    <row r="1318">
      <c r="A1318" s="52" t="n"/>
      <c r="B1318" s="53">
        <f>IF(A1318="","",CHOOSE(WEEKDAY(A1318,2),"Пн","Вт","Ср","Чт","Пт","Сб","Вс"))</f>
        <v/>
      </c>
      <c r="C1318" s="53">
        <f>IF(A1318="","",YEAR(A1318))</f>
        <v/>
      </c>
      <c r="D1318" s="54">
        <f>IF(A1318="","",INDEX(lst_months,MONTH(A1318)))</f>
        <v/>
      </c>
      <c r="E1318" s="55" t="n"/>
      <c r="F1318" s="54">
        <f>IF(E1318="","",IFERROR(IF(INDEX(lst_exp_item_cat,MATCH(E1318,lst_exp_items,0))="","❔ Без категории",INDEX(lst_exp_item_cat,MATCH(E1318,lst_exp_items,0))),"❔ Без категории"))</f>
        <v/>
      </c>
      <c r="G1318" s="43" t="n"/>
      <c r="H1318" s="56" t="n"/>
      <c r="I1318" s="43" t="n"/>
      <c r="J1318" s="57">
        <f>IF(OR(A1318="",H1318=""),"",IF(COUNTIFS(exp_year,C1318,exp_month,D1318,exp_item,E1318,exp_status,"&lt;&gt;❌ Отменено")&gt;0,1,0))</f>
        <v/>
      </c>
    </row>
    <row r="1319">
      <c r="A1319" s="52" t="n"/>
      <c r="B1319" s="53">
        <f>IF(A1319="","",CHOOSE(WEEKDAY(A1319,2),"Пн","Вт","Ср","Чт","Пт","Сб","Вс"))</f>
        <v/>
      </c>
      <c r="C1319" s="53">
        <f>IF(A1319="","",YEAR(A1319))</f>
        <v/>
      </c>
      <c r="D1319" s="54">
        <f>IF(A1319="","",INDEX(lst_months,MONTH(A1319)))</f>
        <v/>
      </c>
      <c r="E1319" s="55" t="n"/>
      <c r="F1319" s="54">
        <f>IF(E1319="","",IFERROR(IF(INDEX(lst_exp_item_cat,MATCH(E1319,lst_exp_items,0))="","❔ Без категории",INDEX(lst_exp_item_cat,MATCH(E1319,lst_exp_items,0))),"❔ Без категории"))</f>
        <v/>
      </c>
      <c r="G1319" s="43" t="n"/>
      <c r="H1319" s="56" t="n"/>
      <c r="I1319" s="43" t="n"/>
      <c r="J1319" s="57">
        <f>IF(OR(A1319="",H1319=""),"",IF(COUNTIFS(exp_year,C1319,exp_month,D1319,exp_item,E1319,exp_status,"&lt;&gt;❌ Отменено")&gt;0,1,0))</f>
        <v/>
      </c>
    </row>
    <row r="1320">
      <c r="A1320" s="52" t="n"/>
      <c r="B1320" s="53">
        <f>IF(A1320="","",CHOOSE(WEEKDAY(A1320,2),"Пн","Вт","Ср","Чт","Пт","Сб","Вс"))</f>
        <v/>
      </c>
      <c r="C1320" s="53">
        <f>IF(A1320="","",YEAR(A1320))</f>
        <v/>
      </c>
      <c r="D1320" s="54">
        <f>IF(A1320="","",INDEX(lst_months,MONTH(A1320)))</f>
        <v/>
      </c>
      <c r="E1320" s="55" t="n"/>
      <c r="F1320" s="54">
        <f>IF(E1320="","",IFERROR(IF(INDEX(lst_exp_item_cat,MATCH(E1320,lst_exp_items,0))="","❔ Без категории",INDEX(lst_exp_item_cat,MATCH(E1320,lst_exp_items,0))),"❔ Без категории"))</f>
        <v/>
      </c>
      <c r="G1320" s="43" t="n"/>
      <c r="H1320" s="56" t="n"/>
      <c r="I1320" s="43" t="n"/>
      <c r="J1320" s="57">
        <f>IF(OR(A1320="",H1320=""),"",IF(COUNTIFS(exp_year,C1320,exp_month,D1320,exp_item,E1320,exp_status,"&lt;&gt;❌ Отменено")&gt;0,1,0))</f>
        <v/>
      </c>
    </row>
    <row r="1321">
      <c r="A1321" s="52" t="n"/>
      <c r="B1321" s="53">
        <f>IF(A1321="","",CHOOSE(WEEKDAY(A1321,2),"Пн","Вт","Ср","Чт","Пт","Сб","Вс"))</f>
        <v/>
      </c>
      <c r="C1321" s="53">
        <f>IF(A1321="","",YEAR(A1321))</f>
        <v/>
      </c>
      <c r="D1321" s="54">
        <f>IF(A1321="","",INDEX(lst_months,MONTH(A1321)))</f>
        <v/>
      </c>
      <c r="E1321" s="55" t="n"/>
      <c r="F1321" s="54">
        <f>IF(E1321="","",IFERROR(IF(INDEX(lst_exp_item_cat,MATCH(E1321,lst_exp_items,0))="","❔ Без категории",INDEX(lst_exp_item_cat,MATCH(E1321,lst_exp_items,0))),"❔ Без категории"))</f>
        <v/>
      </c>
      <c r="G1321" s="43" t="n"/>
      <c r="H1321" s="56" t="n"/>
      <c r="I1321" s="43" t="n"/>
      <c r="J1321" s="57">
        <f>IF(OR(A1321="",H1321=""),"",IF(COUNTIFS(exp_year,C1321,exp_month,D1321,exp_item,E1321,exp_status,"&lt;&gt;❌ Отменено")&gt;0,1,0))</f>
        <v/>
      </c>
    </row>
    <row r="1322">
      <c r="A1322" s="52" t="n"/>
      <c r="B1322" s="53">
        <f>IF(A1322="","",CHOOSE(WEEKDAY(A1322,2),"Пн","Вт","Ср","Чт","Пт","Сб","Вс"))</f>
        <v/>
      </c>
      <c r="C1322" s="53">
        <f>IF(A1322="","",YEAR(A1322))</f>
        <v/>
      </c>
      <c r="D1322" s="54">
        <f>IF(A1322="","",INDEX(lst_months,MONTH(A1322)))</f>
        <v/>
      </c>
      <c r="E1322" s="55" t="n"/>
      <c r="F1322" s="54">
        <f>IF(E1322="","",IFERROR(IF(INDEX(lst_exp_item_cat,MATCH(E1322,lst_exp_items,0))="","❔ Без категории",INDEX(lst_exp_item_cat,MATCH(E1322,lst_exp_items,0))),"❔ Без категории"))</f>
        <v/>
      </c>
      <c r="G1322" s="43" t="n"/>
      <c r="H1322" s="56" t="n"/>
      <c r="I1322" s="43" t="n"/>
      <c r="J1322" s="57">
        <f>IF(OR(A1322="",H1322=""),"",IF(COUNTIFS(exp_year,C1322,exp_month,D1322,exp_item,E1322,exp_status,"&lt;&gt;❌ Отменено")&gt;0,1,0))</f>
        <v/>
      </c>
    </row>
    <row r="1323">
      <c r="A1323" s="52" t="n"/>
      <c r="B1323" s="53">
        <f>IF(A1323="","",CHOOSE(WEEKDAY(A1323,2),"Пн","Вт","Ср","Чт","Пт","Сб","Вс"))</f>
        <v/>
      </c>
      <c r="C1323" s="53">
        <f>IF(A1323="","",YEAR(A1323))</f>
        <v/>
      </c>
      <c r="D1323" s="54">
        <f>IF(A1323="","",INDEX(lst_months,MONTH(A1323)))</f>
        <v/>
      </c>
      <c r="E1323" s="55" t="n"/>
      <c r="F1323" s="54">
        <f>IF(E1323="","",IFERROR(IF(INDEX(lst_exp_item_cat,MATCH(E1323,lst_exp_items,0))="","❔ Без категории",INDEX(lst_exp_item_cat,MATCH(E1323,lst_exp_items,0))),"❔ Без категории"))</f>
        <v/>
      </c>
      <c r="G1323" s="43" t="n"/>
      <c r="H1323" s="56" t="n"/>
      <c r="I1323" s="43" t="n"/>
      <c r="J1323" s="57">
        <f>IF(OR(A1323="",H1323=""),"",IF(COUNTIFS(exp_year,C1323,exp_month,D1323,exp_item,E1323,exp_status,"&lt;&gt;❌ Отменено")&gt;0,1,0))</f>
        <v/>
      </c>
    </row>
    <row r="1324">
      <c r="A1324" s="52" t="n"/>
      <c r="B1324" s="53">
        <f>IF(A1324="","",CHOOSE(WEEKDAY(A1324,2),"Пн","Вт","Ср","Чт","Пт","Сб","Вс"))</f>
        <v/>
      </c>
      <c r="C1324" s="53">
        <f>IF(A1324="","",YEAR(A1324))</f>
        <v/>
      </c>
      <c r="D1324" s="54">
        <f>IF(A1324="","",INDEX(lst_months,MONTH(A1324)))</f>
        <v/>
      </c>
      <c r="E1324" s="55" t="n"/>
      <c r="F1324" s="54">
        <f>IF(E1324="","",IFERROR(IF(INDEX(lst_exp_item_cat,MATCH(E1324,lst_exp_items,0))="","❔ Без категории",INDEX(lst_exp_item_cat,MATCH(E1324,lst_exp_items,0))),"❔ Без категории"))</f>
        <v/>
      </c>
      <c r="G1324" s="43" t="n"/>
      <c r="H1324" s="56" t="n"/>
      <c r="I1324" s="43" t="n"/>
      <c r="J1324" s="57">
        <f>IF(OR(A1324="",H1324=""),"",IF(COUNTIFS(exp_year,C1324,exp_month,D1324,exp_item,E1324,exp_status,"&lt;&gt;❌ Отменено")&gt;0,1,0))</f>
        <v/>
      </c>
    </row>
    <row r="1325">
      <c r="A1325" s="52" t="n"/>
      <c r="B1325" s="53">
        <f>IF(A1325="","",CHOOSE(WEEKDAY(A1325,2),"Пн","Вт","Ср","Чт","Пт","Сб","Вс"))</f>
        <v/>
      </c>
      <c r="C1325" s="53">
        <f>IF(A1325="","",YEAR(A1325))</f>
        <v/>
      </c>
      <c r="D1325" s="54">
        <f>IF(A1325="","",INDEX(lst_months,MONTH(A1325)))</f>
        <v/>
      </c>
      <c r="E1325" s="55" t="n"/>
      <c r="F1325" s="54">
        <f>IF(E1325="","",IFERROR(IF(INDEX(lst_exp_item_cat,MATCH(E1325,lst_exp_items,0))="","❔ Без категории",INDEX(lst_exp_item_cat,MATCH(E1325,lst_exp_items,0))),"❔ Без категории"))</f>
        <v/>
      </c>
      <c r="G1325" s="43" t="n"/>
      <c r="H1325" s="56" t="n"/>
      <c r="I1325" s="43" t="n"/>
      <c r="J1325" s="57">
        <f>IF(OR(A1325="",H1325=""),"",IF(COUNTIFS(exp_year,C1325,exp_month,D1325,exp_item,E1325,exp_status,"&lt;&gt;❌ Отменено")&gt;0,1,0))</f>
        <v/>
      </c>
    </row>
    <row r="1326">
      <c r="A1326" s="52" t="n"/>
      <c r="B1326" s="53">
        <f>IF(A1326="","",CHOOSE(WEEKDAY(A1326,2),"Пн","Вт","Ср","Чт","Пт","Сб","Вс"))</f>
        <v/>
      </c>
      <c r="C1326" s="53">
        <f>IF(A1326="","",YEAR(A1326))</f>
        <v/>
      </c>
      <c r="D1326" s="54">
        <f>IF(A1326="","",INDEX(lst_months,MONTH(A1326)))</f>
        <v/>
      </c>
      <c r="E1326" s="55" t="n"/>
      <c r="F1326" s="54">
        <f>IF(E1326="","",IFERROR(IF(INDEX(lst_exp_item_cat,MATCH(E1326,lst_exp_items,0))="","❔ Без категории",INDEX(lst_exp_item_cat,MATCH(E1326,lst_exp_items,0))),"❔ Без категории"))</f>
        <v/>
      </c>
      <c r="G1326" s="43" t="n"/>
      <c r="H1326" s="56" t="n"/>
      <c r="I1326" s="43" t="n"/>
      <c r="J1326" s="57">
        <f>IF(OR(A1326="",H1326=""),"",IF(COUNTIFS(exp_year,C1326,exp_month,D1326,exp_item,E1326,exp_status,"&lt;&gt;❌ Отменено")&gt;0,1,0))</f>
        <v/>
      </c>
    </row>
    <row r="1327">
      <c r="A1327" s="52" t="n"/>
      <c r="B1327" s="53">
        <f>IF(A1327="","",CHOOSE(WEEKDAY(A1327,2),"Пн","Вт","Ср","Чт","Пт","Сб","Вс"))</f>
        <v/>
      </c>
      <c r="C1327" s="53">
        <f>IF(A1327="","",YEAR(A1327))</f>
        <v/>
      </c>
      <c r="D1327" s="54">
        <f>IF(A1327="","",INDEX(lst_months,MONTH(A1327)))</f>
        <v/>
      </c>
      <c r="E1327" s="55" t="n"/>
      <c r="F1327" s="54">
        <f>IF(E1327="","",IFERROR(IF(INDEX(lst_exp_item_cat,MATCH(E1327,lst_exp_items,0))="","❔ Без категории",INDEX(lst_exp_item_cat,MATCH(E1327,lst_exp_items,0))),"❔ Без категории"))</f>
        <v/>
      </c>
      <c r="G1327" s="43" t="n"/>
      <c r="H1327" s="56" t="n"/>
      <c r="I1327" s="43" t="n"/>
      <c r="J1327" s="57">
        <f>IF(OR(A1327="",H1327=""),"",IF(COUNTIFS(exp_year,C1327,exp_month,D1327,exp_item,E1327,exp_status,"&lt;&gt;❌ Отменено")&gt;0,1,0))</f>
        <v/>
      </c>
    </row>
    <row r="1328">
      <c r="A1328" s="52" t="n"/>
      <c r="B1328" s="53">
        <f>IF(A1328="","",CHOOSE(WEEKDAY(A1328,2),"Пн","Вт","Ср","Чт","Пт","Сб","Вс"))</f>
        <v/>
      </c>
      <c r="C1328" s="53">
        <f>IF(A1328="","",YEAR(A1328))</f>
        <v/>
      </c>
      <c r="D1328" s="54">
        <f>IF(A1328="","",INDEX(lst_months,MONTH(A1328)))</f>
        <v/>
      </c>
      <c r="E1328" s="55" t="n"/>
      <c r="F1328" s="54">
        <f>IF(E1328="","",IFERROR(IF(INDEX(lst_exp_item_cat,MATCH(E1328,lst_exp_items,0))="","❔ Без категории",INDEX(lst_exp_item_cat,MATCH(E1328,lst_exp_items,0))),"❔ Без категории"))</f>
        <v/>
      </c>
      <c r="G1328" s="43" t="n"/>
      <c r="H1328" s="56" t="n"/>
      <c r="I1328" s="43" t="n"/>
      <c r="J1328" s="57">
        <f>IF(OR(A1328="",H1328=""),"",IF(COUNTIFS(exp_year,C1328,exp_month,D1328,exp_item,E1328,exp_status,"&lt;&gt;❌ Отменено")&gt;0,1,0))</f>
        <v/>
      </c>
    </row>
    <row r="1329">
      <c r="A1329" s="52" t="n"/>
      <c r="B1329" s="53">
        <f>IF(A1329="","",CHOOSE(WEEKDAY(A1329,2),"Пн","Вт","Ср","Чт","Пт","Сб","Вс"))</f>
        <v/>
      </c>
      <c r="C1329" s="53">
        <f>IF(A1329="","",YEAR(A1329))</f>
        <v/>
      </c>
      <c r="D1329" s="54">
        <f>IF(A1329="","",INDEX(lst_months,MONTH(A1329)))</f>
        <v/>
      </c>
      <c r="E1329" s="55" t="n"/>
      <c r="F1329" s="54">
        <f>IF(E1329="","",IFERROR(IF(INDEX(lst_exp_item_cat,MATCH(E1329,lst_exp_items,0))="","❔ Без категории",INDEX(lst_exp_item_cat,MATCH(E1329,lst_exp_items,0))),"❔ Без категории"))</f>
        <v/>
      </c>
      <c r="G1329" s="43" t="n"/>
      <c r="H1329" s="56" t="n"/>
      <c r="I1329" s="43" t="n"/>
      <c r="J1329" s="57">
        <f>IF(OR(A1329="",H1329=""),"",IF(COUNTIFS(exp_year,C1329,exp_month,D1329,exp_item,E1329,exp_status,"&lt;&gt;❌ Отменено")&gt;0,1,0))</f>
        <v/>
      </c>
    </row>
    <row r="1330">
      <c r="A1330" s="52" t="n"/>
      <c r="B1330" s="53">
        <f>IF(A1330="","",CHOOSE(WEEKDAY(A1330,2),"Пн","Вт","Ср","Чт","Пт","Сб","Вс"))</f>
        <v/>
      </c>
      <c r="C1330" s="53">
        <f>IF(A1330="","",YEAR(A1330))</f>
        <v/>
      </c>
      <c r="D1330" s="54">
        <f>IF(A1330="","",INDEX(lst_months,MONTH(A1330)))</f>
        <v/>
      </c>
      <c r="E1330" s="55" t="n"/>
      <c r="F1330" s="54">
        <f>IF(E1330="","",IFERROR(IF(INDEX(lst_exp_item_cat,MATCH(E1330,lst_exp_items,0))="","❔ Без категории",INDEX(lst_exp_item_cat,MATCH(E1330,lst_exp_items,0))),"❔ Без категории"))</f>
        <v/>
      </c>
      <c r="G1330" s="43" t="n"/>
      <c r="H1330" s="56" t="n"/>
      <c r="I1330" s="43" t="n"/>
      <c r="J1330" s="57">
        <f>IF(OR(A1330="",H1330=""),"",IF(COUNTIFS(exp_year,C1330,exp_month,D1330,exp_item,E1330,exp_status,"&lt;&gt;❌ Отменено")&gt;0,1,0))</f>
        <v/>
      </c>
    </row>
    <row r="1331">
      <c r="A1331" s="52" t="n"/>
      <c r="B1331" s="53">
        <f>IF(A1331="","",CHOOSE(WEEKDAY(A1331,2),"Пн","Вт","Ср","Чт","Пт","Сб","Вс"))</f>
        <v/>
      </c>
      <c r="C1331" s="53">
        <f>IF(A1331="","",YEAR(A1331))</f>
        <v/>
      </c>
      <c r="D1331" s="54">
        <f>IF(A1331="","",INDEX(lst_months,MONTH(A1331)))</f>
        <v/>
      </c>
      <c r="E1331" s="55" t="n"/>
      <c r="F1331" s="54">
        <f>IF(E1331="","",IFERROR(IF(INDEX(lst_exp_item_cat,MATCH(E1331,lst_exp_items,0))="","❔ Без категории",INDEX(lst_exp_item_cat,MATCH(E1331,lst_exp_items,0))),"❔ Без категории"))</f>
        <v/>
      </c>
      <c r="G1331" s="43" t="n"/>
      <c r="H1331" s="56" t="n"/>
      <c r="I1331" s="43" t="n"/>
      <c r="J1331" s="57">
        <f>IF(OR(A1331="",H1331=""),"",IF(COUNTIFS(exp_year,C1331,exp_month,D1331,exp_item,E1331,exp_status,"&lt;&gt;❌ Отменено")&gt;0,1,0))</f>
        <v/>
      </c>
    </row>
    <row r="1332">
      <c r="A1332" s="52" t="n"/>
      <c r="B1332" s="53">
        <f>IF(A1332="","",CHOOSE(WEEKDAY(A1332,2),"Пн","Вт","Ср","Чт","Пт","Сб","Вс"))</f>
        <v/>
      </c>
      <c r="C1332" s="53">
        <f>IF(A1332="","",YEAR(A1332))</f>
        <v/>
      </c>
      <c r="D1332" s="54">
        <f>IF(A1332="","",INDEX(lst_months,MONTH(A1332)))</f>
        <v/>
      </c>
      <c r="E1332" s="55" t="n"/>
      <c r="F1332" s="54">
        <f>IF(E1332="","",IFERROR(IF(INDEX(lst_exp_item_cat,MATCH(E1332,lst_exp_items,0))="","❔ Без категории",INDEX(lst_exp_item_cat,MATCH(E1332,lst_exp_items,0))),"❔ Без категории"))</f>
        <v/>
      </c>
      <c r="G1332" s="43" t="n"/>
      <c r="H1332" s="56" t="n"/>
      <c r="I1332" s="43" t="n"/>
      <c r="J1332" s="57">
        <f>IF(OR(A1332="",H1332=""),"",IF(COUNTIFS(exp_year,C1332,exp_month,D1332,exp_item,E1332,exp_status,"&lt;&gt;❌ Отменено")&gt;0,1,0))</f>
        <v/>
      </c>
    </row>
    <row r="1333">
      <c r="A1333" s="52" t="n"/>
      <c r="B1333" s="53">
        <f>IF(A1333="","",CHOOSE(WEEKDAY(A1333,2),"Пн","Вт","Ср","Чт","Пт","Сб","Вс"))</f>
        <v/>
      </c>
      <c r="C1333" s="53">
        <f>IF(A1333="","",YEAR(A1333))</f>
        <v/>
      </c>
      <c r="D1333" s="54">
        <f>IF(A1333="","",INDEX(lst_months,MONTH(A1333)))</f>
        <v/>
      </c>
      <c r="E1333" s="55" t="n"/>
      <c r="F1333" s="54">
        <f>IF(E1333="","",IFERROR(IF(INDEX(lst_exp_item_cat,MATCH(E1333,lst_exp_items,0))="","❔ Без категории",INDEX(lst_exp_item_cat,MATCH(E1333,lst_exp_items,0))),"❔ Без категории"))</f>
        <v/>
      </c>
      <c r="G1333" s="43" t="n"/>
      <c r="H1333" s="56" t="n"/>
      <c r="I1333" s="43" t="n"/>
      <c r="J1333" s="57">
        <f>IF(OR(A1333="",H1333=""),"",IF(COUNTIFS(exp_year,C1333,exp_month,D1333,exp_item,E1333,exp_status,"&lt;&gt;❌ Отменено")&gt;0,1,0))</f>
        <v/>
      </c>
    </row>
    <row r="1334">
      <c r="A1334" s="52" t="n"/>
      <c r="B1334" s="53">
        <f>IF(A1334="","",CHOOSE(WEEKDAY(A1334,2),"Пн","Вт","Ср","Чт","Пт","Сб","Вс"))</f>
        <v/>
      </c>
      <c r="C1334" s="53">
        <f>IF(A1334="","",YEAR(A1334))</f>
        <v/>
      </c>
      <c r="D1334" s="54">
        <f>IF(A1334="","",INDEX(lst_months,MONTH(A1334)))</f>
        <v/>
      </c>
      <c r="E1334" s="55" t="n"/>
      <c r="F1334" s="54">
        <f>IF(E1334="","",IFERROR(IF(INDEX(lst_exp_item_cat,MATCH(E1334,lst_exp_items,0))="","❔ Без категории",INDEX(lst_exp_item_cat,MATCH(E1334,lst_exp_items,0))),"❔ Без категории"))</f>
        <v/>
      </c>
      <c r="G1334" s="43" t="n"/>
      <c r="H1334" s="56" t="n"/>
      <c r="I1334" s="43" t="n"/>
      <c r="J1334" s="57">
        <f>IF(OR(A1334="",H1334=""),"",IF(COUNTIFS(exp_year,C1334,exp_month,D1334,exp_item,E1334,exp_status,"&lt;&gt;❌ Отменено")&gt;0,1,0))</f>
        <v/>
      </c>
    </row>
    <row r="1335">
      <c r="A1335" s="52" t="n"/>
      <c r="B1335" s="53">
        <f>IF(A1335="","",CHOOSE(WEEKDAY(A1335,2),"Пн","Вт","Ср","Чт","Пт","Сб","Вс"))</f>
        <v/>
      </c>
      <c r="C1335" s="53">
        <f>IF(A1335="","",YEAR(A1335))</f>
        <v/>
      </c>
      <c r="D1335" s="54">
        <f>IF(A1335="","",INDEX(lst_months,MONTH(A1335)))</f>
        <v/>
      </c>
      <c r="E1335" s="55" t="n"/>
      <c r="F1335" s="54">
        <f>IF(E1335="","",IFERROR(IF(INDEX(lst_exp_item_cat,MATCH(E1335,lst_exp_items,0))="","❔ Без категории",INDEX(lst_exp_item_cat,MATCH(E1335,lst_exp_items,0))),"❔ Без категории"))</f>
        <v/>
      </c>
      <c r="G1335" s="43" t="n"/>
      <c r="H1335" s="56" t="n"/>
      <c r="I1335" s="43" t="n"/>
      <c r="J1335" s="57">
        <f>IF(OR(A1335="",H1335=""),"",IF(COUNTIFS(exp_year,C1335,exp_month,D1335,exp_item,E1335,exp_status,"&lt;&gt;❌ Отменено")&gt;0,1,0))</f>
        <v/>
      </c>
    </row>
    <row r="1336">
      <c r="A1336" s="52" t="n"/>
      <c r="B1336" s="53">
        <f>IF(A1336="","",CHOOSE(WEEKDAY(A1336,2),"Пн","Вт","Ср","Чт","Пт","Сб","Вс"))</f>
        <v/>
      </c>
      <c r="C1336" s="53">
        <f>IF(A1336="","",YEAR(A1336))</f>
        <v/>
      </c>
      <c r="D1336" s="54">
        <f>IF(A1336="","",INDEX(lst_months,MONTH(A1336)))</f>
        <v/>
      </c>
      <c r="E1336" s="55" t="n"/>
      <c r="F1336" s="54">
        <f>IF(E1336="","",IFERROR(IF(INDEX(lst_exp_item_cat,MATCH(E1336,lst_exp_items,0))="","❔ Без категории",INDEX(lst_exp_item_cat,MATCH(E1336,lst_exp_items,0))),"❔ Без категории"))</f>
        <v/>
      </c>
      <c r="G1336" s="43" t="n"/>
      <c r="H1336" s="56" t="n"/>
      <c r="I1336" s="43" t="n"/>
      <c r="J1336" s="57">
        <f>IF(OR(A1336="",H1336=""),"",IF(COUNTIFS(exp_year,C1336,exp_month,D1336,exp_item,E1336,exp_status,"&lt;&gt;❌ Отменено")&gt;0,1,0))</f>
        <v/>
      </c>
    </row>
    <row r="1337">
      <c r="A1337" s="52" t="n"/>
      <c r="B1337" s="53">
        <f>IF(A1337="","",CHOOSE(WEEKDAY(A1337,2),"Пн","Вт","Ср","Чт","Пт","Сб","Вс"))</f>
        <v/>
      </c>
      <c r="C1337" s="53">
        <f>IF(A1337="","",YEAR(A1337))</f>
        <v/>
      </c>
      <c r="D1337" s="54">
        <f>IF(A1337="","",INDEX(lst_months,MONTH(A1337)))</f>
        <v/>
      </c>
      <c r="E1337" s="55" t="n"/>
      <c r="F1337" s="54">
        <f>IF(E1337="","",IFERROR(IF(INDEX(lst_exp_item_cat,MATCH(E1337,lst_exp_items,0))="","❔ Без категории",INDEX(lst_exp_item_cat,MATCH(E1337,lst_exp_items,0))),"❔ Без категории"))</f>
        <v/>
      </c>
      <c r="G1337" s="43" t="n"/>
      <c r="H1337" s="56" t="n"/>
      <c r="I1337" s="43" t="n"/>
      <c r="J1337" s="57">
        <f>IF(OR(A1337="",H1337=""),"",IF(COUNTIFS(exp_year,C1337,exp_month,D1337,exp_item,E1337,exp_status,"&lt;&gt;❌ Отменено")&gt;0,1,0))</f>
        <v/>
      </c>
    </row>
    <row r="1338">
      <c r="A1338" s="52" t="n"/>
      <c r="B1338" s="53">
        <f>IF(A1338="","",CHOOSE(WEEKDAY(A1338,2),"Пн","Вт","Ср","Чт","Пт","Сб","Вс"))</f>
        <v/>
      </c>
      <c r="C1338" s="53">
        <f>IF(A1338="","",YEAR(A1338))</f>
        <v/>
      </c>
      <c r="D1338" s="54">
        <f>IF(A1338="","",INDEX(lst_months,MONTH(A1338)))</f>
        <v/>
      </c>
      <c r="E1338" s="55" t="n"/>
      <c r="F1338" s="54">
        <f>IF(E1338="","",IFERROR(IF(INDEX(lst_exp_item_cat,MATCH(E1338,lst_exp_items,0))="","❔ Без категории",INDEX(lst_exp_item_cat,MATCH(E1338,lst_exp_items,0))),"❔ Без категории"))</f>
        <v/>
      </c>
      <c r="G1338" s="43" t="n"/>
      <c r="H1338" s="56" t="n"/>
      <c r="I1338" s="43" t="n"/>
      <c r="J1338" s="57">
        <f>IF(OR(A1338="",H1338=""),"",IF(COUNTIFS(exp_year,C1338,exp_month,D1338,exp_item,E1338,exp_status,"&lt;&gt;❌ Отменено")&gt;0,1,0))</f>
        <v/>
      </c>
    </row>
    <row r="1339">
      <c r="A1339" s="52" t="n"/>
      <c r="B1339" s="53">
        <f>IF(A1339="","",CHOOSE(WEEKDAY(A1339,2),"Пн","Вт","Ср","Чт","Пт","Сб","Вс"))</f>
        <v/>
      </c>
      <c r="C1339" s="53">
        <f>IF(A1339="","",YEAR(A1339))</f>
        <v/>
      </c>
      <c r="D1339" s="54">
        <f>IF(A1339="","",INDEX(lst_months,MONTH(A1339)))</f>
        <v/>
      </c>
      <c r="E1339" s="55" t="n"/>
      <c r="F1339" s="54">
        <f>IF(E1339="","",IFERROR(IF(INDEX(lst_exp_item_cat,MATCH(E1339,lst_exp_items,0))="","❔ Без категории",INDEX(lst_exp_item_cat,MATCH(E1339,lst_exp_items,0))),"❔ Без категории"))</f>
        <v/>
      </c>
      <c r="G1339" s="43" t="n"/>
      <c r="H1339" s="56" t="n"/>
      <c r="I1339" s="43" t="n"/>
      <c r="J1339" s="57">
        <f>IF(OR(A1339="",H1339=""),"",IF(COUNTIFS(exp_year,C1339,exp_month,D1339,exp_item,E1339,exp_status,"&lt;&gt;❌ Отменено")&gt;0,1,0))</f>
        <v/>
      </c>
    </row>
    <row r="1340">
      <c r="A1340" s="52" t="n"/>
      <c r="B1340" s="53">
        <f>IF(A1340="","",CHOOSE(WEEKDAY(A1340,2),"Пн","Вт","Ср","Чт","Пт","Сб","Вс"))</f>
        <v/>
      </c>
      <c r="C1340" s="53">
        <f>IF(A1340="","",YEAR(A1340))</f>
        <v/>
      </c>
      <c r="D1340" s="54">
        <f>IF(A1340="","",INDEX(lst_months,MONTH(A1340)))</f>
        <v/>
      </c>
      <c r="E1340" s="55" t="n"/>
      <c r="F1340" s="54">
        <f>IF(E1340="","",IFERROR(IF(INDEX(lst_exp_item_cat,MATCH(E1340,lst_exp_items,0))="","❔ Без категории",INDEX(lst_exp_item_cat,MATCH(E1340,lst_exp_items,0))),"❔ Без категории"))</f>
        <v/>
      </c>
      <c r="G1340" s="43" t="n"/>
      <c r="H1340" s="56" t="n"/>
      <c r="I1340" s="43" t="n"/>
      <c r="J1340" s="57">
        <f>IF(OR(A1340="",H1340=""),"",IF(COUNTIFS(exp_year,C1340,exp_month,D1340,exp_item,E1340,exp_status,"&lt;&gt;❌ Отменено")&gt;0,1,0))</f>
        <v/>
      </c>
    </row>
    <row r="1341">
      <c r="A1341" s="52" t="n"/>
      <c r="B1341" s="53">
        <f>IF(A1341="","",CHOOSE(WEEKDAY(A1341,2),"Пн","Вт","Ср","Чт","Пт","Сб","Вс"))</f>
        <v/>
      </c>
      <c r="C1341" s="53">
        <f>IF(A1341="","",YEAR(A1341))</f>
        <v/>
      </c>
      <c r="D1341" s="54">
        <f>IF(A1341="","",INDEX(lst_months,MONTH(A1341)))</f>
        <v/>
      </c>
      <c r="E1341" s="55" t="n"/>
      <c r="F1341" s="54">
        <f>IF(E1341="","",IFERROR(IF(INDEX(lst_exp_item_cat,MATCH(E1341,lst_exp_items,0))="","❔ Без категории",INDEX(lst_exp_item_cat,MATCH(E1341,lst_exp_items,0))),"❔ Без категории"))</f>
        <v/>
      </c>
      <c r="G1341" s="43" t="n"/>
      <c r="H1341" s="56" t="n"/>
      <c r="I1341" s="43" t="n"/>
      <c r="J1341" s="57">
        <f>IF(OR(A1341="",H1341=""),"",IF(COUNTIFS(exp_year,C1341,exp_month,D1341,exp_item,E1341,exp_status,"&lt;&gt;❌ Отменено")&gt;0,1,0))</f>
        <v/>
      </c>
    </row>
    <row r="1342">
      <c r="A1342" s="52" t="n"/>
      <c r="B1342" s="53">
        <f>IF(A1342="","",CHOOSE(WEEKDAY(A1342,2),"Пн","Вт","Ср","Чт","Пт","Сб","Вс"))</f>
        <v/>
      </c>
      <c r="C1342" s="53">
        <f>IF(A1342="","",YEAR(A1342))</f>
        <v/>
      </c>
      <c r="D1342" s="54">
        <f>IF(A1342="","",INDEX(lst_months,MONTH(A1342)))</f>
        <v/>
      </c>
      <c r="E1342" s="55" t="n"/>
      <c r="F1342" s="54">
        <f>IF(E1342="","",IFERROR(IF(INDEX(lst_exp_item_cat,MATCH(E1342,lst_exp_items,0))="","❔ Без категории",INDEX(lst_exp_item_cat,MATCH(E1342,lst_exp_items,0))),"❔ Без категории"))</f>
        <v/>
      </c>
      <c r="G1342" s="43" t="n"/>
      <c r="H1342" s="56" t="n"/>
      <c r="I1342" s="43" t="n"/>
      <c r="J1342" s="57">
        <f>IF(OR(A1342="",H1342=""),"",IF(COUNTIFS(exp_year,C1342,exp_month,D1342,exp_item,E1342,exp_status,"&lt;&gt;❌ Отменено")&gt;0,1,0))</f>
        <v/>
      </c>
    </row>
    <row r="1343">
      <c r="A1343" s="52" t="n"/>
      <c r="B1343" s="53">
        <f>IF(A1343="","",CHOOSE(WEEKDAY(A1343,2),"Пн","Вт","Ср","Чт","Пт","Сб","Вс"))</f>
        <v/>
      </c>
      <c r="C1343" s="53">
        <f>IF(A1343="","",YEAR(A1343))</f>
        <v/>
      </c>
      <c r="D1343" s="54">
        <f>IF(A1343="","",INDEX(lst_months,MONTH(A1343)))</f>
        <v/>
      </c>
      <c r="E1343" s="55" t="n"/>
      <c r="F1343" s="54">
        <f>IF(E1343="","",IFERROR(IF(INDEX(lst_exp_item_cat,MATCH(E1343,lst_exp_items,0))="","❔ Без категории",INDEX(lst_exp_item_cat,MATCH(E1343,lst_exp_items,0))),"❔ Без категории"))</f>
        <v/>
      </c>
      <c r="G1343" s="43" t="n"/>
      <c r="H1343" s="56" t="n"/>
      <c r="I1343" s="43" t="n"/>
      <c r="J1343" s="57">
        <f>IF(OR(A1343="",H1343=""),"",IF(COUNTIFS(exp_year,C1343,exp_month,D1343,exp_item,E1343,exp_status,"&lt;&gt;❌ Отменено")&gt;0,1,0))</f>
        <v/>
      </c>
    </row>
    <row r="1344">
      <c r="A1344" s="52" t="n"/>
      <c r="B1344" s="53">
        <f>IF(A1344="","",CHOOSE(WEEKDAY(A1344,2),"Пн","Вт","Ср","Чт","Пт","Сб","Вс"))</f>
        <v/>
      </c>
      <c r="C1344" s="53">
        <f>IF(A1344="","",YEAR(A1344))</f>
        <v/>
      </c>
      <c r="D1344" s="54">
        <f>IF(A1344="","",INDEX(lst_months,MONTH(A1344)))</f>
        <v/>
      </c>
      <c r="E1344" s="55" t="n"/>
      <c r="F1344" s="54">
        <f>IF(E1344="","",IFERROR(IF(INDEX(lst_exp_item_cat,MATCH(E1344,lst_exp_items,0))="","❔ Без категории",INDEX(lst_exp_item_cat,MATCH(E1344,lst_exp_items,0))),"❔ Без категории"))</f>
        <v/>
      </c>
      <c r="G1344" s="43" t="n"/>
      <c r="H1344" s="56" t="n"/>
      <c r="I1344" s="43" t="n"/>
      <c r="J1344" s="57">
        <f>IF(OR(A1344="",H1344=""),"",IF(COUNTIFS(exp_year,C1344,exp_month,D1344,exp_item,E1344,exp_status,"&lt;&gt;❌ Отменено")&gt;0,1,0))</f>
        <v/>
      </c>
    </row>
    <row r="1345">
      <c r="A1345" s="52" t="n"/>
      <c r="B1345" s="53">
        <f>IF(A1345="","",CHOOSE(WEEKDAY(A1345,2),"Пн","Вт","Ср","Чт","Пт","Сб","Вс"))</f>
        <v/>
      </c>
      <c r="C1345" s="53">
        <f>IF(A1345="","",YEAR(A1345))</f>
        <v/>
      </c>
      <c r="D1345" s="54">
        <f>IF(A1345="","",INDEX(lst_months,MONTH(A1345)))</f>
        <v/>
      </c>
      <c r="E1345" s="55" t="n"/>
      <c r="F1345" s="54">
        <f>IF(E1345="","",IFERROR(IF(INDEX(lst_exp_item_cat,MATCH(E1345,lst_exp_items,0))="","❔ Без категории",INDEX(lst_exp_item_cat,MATCH(E1345,lst_exp_items,0))),"❔ Без категории"))</f>
        <v/>
      </c>
      <c r="G1345" s="43" t="n"/>
      <c r="H1345" s="56" t="n"/>
      <c r="I1345" s="43" t="n"/>
      <c r="J1345" s="57">
        <f>IF(OR(A1345="",H1345=""),"",IF(COUNTIFS(exp_year,C1345,exp_month,D1345,exp_item,E1345,exp_status,"&lt;&gt;❌ Отменено")&gt;0,1,0))</f>
        <v/>
      </c>
    </row>
    <row r="1346">
      <c r="A1346" s="52" t="n"/>
      <c r="B1346" s="53">
        <f>IF(A1346="","",CHOOSE(WEEKDAY(A1346,2),"Пн","Вт","Ср","Чт","Пт","Сб","Вс"))</f>
        <v/>
      </c>
      <c r="C1346" s="53">
        <f>IF(A1346="","",YEAR(A1346))</f>
        <v/>
      </c>
      <c r="D1346" s="54">
        <f>IF(A1346="","",INDEX(lst_months,MONTH(A1346)))</f>
        <v/>
      </c>
      <c r="E1346" s="55" t="n"/>
      <c r="F1346" s="54">
        <f>IF(E1346="","",IFERROR(IF(INDEX(lst_exp_item_cat,MATCH(E1346,lst_exp_items,0))="","❔ Без категории",INDEX(lst_exp_item_cat,MATCH(E1346,lst_exp_items,0))),"❔ Без категории"))</f>
        <v/>
      </c>
      <c r="G1346" s="43" t="n"/>
      <c r="H1346" s="56" t="n"/>
      <c r="I1346" s="43" t="n"/>
      <c r="J1346" s="57">
        <f>IF(OR(A1346="",H1346=""),"",IF(COUNTIFS(exp_year,C1346,exp_month,D1346,exp_item,E1346,exp_status,"&lt;&gt;❌ Отменено")&gt;0,1,0))</f>
        <v/>
      </c>
    </row>
    <row r="1347">
      <c r="A1347" s="52" t="n"/>
      <c r="B1347" s="53">
        <f>IF(A1347="","",CHOOSE(WEEKDAY(A1347,2),"Пн","Вт","Ср","Чт","Пт","Сб","Вс"))</f>
        <v/>
      </c>
      <c r="C1347" s="53">
        <f>IF(A1347="","",YEAR(A1347))</f>
        <v/>
      </c>
      <c r="D1347" s="54">
        <f>IF(A1347="","",INDEX(lst_months,MONTH(A1347)))</f>
        <v/>
      </c>
      <c r="E1347" s="55" t="n"/>
      <c r="F1347" s="54">
        <f>IF(E1347="","",IFERROR(IF(INDEX(lst_exp_item_cat,MATCH(E1347,lst_exp_items,0))="","❔ Без категории",INDEX(lst_exp_item_cat,MATCH(E1347,lst_exp_items,0))),"❔ Без категории"))</f>
        <v/>
      </c>
      <c r="G1347" s="43" t="n"/>
      <c r="H1347" s="56" t="n"/>
      <c r="I1347" s="43" t="n"/>
      <c r="J1347" s="57">
        <f>IF(OR(A1347="",H1347=""),"",IF(COUNTIFS(exp_year,C1347,exp_month,D1347,exp_item,E1347,exp_status,"&lt;&gt;❌ Отменено")&gt;0,1,0))</f>
        <v/>
      </c>
    </row>
    <row r="1348">
      <c r="A1348" s="52" t="n"/>
      <c r="B1348" s="53">
        <f>IF(A1348="","",CHOOSE(WEEKDAY(A1348,2),"Пн","Вт","Ср","Чт","Пт","Сб","Вс"))</f>
        <v/>
      </c>
      <c r="C1348" s="53">
        <f>IF(A1348="","",YEAR(A1348))</f>
        <v/>
      </c>
      <c r="D1348" s="54">
        <f>IF(A1348="","",INDEX(lst_months,MONTH(A1348)))</f>
        <v/>
      </c>
      <c r="E1348" s="55" t="n"/>
      <c r="F1348" s="54">
        <f>IF(E1348="","",IFERROR(IF(INDEX(lst_exp_item_cat,MATCH(E1348,lst_exp_items,0))="","❔ Без категории",INDEX(lst_exp_item_cat,MATCH(E1348,lst_exp_items,0))),"❔ Без категории"))</f>
        <v/>
      </c>
      <c r="G1348" s="43" t="n"/>
      <c r="H1348" s="56" t="n"/>
      <c r="I1348" s="43" t="n"/>
      <c r="J1348" s="57">
        <f>IF(OR(A1348="",H1348=""),"",IF(COUNTIFS(exp_year,C1348,exp_month,D1348,exp_item,E1348,exp_status,"&lt;&gt;❌ Отменено")&gt;0,1,0))</f>
        <v/>
      </c>
    </row>
    <row r="1349">
      <c r="A1349" s="52" t="n"/>
      <c r="B1349" s="53">
        <f>IF(A1349="","",CHOOSE(WEEKDAY(A1349,2),"Пн","Вт","Ср","Чт","Пт","Сб","Вс"))</f>
        <v/>
      </c>
      <c r="C1349" s="53">
        <f>IF(A1349="","",YEAR(A1349))</f>
        <v/>
      </c>
      <c r="D1349" s="54">
        <f>IF(A1349="","",INDEX(lst_months,MONTH(A1349)))</f>
        <v/>
      </c>
      <c r="E1349" s="55" t="n"/>
      <c r="F1349" s="54">
        <f>IF(E1349="","",IFERROR(IF(INDEX(lst_exp_item_cat,MATCH(E1349,lst_exp_items,0))="","❔ Без категории",INDEX(lst_exp_item_cat,MATCH(E1349,lst_exp_items,0))),"❔ Без категории"))</f>
        <v/>
      </c>
      <c r="G1349" s="43" t="n"/>
      <c r="H1349" s="56" t="n"/>
      <c r="I1349" s="43" t="n"/>
      <c r="J1349" s="57">
        <f>IF(OR(A1349="",H1349=""),"",IF(COUNTIFS(exp_year,C1349,exp_month,D1349,exp_item,E1349,exp_status,"&lt;&gt;❌ Отменено")&gt;0,1,0))</f>
        <v/>
      </c>
    </row>
    <row r="1350">
      <c r="A1350" s="52" t="n"/>
      <c r="B1350" s="53">
        <f>IF(A1350="","",CHOOSE(WEEKDAY(A1350,2),"Пн","Вт","Ср","Чт","Пт","Сб","Вс"))</f>
        <v/>
      </c>
      <c r="C1350" s="53">
        <f>IF(A1350="","",YEAR(A1350))</f>
        <v/>
      </c>
      <c r="D1350" s="54">
        <f>IF(A1350="","",INDEX(lst_months,MONTH(A1350)))</f>
        <v/>
      </c>
      <c r="E1350" s="55" t="n"/>
      <c r="F1350" s="54">
        <f>IF(E1350="","",IFERROR(IF(INDEX(lst_exp_item_cat,MATCH(E1350,lst_exp_items,0))="","❔ Без категории",INDEX(lst_exp_item_cat,MATCH(E1350,lst_exp_items,0))),"❔ Без категории"))</f>
        <v/>
      </c>
      <c r="G1350" s="43" t="n"/>
      <c r="H1350" s="56" t="n"/>
      <c r="I1350" s="43" t="n"/>
      <c r="J1350" s="57">
        <f>IF(OR(A1350="",H1350=""),"",IF(COUNTIFS(exp_year,C1350,exp_month,D1350,exp_item,E1350,exp_status,"&lt;&gt;❌ Отменено")&gt;0,1,0))</f>
        <v/>
      </c>
    </row>
    <row r="1351">
      <c r="A1351" s="52" t="n"/>
      <c r="B1351" s="53">
        <f>IF(A1351="","",CHOOSE(WEEKDAY(A1351,2),"Пн","Вт","Ср","Чт","Пт","Сб","Вс"))</f>
        <v/>
      </c>
      <c r="C1351" s="53">
        <f>IF(A1351="","",YEAR(A1351))</f>
        <v/>
      </c>
      <c r="D1351" s="54">
        <f>IF(A1351="","",INDEX(lst_months,MONTH(A1351)))</f>
        <v/>
      </c>
      <c r="E1351" s="55" t="n"/>
      <c r="F1351" s="54">
        <f>IF(E1351="","",IFERROR(IF(INDEX(lst_exp_item_cat,MATCH(E1351,lst_exp_items,0))="","❔ Без категории",INDEX(lst_exp_item_cat,MATCH(E1351,lst_exp_items,0))),"❔ Без категории"))</f>
        <v/>
      </c>
      <c r="G1351" s="43" t="n"/>
      <c r="H1351" s="56" t="n"/>
      <c r="I1351" s="43" t="n"/>
      <c r="J1351" s="57">
        <f>IF(OR(A1351="",H1351=""),"",IF(COUNTIFS(exp_year,C1351,exp_month,D1351,exp_item,E1351,exp_status,"&lt;&gt;❌ Отменено")&gt;0,1,0))</f>
        <v/>
      </c>
    </row>
    <row r="1352">
      <c r="A1352" s="52" t="n"/>
      <c r="B1352" s="53">
        <f>IF(A1352="","",CHOOSE(WEEKDAY(A1352,2),"Пн","Вт","Ср","Чт","Пт","Сб","Вс"))</f>
        <v/>
      </c>
      <c r="C1352" s="53">
        <f>IF(A1352="","",YEAR(A1352))</f>
        <v/>
      </c>
      <c r="D1352" s="54">
        <f>IF(A1352="","",INDEX(lst_months,MONTH(A1352)))</f>
        <v/>
      </c>
      <c r="E1352" s="55" t="n"/>
      <c r="F1352" s="54">
        <f>IF(E1352="","",IFERROR(IF(INDEX(lst_exp_item_cat,MATCH(E1352,lst_exp_items,0))="","❔ Без категории",INDEX(lst_exp_item_cat,MATCH(E1352,lst_exp_items,0))),"❔ Без категории"))</f>
        <v/>
      </c>
      <c r="G1352" s="43" t="n"/>
      <c r="H1352" s="56" t="n"/>
      <c r="I1352" s="43" t="n"/>
      <c r="J1352" s="57">
        <f>IF(OR(A1352="",H1352=""),"",IF(COUNTIFS(exp_year,C1352,exp_month,D1352,exp_item,E1352,exp_status,"&lt;&gt;❌ Отменено")&gt;0,1,0))</f>
        <v/>
      </c>
    </row>
    <row r="1353">
      <c r="A1353" s="52" t="n"/>
      <c r="B1353" s="53">
        <f>IF(A1353="","",CHOOSE(WEEKDAY(A1353,2),"Пн","Вт","Ср","Чт","Пт","Сб","Вс"))</f>
        <v/>
      </c>
      <c r="C1353" s="53">
        <f>IF(A1353="","",YEAR(A1353))</f>
        <v/>
      </c>
      <c r="D1353" s="54">
        <f>IF(A1353="","",INDEX(lst_months,MONTH(A1353)))</f>
        <v/>
      </c>
      <c r="E1353" s="55" t="n"/>
      <c r="F1353" s="54">
        <f>IF(E1353="","",IFERROR(IF(INDEX(lst_exp_item_cat,MATCH(E1353,lst_exp_items,0))="","❔ Без категории",INDEX(lst_exp_item_cat,MATCH(E1353,lst_exp_items,0))),"❔ Без категории"))</f>
        <v/>
      </c>
      <c r="G1353" s="43" t="n"/>
      <c r="H1353" s="56" t="n"/>
      <c r="I1353" s="43" t="n"/>
      <c r="J1353" s="57">
        <f>IF(OR(A1353="",H1353=""),"",IF(COUNTIFS(exp_year,C1353,exp_month,D1353,exp_item,E1353,exp_status,"&lt;&gt;❌ Отменено")&gt;0,1,0))</f>
        <v/>
      </c>
    </row>
    <row r="1354">
      <c r="A1354" s="52" t="n"/>
      <c r="B1354" s="53">
        <f>IF(A1354="","",CHOOSE(WEEKDAY(A1354,2),"Пн","Вт","Ср","Чт","Пт","Сб","Вс"))</f>
        <v/>
      </c>
      <c r="C1354" s="53">
        <f>IF(A1354="","",YEAR(A1354))</f>
        <v/>
      </c>
      <c r="D1354" s="54">
        <f>IF(A1354="","",INDEX(lst_months,MONTH(A1354)))</f>
        <v/>
      </c>
      <c r="E1354" s="55" t="n"/>
      <c r="F1354" s="54">
        <f>IF(E1354="","",IFERROR(IF(INDEX(lst_exp_item_cat,MATCH(E1354,lst_exp_items,0))="","❔ Без категории",INDEX(lst_exp_item_cat,MATCH(E1354,lst_exp_items,0))),"❔ Без категории"))</f>
        <v/>
      </c>
      <c r="G1354" s="43" t="n"/>
      <c r="H1354" s="56" t="n"/>
      <c r="I1354" s="43" t="n"/>
      <c r="J1354" s="57">
        <f>IF(OR(A1354="",H1354=""),"",IF(COUNTIFS(exp_year,C1354,exp_month,D1354,exp_item,E1354,exp_status,"&lt;&gt;❌ Отменено")&gt;0,1,0))</f>
        <v/>
      </c>
    </row>
    <row r="1355">
      <c r="A1355" s="52" t="n"/>
      <c r="B1355" s="53">
        <f>IF(A1355="","",CHOOSE(WEEKDAY(A1355,2),"Пн","Вт","Ср","Чт","Пт","Сб","Вс"))</f>
        <v/>
      </c>
      <c r="C1355" s="53">
        <f>IF(A1355="","",YEAR(A1355))</f>
        <v/>
      </c>
      <c r="D1355" s="54">
        <f>IF(A1355="","",INDEX(lst_months,MONTH(A1355)))</f>
        <v/>
      </c>
      <c r="E1355" s="55" t="n"/>
      <c r="F1355" s="54">
        <f>IF(E1355="","",IFERROR(IF(INDEX(lst_exp_item_cat,MATCH(E1355,lst_exp_items,0))="","❔ Без категории",INDEX(lst_exp_item_cat,MATCH(E1355,lst_exp_items,0))),"❔ Без категории"))</f>
        <v/>
      </c>
      <c r="G1355" s="43" t="n"/>
      <c r="H1355" s="56" t="n"/>
      <c r="I1355" s="43" t="n"/>
      <c r="J1355" s="57">
        <f>IF(OR(A1355="",H1355=""),"",IF(COUNTIFS(exp_year,C1355,exp_month,D1355,exp_item,E1355,exp_status,"&lt;&gt;❌ Отменено")&gt;0,1,0))</f>
        <v/>
      </c>
    </row>
    <row r="1356">
      <c r="A1356" s="52" t="n"/>
      <c r="B1356" s="53">
        <f>IF(A1356="","",CHOOSE(WEEKDAY(A1356,2),"Пн","Вт","Ср","Чт","Пт","Сб","Вс"))</f>
        <v/>
      </c>
      <c r="C1356" s="53">
        <f>IF(A1356="","",YEAR(A1356))</f>
        <v/>
      </c>
      <c r="D1356" s="54">
        <f>IF(A1356="","",INDEX(lst_months,MONTH(A1356)))</f>
        <v/>
      </c>
      <c r="E1356" s="55" t="n"/>
      <c r="F1356" s="54">
        <f>IF(E1356="","",IFERROR(IF(INDEX(lst_exp_item_cat,MATCH(E1356,lst_exp_items,0))="","❔ Без категории",INDEX(lst_exp_item_cat,MATCH(E1356,lst_exp_items,0))),"❔ Без категории"))</f>
        <v/>
      </c>
      <c r="G1356" s="43" t="n"/>
      <c r="H1356" s="56" t="n"/>
      <c r="I1356" s="43" t="n"/>
      <c r="J1356" s="57">
        <f>IF(OR(A1356="",H1356=""),"",IF(COUNTIFS(exp_year,C1356,exp_month,D1356,exp_item,E1356,exp_status,"&lt;&gt;❌ Отменено")&gt;0,1,0))</f>
        <v/>
      </c>
    </row>
    <row r="1357">
      <c r="A1357" s="52" t="n"/>
      <c r="B1357" s="53">
        <f>IF(A1357="","",CHOOSE(WEEKDAY(A1357,2),"Пн","Вт","Ср","Чт","Пт","Сб","Вс"))</f>
        <v/>
      </c>
      <c r="C1357" s="53">
        <f>IF(A1357="","",YEAR(A1357))</f>
        <v/>
      </c>
      <c r="D1357" s="54">
        <f>IF(A1357="","",INDEX(lst_months,MONTH(A1357)))</f>
        <v/>
      </c>
      <c r="E1357" s="55" t="n"/>
      <c r="F1357" s="54">
        <f>IF(E1357="","",IFERROR(IF(INDEX(lst_exp_item_cat,MATCH(E1357,lst_exp_items,0))="","❔ Без категории",INDEX(lst_exp_item_cat,MATCH(E1357,lst_exp_items,0))),"❔ Без категории"))</f>
        <v/>
      </c>
      <c r="G1357" s="43" t="n"/>
      <c r="H1357" s="56" t="n"/>
      <c r="I1357" s="43" t="n"/>
      <c r="J1357" s="57">
        <f>IF(OR(A1357="",H1357=""),"",IF(COUNTIFS(exp_year,C1357,exp_month,D1357,exp_item,E1357,exp_status,"&lt;&gt;❌ Отменено")&gt;0,1,0))</f>
        <v/>
      </c>
    </row>
    <row r="1358">
      <c r="A1358" s="52" t="n"/>
      <c r="B1358" s="53">
        <f>IF(A1358="","",CHOOSE(WEEKDAY(A1358,2),"Пн","Вт","Ср","Чт","Пт","Сб","Вс"))</f>
        <v/>
      </c>
      <c r="C1358" s="53">
        <f>IF(A1358="","",YEAR(A1358))</f>
        <v/>
      </c>
      <c r="D1358" s="54">
        <f>IF(A1358="","",INDEX(lst_months,MONTH(A1358)))</f>
        <v/>
      </c>
      <c r="E1358" s="55" t="n"/>
      <c r="F1358" s="54">
        <f>IF(E1358="","",IFERROR(IF(INDEX(lst_exp_item_cat,MATCH(E1358,lst_exp_items,0))="","❔ Без категории",INDEX(lst_exp_item_cat,MATCH(E1358,lst_exp_items,0))),"❔ Без категории"))</f>
        <v/>
      </c>
      <c r="G1358" s="43" t="n"/>
      <c r="H1358" s="56" t="n"/>
      <c r="I1358" s="43" t="n"/>
      <c r="J1358" s="57">
        <f>IF(OR(A1358="",H1358=""),"",IF(COUNTIFS(exp_year,C1358,exp_month,D1358,exp_item,E1358,exp_status,"&lt;&gt;❌ Отменено")&gt;0,1,0))</f>
        <v/>
      </c>
    </row>
    <row r="1359">
      <c r="A1359" s="52" t="n"/>
      <c r="B1359" s="53">
        <f>IF(A1359="","",CHOOSE(WEEKDAY(A1359,2),"Пн","Вт","Ср","Чт","Пт","Сб","Вс"))</f>
        <v/>
      </c>
      <c r="C1359" s="53">
        <f>IF(A1359="","",YEAR(A1359))</f>
        <v/>
      </c>
      <c r="D1359" s="54">
        <f>IF(A1359="","",INDEX(lst_months,MONTH(A1359)))</f>
        <v/>
      </c>
      <c r="E1359" s="55" t="n"/>
      <c r="F1359" s="54">
        <f>IF(E1359="","",IFERROR(IF(INDEX(lst_exp_item_cat,MATCH(E1359,lst_exp_items,0))="","❔ Без категории",INDEX(lst_exp_item_cat,MATCH(E1359,lst_exp_items,0))),"❔ Без категории"))</f>
        <v/>
      </c>
      <c r="G1359" s="43" t="n"/>
      <c r="H1359" s="56" t="n"/>
      <c r="I1359" s="43" t="n"/>
      <c r="J1359" s="57">
        <f>IF(OR(A1359="",H1359=""),"",IF(COUNTIFS(exp_year,C1359,exp_month,D1359,exp_item,E1359,exp_status,"&lt;&gt;❌ Отменено")&gt;0,1,0))</f>
        <v/>
      </c>
    </row>
    <row r="1360">
      <c r="A1360" s="52" t="n"/>
      <c r="B1360" s="53">
        <f>IF(A1360="","",CHOOSE(WEEKDAY(A1360,2),"Пн","Вт","Ср","Чт","Пт","Сб","Вс"))</f>
        <v/>
      </c>
      <c r="C1360" s="53">
        <f>IF(A1360="","",YEAR(A1360))</f>
        <v/>
      </c>
      <c r="D1360" s="54">
        <f>IF(A1360="","",INDEX(lst_months,MONTH(A1360)))</f>
        <v/>
      </c>
      <c r="E1360" s="55" t="n"/>
      <c r="F1360" s="54">
        <f>IF(E1360="","",IFERROR(IF(INDEX(lst_exp_item_cat,MATCH(E1360,lst_exp_items,0))="","❔ Без категории",INDEX(lst_exp_item_cat,MATCH(E1360,lst_exp_items,0))),"❔ Без категории"))</f>
        <v/>
      </c>
      <c r="G1360" s="43" t="n"/>
      <c r="H1360" s="56" t="n"/>
      <c r="I1360" s="43" t="n"/>
      <c r="J1360" s="57">
        <f>IF(OR(A1360="",H1360=""),"",IF(COUNTIFS(exp_year,C1360,exp_month,D1360,exp_item,E1360,exp_status,"&lt;&gt;❌ Отменено")&gt;0,1,0))</f>
        <v/>
      </c>
    </row>
    <row r="1361">
      <c r="A1361" s="52" t="n"/>
      <c r="B1361" s="53">
        <f>IF(A1361="","",CHOOSE(WEEKDAY(A1361,2),"Пн","Вт","Ср","Чт","Пт","Сб","Вс"))</f>
        <v/>
      </c>
      <c r="C1361" s="53">
        <f>IF(A1361="","",YEAR(A1361))</f>
        <v/>
      </c>
      <c r="D1361" s="54">
        <f>IF(A1361="","",INDEX(lst_months,MONTH(A1361)))</f>
        <v/>
      </c>
      <c r="E1361" s="55" t="n"/>
      <c r="F1361" s="54">
        <f>IF(E1361="","",IFERROR(IF(INDEX(lst_exp_item_cat,MATCH(E1361,lst_exp_items,0))="","❔ Без категории",INDEX(lst_exp_item_cat,MATCH(E1361,lst_exp_items,0))),"❔ Без категории"))</f>
        <v/>
      </c>
      <c r="G1361" s="43" t="n"/>
      <c r="H1361" s="56" t="n"/>
      <c r="I1361" s="43" t="n"/>
      <c r="J1361" s="57">
        <f>IF(OR(A1361="",H1361=""),"",IF(COUNTIFS(exp_year,C1361,exp_month,D1361,exp_item,E1361,exp_status,"&lt;&gt;❌ Отменено")&gt;0,1,0))</f>
        <v/>
      </c>
    </row>
    <row r="1362">
      <c r="A1362" s="52" t="n"/>
      <c r="B1362" s="53">
        <f>IF(A1362="","",CHOOSE(WEEKDAY(A1362,2),"Пн","Вт","Ср","Чт","Пт","Сб","Вс"))</f>
        <v/>
      </c>
      <c r="C1362" s="53">
        <f>IF(A1362="","",YEAR(A1362))</f>
        <v/>
      </c>
      <c r="D1362" s="54">
        <f>IF(A1362="","",INDEX(lst_months,MONTH(A1362)))</f>
        <v/>
      </c>
      <c r="E1362" s="55" t="n"/>
      <c r="F1362" s="54">
        <f>IF(E1362="","",IFERROR(IF(INDEX(lst_exp_item_cat,MATCH(E1362,lst_exp_items,0))="","❔ Без категории",INDEX(lst_exp_item_cat,MATCH(E1362,lst_exp_items,0))),"❔ Без категории"))</f>
        <v/>
      </c>
      <c r="G1362" s="43" t="n"/>
      <c r="H1362" s="56" t="n"/>
      <c r="I1362" s="43" t="n"/>
      <c r="J1362" s="57">
        <f>IF(OR(A1362="",H1362=""),"",IF(COUNTIFS(exp_year,C1362,exp_month,D1362,exp_item,E1362,exp_status,"&lt;&gt;❌ Отменено")&gt;0,1,0))</f>
        <v/>
      </c>
    </row>
    <row r="1363">
      <c r="A1363" s="52" t="n"/>
      <c r="B1363" s="53">
        <f>IF(A1363="","",CHOOSE(WEEKDAY(A1363,2),"Пн","Вт","Ср","Чт","Пт","Сб","Вс"))</f>
        <v/>
      </c>
      <c r="C1363" s="53">
        <f>IF(A1363="","",YEAR(A1363))</f>
        <v/>
      </c>
      <c r="D1363" s="54">
        <f>IF(A1363="","",INDEX(lst_months,MONTH(A1363)))</f>
        <v/>
      </c>
      <c r="E1363" s="55" t="n"/>
      <c r="F1363" s="54">
        <f>IF(E1363="","",IFERROR(IF(INDEX(lst_exp_item_cat,MATCH(E1363,lst_exp_items,0))="","❔ Без категории",INDEX(lst_exp_item_cat,MATCH(E1363,lst_exp_items,0))),"❔ Без категории"))</f>
        <v/>
      </c>
      <c r="G1363" s="43" t="n"/>
      <c r="H1363" s="56" t="n"/>
      <c r="I1363" s="43" t="n"/>
      <c r="J1363" s="57">
        <f>IF(OR(A1363="",H1363=""),"",IF(COUNTIFS(exp_year,C1363,exp_month,D1363,exp_item,E1363,exp_status,"&lt;&gt;❌ Отменено")&gt;0,1,0))</f>
        <v/>
      </c>
    </row>
    <row r="1364">
      <c r="A1364" s="52" t="n"/>
      <c r="B1364" s="53">
        <f>IF(A1364="","",CHOOSE(WEEKDAY(A1364,2),"Пн","Вт","Ср","Чт","Пт","Сб","Вс"))</f>
        <v/>
      </c>
      <c r="C1364" s="53">
        <f>IF(A1364="","",YEAR(A1364))</f>
        <v/>
      </c>
      <c r="D1364" s="54">
        <f>IF(A1364="","",INDEX(lst_months,MONTH(A1364)))</f>
        <v/>
      </c>
      <c r="E1364" s="55" t="n"/>
      <c r="F1364" s="54">
        <f>IF(E1364="","",IFERROR(IF(INDEX(lst_exp_item_cat,MATCH(E1364,lst_exp_items,0))="","❔ Без категории",INDEX(lst_exp_item_cat,MATCH(E1364,lst_exp_items,0))),"❔ Без категории"))</f>
        <v/>
      </c>
      <c r="G1364" s="43" t="n"/>
      <c r="H1364" s="56" t="n"/>
      <c r="I1364" s="43" t="n"/>
      <c r="J1364" s="57">
        <f>IF(OR(A1364="",H1364=""),"",IF(COUNTIFS(exp_year,C1364,exp_month,D1364,exp_item,E1364,exp_status,"&lt;&gt;❌ Отменено")&gt;0,1,0))</f>
        <v/>
      </c>
    </row>
    <row r="1365">
      <c r="A1365" s="52" t="n"/>
      <c r="B1365" s="53">
        <f>IF(A1365="","",CHOOSE(WEEKDAY(A1365,2),"Пн","Вт","Ср","Чт","Пт","Сб","Вс"))</f>
        <v/>
      </c>
      <c r="C1365" s="53">
        <f>IF(A1365="","",YEAR(A1365))</f>
        <v/>
      </c>
      <c r="D1365" s="54">
        <f>IF(A1365="","",INDEX(lst_months,MONTH(A1365)))</f>
        <v/>
      </c>
      <c r="E1365" s="55" t="n"/>
      <c r="F1365" s="54">
        <f>IF(E1365="","",IFERROR(IF(INDEX(lst_exp_item_cat,MATCH(E1365,lst_exp_items,0))="","❔ Без категории",INDEX(lst_exp_item_cat,MATCH(E1365,lst_exp_items,0))),"❔ Без категории"))</f>
        <v/>
      </c>
      <c r="G1365" s="43" t="n"/>
      <c r="H1365" s="56" t="n"/>
      <c r="I1365" s="43" t="n"/>
      <c r="J1365" s="57">
        <f>IF(OR(A1365="",H1365=""),"",IF(COUNTIFS(exp_year,C1365,exp_month,D1365,exp_item,E1365,exp_status,"&lt;&gt;❌ Отменено")&gt;0,1,0))</f>
        <v/>
      </c>
    </row>
    <row r="1366">
      <c r="A1366" s="52" t="n"/>
      <c r="B1366" s="53">
        <f>IF(A1366="","",CHOOSE(WEEKDAY(A1366,2),"Пн","Вт","Ср","Чт","Пт","Сб","Вс"))</f>
        <v/>
      </c>
      <c r="C1366" s="53">
        <f>IF(A1366="","",YEAR(A1366))</f>
        <v/>
      </c>
      <c r="D1366" s="54">
        <f>IF(A1366="","",INDEX(lst_months,MONTH(A1366)))</f>
        <v/>
      </c>
      <c r="E1366" s="55" t="n"/>
      <c r="F1366" s="54">
        <f>IF(E1366="","",IFERROR(IF(INDEX(lst_exp_item_cat,MATCH(E1366,lst_exp_items,0))="","❔ Без категории",INDEX(lst_exp_item_cat,MATCH(E1366,lst_exp_items,0))),"❔ Без категории"))</f>
        <v/>
      </c>
      <c r="G1366" s="43" t="n"/>
      <c r="H1366" s="56" t="n"/>
      <c r="I1366" s="43" t="n"/>
      <c r="J1366" s="57">
        <f>IF(OR(A1366="",H1366=""),"",IF(COUNTIFS(exp_year,C1366,exp_month,D1366,exp_item,E1366,exp_status,"&lt;&gt;❌ Отменено")&gt;0,1,0))</f>
        <v/>
      </c>
    </row>
    <row r="1367">
      <c r="A1367" s="52" t="n"/>
      <c r="B1367" s="53">
        <f>IF(A1367="","",CHOOSE(WEEKDAY(A1367,2),"Пн","Вт","Ср","Чт","Пт","Сб","Вс"))</f>
        <v/>
      </c>
      <c r="C1367" s="53">
        <f>IF(A1367="","",YEAR(A1367))</f>
        <v/>
      </c>
      <c r="D1367" s="54">
        <f>IF(A1367="","",INDEX(lst_months,MONTH(A1367)))</f>
        <v/>
      </c>
      <c r="E1367" s="55" t="n"/>
      <c r="F1367" s="54">
        <f>IF(E1367="","",IFERROR(IF(INDEX(lst_exp_item_cat,MATCH(E1367,lst_exp_items,0))="","❔ Без категории",INDEX(lst_exp_item_cat,MATCH(E1367,lst_exp_items,0))),"❔ Без категории"))</f>
        <v/>
      </c>
      <c r="G1367" s="43" t="n"/>
      <c r="H1367" s="56" t="n"/>
      <c r="I1367" s="43" t="n"/>
      <c r="J1367" s="57">
        <f>IF(OR(A1367="",H1367=""),"",IF(COUNTIFS(exp_year,C1367,exp_month,D1367,exp_item,E1367,exp_status,"&lt;&gt;❌ Отменено")&gt;0,1,0))</f>
        <v/>
      </c>
    </row>
    <row r="1368">
      <c r="A1368" s="52" t="n"/>
      <c r="B1368" s="53">
        <f>IF(A1368="","",CHOOSE(WEEKDAY(A1368,2),"Пн","Вт","Ср","Чт","Пт","Сб","Вс"))</f>
        <v/>
      </c>
      <c r="C1368" s="53">
        <f>IF(A1368="","",YEAR(A1368))</f>
        <v/>
      </c>
      <c r="D1368" s="54">
        <f>IF(A1368="","",INDEX(lst_months,MONTH(A1368)))</f>
        <v/>
      </c>
      <c r="E1368" s="55" t="n"/>
      <c r="F1368" s="54">
        <f>IF(E1368="","",IFERROR(IF(INDEX(lst_exp_item_cat,MATCH(E1368,lst_exp_items,0))="","❔ Без категории",INDEX(lst_exp_item_cat,MATCH(E1368,lst_exp_items,0))),"❔ Без категории"))</f>
        <v/>
      </c>
      <c r="G1368" s="43" t="n"/>
      <c r="H1368" s="56" t="n"/>
      <c r="I1368" s="43" t="n"/>
      <c r="J1368" s="57">
        <f>IF(OR(A1368="",H1368=""),"",IF(COUNTIFS(exp_year,C1368,exp_month,D1368,exp_item,E1368,exp_status,"&lt;&gt;❌ Отменено")&gt;0,1,0))</f>
        <v/>
      </c>
    </row>
    <row r="1369">
      <c r="A1369" s="52" t="n"/>
      <c r="B1369" s="53">
        <f>IF(A1369="","",CHOOSE(WEEKDAY(A1369,2),"Пн","Вт","Ср","Чт","Пт","Сб","Вс"))</f>
        <v/>
      </c>
      <c r="C1369" s="53">
        <f>IF(A1369="","",YEAR(A1369))</f>
        <v/>
      </c>
      <c r="D1369" s="54">
        <f>IF(A1369="","",INDEX(lst_months,MONTH(A1369)))</f>
        <v/>
      </c>
      <c r="E1369" s="55" t="n"/>
      <c r="F1369" s="54">
        <f>IF(E1369="","",IFERROR(IF(INDEX(lst_exp_item_cat,MATCH(E1369,lst_exp_items,0))="","❔ Без категории",INDEX(lst_exp_item_cat,MATCH(E1369,lst_exp_items,0))),"❔ Без категории"))</f>
        <v/>
      </c>
      <c r="G1369" s="43" t="n"/>
      <c r="H1369" s="56" t="n"/>
      <c r="I1369" s="43" t="n"/>
      <c r="J1369" s="57">
        <f>IF(OR(A1369="",H1369=""),"",IF(COUNTIFS(exp_year,C1369,exp_month,D1369,exp_item,E1369,exp_status,"&lt;&gt;❌ Отменено")&gt;0,1,0))</f>
        <v/>
      </c>
    </row>
    <row r="1370">
      <c r="A1370" s="52" t="n"/>
      <c r="B1370" s="53">
        <f>IF(A1370="","",CHOOSE(WEEKDAY(A1370,2),"Пн","Вт","Ср","Чт","Пт","Сб","Вс"))</f>
        <v/>
      </c>
      <c r="C1370" s="53">
        <f>IF(A1370="","",YEAR(A1370))</f>
        <v/>
      </c>
      <c r="D1370" s="54">
        <f>IF(A1370="","",INDEX(lst_months,MONTH(A1370)))</f>
        <v/>
      </c>
      <c r="E1370" s="55" t="n"/>
      <c r="F1370" s="54">
        <f>IF(E1370="","",IFERROR(IF(INDEX(lst_exp_item_cat,MATCH(E1370,lst_exp_items,0))="","❔ Без категории",INDEX(lst_exp_item_cat,MATCH(E1370,lst_exp_items,0))),"❔ Без категории"))</f>
        <v/>
      </c>
      <c r="G1370" s="43" t="n"/>
      <c r="H1370" s="56" t="n"/>
      <c r="I1370" s="43" t="n"/>
      <c r="J1370" s="57">
        <f>IF(OR(A1370="",H1370=""),"",IF(COUNTIFS(exp_year,C1370,exp_month,D1370,exp_item,E1370,exp_status,"&lt;&gt;❌ Отменено")&gt;0,1,0))</f>
        <v/>
      </c>
    </row>
    <row r="1371">
      <c r="A1371" s="52" t="n"/>
      <c r="B1371" s="53">
        <f>IF(A1371="","",CHOOSE(WEEKDAY(A1371,2),"Пн","Вт","Ср","Чт","Пт","Сб","Вс"))</f>
        <v/>
      </c>
      <c r="C1371" s="53">
        <f>IF(A1371="","",YEAR(A1371))</f>
        <v/>
      </c>
      <c r="D1371" s="54">
        <f>IF(A1371="","",INDEX(lst_months,MONTH(A1371)))</f>
        <v/>
      </c>
      <c r="E1371" s="55" t="n"/>
      <c r="F1371" s="54">
        <f>IF(E1371="","",IFERROR(IF(INDEX(lst_exp_item_cat,MATCH(E1371,lst_exp_items,0))="","❔ Без категории",INDEX(lst_exp_item_cat,MATCH(E1371,lst_exp_items,0))),"❔ Без категории"))</f>
        <v/>
      </c>
      <c r="G1371" s="43" t="n"/>
      <c r="H1371" s="56" t="n"/>
      <c r="I1371" s="43" t="n"/>
      <c r="J1371" s="57">
        <f>IF(OR(A1371="",H1371=""),"",IF(COUNTIFS(exp_year,C1371,exp_month,D1371,exp_item,E1371,exp_status,"&lt;&gt;❌ Отменено")&gt;0,1,0))</f>
        <v/>
      </c>
    </row>
    <row r="1372">
      <c r="A1372" s="52" t="n"/>
      <c r="B1372" s="53">
        <f>IF(A1372="","",CHOOSE(WEEKDAY(A1372,2),"Пн","Вт","Ср","Чт","Пт","Сб","Вс"))</f>
        <v/>
      </c>
      <c r="C1372" s="53">
        <f>IF(A1372="","",YEAR(A1372))</f>
        <v/>
      </c>
      <c r="D1372" s="54">
        <f>IF(A1372="","",INDEX(lst_months,MONTH(A1372)))</f>
        <v/>
      </c>
      <c r="E1372" s="55" t="n"/>
      <c r="F1372" s="54">
        <f>IF(E1372="","",IFERROR(IF(INDEX(lst_exp_item_cat,MATCH(E1372,lst_exp_items,0))="","❔ Без категории",INDEX(lst_exp_item_cat,MATCH(E1372,lst_exp_items,0))),"❔ Без категории"))</f>
        <v/>
      </c>
      <c r="G1372" s="43" t="n"/>
      <c r="H1372" s="56" t="n"/>
      <c r="I1372" s="43" t="n"/>
      <c r="J1372" s="57">
        <f>IF(OR(A1372="",H1372=""),"",IF(COUNTIFS(exp_year,C1372,exp_month,D1372,exp_item,E1372,exp_status,"&lt;&gt;❌ Отменено")&gt;0,1,0))</f>
        <v/>
      </c>
    </row>
    <row r="1373">
      <c r="A1373" s="52" t="n"/>
      <c r="B1373" s="53">
        <f>IF(A1373="","",CHOOSE(WEEKDAY(A1373,2),"Пн","Вт","Ср","Чт","Пт","Сб","Вс"))</f>
        <v/>
      </c>
      <c r="C1373" s="53">
        <f>IF(A1373="","",YEAR(A1373))</f>
        <v/>
      </c>
      <c r="D1373" s="54">
        <f>IF(A1373="","",INDEX(lst_months,MONTH(A1373)))</f>
        <v/>
      </c>
      <c r="E1373" s="55" t="n"/>
      <c r="F1373" s="54">
        <f>IF(E1373="","",IFERROR(IF(INDEX(lst_exp_item_cat,MATCH(E1373,lst_exp_items,0))="","❔ Без категории",INDEX(lst_exp_item_cat,MATCH(E1373,lst_exp_items,0))),"❔ Без категории"))</f>
        <v/>
      </c>
      <c r="G1373" s="43" t="n"/>
      <c r="H1373" s="56" t="n"/>
      <c r="I1373" s="43" t="n"/>
      <c r="J1373" s="57">
        <f>IF(OR(A1373="",H1373=""),"",IF(COUNTIFS(exp_year,C1373,exp_month,D1373,exp_item,E1373,exp_status,"&lt;&gt;❌ Отменено")&gt;0,1,0))</f>
        <v/>
      </c>
    </row>
    <row r="1374">
      <c r="A1374" s="52" t="n"/>
      <c r="B1374" s="53">
        <f>IF(A1374="","",CHOOSE(WEEKDAY(A1374,2),"Пн","Вт","Ср","Чт","Пт","Сб","Вс"))</f>
        <v/>
      </c>
      <c r="C1374" s="53">
        <f>IF(A1374="","",YEAR(A1374))</f>
        <v/>
      </c>
      <c r="D1374" s="54">
        <f>IF(A1374="","",INDEX(lst_months,MONTH(A1374)))</f>
        <v/>
      </c>
      <c r="E1374" s="55" t="n"/>
      <c r="F1374" s="54">
        <f>IF(E1374="","",IFERROR(IF(INDEX(lst_exp_item_cat,MATCH(E1374,lst_exp_items,0))="","❔ Без категории",INDEX(lst_exp_item_cat,MATCH(E1374,lst_exp_items,0))),"❔ Без категории"))</f>
        <v/>
      </c>
      <c r="G1374" s="43" t="n"/>
      <c r="H1374" s="56" t="n"/>
      <c r="I1374" s="43" t="n"/>
      <c r="J1374" s="57">
        <f>IF(OR(A1374="",H1374=""),"",IF(COUNTIFS(exp_year,C1374,exp_month,D1374,exp_item,E1374,exp_status,"&lt;&gt;❌ Отменено")&gt;0,1,0))</f>
        <v/>
      </c>
    </row>
    <row r="1375">
      <c r="A1375" s="52" t="n"/>
      <c r="B1375" s="53">
        <f>IF(A1375="","",CHOOSE(WEEKDAY(A1375,2),"Пн","Вт","Ср","Чт","Пт","Сб","Вс"))</f>
        <v/>
      </c>
      <c r="C1375" s="53">
        <f>IF(A1375="","",YEAR(A1375))</f>
        <v/>
      </c>
      <c r="D1375" s="54">
        <f>IF(A1375="","",INDEX(lst_months,MONTH(A1375)))</f>
        <v/>
      </c>
      <c r="E1375" s="55" t="n"/>
      <c r="F1375" s="54">
        <f>IF(E1375="","",IFERROR(IF(INDEX(lst_exp_item_cat,MATCH(E1375,lst_exp_items,0))="","❔ Без категории",INDEX(lst_exp_item_cat,MATCH(E1375,lst_exp_items,0))),"❔ Без категории"))</f>
        <v/>
      </c>
      <c r="G1375" s="43" t="n"/>
      <c r="H1375" s="56" t="n"/>
      <c r="I1375" s="43" t="n"/>
      <c r="J1375" s="57">
        <f>IF(OR(A1375="",H1375=""),"",IF(COUNTIFS(exp_year,C1375,exp_month,D1375,exp_item,E1375,exp_status,"&lt;&gt;❌ Отменено")&gt;0,1,0))</f>
        <v/>
      </c>
    </row>
    <row r="1376">
      <c r="A1376" s="52" t="n"/>
      <c r="B1376" s="53">
        <f>IF(A1376="","",CHOOSE(WEEKDAY(A1376,2),"Пн","Вт","Ср","Чт","Пт","Сб","Вс"))</f>
        <v/>
      </c>
      <c r="C1376" s="53">
        <f>IF(A1376="","",YEAR(A1376))</f>
        <v/>
      </c>
      <c r="D1376" s="54">
        <f>IF(A1376="","",INDEX(lst_months,MONTH(A1376)))</f>
        <v/>
      </c>
      <c r="E1376" s="55" t="n"/>
      <c r="F1376" s="54">
        <f>IF(E1376="","",IFERROR(IF(INDEX(lst_exp_item_cat,MATCH(E1376,lst_exp_items,0))="","❔ Без категории",INDEX(lst_exp_item_cat,MATCH(E1376,lst_exp_items,0))),"❔ Без категории"))</f>
        <v/>
      </c>
      <c r="G1376" s="43" t="n"/>
      <c r="H1376" s="56" t="n"/>
      <c r="I1376" s="43" t="n"/>
      <c r="J1376" s="57">
        <f>IF(OR(A1376="",H1376=""),"",IF(COUNTIFS(exp_year,C1376,exp_month,D1376,exp_item,E1376,exp_status,"&lt;&gt;❌ Отменено")&gt;0,1,0))</f>
        <v/>
      </c>
    </row>
    <row r="1377">
      <c r="A1377" s="52" t="n"/>
      <c r="B1377" s="53">
        <f>IF(A1377="","",CHOOSE(WEEKDAY(A1377,2),"Пн","Вт","Ср","Чт","Пт","Сб","Вс"))</f>
        <v/>
      </c>
      <c r="C1377" s="53">
        <f>IF(A1377="","",YEAR(A1377))</f>
        <v/>
      </c>
      <c r="D1377" s="54">
        <f>IF(A1377="","",INDEX(lst_months,MONTH(A1377)))</f>
        <v/>
      </c>
      <c r="E1377" s="55" t="n"/>
      <c r="F1377" s="54">
        <f>IF(E1377="","",IFERROR(IF(INDEX(lst_exp_item_cat,MATCH(E1377,lst_exp_items,0))="","❔ Без категории",INDEX(lst_exp_item_cat,MATCH(E1377,lst_exp_items,0))),"❔ Без категории"))</f>
        <v/>
      </c>
      <c r="G1377" s="43" t="n"/>
      <c r="H1377" s="56" t="n"/>
      <c r="I1377" s="43" t="n"/>
      <c r="J1377" s="57">
        <f>IF(OR(A1377="",H1377=""),"",IF(COUNTIFS(exp_year,C1377,exp_month,D1377,exp_item,E1377,exp_status,"&lt;&gt;❌ Отменено")&gt;0,1,0))</f>
        <v/>
      </c>
    </row>
    <row r="1378">
      <c r="A1378" s="52" t="n"/>
      <c r="B1378" s="53">
        <f>IF(A1378="","",CHOOSE(WEEKDAY(A1378,2),"Пн","Вт","Ср","Чт","Пт","Сб","Вс"))</f>
        <v/>
      </c>
      <c r="C1378" s="53">
        <f>IF(A1378="","",YEAR(A1378))</f>
        <v/>
      </c>
      <c r="D1378" s="54">
        <f>IF(A1378="","",INDEX(lst_months,MONTH(A1378)))</f>
        <v/>
      </c>
      <c r="E1378" s="55" t="n"/>
      <c r="F1378" s="54">
        <f>IF(E1378="","",IFERROR(IF(INDEX(lst_exp_item_cat,MATCH(E1378,lst_exp_items,0))="","❔ Без категории",INDEX(lst_exp_item_cat,MATCH(E1378,lst_exp_items,0))),"❔ Без категории"))</f>
        <v/>
      </c>
      <c r="G1378" s="43" t="n"/>
      <c r="H1378" s="56" t="n"/>
      <c r="I1378" s="43" t="n"/>
      <c r="J1378" s="57">
        <f>IF(OR(A1378="",H1378=""),"",IF(COUNTIFS(exp_year,C1378,exp_month,D1378,exp_item,E1378,exp_status,"&lt;&gt;❌ Отменено")&gt;0,1,0))</f>
        <v/>
      </c>
    </row>
    <row r="1379">
      <c r="A1379" s="52" t="n"/>
      <c r="B1379" s="53">
        <f>IF(A1379="","",CHOOSE(WEEKDAY(A1379,2),"Пн","Вт","Ср","Чт","Пт","Сб","Вс"))</f>
        <v/>
      </c>
      <c r="C1379" s="53">
        <f>IF(A1379="","",YEAR(A1379))</f>
        <v/>
      </c>
      <c r="D1379" s="54">
        <f>IF(A1379="","",INDEX(lst_months,MONTH(A1379)))</f>
        <v/>
      </c>
      <c r="E1379" s="55" t="n"/>
      <c r="F1379" s="54">
        <f>IF(E1379="","",IFERROR(IF(INDEX(lst_exp_item_cat,MATCH(E1379,lst_exp_items,0))="","❔ Без категории",INDEX(lst_exp_item_cat,MATCH(E1379,lst_exp_items,0))),"❔ Без категории"))</f>
        <v/>
      </c>
      <c r="G1379" s="43" t="n"/>
      <c r="H1379" s="56" t="n"/>
      <c r="I1379" s="43" t="n"/>
      <c r="J1379" s="57">
        <f>IF(OR(A1379="",H1379=""),"",IF(COUNTIFS(exp_year,C1379,exp_month,D1379,exp_item,E1379,exp_status,"&lt;&gt;❌ Отменено")&gt;0,1,0))</f>
        <v/>
      </c>
    </row>
    <row r="1380">
      <c r="A1380" s="52" t="n"/>
      <c r="B1380" s="53">
        <f>IF(A1380="","",CHOOSE(WEEKDAY(A1380,2),"Пн","Вт","Ср","Чт","Пт","Сб","Вс"))</f>
        <v/>
      </c>
      <c r="C1380" s="53">
        <f>IF(A1380="","",YEAR(A1380))</f>
        <v/>
      </c>
      <c r="D1380" s="54">
        <f>IF(A1380="","",INDEX(lst_months,MONTH(A1380)))</f>
        <v/>
      </c>
      <c r="E1380" s="55" t="n"/>
      <c r="F1380" s="54">
        <f>IF(E1380="","",IFERROR(IF(INDEX(lst_exp_item_cat,MATCH(E1380,lst_exp_items,0))="","❔ Без категории",INDEX(lst_exp_item_cat,MATCH(E1380,lst_exp_items,0))),"❔ Без категории"))</f>
        <v/>
      </c>
      <c r="G1380" s="43" t="n"/>
      <c r="H1380" s="56" t="n"/>
      <c r="I1380" s="43" t="n"/>
      <c r="J1380" s="57">
        <f>IF(OR(A1380="",H1380=""),"",IF(COUNTIFS(exp_year,C1380,exp_month,D1380,exp_item,E1380,exp_status,"&lt;&gt;❌ Отменено")&gt;0,1,0))</f>
        <v/>
      </c>
    </row>
    <row r="1381">
      <c r="A1381" s="52" t="n"/>
      <c r="B1381" s="53">
        <f>IF(A1381="","",CHOOSE(WEEKDAY(A1381,2),"Пн","Вт","Ср","Чт","Пт","Сб","Вс"))</f>
        <v/>
      </c>
      <c r="C1381" s="53">
        <f>IF(A1381="","",YEAR(A1381))</f>
        <v/>
      </c>
      <c r="D1381" s="54">
        <f>IF(A1381="","",INDEX(lst_months,MONTH(A1381)))</f>
        <v/>
      </c>
      <c r="E1381" s="55" t="n"/>
      <c r="F1381" s="54">
        <f>IF(E1381="","",IFERROR(IF(INDEX(lst_exp_item_cat,MATCH(E1381,lst_exp_items,0))="","❔ Без категории",INDEX(lst_exp_item_cat,MATCH(E1381,lst_exp_items,0))),"❔ Без категории"))</f>
        <v/>
      </c>
      <c r="G1381" s="43" t="n"/>
      <c r="H1381" s="56" t="n"/>
      <c r="I1381" s="43" t="n"/>
      <c r="J1381" s="57">
        <f>IF(OR(A1381="",H1381=""),"",IF(COUNTIFS(exp_year,C1381,exp_month,D1381,exp_item,E1381,exp_status,"&lt;&gt;❌ Отменено")&gt;0,1,0))</f>
        <v/>
      </c>
    </row>
    <row r="1382">
      <c r="A1382" s="52" t="n"/>
      <c r="B1382" s="53">
        <f>IF(A1382="","",CHOOSE(WEEKDAY(A1382,2),"Пн","Вт","Ср","Чт","Пт","Сб","Вс"))</f>
        <v/>
      </c>
      <c r="C1382" s="53">
        <f>IF(A1382="","",YEAR(A1382))</f>
        <v/>
      </c>
      <c r="D1382" s="54">
        <f>IF(A1382="","",INDEX(lst_months,MONTH(A1382)))</f>
        <v/>
      </c>
      <c r="E1382" s="55" t="n"/>
      <c r="F1382" s="54">
        <f>IF(E1382="","",IFERROR(IF(INDEX(lst_exp_item_cat,MATCH(E1382,lst_exp_items,0))="","❔ Без категории",INDEX(lst_exp_item_cat,MATCH(E1382,lst_exp_items,0))),"❔ Без категории"))</f>
        <v/>
      </c>
      <c r="G1382" s="43" t="n"/>
      <c r="H1382" s="56" t="n"/>
      <c r="I1382" s="43" t="n"/>
      <c r="J1382" s="57">
        <f>IF(OR(A1382="",H1382=""),"",IF(COUNTIFS(exp_year,C1382,exp_month,D1382,exp_item,E1382,exp_status,"&lt;&gt;❌ Отменено")&gt;0,1,0))</f>
        <v/>
      </c>
    </row>
    <row r="1383">
      <c r="A1383" s="52" t="n"/>
      <c r="B1383" s="53">
        <f>IF(A1383="","",CHOOSE(WEEKDAY(A1383,2),"Пн","Вт","Ср","Чт","Пт","Сб","Вс"))</f>
        <v/>
      </c>
      <c r="C1383" s="53">
        <f>IF(A1383="","",YEAR(A1383))</f>
        <v/>
      </c>
      <c r="D1383" s="54">
        <f>IF(A1383="","",INDEX(lst_months,MONTH(A1383)))</f>
        <v/>
      </c>
      <c r="E1383" s="55" t="n"/>
      <c r="F1383" s="54">
        <f>IF(E1383="","",IFERROR(IF(INDEX(lst_exp_item_cat,MATCH(E1383,lst_exp_items,0))="","❔ Без категории",INDEX(lst_exp_item_cat,MATCH(E1383,lst_exp_items,0))),"❔ Без категории"))</f>
        <v/>
      </c>
      <c r="G1383" s="43" t="n"/>
      <c r="H1383" s="56" t="n"/>
      <c r="I1383" s="43" t="n"/>
      <c r="J1383" s="57">
        <f>IF(OR(A1383="",H1383=""),"",IF(COUNTIFS(exp_year,C1383,exp_month,D1383,exp_item,E1383,exp_status,"&lt;&gt;❌ Отменено")&gt;0,1,0))</f>
        <v/>
      </c>
    </row>
    <row r="1384">
      <c r="A1384" s="52" t="n"/>
      <c r="B1384" s="53">
        <f>IF(A1384="","",CHOOSE(WEEKDAY(A1384,2),"Пн","Вт","Ср","Чт","Пт","Сб","Вс"))</f>
        <v/>
      </c>
      <c r="C1384" s="53">
        <f>IF(A1384="","",YEAR(A1384))</f>
        <v/>
      </c>
      <c r="D1384" s="54">
        <f>IF(A1384="","",INDEX(lst_months,MONTH(A1384)))</f>
        <v/>
      </c>
      <c r="E1384" s="55" t="n"/>
      <c r="F1384" s="54">
        <f>IF(E1384="","",IFERROR(IF(INDEX(lst_exp_item_cat,MATCH(E1384,lst_exp_items,0))="","❔ Без категории",INDEX(lst_exp_item_cat,MATCH(E1384,lst_exp_items,0))),"❔ Без категории"))</f>
        <v/>
      </c>
      <c r="G1384" s="43" t="n"/>
      <c r="H1384" s="56" t="n"/>
      <c r="I1384" s="43" t="n"/>
      <c r="J1384" s="57">
        <f>IF(OR(A1384="",H1384=""),"",IF(COUNTIFS(exp_year,C1384,exp_month,D1384,exp_item,E1384,exp_status,"&lt;&gt;❌ Отменено")&gt;0,1,0))</f>
        <v/>
      </c>
    </row>
    <row r="1385">
      <c r="A1385" s="52" t="n"/>
      <c r="B1385" s="53">
        <f>IF(A1385="","",CHOOSE(WEEKDAY(A1385,2),"Пн","Вт","Ср","Чт","Пт","Сб","Вс"))</f>
        <v/>
      </c>
      <c r="C1385" s="53">
        <f>IF(A1385="","",YEAR(A1385))</f>
        <v/>
      </c>
      <c r="D1385" s="54">
        <f>IF(A1385="","",INDEX(lst_months,MONTH(A1385)))</f>
        <v/>
      </c>
      <c r="E1385" s="55" t="n"/>
      <c r="F1385" s="54">
        <f>IF(E1385="","",IFERROR(IF(INDEX(lst_exp_item_cat,MATCH(E1385,lst_exp_items,0))="","❔ Без категории",INDEX(lst_exp_item_cat,MATCH(E1385,lst_exp_items,0))),"❔ Без категории"))</f>
        <v/>
      </c>
      <c r="G1385" s="43" t="n"/>
      <c r="H1385" s="56" t="n"/>
      <c r="I1385" s="43" t="n"/>
      <c r="J1385" s="57">
        <f>IF(OR(A1385="",H1385=""),"",IF(COUNTIFS(exp_year,C1385,exp_month,D1385,exp_item,E1385,exp_status,"&lt;&gt;❌ Отменено")&gt;0,1,0))</f>
        <v/>
      </c>
    </row>
    <row r="1386">
      <c r="A1386" s="52" t="n"/>
      <c r="B1386" s="53">
        <f>IF(A1386="","",CHOOSE(WEEKDAY(A1386,2),"Пн","Вт","Ср","Чт","Пт","Сб","Вс"))</f>
        <v/>
      </c>
      <c r="C1386" s="53">
        <f>IF(A1386="","",YEAR(A1386))</f>
        <v/>
      </c>
      <c r="D1386" s="54">
        <f>IF(A1386="","",INDEX(lst_months,MONTH(A1386)))</f>
        <v/>
      </c>
      <c r="E1386" s="55" t="n"/>
      <c r="F1386" s="54">
        <f>IF(E1386="","",IFERROR(IF(INDEX(lst_exp_item_cat,MATCH(E1386,lst_exp_items,0))="","❔ Без категории",INDEX(lst_exp_item_cat,MATCH(E1386,lst_exp_items,0))),"❔ Без категории"))</f>
        <v/>
      </c>
      <c r="G1386" s="43" t="n"/>
      <c r="H1386" s="56" t="n"/>
      <c r="I1386" s="43" t="n"/>
      <c r="J1386" s="57">
        <f>IF(OR(A1386="",H1386=""),"",IF(COUNTIFS(exp_year,C1386,exp_month,D1386,exp_item,E1386,exp_status,"&lt;&gt;❌ Отменено")&gt;0,1,0))</f>
        <v/>
      </c>
    </row>
    <row r="1387">
      <c r="A1387" s="52" t="n"/>
      <c r="B1387" s="53">
        <f>IF(A1387="","",CHOOSE(WEEKDAY(A1387,2),"Пн","Вт","Ср","Чт","Пт","Сб","Вс"))</f>
        <v/>
      </c>
      <c r="C1387" s="53">
        <f>IF(A1387="","",YEAR(A1387))</f>
        <v/>
      </c>
      <c r="D1387" s="54">
        <f>IF(A1387="","",INDEX(lst_months,MONTH(A1387)))</f>
        <v/>
      </c>
      <c r="E1387" s="55" t="n"/>
      <c r="F1387" s="54">
        <f>IF(E1387="","",IFERROR(IF(INDEX(lst_exp_item_cat,MATCH(E1387,lst_exp_items,0))="","❔ Без категории",INDEX(lst_exp_item_cat,MATCH(E1387,lst_exp_items,0))),"❔ Без категории"))</f>
        <v/>
      </c>
      <c r="G1387" s="43" t="n"/>
      <c r="H1387" s="56" t="n"/>
      <c r="I1387" s="43" t="n"/>
      <c r="J1387" s="57">
        <f>IF(OR(A1387="",H1387=""),"",IF(COUNTIFS(exp_year,C1387,exp_month,D1387,exp_item,E1387,exp_status,"&lt;&gt;❌ Отменено")&gt;0,1,0))</f>
        <v/>
      </c>
    </row>
    <row r="1388">
      <c r="A1388" s="52" t="n"/>
      <c r="B1388" s="53">
        <f>IF(A1388="","",CHOOSE(WEEKDAY(A1388,2),"Пн","Вт","Ср","Чт","Пт","Сб","Вс"))</f>
        <v/>
      </c>
      <c r="C1388" s="53">
        <f>IF(A1388="","",YEAR(A1388))</f>
        <v/>
      </c>
      <c r="D1388" s="54">
        <f>IF(A1388="","",INDEX(lst_months,MONTH(A1388)))</f>
        <v/>
      </c>
      <c r="E1388" s="55" t="n"/>
      <c r="F1388" s="54">
        <f>IF(E1388="","",IFERROR(IF(INDEX(lst_exp_item_cat,MATCH(E1388,lst_exp_items,0))="","❔ Без категории",INDEX(lst_exp_item_cat,MATCH(E1388,lst_exp_items,0))),"❔ Без категории"))</f>
        <v/>
      </c>
      <c r="G1388" s="43" t="n"/>
      <c r="H1388" s="56" t="n"/>
      <c r="I1388" s="43" t="n"/>
      <c r="J1388" s="57">
        <f>IF(OR(A1388="",H1388=""),"",IF(COUNTIFS(exp_year,C1388,exp_month,D1388,exp_item,E1388,exp_status,"&lt;&gt;❌ Отменено")&gt;0,1,0))</f>
        <v/>
      </c>
    </row>
    <row r="1389">
      <c r="A1389" s="52" t="n"/>
      <c r="B1389" s="53">
        <f>IF(A1389="","",CHOOSE(WEEKDAY(A1389,2),"Пн","Вт","Ср","Чт","Пт","Сб","Вс"))</f>
        <v/>
      </c>
      <c r="C1389" s="53">
        <f>IF(A1389="","",YEAR(A1389))</f>
        <v/>
      </c>
      <c r="D1389" s="54">
        <f>IF(A1389="","",INDEX(lst_months,MONTH(A1389)))</f>
        <v/>
      </c>
      <c r="E1389" s="55" t="n"/>
      <c r="F1389" s="54">
        <f>IF(E1389="","",IFERROR(IF(INDEX(lst_exp_item_cat,MATCH(E1389,lst_exp_items,0))="","❔ Без категории",INDEX(lst_exp_item_cat,MATCH(E1389,lst_exp_items,0))),"❔ Без категории"))</f>
        <v/>
      </c>
      <c r="G1389" s="43" t="n"/>
      <c r="H1389" s="56" t="n"/>
      <c r="I1389" s="43" t="n"/>
      <c r="J1389" s="57">
        <f>IF(OR(A1389="",H1389=""),"",IF(COUNTIFS(exp_year,C1389,exp_month,D1389,exp_item,E1389,exp_status,"&lt;&gt;❌ Отменено")&gt;0,1,0))</f>
        <v/>
      </c>
    </row>
    <row r="1390">
      <c r="A1390" s="52" t="n"/>
      <c r="B1390" s="53">
        <f>IF(A1390="","",CHOOSE(WEEKDAY(A1390,2),"Пн","Вт","Ср","Чт","Пт","Сб","Вс"))</f>
        <v/>
      </c>
      <c r="C1390" s="53">
        <f>IF(A1390="","",YEAR(A1390))</f>
        <v/>
      </c>
      <c r="D1390" s="54">
        <f>IF(A1390="","",INDEX(lst_months,MONTH(A1390)))</f>
        <v/>
      </c>
      <c r="E1390" s="55" t="n"/>
      <c r="F1390" s="54">
        <f>IF(E1390="","",IFERROR(IF(INDEX(lst_exp_item_cat,MATCH(E1390,lst_exp_items,0))="","❔ Без категории",INDEX(lst_exp_item_cat,MATCH(E1390,lst_exp_items,0))),"❔ Без категории"))</f>
        <v/>
      </c>
      <c r="G1390" s="43" t="n"/>
      <c r="H1390" s="56" t="n"/>
      <c r="I1390" s="43" t="n"/>
      <c r="J1390" s="57">
        <f>IF(OR(A1390="",H1390=""),"",IF(COUNTIFS(exp_year,C1390,exp_month,D1390,exp_item,E1390,exp_status,"&lt;&gt;❌ Отменено")&gt;0,1,0))</f>
        <v/>
      </c>
    </row>
    <row r="1391">
      <c r="A1391" s="52" t="n"/>
      <c r="B1391" s="53">
        <f>IF(A1391="","",CHOOSE(WEEKDAY(A1391,2),"Пн","Вт","Ср","Чт","Пт","Сб","Вс"))</f>
        <v/>
      </c>
      <c r="C1391" s="53">
        <f>IF(A1391="","",YEAR(A1391))</f>
        <v/>
      </c>
      <c r="D1391" s="54">
        <f>IF(A1391="","",INDEX(lst_months,MONTH(A1391)))</f>
        <v/>
      </c>
      <c r="E1391" s="55" t="n"/>
      <c r="F1391" s="54">
        <f>IF(E1391="","",IFERROR(IF(INDEX(lst_exp_item_cat,MATCH(E1391,lst_exp_items,0))="","❔ Без категории",INDEX(lst_exp_item_cat,MATCH(E1391,lst_exp_items,0))),"❔ Без категории"))</f>
        <v/>
      </c>
      <c r="G1391" s="43" t="n"/>
      <c r="H1391" s="56" t="n"/>
      <c r="I1391" s="43" t="n"/>
      <c r="J1391" s="57">
        <f>IF(OR(A1391="",H1391=""),"",IF(COUNTIFS(exp_year,C1391,exp_month,D1391,exp_item,E1391,exp_status,"&lt;&gt;❌ Отменено")&gt;0,1,0))</f>
        <v/>
      </c>
    </row>
    <row r="1392">
      <c r="A1392" s="52" t="n"/>
      <c r="B1392" s="53">
        <f>IF(A1392="","",CHOOSE(WEEKDAY(A1392,2),"Пн","Вт","Ср","Чт","Пт","Сб","Вс"))</f>
        <v/>
      </c>
      <c r="C1392" s="53">
        <f>IF(A1392="","",YEAR(A1392))</f>
        <v/>
      </c>
      <c r="D1392" s="54">
        <f>IF(A1392="","",INDEX(lst_months,MONTH(A1392)))</f>
        <v/>
      </c>
      <c r="E1392" s="55" t="n"/>
      <c r="F1392" s="54">
        <f>IF(E1392="","",IFERROR(IF(INDEX(lst_exp_item_cat,MATCH(E1392,lst_exp_items,0))="","❔ Без категории",INDEX(lst_exp_item_cat,MATCH(E1392,lst_exp_items,0))),"❔ Без категории"))</f>
        <v/>
      </c>
      <c r="G1392" s="43" t="n"/>
      <c r="H1392" s="56" t="n"/>
      <c r="I1392" s="43" t="n"/>
      <c r="J1392" s="57">
        <f>IF(OR(A1392="",H1392=""),"",IF(COUNTIFS(exp_year,C1392,exp_month,D1392,exp_item,E1392,exp_status,"&lt;&gt;❌ Отменено")&gt;0,1,0))</f>
        <v/>
      </c>
    </row>
    <row r="1393">
      <c r="A1393" s="52" t="n"/>
      <c r="B1393" s="53">
        <f>IF(A1393="","",CHOOSE(WEEKDAY(A1393,2),"Пн","Вт","Ср","Чт","Пт","Сб","Вс"))</f>
        <v/>
      </c>
      <c r="C1393" s="53">
        <f>IF(A1393="","",YEAR(A1393))</f>
        <v/>
      </c>
      <c r="D1393" s="54">
        <f>IF(A1393="","",INDEX(lst_months,MONTH(A1393)))</f>
        <v/>
      </c>
      <c r="E1393" s="55" t="n"/>
      <c r="F1393" s="54">
        <f>IF(E1393="","",IFERROR(IF(INDEX(lst_exp_item_cat,MATCH(E1393,lst_exp_items,0))="","❔ Без категории",INDEX(lst_exp_item_cat,MATCH(E1393,lst_exp_items,0))),"❔ Без категории"))</f>
        <v/>
      </c>
      <c r="G1393" s="43" t="n"/>
      <c r="H1393" s="56" t="n"/>
      <c r="I1393" s="43" t="n"/>
      <c r="J1393" s="57">
        <f>IF(OR(A1393="",H1393=""),"",IF(COUNTIFS(exp_year,C1393,exp_month,D1393,exp_item,E1393,exp_status,"&lt;&gt;❌ Отменено")&gt;0,1,0))</f>
        <v/>
      </c>
    </row>
    <row r="1394">
      <c r="A1394" s="52" t="n"/>
      <c r="B1394" s="53">
        <f>IF(A1394="","",CHOOSE(WEEKDAY(A1394,2),"Пн","Вт","Ср","Чт","Пт","Сб","Вс"))</f>
        <v/>
      </c>
      <c r="C1394" s="53">
        <f>IF(A1394="","",YEAR(A1394))</f>
        <v/>
      </c>
      <c r="D1394" s="54">
        <f>IF(A1394="","",INDEX(lst_months,MONTH(A1394)))</f>
        <v/>
      </c>
      <c r="E1394" s="55" t="n"/>
      <c r="F1394" s="54">
        <f>IF(E1394="","",IFERROR(IF(INDEX(lst_exp_item_cat,MATCH(E1394,lst_exp_items,0))="","❔ Без категории",INDEX(lst_exp_item_cat,MATCH(E1394,lst_exp_items,0))),"❔ Без категории"))</f>
        <v/>
      </c>
      <c r="G1394" s="43" t="n"/>
      <c r="H1394" s="56" t="n"/>
      <c r="I1394" s="43" t="n"/>
      <c r="J1394" s="57">
        <f>IF(OR(A1394="",H1394=""),"",IF(COUNTIFS(exp_year,C1394,exp_month,D1394,exp_item,E1394,exp_status,"&lt;&gt;❌ Отменено")&gt;0,1,0))</f>
        <v/>
      </c>
    </row>
    <row r="1395">
      <c r="A1395" s="52" t="n"/>
      <c r="B1395" s="53">
        <f>IF(A1395="","",CHOOSE(WEEKDAY(A1395,2),"Пн","Вт","Ср","Чт","Пт","Сб","Вс"))</f>
        <v/>
      </c>
      <c r="C1395" s="53">
        <f>IF(A1395="","",YEAR(A1395))</f>
        <v/>
      </c>
      <c r="D1395" s="54">
        <f>IF(A1395="","",INDEX(lst_months,MONTH(A1395)))</f>
        <v/>
      </c>
      <c r="E1395" s="55" t="n"/>
      <c r="F1395" s="54">
        <f>IF(E1395="","",IFERROR(IF(INDEX(lst_exp_item_cat,MATCH(E1395,lst_exp_items,0))="","❔ Без категории",INDEX(lst_exp_item_cat,MATCH(E1395,lst_exp_items,0))),"❔ Без категории"))</f>
        <v/>
      </c>
      <c r="G1395" s="43" t="n"/>
      <c r="H1395" s="56" t="n"/>
      <c r="I1395" s="43" t="n"/>
      <c r="J1395" s="57">
        <f>IF(OR(A1395="",H1395=""),"",IF(COUNTIFS(exp_year,C1395,exp_month,D1395,exp_item,E1395,exp_status,"&lt;&gt;❌ Отменено")&gt;0,1,0))</f>
        <v/>
      </c>
    </row>
    <row r="1396">
      <c r="A1396" s="52" t="n"/>
      <c r="B1396" s="53">
        <f>IF(A1396="","",CHOOSE(WEEKDAY(A1396,2),"Пн","Вт","Ср","Чт","Пт","Сб","Вс"))</f>
        <v/>
      </c>
      <c r="C1396" s="53">
        <f>IF(A1396="","",YEAR(A1396))</f>
        <v/>
      </c>
      <c r="D1396" s="54">
        <f>IF(A1396="","",INDEX(lst_months,MONTH(A1396)))</f>
        <v/>
      </c>
      <c r="E1396" s="55" t="n"/>
      <c r="F1396" s="54">
        <f>IF(E1396="","",IFERROR(IF(INDEX(lst_exp_item_cat,MATCH(E1396,lst_exp_items,0))="","❔ Без категории",INDEX(lst_exp_item_cat,MATCH(E1396,lst_exp_items,0))),"❔ Без категории"))</f>
        <v/>
      </c>
      <c r="G1396" s="43" t="n"/>
      <c r="H1396" s="56" t="n"/>
      <c r="I1396" s="43" t="n"/>
      <c r="J1396" s="57">
        <f>IF(OR(A1396="",H1396=""),"",IF(COUNTIFS(exp_year,C1396,exp_month,D1396,exp_item,E1396,exp_status,"&lt;&gt;❌ Отменено")&gt;0,1,0))</f>
        <v/>
      </c>
    </row>
    <row r="1397">
      <c r="A1397" s="52" t="n"/>
      <c r="B1397" s="53">
        <f>IF(A1397="","",CHOOSE(WEEKDAY(A1397,2),"Пн","Вт","Ср","Чт","Пт","Сб","Вс"))</f>
        <v/>
      </c>
      <c r="C1397" s="53">
        <f>IF(A1397="","",YEAR(A1397))</f>
        <v/>
      </c>
      <c r="D1397" s="54">
        <f>IF(A1397="","",INDEX(lst_months,MONTH(A1397)))</f>
        <v/>
      </c>
      <c r="E1397" s="55" t="n"/>
      <c r="F1397" s="54">
        <f>IF(E1397="","",IFERROR(IF(INDEX(lst_exp_item_cat,MATCH(E1397,lst_exp_items,0))="","❔ Без категории",INDEX(lst_exp_item_cat,MATCH(E1397,lst_exp_items,0))),"❔ Без категории"))</f>
        <v/>
      </c>
      <c r="G1397" s="43" t="n"/>
      <c r="H1397" s="56" t="n"/>
      <c r="I1397" s="43" t="n"/>
      <c r="J1397" s="57">
        <f>IF(OR(A1397="",H1397=""),"",IF(COUNTIFS(exp_year,C1397,exp_month,D1397,exp_item,E1397,exp_status,"&lt;&gt;❌ Отменено")&gt;0,1,0))</f>
        <v/>
      </c>
    </row>
    <row r="1398">
      <c r="A1398" s="52" t="n"/>
      <c r="B1398" s="53">
        <f>IF(A1398="","",CHOOSE(WEEKDAY(A1398,2),"Пн","Вт","Ср","Чт","Пт","Сб","Вс"))</f>
        <v/>
      </c>
      <c r="C1398" s="53">
        <f>IF(A1398="","",YEAR(A1398))</f>
        <v/>
      </c>
      <c r="D1398" s="54">
        <f>IF(A1398="","",INDEX(lst_months,MONTH(A1398)))</f>
        <v/>
      </c>
      <c r="E1398" s="55" t="n"/>
      <c r="F1398" s="54">
        <f>IF(E1398="","",IFERROR(IF(INDEX(lst_exp_item_cat,MATCH(E1398,lst_exp_items,0))="","❔ Без категории",INDEX(lst_exp_item_cat,MATCH(E1398,lst_exp_items,0))),"❔ Без категории"))</f>
        <v/>
      </c>
      <c r="G1398" s="43" t="n"/>
      <c r="H1398" s="56" t="n"/>
      <c r="I1398" s="43" t="n"/>
      <c r="J1398" s="57">
        <f>IF(OR(A1398="",H1398=""),"",IF(COUNTIFS(exp_year,C1398,exp_month,D1398,exp_item,E1398,exp_status,"&lt;&gt;❌ Отменено")&gt;0,1,0))</f>
        <v/>
      </c>
    </row>
    <row r="1399">
      <c r="A1399" s="52" t="n"/>
      <c r="B1399" s="53">
        <f>IF(A1399="","",CHOOSE(WEEKDAY(A1399,2),"Пн","Вт","Ср","Чт","Пт","Сб","Вс"))</f>
        <v/>
      </c>
      <c r="C1399" s="53">
        <f>IF(A1399="","",YEAR(A1399))</f>
        <v/>
      </c>
      <c r="D1399" s="54">
        <f>IF(A1399="","",INDEX(lst_months,MONTH(A1399)))</f>
        <v/>
      </c>
      <c r="E1399" s="55" t="n"/>
      <c r="F1399" s="54">
        <f>IF(E1399="","",IFERROR(IF(INDEX(lst_exp_item_cat,MATCH(E1399,lst_exp_items,0))="","❔ Без категории",INDEX(lst_exp_item_cat,MATCH(E1399,lst_exp_items,0))),"❔ Без категории"))</f>
        <v/>
      </c>
      <c r="G1399" s="43" t="n"/>
      <c r="H1399" s="56" t="n"/>
      <c r="I1399" s="43" t="n"/>
      <c r="J1399" s="57">
        <f>IF(OR(A1399="",H1399=""),"",IF(COUNTIFS(exp_year,C1399,exp_month,D1399,exp_item,E1399,exp_status,"&lt;&gt;❌ Отменено")&gt;0,1,0))</f>
        <v/>
      </c>
    </row>
    <row r="1400">
      <c r="A1400" s="52" t="n"/>
      <c r="B1400" s="53">
        <f>IF(A1400="","",CHOOSE(WEEKDAY(A1400,2),"Пн","Вт","Ср","Чт","Пт","Сб","Вс"))</f>
        <v/>
      </c>
      <c r="C1400" s="53">
        <f>IF(A1400="","",YEAR(A1400))</f>
        <v/>
      </c>
      <c r="D1400" s="54">
        <f>IF(A1400="","",INDEX(lst_months,MONTH(A1400)))</f>
        <v/>
      </c>
      <c r="E1400" s="55" t="n"/>
      <c r="F1400" s="54">
        <f>IF(E1400="","",IFERROR(IF(INDEX(lst_exp_item_cat,MATCH(E1400,lst_exp_items,0))="","❔ Без категории",INDEX(lst_exp_item_cat,MATCH(E1400,lst_exp_items,0))),"❔ Без категории"))</f>
        <v/>
      </c>
      <c r="G1400" s="43" t="n"/>
      <c r="H1400" s="56" t="n"/>
      <c r="I1400" s="43" t="n"/>
      <c r="J1400" s="57">
        <f>IF(OR(A1400="",H1400=""),"",IF(COUNTIFS(exp_year,C1400,exp_month,D1400,exp_item,E1400,exp_status,"&lt;&gt;❌ Отменено")&gt;0,1,0))</f>
        <v/>
      </c>
    </row>
    <row r="1401">
      <c r="A1401" s="52" t="n"/>
      <c r="B1401" s="53">
        <f>IF(A1401="","",CHOOSE(WEEKDAY(A1401,2),"Пн","Вт","Ср","Чт","Пт","Сб","Вс"))</f>
        <v/>
      </c>
      <c r="C1401" s="53">
        <f>IF(A1401="","",YEAR(A1401))</f>
        <v/>
      </c>
      <c r="D1401" s="54">
        <f>IF(A1401="","",INDEX(lst_months,MONTH(A1401)))</f>
        <v/>
      </c>
      <c r="E1401" s="55" t="n"/>
      <c r="F1401" s="54">
        <f>IF(E1401="","",IFERROR(IF(INDEX(lst_exp_item_cat,MATCH(E1401,lst_exp_items,0))="","❔ Без категории",INDEX(lst_exp_item_cat,MATCH(E1401,lst_exp_items,0))),"❔ Без категории"))</f>
        <v/>
      </c>
      <c r="G1401" s="43" t="n"/>
      <c r="H1401" s="56" t="n"/>
      <c r="I1401" s="43" t="n"/>
      <c r="J1401" s="57">
        <f>IF(OR(A1401="",H1401=""),"",IF(COUNTIFS(exp_year,C1401,exp_month,D1401,exp_item,E1401,exp_status,"&lt;&gt;❌ Отменено")&gt;0,1,0))</f>
        <v/>
      </c>
    </row>
    <row r="1402">
      <c r="A1402" s="52" t="n"/>
      <c r="B1402" s="53">
        <f>IF(A1402="","",CHOOSE(WEEKDAY(A1402,2),"Пн","Вт","Ср","Чт","Пт","Сб","Вс"))</f>
        <v/>
      </c>
      <c r="C1402" s="53">
        <f>IF(A1402="","",YEAR(A1402))</f>
        <v/>
      </c>
      <c r="D1402" s="54">
        <f>IF(A1402="","",INDEX(lst_months,MONTH(A1402)))</f>
        <v/>
      </c>
      <c r="E1402" s="55" t="n"/>
      <c r="F1402" s="54">
        <f>IF(E1402="","",IFERROR(IF(INDEX(lst_exp_item_cat,MATCH(E1402,lst_exp_items,0))="","❔ Без категории",INDEX(lst_exp_item_cat,MATCH(E1402,lst_exp_items,0))),"❔ Без категории"))</f>
        <v/>
      </c>
      <c r="G1402" s="43" t="n"/>
      <c r="H1402" s="56" t="n"/>
      <c r="I1402" s="43" t="n"/>
      <c r="J1402" s="57">
        <f>IF(OR(A1402="",H1402=""),"",IF(COUNTIFS(exp_year,C1402,exp_month,D1402,exp_item,E1402,exp_status,"&lt;&gt;❌ Отменено")&gt;0,1,0))</f>
        <v/>
      </c>
    </row>
    <row r="1403">
      <c r="A1403" s="52" t="n"/>
      <c r="B1403" s="53">
        <f>IF(A1403="","",CHOOSE(WEEKDAY(A1403,2),"Пн","Вт","Ср","Чт","Пт","Сб","Вс"))</f>
        <v/>
      </c>
      <c r="C1403" s="53">
        <f>IF(A1403="","",YEAR(A1403))</f>
        <v/>
      </c>
      <c r="D1403" s="54">
        <f>IF(A1403="","",INDEX(lst_months,MONTH(A1403)))</f>
        <v/>
      </c>
      <c r="E1403" s="55" t="n"/>
      <c r="F1403" s="54">
        <f>IF(E1403="","",IFERROR(IF(INDEX(lst_exp_item_cat,MATCH(E1403,lst_exp_items,0))="","❔ Без категории",INDEX(lst_exp_item_cat,MATCH(E1403,lst_exp_items,0))),"❔ Без категории"))</f>
        <v/>
      </c>
      <c r="G1403" s="43" t="n"/>
      <c r="H1403" s="56" t="n"/>
      <c r="I1403" s="43" t="n"/>
      <c r="J1403" s="57">
        <f>IF(OR(A1403="",H1403=""),"",IF(COUNTIFS(exp_year,C1403,exp_month,D1403,exp_item,E1403,exp_status,"&lt;&gt;❌ Отменено")&gt;0,1,0))</f>
        <v/>
      </c>
    </row>
    <row r="1404">
      <c r="A1404" s="52" t="n"/>
      <c r="B1404" s="53">
        <f>IF(A1404="","",CHOOSE(WEEKDAY(A1404,2),"Пн","Вт","Ср","Чт","Пт","Сб","Вс"))</f>
        <v/>
      </c>
      <c r="C1404" s="53">
        <f>IF(A1404="","",YEAR(A1404))</f>
        <v/>
      </c>
      <c r="D1404" s="54">
        <f>IF(A1404="","",INDEX(lst_months,MONTH(A1404)))</f>
        <v/>
      </c>
      <c r="E1404" s="55" t="n"/>
      <c r="F1404" s="54">
        <f>IF(E1404="","",IFERROR(IF(INDEX(lst_exp_item_cat,MATCH(E1404,lst_exp_items,0))="","❔ Без категории",INDEX(lst_exp_item_cat,MATCH(E1404,lst_exp_items,0))),"❔ Без категории"))</f>
        <v/>
      </c>
      <c r="G1404" s="43" t="n"/>
      <c r="H1404" s="56" t="n"/>
      <c r="I1404" s="43" t="n"/>
      <c r="J1404" s="57">
        <f>IF(OR(A1404="",H1404=""),"",IF(COUNTIFS(exp_year,C1404,exp_month,D1404,exp_item,E1404,exp_status,"&lt;&gt;❌ Отменено")&gt;0,1,0))</f>
        <v/>
      </c>
    </row>
    <row r="1405">
      <c r="A1405" s="52" t="n"/>
      <c r="B1405" s="53">
        <f>IF(A1405="","",CHOOSE(WEEKDAY(A1405,2),"Пн","Вт","Ср","Чт","Пт","Сб","Вс"))</f>
        <v/>
      </c>
      <c r="C1405" s="53">
        <f>IF(A1405="","",YEAR(A1405))</f>
        <v/>
      </c>
      <c r="D1405" s="54">
        <f>IF(A1405="","",INDEX(lst_months,MONTH(A1405)))</f>
        <v/>
      </c>
      <c r="E1405" s="55" t="n"/>
      <c r="F1405" s="54">
        <f>IF(E1405="","",IFERROR(IF(INDEX(lst_exp_item_cat,MATCH(E1405,lst_exp_items,0))="","❔ Без категории",INDEX(lst_exp_item_cat,MATCH(E1405,lst_exp_items,0))),"❔ Без категории"))</f>
        <v/>
      </c>
      <c r="G1405" s="43" t="n"/>
      <c r="H1405" s="56" t="n"/>
      <c r="I1405" s="43" t="n"/>
      <c r="J1405" s="57">
        <f>IF(OR(A1405="",H1405=""),"",IF(COUNTIFS(exp_year,C1405,exp_month,D1405,exp_item,E1405,exp_status,"&lt;&gt;❌ Отменено")&gt;0,1,0))</f>
        <v/>
      </c>
    </row>
    <row r="1406">
      <c r="A1406" s="52" t="n"/>
      <c r="B1406" s="53">
        <f>IF(A1406="","",CHOOSE(WEEKDAY(A1406,2),"Пн","Вт","Ср","Чт","Пт","Сб","Вс"))</f>
        <v/>
      </c>
      <c r="C1406" s="53">
        <f>IF(A1406="","",YEAR(A1406))</f>
        <v/>
      </c>
      <c r="D1406" s="54">
        <f>IF(A1406="","",INDEX(lst_months,MONTH(A1406)))</f>
        <v/>
      </c>
      <c r="E1406" s="55" t="n"/>
      <c r="F1406" s="54">
        <f>IF(E1406="","",IFERROR(IF(INDEX(lst_exp_item_cat,MATCH(E1406,lst_exp_items,0))="","❔ Без категории",INDEX(lst_exp_item_cat,MATCH(E1406,lst_exp_items,0))),"❔ Без категории"))</f>
        <v/>
      </c>
      <c r="G1406" s="43" t="n"/>
      <c r="H1406" s="56" t="n"/>
      <c r="I1406" s="43" t="n"/>
      <c r="J1406" s="57">
        <f>IF(OR(A1406="",H1406=""),"",IF(COUNTIFS(exp_year,C1406,exp_month,D1406,exp_item,E1406,exp_status,"&lt;&gt;❌ Отменено")&gt;0,1,0))</f>
        <v/>
      </c>
    </row>
    <row r="1407">
      <c r="A1407" s="52" t="n"/>
      <c r="B1407" s="53">
        <f>IF(A1407="","",CHOOSE(WEEKDAY(A1407,2),"Пн","Вт","Ср","Чт","Пт","Сб","Вс"))</f>
        <v/>
      </c>
      <c r="C1407" s="53">
        <f>IF(A1407="","",YEAR(A1407))</f>
        <v/>
      </c>
      <c r="D1407" s="54">
        <f>IF(A1407="","",INDEX(lst_months,MONTH(A1407)))</f>
        <v/>
      </c>
      <c r="E1407" s="55" t="n"/>
      <c r="F1407" s="54">
        <f>IF(E1407="","",IFERROR(IF(INDEX(lst_exp_item_cat,MATCH(E1407,lst_exp_items,0))="","❔ Без категории",INDEX(lst_exp_item_cat,MATCH(E1407,lst_exp_items,0))),"❔ Без категории"))</f>
        <v/>
      </c>
      <c r="G1407" s="43" t="n"/>
      <c r="H1407" s="56" t="n"/>
      <c r="I1407" s="43" t="n"/>
      <c r="J1407" s="57">
        <f>IF(OR(A1407="",H1407=""),"",IF(COUNTIFS(exp_year,C1407,exp_month,D1407,exp_item,E1407,exp_status,"&lt;&gt;❌ Отменено")&gt;0,1,0))</f>
        <v/>
      </c>
    </row>
    <row r="1408">
      <c r="A1408" s="52" t="n"/>
      <c r="B1408" s="53">
        <f>IF(A1408="","",CHOOSE(WEEKDAY(A1408,2),"Пн","Вт","Ср","Чт","Пт","Сб","Вс"))</f>
        <v/>
      </c>
      <c r="C1408" s="53">
        <f>IF(A1408="","",YEAR(A1408))</f>
        <v/>
      </c>
      <c r="D1408" s="54">
        <f>IF(A1408="","",INDEX(lst_months,MONTH(A1408)))</f>
        <v/>
      </c>
      <c r="E1408" s="55" t="n"/>
      <c r="F1408" s="54">
        <f>IF(E1408="","",IFERROR(IF(INDEX(lst_exp_item_cat,MATCH(E1408,lst_exp_items,0))="","❔ Без категории",INDEX(lst_exp_item_cat,MATCH(E1408,lst_exp_items,0))),"❔ Без категории"))</f>
        <v/>
      </c>
      <c r="G1408" s="43" t="n"/>
      <c r="H1408" s="56" t="n"/>
      <c r="I1408" s="43" t="n"/>
      <c r="J1408" s="57">
        <f>IF(OR(A1408="",H1408=""),"",IF(COUNTIFS(exp_year,C1408,exp_month,D1408,exp_item,E1408,exp_status,"&lt;&gt;❌ Отменено")&gt;0,1,0))</f>
        <v/>
      </c>
    </row>
    <row r="1409">
      <c r="A1409" s="52" t="n"/>
      <c r="B1409" s="53">
        <f>IF(A1409="","",CHOOSE(WEEKDAY(A1409,2),"Пн","Вт","Ср","Чт","Пт","Сб","Вс"))</f>
        <v/>
      </c>
      <c r="C1409" s="53">
        <f>IF(A1409="","",YEAR(A1409))</f>
        <v/>
      </c>
      <c r="D1409" s="54">
        <f>IF(A1409="","",INDEX(lst_months,MONTH(A1409)))</f>
        <v/>
      </c>
      <c r="E1409" s="55" t="n"/>
      <c r="F1409" s="54">
        <f>IF(E1409="","",IFERROR(IF(INDEX(lst_exp_item_cat,MATCH(E1409,lst_exp_items,0))="","❔ Без категории",INDEX(lst_exp_item_cat,MATCH(E1409,lst_exp_items,0))),"❔ Без категории"))</f>
        <v/>
      </c>
      <c r="G1409" s="43" t="n"/>
      <c r="H1409" s="56" t="n"/>
      <c r="I1409" s="43" t="n"/>
      <c r="J1409" s="57">
        <f>IF(OR(A1409="",H1409=""),"",IF(COUNTIFS(exp_year,C1409,exp_month,D1409,exp_item,E1409,exp_status,"&lt;&gt;❌ Отменено")&gt;0,1,0))</f>
        <v/>
      </c>
    </row>
    <row r="1410">
      <c r="A1410" s="52" t="n"/>
      <c r="B1410" s="53">
        <f>IF(A1410="","",CHOOSE(WEEKDAY(A1410,2),"Пн","Вт","Ср","Чт","Пт","Сб","Вс"))</f>
        <v/>
      </c>
      <c r="C1410" s="53">
        <f>IF(A1410="","",YEAR(A1410))</f>
        <v/>
      </c>
      <c r="D1410" s="54">
        <f>IF(A1410="","",INDEX(lst_months,MONTH(A1410)))</f>
        <v/>
      </c>
      <c r="E1410" s="55" t="n"/>
      <c r="F1410" s="54">
        <f>IF(E1410="","",IFERROR(IF(INDEX(lst_exp_item_cat,MATCH(E1410,lst_exp_items,0))="","❔ Без категории",INDEX(lst_exp_item_cat,MATCH(E1410,lst_exp_items,0))),"❔ Без категории"))</f>
        <v/>
      </c>
      <c r="G1410" s="43" t="n"/>
      <c r="H1410" s="56" t="n"/>
      <c r="I1410" s="43" t="n"/>
      <c r="J1410" s="57">
        <f>IF(OR(A1410="",H1410=""),"",IF(COUNTIFS(exp_year,C1410,exp_month,D1410,exp_item,E1410,exp_status,"&lt;&gt;❌ Отменено")&gt;0,1,0))</f>
        <v/>
      </c>
    </row>
    <row r="1411">
      <c r="A1411" s="52" t="n"/>
      <c r="B1411" s="53">
        <f>IF(A1411="","",CHOOSE(WEEKDAY(A1411,2),"Пн","Вт","Ср","Чт","Пт","Сб","Вс"))</f>
        <v/>
      </c>
      <c r="C1411" s="53">
        <f>IF(A1411="","",YEAR(A1411))</f>
        <v/>
      </c>
      <c r="D1411" s="54">
        <f>IF(A1411="","",INDEX(lst_months,MONTH(A1411)))</f>
        <v/>
      </c>
      <c r="E1411" s="55" t="n"/>
      <c r="F1411" s="54">
        <f>IF(E1411="","",IFERROR(IF(INDEX(lst_exp_item_cat,MATCH(E1411,lst_exp_items,0))="","❔ Без категории",INDEX(lst_exp_item_cat,MATCH(E1411,lst_exp_items,0))),"❔ Без категории"))</f>
        <v/>
      </c>
      <c r="G1411" s="43" t="n"/>
      <c r="H1411" s="56" t="n"/>
      <c r="I1411" s="43" t="n"/>
      <c r="J1411" s="57">
        <f>IF(OR(A1411="",H1411=""),"",IF(COUNTIFS(exp_year,C1411,exp_month,D1411,exp_item,E1411,exp_status,"&lt;&gt;❌ Отменено")&gt;0,1,0))</f>
        <v/>
      </c>
    </row>
    <row r="1412">
      <c r="A1412" s="52" t="n"/>
      <c r="B1412" s="53">
        <f>IF(A1412="","",CHOOSE(WEEKDAY(A1412,2),"Пн","Вт","Ср","Чт","Пт","Сб","Вс"))</f>
        <v/>
      </c>
      <c r="C1412" s="53">
        <f>IF(A1412="","",YEAR(A1412))</f>
        <v/>
      </c>
      <c r="D1412" s="54">
        <f>IF(A1412="","",INDEX(lst_months,MONTH(A1412)))</f>
        <v/>
      </c>
      <c r="E1412" s="55" t="n"/>
      <c r="F1412" s="54">
        <f>IF(E1412="","",IFERROR(IF(INDEX(lst_exp_item_cat,MATCH(E1412,lst_exp_items,0))="","❔ Без категории",INDEX(lst_exp_item_cat,MATCH(E1412,lst_exp_items,0))),"❔ Без категории"))</f>
        <v/>
      </c>
      <c r="G1412" s="43" t="n"/>
      <c r="H1412" s="56" t="n"/>
      <c r="I1412" s="43" t="n"/>
      <c r="J1412" s="57">
        <f>IF(OR(A1412="",H1412=""),"",IF(COUNTIFS(exp_year,C1412,exp_month,D1412,exp_item,E1412,exp_status,"&lt;&gt;❌ Отменено")&gt;0,1,0))</f>
        <v/>
      </c>
    </row>
    <row r="1413">
      <c r="A1413" s="52" t="n"/>
      <c r="B1413" s="53">
        <f>IF(A1413="","",CHOOSE(WEEKDAY(A1413,2),"Пн","Вт","Ср","Чт","Пт","Сб","Вс"))</f>
        <v/>
      </c>
      <c r="C1413" s="53">
        <f>IF(A1413="","",YEAR(A1413))</f>
        <v/>
      </c>
      <c r="D1413" s="54">
        <f>IF(A1413="","",INDEX(lst_months,MONTH(A1413)))</f>
        <v/>
      </c>
      <c r="E1413" s="55" t="n"/>
      <c r="F1413" s="54">
        <f>IF(E1413="","",IFERROR(IF(INDEX(lst_exp_item_cat,MATCH(E1413,lst_exp_items,0))="","❔ Без категории",INDEX(lst_exp_item_cat,MATCH(E1413,lst_exp_items,0))),"❔ Без категории"))</f>
        <v/>
      </c>
      <c r="G1413" s="43" t="n"/>
      <c r="H1413" s="56" t="n"/>
      <c r="I1413" s="43" t="n"/>
      <c r="J1413" s="57">
        <f>IF(OR(A1413="",H1413=""),"",IF(COUNTIFS(exp_year,C1413,exp_month,D1413,exp_item,E1413,exp_status,"&lt;&gt;❌ Отменено")&gt;0,1,0))</f>
        <v/>
      </c>
    </row>
    <row r="1414">
      <c r="A1414" s="52" t="n"/>
      <c r="B1414" s="53">
        <f>IF(A1414="","",CHOOSE(WEEKDAY(A1414,2),"Пн","Вт","Ср","Чт","Пт","Сб","Вс"))</f>
        <v/>
      </c>
      <c r="C1414" s="53">
        <f>IF(A1414="","",YEAR(A1414))</f>
        <v/>
      </c>
      <c r="D1414" s="54">
        <f>IF(A1414="","",INDEX(lst_months,MONTH(A1414)))</f>
        <v/>
      </c>
      <c r="E1414" s="55" t="n"/>
      <c r="F1414" s="54">
        <f>IF(E1414="","",IFERROR(IF(INDEX(lst_exp_item_cat,MATCH(E1414,lst_exp_items,0))="","❔ Без категории",INDEX(lst_exp_item_cat,MATCH(E1414,lst_exp_items,0))),"❔ Без категории"))</f>
        <v/>
      </c>
      <c r="G1414" s="43" t="n"/>
      <c r="H1414" s="56" t="n"/>
      <c r="I1414" s="43" t="n"/>
      <c r="J1414" s="57">
        <f>IF(OR(A1414="",H1414=""),"",IF(COUNTIFS(exp_year,C1414,exp_month,D1414,exp_item,E1414,exp_status,"&lt;&gt;❌ Отменено")&gt;0,1,0))</f>
        <v/>
      </c>
    </row>
    <row r="1415">
      <c r="A1415" s="52" t="n"/>
      <c r="B1415" s="53">
        <f>IF(A1415="","",CHOOSE(WEEKDAY(A1415,2),"Пн","Вт","Ср","Чт","Пт","Сб","Вс"))</f>
        <v/>
      </c>
      <c r="C1415" s="53">
        <f>IF(A1415="","",YEAR(A1415))</f>
        <v/>
      </c>
      <c r="D1415" s="54">
        <f>IF(A1415="","",INDEX(lst_months,MONTH(A1415)))</f>
        <v/>
      </c>
      <c r="E1415" s="55" t="n"/>
      <c r="F1415" s="54">
        <f>IF(E1415="","",IFERROR(IF(INDEX(lst_exp_item_cat,MATCH(E1415,lst_exp_items,0))="","❔ Без категории",INDEX(lst_exp_item_cat,MATCH(E1415,lst_exp_items,0))),"❔ Без категории"))</f>
        <v/>
      </c>
      <c r="G1415" s="43" t="n"/>
      <c r="H1415" s="56" t="n"/>
      <c r="I1415" s="43" t="n"/>
      <c r="J1415" s="57">
        <f>IF(OR(A1415="",H1415=""),"",IF(COUNTIFS(exp_year,C1415,exp_month,D1415,exp_item,E1415,exp_status,"&lt;&gt;❌ Отменено")&gt;0,1,0))</f>
        <v/>
      </c>
    </row>
    <row r="1416">
      <c r="A1416" s="52" t="n"/>
      <c r="B1416" s="53">
        <f>IF(A1416="","",CHOOSE(WEEKDAY(A1416,2),"Пн","Вт","Ср","Чт","Пт","Сб","Вс"))</f>
        <v/>
      </c>
      <c r="C1416" s="53">
        <f>IF(A1416="","",YEAR(A1416))</f>
        <v/>
      </c>
      <c r="D1416" s="54">
        <f>IF(A1416="","",INDEX(lst_months,MONTH(A1416)))</f>
        <v/>
      </c>
      <c r="E1416" s="55" t="n"/>
      <c r="F1416" s="54">
        <f>IF(E1416="","",IFERROR(IF(INDEX(lst_exp_item_cat,MATCH(E1416,lst_exp_items,0))="","❔ Без категории",INDEX(lst_exp_item_cat,MATCH(E1416,lst_exp_items,0))),"❔ Без категории"))</f>
        <v/>
      </c>
      <c r="G1416" s="43" t="n"/>
      <c r="H1416" s="56" t="n"/>
      <c r="I1416" s="43" t="n"/>
      <c r="J1416" s="57">
        <f>IF(OR(A1416="",H1416=""),"",IF(COUNTIFS(exp_year,C1416,exp_month,D1416,exp_item,E1416,exp_status,"&lt;&gt;❌ Отменено")&gt;0,1,0))</f>
        <v/>
      </c>
    </row>
    <row r="1417">
      <c r="A1417" s="52" t="n"/>
      <c r="B1417" s="53">
        <f>IF(A1417="","",CHOOSE(WEEKDAY(A1417,2),"Пн","Вт","Ср","Чт","Пт","Сб","Вс"))</f>
        <v/>
      </c>
      <c r="C1417" s="53">
        <f>IF(A1417="","",YEAR(A1417))</f>
        <v/>
      </c>
      <c r="D1417" s="54">
        <f>IF(A1417="","",INDEX(lst_months,MONTH(A1417)))</f>
        <v/>
      </c>
      <c r="E1417" s="55" t="n"/>
      <c r="F1417" s="54">
        <f>IF(E1417="","",IFERROR(IF(INDEX(lst_exp_item_cat,MATCH(E1417,lst_exp_items,0))="","❔ Без категории",INDEX(lst_exp_item_cat,MATCH(E1417,lst_exp_items,0))),"❔ Без категории"))</f>
        <v/>
      </c>
      <c r="G1417" s="43" t="n"/>
      <c r="H1417" s="56" t="n"/>
      <c r="I1417" s="43" t="n"/>
      <c r="J1417" s="57">
        <f>IF(OR(A1417="",H1417=""),"",IF(COUNTIFS(exp_year,C1417,exp_month,D1417,exp_item,E1417,exp_status,"&lt;&gt;❌ Отменено")&gt;0,1,0))</f>
        <v/>
      </c>
    </row>
    <row r="1418">
      <c r="A1418" s="52" t="n"/>
      <c r="B1418" s="53">
        <f>IF(A1418="","",CHOOSE(WEEKDAY(A1418,2),"Пн","Вт","Ср","Чт","Пт","Сб","Вс"))</f>
        <v/>
      </c>
      <c r="C1418" s="53">
        <f>IF(A1418="","",YEAR(A1418))</f>
        <v/>
      </c>
      <c r="D1418" s="54">
        <f>IF(A1418="","",INDEX(lst_months,MONTH(A1418)))</f>
        <v/>
      </c>
      <c r="E1418" s="55" t="n"/>
      <c r="F1418" s="54">
        <f>IF(E1418="","",IFERROR(IF(INDEX(lst_exp_item_cat,MATCH(E1418,lst_exp_items,0))="","❔ Без категории",INDEX(lst_exp_item_cat,MATCH(E1418,lst_exp_items,0))),"❔ Без категории"))</f>
        <v/>
      </c>
      <c r="G1418" s="43" t="n"/>
      <c r="H1418" s="56" t="n"/>
      <c r="I1418" s="43" t="n"/>
      <c r="J1418" s="57">
        <f>IF(OR(A1418="",H1418=""),"",IF(COUNTIFS(exp_year,C1418,exp_month,D1418,exp_item,E1418,exp_status,"&lt;&gt;❌ Отменено")&gt;0,1,0))</f>
        <v/>
      </c>
    </row>
    <row r="1419">
      <c r="A1419" s="52" t="n"/>
      <c r="B1419" s="53">
        <f>IF(A1419="","",CHOOSE(WEEKDAY(A1419,2),"Пн","Вт","Ср","Чт","Пт","Сб","Вс"))</f>
        <v/>
      </c>
      <c r="C1419" s="53">
        <f>IF(A1419="","",YEAR(A1419))</f>
        <v/>
      </c>
      <c r="D1419" s="54">
        <f>IF(A1419="","",INDEX(lst_months,MONTH(A1419)))</f>
        <v/>
      </c>
      <c r="E1419" s="55" t="n"/>
      <c r="F1419" s="54">
        <f>IF(E1419="","",IFERROR(IF(INDEX(lst_exp_item_cat,MATCH(E1419,lst_exp_items,0))="","❔ Без категории",INDEX(lst_exp_item_cat,MATCH(E1419,lst_exp_items,0))),"❔ Без категории"))</f>
        <v/>
      </c>
      <c r="G1419" s="43" t="n"/>
      <c r="H1419" s="56" t="n"/>
      <c r="I1419" s="43" t="n"/>
      <c r="J1419" s="57">
        <f>IF(OR(A1419="",H1419=""),"",IF(COUNTIFS(exp_year,C1419,exp_month,D1419,exp_item,E1419,exp_status,"&lt;&gt;❌ Отменено")&gt;0,1,0))</f>
        <v/>
      </c>
    </row>
    <row r="1420">
      <c r="A1420" s="52" t="n"/>
      <c r="B1420" s="53">
        <f>IF(A1420="","",CHOOSE(WEEKDAY(A1420,2),"Пн","Вт","Ср","Чт","Пт","Сб","Вс"))</f>
        <v/>
      </c>
      <c r="C1420" s="53">
        <f>IF(A1420="","",YEAR(A1420))</f>
        <v/>
      </c>
      <c r="D1420" s="54">
        <f>IF(A1420="","",INDEX(lst_months,MONTH(A1420)))</f>
        <v/>
      </c>
      <c r="E1420" s="55" t="n"/>
      <c r="F1420" s="54">
        <f>IF(E1420="","",IFERROR(IF(INDEX(lst_exp_item_cat,MATCH(E1420,lst_exp_items,0))="","❔ Без категории",INDEX(lst_exp_item_cat,MATCH(E1420,lst_exp_items,0))),"❔ Без категории"))</f>
        <v/>
      </c>
      <c r="G1420" s="43" t="n"/>
      <c r="H1420" s="56" t="n"/>
      <c r="I1420" s="43" t="n"/>
      <c r="J1420" s="57">
        <f>IF(OR(A1420="",H1420=""),"",IF(COUNTIFS(exp_year,C1420,exp_month,D1420,exp_item,E1420,exp_status,"&lt;&gt;❌ Отменено")&gt;0,1,0))</f>
        <v/>
      </c>
    </row>
    <row r="1421">
      <c r="A1421" s="52" t="n"/>
      <c r="B1421" s="53">
        <f>IF(A1421="","",CHOOSE(WEEKDAY(A1421,2),"Пн","Вт","Ср","Чт","Пт","Сб","Вс"))</f>
        <v/>
      </c>
      <c r="C1421" s="53">
        <f>IF(A1421="","",YEAR(A1421))</f>
        <v/>
      </c>
      <c r="D1421" s="54">
        <f>IF(A1421="","",INDEX(lst_months,MONTH(A1421)))</f>
        <v/>
      </c>
      <c r="E1421" s="55" t="n"/>
      <c r="F1421" s="54">
        <f>IF(E1421="","",IFERROR(IF(INDEX(lst_exp_item_cat,MATCH(E1421,lst_exp_items,0))="","❔ Без категории",INDEX(lst_exp_item_cat,MATCH(E1421,lst_exp_items,0))),"❔ Без категории"))</f>
        <v/>
      </c>
      <c r="G1421" s="43" t="n"/>
      <c r="H1421" s="56" t="n"/>
      <c r="I1421" s="43" t="n"/>
      <c r="J1421" s="57">
        <f>IF(OR(A1421="",H1421=""),"",IF(COUNTIFS(exp_year,C1421,exp_month,D1421,exp_item,E1421,exp_status,"&lt;&gt;❌ Отменено")&gt;0,1,0))</f>
        <v/>
      </c>
    </row>
    <row r="1422">
      <c r="A1422" s="52" t="n"/>
      <c r="B1422" s="53">
        <f>IF(A1422="","",CHOOSE(WEEKDAY(A1422,2),"Пн","Вт","Ср","Чт","Пт","Сб","Вс"))</f>
        <v/>
      </c>
      <c r="C1422" s="53">
        <f>IF(A1422="","",YEAR(A1422))</f>
        <v/>
      </c>
      <c r="D1422" s="54">
        <f>IF(A1422="","",INDEX(lst_months,MONTH(A1422)))</f>
        <v/>
      </c>
      <c r="E1422" s="55" t="n"/>
      <c r="F1422" s="54">
        <f>IF(E1422="","",IFERROR(IF(INDEX(lst_exp_item_cat,MATCH(E1422,lst_exp_items,0))="","❔ Без категории",INDEX(lst_exp_item_cat,MATCH(E1422,lst_exp_items,0))),"❔ Без категории"))</f>
        <v/>
      </c>
      <c r="G1422" s="43" t="n"/>
      <c r="H1422" s="56" t="n"/>
      <c r="I1422" s="43" t="n"/>
      <c r="J1422" s="57">
        <f>IF(OR(A1422="",H1422=""),"",IF(COUNTIFS(exp_year,C1422,exp_month,D1422,exp_item,E1422,exp_status,"&lt;&gt;❌ Отменено")&gt;0,1,0))</f>
        <v/>
      </c>
    </row>
    <row r="1423">
      <c r="A1423" s="52" t="n"/>
      <c r="B1423" s="53">
        <f>IF(A1423="","",CHOOSE(WEEKDAY(A1423,2),"Пн","Вт","Ср","Чт","Пт","Сб","Вс"))</f>
        <v/>
      </c>
      <c r="C1423" s="53">
        <f>IF(A1423="","",YEAR(A1423))</f>
        <v/>
      </c>
      <c r="D1423" s="54">
        <f>IF(A1423="","",INDEX(lst_months,MONTH(A1423)))</f>
        <v/>
      </c>
      <c r="E1423" s="55" t="n"/>
      <c r="F1423" s="54">
        <f>IF(E1423="","",IFERROR(IF(INDEX(lst_exp_item_cat,MATCH(E1423,lst_exp_items,0))="","❔ Без категории",INDEX(lst_exp_item_cat,MATCH(E1423,lst_exp_items,0))),"❔ Без категории"))</f>
        <v/>
      </c>
      <c r="G1423" s="43" t="n"/>
      <c r="H1423" s="56" t="n"/>
      <c r="I1423" s="43" t="n"/>
      <c r="J1423" s="57">
        <f>IF(OR(A1423="",H1423=""),"",IF(COUNTIFS(exp_year,C1423,exp_month,D1423,exp_item,E1423,exp_status,"&lt;&gt;❌ Отменено")&gt;0,1,0))</f>
        <v/>
      </c>
    </row>
    <row r="1424">
      <c r="A1424" s="52" t="n"/>
      <c r="B1424" s="53">
        <f>IF(A1424="","",CHOOSE(WEEKDAY(A1424,2),"Пн","Вт","Ср","Чт","Пт","Сб","Вс"))</f>
        <v/>
      </c>
      <c r="C1424" s="53">
        <f>IF(A1424="","",YEAR(A1424))</f>
        <v/>
      </c>
      <c r="D1424" s="54">
        <f>IF(A1424="","",INDEX(lst_months,MONTH(A1424)))</f>
        <v/>
      </c>
      <c r="E1424" s="55" t="n"/>
      <c r="F1424" s="54">
        <f>IF(E1424="","",IFERROR(IF(INDEX(lst_exp_item_cat,MATCH(E1424,lst_exp_items,0))="","❔ Без категории",INDEX(lst_exp_item_cat,MATCH(E1424,lst_exp_items,0))),"❔ Без категории"))</f>
        <v/>
      </c>
      <c r="G1424" s="43" t="n"/>
      <c r="H1424" s="56" t="n"/>
      <c r="I1424" s="43" t="n"/>
      <c r="J1424" s="57">
        <f>IF(OR(A1424="",H1424=""),"",IF(COUNTIFS(exp_year,C1424,exp_month,D1424,exp_item,E1424,exp_status,"&lt;&gt;❌ Отменено")&gt;0,1,0))</f>
        <v/>
      </c>
    </row>
    <row r="1425">
      <c r="A1425" s="52" t="n"/>
      <c r="B1425" s="53">
        <f>IF(A1425="","",CHOOSE(WEEKDAY(A1425,2),"Пн","Вт","Ср","Чт","Пт","Сб","Вс"))</f>
        <v/>
      </c>
      <c r="C1425" s="53">
        <f>IF(A1425="","",YEAR(A1425))</f>
        <v/>
      </c>
      <c r="D1425" s="54">
        <f>IF(A1425="","",INDEX(lst_months,MONTH(A1425)))</f>
        <v/>
      </c>
      <c r="E1425" s="55" t="n"/>
      <c r="F1425" s="54">
        <f>IF(E1425="","",IFERROR(IF(INDEX(lst_exp_item_cat,MATCH(E1425,lst_exp_items,0))="","❔ Без категории",INDEX(lst_exp_item_cat,MATCH(E1425,lst_exp_items,0))),"❔ Без категории"))</f>
        <v/>
      </c>
      <c r="G1425" s="43" t="n"/>
      <c r="H1425" s="56" t="n"/>
      <c r="I1425" s="43" t="n"/>
      <c r="J1425" s="57">
        <f>IF(OR(A1425="",H1425=""),"",IF(COUNTIFS(exp_year,C1425,exp_month,D1425,exp_item,E1425,exp_status,"&lt;&gt;❌ Отменено")&gt;0,1,0))</f>
        <v/>
      </c>
    </row>
    <row r="1426">
      <c r="A1426" s="52" t="n"/>
      <c r="B1426" s="53">
        <f>IF(A1426="","",CHOOSE(WEEKDAY(A1426,2),"Пн","Вт","Ср","Чт","Пт","Сб","Вс"))</f>
        <v/>
      </c>
      <c r="C1426" s="53">
        <f>IF(A1426="","",YEAR(A1426))</f>
        <v/>
      </c>
      <c r="D1426" s="54">
        <f>IF(A1426="","",INDEX(lst_months,MONTH(A1426)))</f>
        <v/>
      </c>
      <c r="E1426" s="55" t="n"/>
      <c r="F1426" s="54">
        <f>IF(E1426="","",IFERROR(IF(INDEX(lst_exp_item_cat,MATCH(E1426,lst_exp_items,0))="","❔ Без категории",INDEX(lst_exp_item_cat,MATCH(E1426,lst_exp_items,0))),"❔ Без категории"))</f>
        <v/>
      </c>
      <c r="G1426" s="43" t="n"/>
      <c r="H1426" s="56" t="n"/>
      <c r="I1426" s="43" t="n"/>
      <c r="J1426" s="57">
        <f>IF(OR(A1426="",H1426=""),"",IF(COUNTIFS(exp_year,C1426,exp_month,D1426,exp_item,E1426,exp_status,"&lt;&gt;❌ Отменено")&gt;0,1,0))</f>
        <v/>
      </c>
    </row>
    <row r="1427">
      <c r="A1427" s="52" t="n"/>
      <c r="B1427" s="53">
        <f>IF(A1427="","",CHOOSE(WEEKDAY(A1427,2),"Пн","Вт","Ср","Чт","Пт","Сб","Вс"))</f>
        <v/>
      </c>
      <c r="C1427" s="53">
        <f>IF(A1427="","",YEAR(A1427))</f>
        <v/>
      </c>
      <c r="D1427" s="54">
        <f>IF(A1427="","",INDEX(lst_months,MONTH(A1427)))</f>
        <v/>
      </c>
      <c r="E1427" s="55" t="n"/>
      <c r="F1427" s="54">
        <f>IF(E1427="","",IFERROR(IF(INDEX(lst_exp_item_cat,MATCH(E1427,lst_exp_items,0))="","❔ Без категории",INDEX(lst_exp_item_cat,MATCH(E1427,lst_exp_items,0))),"❔ Без категории"))</f>
        <v/>
      </c>
      <c r="G1427" s="43" t="n"/>
      <c r="H1427" s="56" t="n"/>
      <c r="I1427" s="43" t="n"/>
      <c r="J1427" s="57">
        <f>IF(OR(A1427="",H1427=""),"",IF(COUNTIFS(exp_year,C1427,exp_month,D1427,exp_item,E1427,exp_status,"&lt;&gt;❌ Отменено")&gt;0,1,0))</f>
        <v/>
      </c>
    </row>
    <row r="1428">
      <c r="A1428" s="52" t="n"/>
      <c r="B1428" s="53">
        <f>IF(A1428="","",CHOOSE(WEEKDAY(A1428,2),"Пн","Вт","Ср","Чт","Пт","Сб","Вс"))</f>
        <v/>
      </c>
      <c r="C1428" s="53">
        <f>IF(A1428="","",YEAR(A1428))</f>
        <v/>
      </c>
      <c r="D1428" s="54">
        <f>IF(A1428="","",INDEX(lst_months,MONTH(A1428)))</f>
        <v/>
      </c>
      <c r="E1428" s="55" t="n"/>
      <c r="F1428" s="54">
        <f>IF(E1428="","",IFERROR(IF(INDEX(lst_exp_item_cat,MATCH(E1428,lst_exp_items,0))="","❔ Без категории",INDEX(lst_exp_item_cat,MATCH(E1428,lst_exp_items,0))),"❔ Без категории"))</f>
        <v/>
      </c>
      <c r="G1428" s="43" t="n"/>
      <c r="H1428" s="56" t="n"/>
      <c r="I1428" s="43" t="n"/>
      <c r="J1428" s="57">
        <f>IF(OR(A1428="",H1428=""),"",IF(COUNTIFS(exp_year,C1428,exp_month,D1428,exp_item,E1428,exp_status,"&lt;&gt;❌ Отменено")&gt;0,1,0))</f>
        <v/>
      </c>
    </row>
    <row r="1429">
      <c r="A1429" s="52" t="n"/>
      <c r="B1429" s="53">
        <f>IF(A1429="","",CHOOSE(WEEKDAY(A1429,2),"Пн","Вт","Ср","Чт","Пт","Сб","Вс"))</f>
        <v/>
      </c>
      <c r="C1429" s="53">
        <f>IF(A1429="","",YEAR(A1429))</f>
        <v/>
      </c>
      <c r="D1429" s="54">
        <f>IF(A1429="","",INDEX(lst_months,MONTH(A1429)))</f>
        <v/>
      </c>
      <c r="E1429" s="55" t="n"/>
      <c r="F1429" s="54">
        <f>IF(E1429="","",IFERROR(IF(INDEX(lst_exp_item_cat,MATCH(E1429,lst_exp_items,0))="","❔ Без категории",INDEX(lst_exp_item_cat,MATCH(E1429,lst_exp_items,0))),"❔ Без категории"))</f>
        <v/>
      </c>
      <c r="G1429" s="43" t="n"/>
      <c r="H1429" s="56" t="n"/>
      <c r="I1429" s="43" t="n"/>
      <c r="J1429" s="57">
        <f>IF(OR(A1429="",H1429=""),"",IF(COUNTIFS(exp_year,C1429,exp_month,D1429,exp_item,E1429,exp_status,"&lt;&gt;❌ Отменено")&gt;0,1,0))</f>
        <v/>
      </c>
    </row>
    <row r="1430">
      <c r="A1430" s="52" t="n"/>
      <c r="B1430" s="53">
        <f>IF(A1430="","",CHOOSE(WEEKDAY(A1430,2),"Пн","Вт","Ср","Чт","Пт","Сб","Вс"))</f>
        <v/>
      </c>
      <c r="C1430" s="53">
        <f>IF(A1430="","",YEAR(A1430))</f>
        <v/>
      </c>
      <c r="D1430" s="54">
        <f>IF(A1430="","",INDEX(lst_months,MONTH(A1430)))</f>
        <v/>
      </c>
      <c r="E1430" s="55" t="n"/>
      <c r="F1430" s="54">
        <f>IF(E1430="","",IFERROR(IF(INDEX(lst_exp_item_cat,MATCH(E1430,lst_exp_items,0))="","❔ Без категории",INDEX(lst_exp_item_cat,MATCH(E1430,lst_exp_items,0))),"❔ Без категории"))</f>
        <v/>
      </c>
      <c r="G1430" s="43" t="n"/>
      <c r="H1430" s="56" t="n"/>
      <c r="I1430" s="43" t="n"/>
      <c r="J1430" s="57">
        <f>IF(OR(A1430="",H1430=""),"",IF(COUNTIFS(exp_year,C1430,exp_month,D1430,exp_item,E1430,exp_status,"&lt;&gt;❌ Отменено")&gt;0,1,0))</f>
        <v/>
      </c>
    </row>
    <row r="1431">
      <c r="A1431" s="52" t="n"/>
      <c r="B1431" s="53">
        <f>IF(A1431="","",CHOOSE(WEEKDAY(A1431,2),"Пн","Вт","Ср","Чт","Пт","Сб","Вс"))</f>
        <v/>
      </c>
      <c r="C1431" s="53">
        <f>IF(A1431="","",YEAR(A1431))</f>
        <v/>
      </c>
      <c r="D1431" s="54">
        <f>IF(A1431="","",INDEX(lst_months,MONTH(A1431)))</f>
        <v/>
      </c>
      <c r="E1431" s="55" t="n"/>
      <c r="F1431" s="54">
        <f>IF(E1431="","",IFERROR(IF(INDEX(lst_exp_item_cat,MATCH(E1431,lst_exp_items,0))="","❔ Без категории",INDEX(lst_exp_item_cat,MATCH(E1431,lst_exp_items,0))),"❔ Без категории"))</f>
        <v/>
      </c>
      <c r="G1431" s="43" t="n"/>
      <c r="H1431" s="56" t="n"/>
      <c r="I1431" s="43" t="n"/>
      <c r="J1431" s="57">
        <f>IF(OR(A1431="",H1431=""),"",IF(COUNTIFS(exp_year,C1431,exp_month,D1431,exp_item,E1431,exp_status,"&lt;&gt;❌ Отменено")&gt;0,1,0))</f>
        <v/>
      </c>
    </row>
    <row r="1432">
      <c r="A1432" s="52" t="n"/>
      <c r="B1432" s="53">
        <f>IF(A1432="","",CHOOSE(WEEKDAY(A1432,2),"Пн","Вт","Ср","Чт","Пт","Сб","Вс"))</f>
        <v/>
      </c>
      <c r="C1432" s="53">
        <f>IF(A1432="","",YEAR(A1432))</f>
        <v/>
      </c>
      <c r="D1432" s="54">
        <f>IF(A1432="","",INDEX(lst_months,MONTH(A1432)))</f>
        <v/>
      </c>
      <c r="E1432" s="55" t="n"/>
      <c r="F1432" s="54">
        <f>IF(E1432="","",IFERROR(IF(INDEX(lst_exp_item_cat,MATCH(E1432,lst_exp_items,0))="","❔ Без категории",INDEX(lst_exp_item_cat,MATCH(E1432,lst_exp_items,0))),"❔ Без категории"))</f>
        <v/>
      </c>
      <c r="G1432" s="43" t="n"/>
      <c r="H1432" s="56" t="n"/>
      <c r="I1432" s="43" t="n"/>
      <c r="J1432" s="57">
        <f>IF(OR(A1432="",H1432=""),"",IF(COUNTIFS(exp_year,C1432,exp_month,D1432,exp_item,E1432,exp_status,"&lt;&gt;❌ Отменено")&gt;0,1,0))</f>
        <v/>
      </c>
    </row>
    <row r="1433">
      <c r="A1433" s="52" t="n"/>
      <c r="B1433" s="53">
        <f>IF(A1433="","",CHOOSE(WEEKDAY(A1433,2),"Пн","Вт","Ср","Чт","Пт","Сб","Вс"))</f>
        <v/>
      </c>
      <c r="C1433" s="53">
        <f>IF(A1433="","",YEAR(A1433))</f>
        <v/>
      </c>
      <c r="D1433" s="54">
        <f>IF(A1433="","",INDEX(lst_months,MONTH(A1433)))</f>
        <v/>
      </c>
      <c r="E1433" s="55" t="n"/>
      <c r="F1433" s="54">
        <f>IF(E1433="","",IFERROR(IF(INDEX(lst_exp_item_cat,MATCH(E1433,lst_exp_items,0))="","❔ Без категории",INDEX(lst_exp_item_cat,MATCH(E1433,lst_exp_items,0))),"❔ Без категории"))</f>
        <v/>
      </c>
      <c r="G1433" s="43" t="n"/>
      <c r="H1433" s="56" t="n"/>
      <c r="I1433" s="43" t="n"/>
      <c r="J1433" s="57">
        <f>IF(OR(A1433="",H1433=""),"",IF(COUNTIFS(exp_year,C1433,exp_month,D1433,exp_item,E1433,exp_status,"&lt;&gt;❌ Отменено")&gt;0,1,0))</f>
        <v/>
      </c>
    </row>
    <row r="1434">
      <c r="A1434" s="52" t="n"/>
      <c r="B1434" s="53">
        <f>IF(A1434="","",CHOOSE(WEEKDAY(A1434,2),"Пн","Вт","Ср","Чт","Пт","Сб","Вс"))</f>
        <v/>
      </c>
      <c r="C1434" s="53">
        <f>IF(A1434="","",YEAR(A1434))</f>
        <v/>
      </c>
      <c r="D1434" s="54">
        <f>IF(A1434="","",INDEX(lst_months,MONTH(A1434)))</f>
        <v/>
      </c>
      <c r="E1434" s="55" t="n"/>
      <c r="F1434" s="54">
        <f>IF(E1434="","",IFERROR(IF(INDEX(lst_exp_item_cat,MATCH(E1434,lst_exp_items,0))="","❔ Без категории",INDEX(lst_exp_item_cat,MATCH(E1434,lst_exp_items,0))),"❔ Без категории"))</f>
        <v/>
      </c>
      <c r="G1434" s="43" t="n"/>
      <c r="H1434" s="56" t="n"/>
      <c r="I1434" s="43" t="n"/>
      <c r="J1434" s="57">
        <f>IF(OR(A1434="",H1434=""),"",IF(COUNTIFS(exp_year,C1434,exp_month,D1434,exp_item,E1434,exp_status,"&lt;&gt;❌ Отменено")&gt;0,1,0))</f>
        <v/>
      </c>
    </row>
    <row r="1435">
      <c r="A1435" s="52" t="n"/>
      <c r="B1435" s="53">
        <f>IF(A1435="","",CHOOSE(WEEKDAY(A1435,2),"Пн","Вт","Ср","Чт","Пт","Сб","Вс"))</f>
        <v/>
      </c>
      <c r="C1435" s="53">
        <f>IF(A1435="","",YEAR(A1435))</f>
        <v/>
      </c>
      <c r="D1435" s="54">
        <f>IF(A1435="","",INDEX(lst_months,MONTH(A1435)))</f>
        <v/>
      </c>
      <c r="E1435" s="55" t="n"/>
      <c r="F1435" s="54">
        <f>IF(E1435="","",IFERROR(IF(INDEX(lst_exp_item_cat,MATCH(E1435,lst_exp_items,0))="","❔ Без категории",INDEX(lst_exp_item_cat,MATCH(E1435,lst_exp_items,0))),"❔ Без категории"))</f>
        <v/>
      </c>
      <c r="G1435" s="43" t="n"/>
      <c r="H1435" s="56" t="n"/>
      <c r="I1435" s="43" t="n"/>
      <c r="J1435" s="57">
        <f>IF(OR(A1435="",H1435=""),"",IF(COUNTIFS(exp_year,C1435,exp_month,D1435,exp_item,E1435,exp_status,"&lt;&gt;❌ Отменено")&gt;0,1,0))</f>
        <v/>
      </c>
    </row>
    <row r="1436">
      <c r="A1436" s="52" t="n"/>
      <c r="B1436" s="53">
        <f>IF(A1436="","",CHOOSE(WEEKDAY(A1436,2),"Пн","Вт","Ср","Чт","Пт","Сб","Вс"))</f>
        <v/>
      </c>
      <c r="C1436" s="53">
        <f>IF(A1436="","",YEAR(A1436))</f>
        <v/>
      </c>
      <c r="D1436" s="54">
        <f>IF(A1436="","",INDEX(lst_months,MONTH(A1436)))</f>
        <v/>
      </c>
      <c r="E1436" s="55" t="n"/>
      <c r="F1436" s="54">
        <f>IF(E1436="","",IFERROR(IF(INDEX(lst_exp_item_cat,MATCH(E1436,lst_exp_items,0))="","❔ Без категории",INDEX(lst_exp_item_cat,MATCH(E1436,lst_exp_items,0))),"❔ Без категории"))</f>
        <v/>
      </c>
      <c r="G1436" s="43" t="n"/>
      <c r="H1436" s="56" t="n"/>
      <c r="I1436" s="43" t="n"/>
      <c r="J1436" s="57">
        <f>IF(OR(A1436="",H1436=""),"",IF(COUNTIFS(exp_year,C1436,exp_month,D1436,exp_item,E1436,exp_status,"&lt;&gt;❌ Отменено")&gt;0,1,0))</f>
        <v/>
      </c>
    </row>
    <row r="1437">
      <c r="A1437" s="52" t="n"/>
      <c r="B1437" s="53">
        <f>IF(A1437="","",CHOOSE(WEEKDAY(A1437,2),"Пн","Вт","Ср","Чт","Пт","Сб","Вс"))</f>
        <v/>
      </c>
      <c r="C1437" s="53">
        <f>IF(A1437="","",YEAR(A1437))</f>
        <v/>
      </c>
      <c r="D1437" s="54">
        <f>IF(A1437="","",INDEX(lst_months,MONTH(A1437)))</f>
        <v/>
      </c>
      <c r="E1437" s="55" t="n"/>
      <c r="F1437" s="54">
        <f>IF(E1437="","",IFERROR(IF(INDEX(lst_exp_item_cat,MATCH(E1437,lst_exp_items,0))="","❔ Без категории",INDEX(lst_exp_item_cat,MATCH(E1437,lst_exp_items,0))),"❔ Без категории"))</f>
        <v/>
      </c>
      <c r="G1437" s="43" t="n"/>
      <c r="H1437" s="56" t="n"/>
      <c r="I1437" s="43" t="n"/>
      <c r="J1437" s="57">
        <f>IF(OR(A1437="",H1437=""),"",IF(COUNTIFS(exp_year,C1437,exp_month,D1437,exp_item,E1437,exp_status,"&lt;&gt;❌ Отменено")&gt;0,1,0))</f>
        <v/>
      </c>
    </row>
    <row r="1438">
      <c r="A1438" s="52" t="n"/>
      <c r="B1438" s="53">
        <f>IF(A1438="","",CHOOSE(WEEKDAY(A1438,2),"Пн","Вт","Ср","Чт","Пт","Сб","Вс"))</f>
        <v/>
      </c>
      <c r="C1438" s="53">
        <f>IF(A1438="","",YEAR(A1438))</f>
        <v/>
      </c>
      <c r="D1438" s="54">
        <f>IF(A1438="","",INDEX(lst_months,MONTH(A1438)))</f>
        <v/>
      </c>
      <c r="E1438" s="55" t="n"/>
      <c r="F1438" s="54">
        <f>IF(E1438="","",IFERROR(IF(INDEX(lst_exp_item_cat,MATCH(E1438,lst_exp_items,0))="","❔ Без категории",INDEX(lst_exp_item_cat,MATCH(E1438,lst_exp_items,0))),"❔ Без категории"))</f>
        <v/>
      </c>
      <c r="G1438" s="43" t="n"/>
      <c r="H1438" s="56" t="n"/>
      <c r="I1438" s="43" t="n"/>
      <c r="J1438" s="57">
        <f>IF(OR(A1438="",H1438=""),"",IF(COUNTIFS(exp_year,C1438,exp_month,D1438,exp_item,E1438,exp_status,"&lt;&gt;❌ Отменено")&gt;0,1,0))</f>
        <v/>
      </c>
    </row>
    <row r="1439">
      <c r="A1439" s="52" t="n"/>
      <c r="B1439" s="53">
        <f>IF(A1439="","",CHOOSE(WEEKDAY(A1439,2),"Пн","Вт","Ср","Чт","Пт","Сб","Вс"))</f>
        <v/>
      </c>
      <c r="C1439" s="53">
        <f>IF(A1439="","",YEAR(A1439))</f>
        <v/>
      </c>
      <c r="D1439" s="54">
        <f>IF(A1439="","",INDEX(lst_months,MONTH(A1439)))</f>
        <v/>
      </c>
      <c r="E1439" s="55" t="n"/>
      <c r="F1439" s="54">
        <f>IF(E1439="","",IFERROR(IF(INDEX(lst_exp_item_cat,MATCH(E1439,lst_exp_items,0))="","❔ Без категории",INDEX(lst_exp_item_cat,MATCH(E1439,lst_exp_items,0))),"❔ Без категории"))</f>
        <v/>
      </c>
      <c r="G1439" s="43" t="n"/>
      <c r="H1439" s="56" t="n"/>
      <c r="I1439" s="43" t="n"/>
      <c r="J1439" s="57">
        <f>IF(OR(A1439="",H1439=""),"",IF(COUNTIFS(exp_year,C1439,exp_month,D1439,exp_item,E1439,exp_status,"&lt;&gt;❌ Отменено")&gt;0,1,0))</f>
        <v/>
      </c>
    </row>
    <row r="1440">
      <c r="A1440" s="52" t="n"/>
      <c r="B1440" s="53">
        <f>IF(A1440="","",CHOOSE(WEEKDAY(A1440,2),"Пн","Вт","Ср","Чт","Пт","Сб","Вс"))</f>
        <v/>
      </c>
      <c r="C1440" s="53">
        <f>IF(A1440="","",YEAR(A1440))</f>
        <v/>
      </c>
      <c r="D1440" s="54">
        <f>IF(A1440="","",INDEX(lst_months,MONTH(A1440)))</f>
        <v/>
      </c>
      <c r="E1440" s="55" t="n"/>
      <c r="F1440" s="54">
        <f>IF(E1440="","",IFERROR(IF(INDEX(lst_exp_item_cat,MATCH(E1440,lst_exp_items,0))="","❔ Без категории",INDEX(lst_exp_item_cat,MATCH(E1440,lst_exp_items,0))),"❔ Без категории"))</f>
        <v/>
      </c>
      <c r="G1440" s="43" t="n"/>
      <c r="H1440" s="56" t="n"/>
      <c r="I1440" s="43" t="n"/>
      <c r="J1440" s="57">
        <f>IF(OR(A1440="",H1440=""),"",IF(COUNTIFS(exp_year,C1440,exp_month,D1440,exp_item,E1440,exp_status,"&lt;&gt;❌ Отменено")&gt;0,1,0))</f>
        <v/>
      </c>
    </row>
    <row r="1441">
      <c r="A1441" s="52" t="n"/>
      <c r="B1441" s="53">
        <f>IF(A1441="","",CHOOSE(WEEKDAY(A1441,2),"Пн","Вт","Ср","Чт","Пт","Сб","Вс"))</f>
        <v/>
      </c>
      <c r="C1441" s="53">
        <f>IF(A1441="","",YEAR(A1441))</f>
        <v/>
      </c>
      <c r="D1441" s="54">
        <f>IF(A1441="","",INDEX(lst_months,MONTH(A1441)))</f>
        <v/>
      </c>
      <c r="E1441" s="55" t="n"/>
      <c r="F1441" s="54">
        <f>IF(E1441="","",IFERROR(IF(INDEX(lst_exp_item_cat,MATCH(E1441,lst_exp_items,0))="","❔ Без категории",INDEX(lst_exp_item_cat,MATCH(E1441,lst_exp_items,0))),"❔ Без категории"))</f>
        <v/>
      </c>
      <c r="G1441" s="43" t="n"/>
      <c r="H1441" s="56" t="n"/>
      <c r="I1441" s="43" t="n"/>
      <c r="J1441" s="57">
        <f>IF(OR(A1441="",H1441=""),"",IF(COUNTIFS(exp_year,C1441,exp_month,D1441,exp_item,E1441,exp_status,"&lt;&gt;❌ Отменено")&gt;0,1,0))</f>
        <v/>
      </c>
    </row>
    <row r="1442">
      <c r="A1442" s="52" t="n"/>
      <c r="B1442" s="53">
        <f>IF(A1442="","",CHOOSE(WEEKDAY(A1442,2),"Пн","Вт","Ср","Чт","Пт","Сб","Вс"))</f>
        <v/>
      </c>
      <c r="C1442" s="53">
        <f>IF(A1442="","",YEAR(A1442))</f>
        <v/>
      </c>
      <c r="D1442" s="54">
        <f>IF(A1442="","",INDEX(lst_months,MONTH(A1442)))</f>
        <v/>
      </c>
      <c r="E1442" s="55" t="n"/>
      <c r="F1442" s="54">
        <f>IF(E1442="","",IFERROR(IF(INDEX(lst_exp_item_cat,MATCH(E1442,lst_exp_items,0))="","❔ Без категории",INDEX(lst_exp_item_cat,MATCH(E1442,lst_exp_items,0))),"❔ Без категории"))</f>
        <v/>
      </c>
      <c r="G1442" s="43" t="n"/>
      <c r="H1442" s="56" t="n"/>
      <c r="I1442" s="43" t="n"/>
      <c r="J1442" s="57">
        <f>IF(OR(A1442="",H1442=""),"",IF(COUNTIFS(exp_year,C1442,exp_month,D1442,exp_item,E1442,exp_status,"&lt;&gt;❌ Отменено")&gt;0,1,0))</f>
        <v/>
      </c>
    </row>
    <row r="1443">
      <c r="A1443" s="52" t="n"/>
      <c r="B1443" s="53">
        <f>IF(A1443="","",CHOOSE(WEEKDAY(A1443,2),"Пн","Вт","Ср","Чт","Пт","Сб","Вс"))</f>
        <v/>
      </c>
      <c r="C1443" s="53">
        <f>IF(A1443="","",YEAR(A1443))</f>
        <v/>
      </c>
      <c r="D1443" s="54">
        <f>IF(A1443="","",INDEX(lst_months,MONTH(A1443)))</f>
        <v/>
      </c>
      <c r="E1443" s="55" t="n"/>
      <c r="F1443" s="54">
        <f>IF(E1443="","",IFERROR(IF(INDEX(lst_exp_item_cat,MATCH(E1443,lst_exp_items,0))="","❔ Без категории",INDEX(lst_exp_item_cat,MATCH(E1443,lst_exp_items,0))),"❔ Без категории"))</f>
        <v/>
      </c>
      <c r="G1443" s="43" t="n"/>
      <c r="H1443" s="56" t="n"/>
      <c r="I1443" s="43" t="n"/>
      <c r="J1443" s="57">
        <f>IF(OR(A1443="",H1443=""),"",IF(COUNTIFS(exp_year,C1443,exp_month,D1443,exp_item,E1443,exp_status,"&lt;&gt;❌ Отменено")&gt;0,1,0))</f>
        <v/>
      </c>
    </row>
    <row r="1444">
      <c r="A1444" s="52" t="n"/>
      <c r="B1444" s="53">
        <f>IF(A1444="","",CHOOSE(WEEKDAY(A1444,2),"Пн","Вт","Ср","Чт","Пт","Сб","Вс"))</f>
        <v/>
      </c>
      <c r="C1444" s="53">
        <f>IF(A1444="","",YEAR(A1444))</f>
        <v/>
      </c>
      <c r="D1444" s="54">
        <f>IF(A1444="","",INDEX(lst_months,MONTH(A1444)))</f>
        <v/>
      </c>
      <c r="E1444" s="55" t="n"/>
      <c r="F1444" s="54">
        <f>IF(E1444="","",IFERROR(IF(INDEX(lst_exp_item_cat,MATCH(E1444,lst_exp_items,0))="","❔ Без категории",INDEX(lst_exp_item_cat,MATCH(E1444,lst_exp_items,0))),"❔ Без категории"))</f>
        <v/>
      </c>
      <c r="G1444" s="43" t="n"/>
      <c r="H1444" s="56" t="n"/>
      <c r="I1444" s="43" t="n"/>
      <c r="J1444" s="57">
        <f>IF(OR(A1444="",H1444=""),"",IF(COUNTIFS(exp_year,C1444,exp_month,D1444,exp_item,E1444,exp_status,"&lt;&gt;❌ Отменено")&gt;0,1,0))</f>
        <v/>
      </c>
    </row>
    <row r="1445">
      <c r="A1445" s="52" t="n"/>
      <c r="B1445" s="53">
        <f>IF(A1445="","",CHOOSE(WEEKDAY(A1445,2),"Пн","Вт","Ср","Чт","Пт","Сб","Вс"))</f>
        <v/>
      </c>
      <c r="C1445" s="53">
        <f>IF(A1445="","",YEAR(A1445))</f>
        <v/>
      </c>
      <c r="D1445" s="54">
        <f>IF(A1445="","",INDEX(lst_months,MONTH(A1445)))</f>
        <v/>
      </c>
      <c r="E1445" s="55" t="n"/>
      <c r="F1445" s="54">
        <f>IF(E1445="","",IFERROR(IF(INDEX(lst_exp_item_cat,MATCH(E1445,lst_exp_items,0))="","❔ Без категории",INDEX(lst_exp_item_cat,MATCH(E1445,lst_exp_items,0))),"❔ Без категории"))</f>
        <v/>
      </c>
      <c r="G1445" s="43" t="n"/>
      <c r="H1445" s="56" t="n"/>
      <c r="I1445" s="43" t="n"/>
      <c r="J1445" s="57">
        <f>IF(OR(A1445="",H1445=""),"",IF(COUNTIFS(exp_year,C1445,exp_month,D1445,exp_item,E1445,exp_status,"&lt;&gt;❌ Отменено")&gt;0,1,0))</f>
        <v/>
      </c>
    </row>
    <row r="1446">
      <c r="A1446" s="52" t="n"/>
      <c r="B1446" s="53">
        <f>IF(A1446="","",CHOOSE(WEEKDAY(A1446,2),"Пн","Вт","Ср","Чт","Пт","Сб","Вс"))</f>
        <v/>
      </c>
      <c r="C1446" s="53">
        <f>IF(A1446="","",YEAR(A1446))</f>
        <v/>
      </c>
      <c r="D1446" s="54">
        <f>IF(A1446="","",INDEX(lst_months,MONTH(A1446)))</f>
        <v/>
      </c>
      <c r="E1446" s="55" t="n"/>
      <c r="F1446" s="54">
        <f>IF(E1446="","",IFERROR(IF(INDEX(lst_exp_item_cat,MATCH(E1446,lst_exp_items,0))="","❔ Без категории",INDEX(lst_exp_item_cat,MATCH(E1446,lst_exp_items,0))),"❔ Без категории"))</f>
        <v/>
      </c>
      <c r="G1446" s="43" t="n"/>
      <c r="H1446" s="56" t="n"/>
      <c r="I1446" s="43" t="n"/>
      <c r="J1446" s="57">
        <f>IF(OR(A1446="",H1446=""),"",IF(COUNTIFS(exp_year,C1446,exp_month,D1446,exp_item,E1446,exp_status,"&lt;&gt;❌ Отменено")&gt;0,1,0))</f>
        <v/>
      </c>
    </row>
    <row r="1447">
      <c r="A1447" s="52" t="n"/>
      <c r="B1447" s="53">
        <f>IF(A1447="","",CHOOSE(WEEKDAY(A1447,2),"Пн","Вт","Ср","Чт","Пт","Сб","Вс"))</f>
        <v/>
      </c>
      <c r="C1447" s="53">
        <f>IF(A1447="","",YEAR(A1447))</f>
        <v/>
      </c>
      <c r="D1447" s="54">
        <f>IF(A1447="","",INDEX(lst_months,MONTH(A1447)))</f>
        <v/>
      </c>
      <c r="E1447" s="55" t="n"/>
      <c r="F1447" s="54">
        <f>IF(E1447="","",IFERROR(IF(INDEX(lst_exp_item_cat,MATCH(E1447,lst_exp_items,0))="","❔ Без категории",INDEX(lst_exp_item_cat,MATCH(E1447,lst_exp_items,0))),"❔ Без категории"))</f>
        <v/>
      </c>
      <c r="G1447" s="43" t="n"/>
      <c r="H1447" s="56" t="n"/>
      <c r="I1447" s="43" t="n"/>
      <c r="J1447" s="57">
        <f>IF(OR(A1447="",H1447=""),"",IF(COUNTIFS(exp_year,C1447,exp_month,D1447,exp_item,E1447,exp_status,"&lt;&gt;❌ Отменено")&gt;0,1,0))</f>
        <v/>
      </c>
    </row>
    <row r="1448">
      <c r="A1448" s="52" t="n"/>
      <c r="B1448" s="53">
        <f>IF(A1448="","",CHOOSE(WEEKDAY(A1448,2),"Пн","Вт","Ср","Чт","Пт","Сб","Вс"))</f>
        <v/>
      </c>
      <c r="C1448" s="53">
        <f>IF(A1448="","",YEAR(A1448))</f>
        <v/>
      </c>
      <c r="D1448" s="54">
        <f>IF(A1448="","",INDEX(lst_months,MONTH(A1448)))</f>
        <v/>
      </c>
      <c r="E1448" s="55" t="n"/>
      <c r="F1448" s="54">
        <f>IF(E1448="","",IFERROR(IF(INDEX(lst_exp_item_cat,MATCH(E1448,lst_exp_items,0))="","❔ Без категории",INDEX(lst_exp_item_cat,MATCH(E1448,lst_exp_items,0))),"❔ Без категории"))</f>
        <v/>
      </c>
      <c r="G1448" s="43" t="n"/>
      <c r="H1448" s="56" t="n"/>
      <c r="I1448" s="43" t="n"/>
      <c r="J1448" s="57">
        <f>IF(OR(A1448="",H1448=""),"",IF(COUNTIFS(exp_year,C1448,exp_month,D1448,exp_item,E1448,exp_status,"&lt;&gt;❌ Отменено")&gt;0,1,0))</f>
        <v/>
      </c>
    </row>
    <row r="1449">
      <c r="A1449" s="52" t="n"/>
      <c r="B1449" s="53">
        <f>IF(A1449="","",CHOOSE(WEEKDAY(A1449,2),"Пн","Вт","Ср","Чт","Пт","Сб","Вс"))</f>
        <v/>
      </c>
      <c r="C1449" s="53">
        <f>IF(A1449="","",YEAR(A1449))</f>
        <v/>
      </c>
      <c r="D1449" s="54">
        <f>IF(A1449="","",INDEX(lst_months,MONTH(A1449)))</f>
        <v/>
      </c>
      <c r="E1449" s="55" t="n"/>
      <c r="F1449" s="54">
        <f>IF(E1449="","",IFERROR(IF(INDEX(lst_exp_item_cat,MATCH(E1449,lst_exp_items,0))="","❔ Без категории",INDEX(lst_exp_item_cat,MATCH(E1449,lst_exp_items,0))),"❔ Без категории"))</f>
        <v/>
      </c>
      <c r="G1449" s="43" t="n"/>
      <c r="H1449" s="56" t="n"/>
      <c r="I1449" s="43" t="n"/>
      <c r="J1449" s="57">
        <f>IF(OR(A1449="",H1449=""),"",IF(COUNTIFS(exp_year,C1449,exp_month,D1449,exp_item,E1449,exp_status,"&lt;&gt;❌ Отменено")&gt;0,1,0))</f>
        <v/>
      </c>
    </row>
    <row r="1450">
      <c r="A1450" s="52" t="n"/>
      <c r="B1450" s="53">
        <f>IF(A1450="","",CHOOSE(WEEKDAY(A1450,2),"Пн","Вт","Ср","Чт","Пт","Сб","Вс"))</f>
        <v/>
      </c>
      <c r="C1450" s="53">
        <f>IF(A1450="","",YEAR(A1450))</f>
        <v/>
      </c>
      <c r="D1450" s="54">
        <f>IF(A1450="","",INDEX(lst_months,MONTH(A1450)))</f>
        <v/>
      </c>
      <c r="E1450" s="55" t="n"/>
      <c r="F1450" s="54">
        <f>IF(E1450="","",IFERROR(IF(INDEX(lst_exp_item_cat,MATCH(E1450,lst_exp_items,0))="","❔ Без категории",INDEX(lst_exp_item_cat,MATCH(E1450,lst_exp_items,0))),"❔ Без категории"))</f>
        <v/>
      </c>
      <c r="G1450" s="43" t="n"/>
      <c r="H1450" s="56" t="n"/>
      <c r="I1450" s="43" t="n"/>
      <c r="J1450" s="57">
        <f>IF(OR(A1450="",H1450=""),"",IF(COUNTIFS(exp_year,C1450,exp_month,D1450,exp_item,E1450,exp_status,"&lt;&gt;❌ Отменено")&gt;0,1,0))</f>
        <v/>
      </c>
    </row>
    <row r="1451">
      <c r="A1451" s="52" t="n"/>
      <c r="B1451" s="53">
        <f>IF(A1451="","",CHOOSE(WEEKDAY(A1451,2),"Пн","Вт","Ср","Чт","Пт","Сб","Вс"))</f>
        <v/>
      </c>
      <c r="C1451" s="53">
        <f>IF(A1451="","",YEAR(A1451))</f>
        <v/>
      </c>
      <c r="D1451" s="54">
        <f>IF(A1451="","",INDEX(lst_months,MONTH(A1451)))</f>
        <v/>
      </c>
      <c r="E1451" s="55" t="n"/>
      <c r="F1451" s="54">
        <f>IF(E1451="","",IFERROR(IF(INDEX(lst_exp_item_cat,MATCH(E1451,lst_exp_items,0))="","❔ Без категории",INDEX(lst_exp_item_cat,MATCH(E1451,lst_exp_items,0))),"❔ Без категории"))</f>
        <v/>
      </c>
      <c r="G1451" s="43" t="n"/>
      <c r="H1451" s="56" t="n"/>
      <c r="I1451" s="43" t="n"/>
      <c r="J1451" s="57">
        <f>IF(OR(A1451="",H1451=""),"",IF(COUNTIFS(exp_year,C1451,exp_month,D1451,exp_item,E1451,exp_status,"&lt;&gt;❌ Отменено")&gt;0,1,0))</f>
        <v/>
      </c>
    </row>
    <row r="1452">
      <c r="A1452" s="52" t="n"/>
      <c r="B1452" s="53">
        <f>IF(A1452="","",CHOOSE(WEEKDAY(A1452,2),"Пн","Вт","Ср","Чт","Пт","Сб","Вс"))</f>
        <v/>
      </c>
      <c r="C1452" s="53">
        <f>IF(A1452="","",YEAR(A1452))</f>
        <v/>
      </c>
      <c r="D1452" s="54">
        <f>IF(A1452="","",INDEX(lst_months,MONTH(A1452)))</f>
        <v/>
      </c>
      <c r="E1452" s="55" t="n"/>
      <c r="F1452" s="54">
        <f>IF(E1452="","",IFERROR(IF(INDEX(lst_exp_item_cat,MATCH(E1452,lst_exp_items,0))="","❔ Без категории",INDEX(lst_exp_item_cat,MATCH(E1452,lst_exp_items,0))),"❔ Без категории"))</f>
        <v/>
      </c>
      <c r="G1452" s="43" t="n"/>
      <c r="H1452" s="56" t="n"/>
      <c r="I1452" s="43" t="n"/>
      <c r="J1452" s="57">
        <f>IF(OR(A1452="",H1452=""),"",IF(COUNTIFS(exp_year,C1452,exp_month,D1452,exp_item,E1452,exp_status,"&lt;&gt;❌ Отменено")&gt;0,1,0))</f>
        <v/>
      </c>
    </row>
    <row r="1453">
      <c r="A1453" s="52" t="n"/>
      <c r="B1453" s="53">
        <f>IF(A1453="","",CHOOSE(WEEKDAY(A1453,2),"Пн","Вт","Ср","Чт","Пт","Сб","Вс"))</f>
        <v/>
      </c>
      <c r="C1453" s="53">
        <f>IF(A1453="","",YEAR(A1453))</f>
        <v/>
      </c>
      <c r="D1453" s="54">
        <f>IF(A1453="","",INDEX(lst_months,MONTH(A1453)))</f>
        <v/>
      </c>
      <c r="E1453" s="55" t="n"/>
      <c r="F1453" s="54">
        <f>IF(E1453="","",IFERROR(IF(INDEX(lst_exp_item_cat,MATCH(E1453,lst_exp_items,0))="","❔ Без категории",INDEX(lst_exp_item_cat,MATCH(E1453,lst_exp_items,0))),"❔ Без категории"))</f>
        <v/>
      </c>
      <c r="G1453" s="43" t="n"/>
      <c r="H1453" s="56" t="n"/>
      <c r="I1453" s="43" t="n"/>
      <c r="J1453" s="57">
        <f>IF(OR(A1453="",H1453=""),"",IF(COUNTIFS(exp_year,C1453,exp_month,D1453,exp_item,E1453,exp_status,"&lt;&gt;❌ Отменено")&gt;0,1,0))</f>
        <v/>
      </c>
    </row>
    <row r="1454">
      <c r="A1454" s="52" t="n"/>
      <c r="B1454" s="53">
        <f>IF(A1454="","",CHOOSE(WEEKDAY(A1454,2),"Пн","Вт","Ср","Чт","Пт","Сб","Вс"))</f>
        <v/>
      </c>
      <c r="C1454" s="53">
        <f>IF(A1454="","",YEAR(A1454))</f>
        <v/>
      </c>
      <c r="D1454" s="54">
        <f>IF(A1454="","",INDEX(lst_months,MONTH(A1454)))</f>
        <v/>
      </c>
      <c r="E1454" s="55" t="n"/>
      <c r="F1454" s="54">
        <f>IF(E1454="","",IFERROR(IF(INDEX(lst_exp_item_cat,MATCH(E1454,lst_exp_items,0))="","❔ Без категории",INDEX(lst_exp_item_cat,MATCH(E1454,lst_exp_items,0))),"❔ Без категории"))</f>
        <v/>
      </c>
      <c r="G1454" s="43" t="n"/>
      <c r="H1454" s="56" t="n"/>
      <c r="I1454" s="43" t="n"/>
      <c r="J1454" s="57">
        <f>IF(OR(A1454="",H1454=""),"",IF(COUNTIFS(exp_year,C1454,exp_month,D1454,exp_item,E1454,exp_status,"&lt;&gt;❌ Отменено")&gt;0,1,0))</f>
        <v/>
      </c>
    </row>
    <row r="1455">
      <c r="A1455" s="52" t="n"/>
      <c r="B1455" s="53">
        <f>IF(A1455="","",CHOOSE(WEEKDAY(A1455,2),"Пн","Вт","Ср","Чт","Пт","Сб","Вс"))</f>
        <v/>
      </c>
      <c r="C1455" s="53">
        <f>IF(A1455="","",YEAR(A1455))</f>
        <v/>
      </c>
      <c r="D1455" s="54">
        <f>IF(A1455="","",INDEX(lst_months,MONTH(A1455)))</f>
        <v/>
      </c>
      <c r="E1455" s="55" t="n"/>
      <c r="F1455" s="54">
        <f>IF(E1455="","",IFERROR(IF(INDEX(lst_exp_item_cat,MATCH(E1455,lst_exp_items,0))="","❔ Без категории",INDEX(lst_exp_item_cat,MATCH(E1455,lst_exp_items,0))),"❔ Без категории"))</f>
        <v/>
      </c>
      <c r="G1455" s="43" t="n"/>
      <c r="H1455" s="56" t="n"/>
      <c r="I1455" s="43" t="n"/>
      <c r="J1455" s="57">
        <f>IF(OR(A1455="",H1455=""),"",IF(COUNTIFS(exp_year,C1455,exp_month,D1455,exp_item,E1455,exp_status,"&lt;&gt;❌ Отменено")&gt;0,1,0))</f>
        <v/>
      </c>
    </row>
    <row r="1456">
      <c r="A1456" s="52" t="n"/>
      <c r="B1456" s="53">
        <f>IF(A1456="","",CHOOSE(WEEKDAY(A1456,2),"Пн","Вт","Ср","Чт","Пт","Сб","Вс"))</f>
        <v/>
      </c>
      <c r="C1456" s="53">
        <f>IF(A1456="","",YEAR(A1456))</f>
        <v/>
      </c>
      <c r="D1456" s="54">
        <f>IF(A1456="","",INDEX(lst_months,MONTH(A1456)))</f>
        <v/>
      </c>
      <c r="E1456" s="55" t="n"/>
      <c r="F1456" s="54">
        <f>IF(E1456="","",IFERROR(IF(INDEX(lst_exp_item_cat,MATCH(E1456,lst_exp_items,0))="","❔ Без категории",INDEX(lst_exp_item_cat,MATCH(E1456,lst_exp_items,0))),"❔ Без категории"))</f>
        <v/>
      </c>
      <c r="G1456" s="43" t="n"/>
      <c r="H1456" s="56" t="n"/>
      <c r="I1456" s="43" t="n"/>
      <c r="J1456" s="57">
        <f>IF(OR(A1456="",H1456=""),"",IF(COUNTIFS(exp_year,C1456,exp_month,D1456,exp_item,E1456,exp_status,"&lt;&gt;❌ Отменено")&gt;0,1,0))</f>
        <v/>
      </c>
    </row>
    <row r="1457">
      <c r="A1457" s="52" t="n"/>
      <c r="B1457" s="53">
        <f>IF(A1457="","",CHOOSE(WEEKDAY(A1457,2),"Пн","Вт","Ср","Чт","Пт","Сб","Вс"))</f>
        <v/>
      </c>
      <c r="C1457" s="53">
        <f>IF(A1457="","",YEAR(A1457))</f>
        <v/>
      </c>
      <c r="D1457" s="54">
        <f>IF(A1457="","",INDEX(lst_months,MONTH(A1457)))</f>
        <v/>
      </c>
      <c r="E1457" s="55" t="n"/>
      <c r="F1457" s="54">
        <f>IF(E1457="","",IFERROR(IF(INDEX(lst_exp_item_cat,MATCH(E1457,lst_exp_items,0))="","❔ Без категории",INDEX(lst_exp_item_cat,MATCH(E1457,lst_exp_items,0))),"❔ Без категории"))</f>
        <v/>
      </c>
      <c r="G1457" s="43" t="n"/>
      <c r="H1457" s="56" t="n"/>
      <c r="I1457" s="43" t="n"/>
      <c r="J1457" s="57">
        <f>IF(OR(A1457="",H1457=""),"",IF(COUNTIFS(exp_year,C1457,exp_month,D1457,exp_item,E1457,exp_status,"&lt;&gt;❌ Отменено")&gt;0,1,0))</f>
        <v/>
      </c>
    </row>
    <row r="1458">
      <c r="A1458" s="52" t="n"/>
      <c r="B1458" s="53">
        <f>IF(A1458="","",CHOOSE(WEEKDAY(A1458,2),"Пн","Вт","Ср","Чт","Пт","Сб","Вс"))</f>
        <v/>
      </c>
      <c r="C1458" s="53">
        <f>IF(A1458="","",YEAR(A1458))</f>
        <v/>
      </c>
      <c r="D1458" s="54">
        <f>IF(A1458="","",INDEX(lst_months,MONTH(A1458)))</f>
        <v/>
      </c>
      <c r="E1458" s="55" t="n"/>
      <c r="F1458" s="54">
        <f>IF(E1458="","",IFERROR(IF(INDEX(lst_exp_item_cat,MATCH(E1458,lst_exp_items,0))="","❔ Без категории",INDEX(lst_exp_item_cat,MATCH(E1458,lst_exp_items,0))),"❔ Без категории"))</f>
        <v/>
      </c>
      <c r="G1458" s="43" t="n"/>
      <c r="H1458" s="56" t="n"/>
      <c r="I1458" s="43" t="n"/>
      <c r="J1458" s="57">
        <f>IF(OR(A1458="",H1458=""),"",IF(COUNTIFS(exp_year,C1458,exp_month,D1458,exp_item,E1458,exp_status,"&lt;&gt;❌ Отменено")&gt;0,1,0))</f>
        <v/>
      </c>
    </row>
    <row r="1459">
      <c r="A1459" s="52" t="n"/>
      <c r="B1459" s="53">
        <f>IF(A1459="","",CHOOSE(WEEKDAY(A1459,2),"Пн","Вт","Ср","Чт","Пт","Сб","Вс"))</f>
        <v/>
      </c>
      <c r="C1459" s="53">
        <f>IF(A1459="","",YEAR(A1459))</f>
        <v/>
      </c>
      <c r="D1459" s="54">
        <f>IF(A1459="","",INDEX(lst_months,MONTH(A1459)))</f>
        <v/>
      </c>
      <c r="E1459" s="55" t="n"/>
      <c r="F1459" s="54">
        <f>IF(E1459="","",IFERROR(IF(INDEX(lst_exp_item_cat,MATCH(E1459,lst_exp_items,0))="","❔ Без категории",INDEX(lst_exp_item_cat,MATCH(E1459,lst_exp_items,0))),"❔ Без категории"))</f>
        <v/>
      </c>
      <c r="G1459" s="43" t="n"/>
      <c r="H1459" s="56" t="n"/>
      <c r="I1459" s="43" t="n"/>
      <c r="J1459" s="57">
        <f>IF(OR(A1459="",H1459=""),"",IF(COUNTIFS(exp_year,C1459,exp_month,D1459,exp_item,E1459,exp_status,"&lt;&gt;❌ Отменено")&gt;0,1,0))</f>
        <v/>
      </c>
    </row>
    <row r="1460">
      <c r="A1460" s="52" t="n"/>
      <c r="B1460" s="53">
        <f>IF(A1460="","",CHOOSE(WEEKDAY(A1460,2),"Пн","Вт","Ср","Чт","Пт","Сб","Вс"))</f>
        <v/>
      </c>
      <c r="C1460" s="53">
        <f>IF(A1460="","",YEAR(A1460))</f>
        <v/>
      </c>
      <c r="D1460" s="54">
        <f>IF(A1460="","",INDEX(lst_months,MONTH(A1460)))</f>
        <v/>
      </c>
      <c r="E1460" s="55" t="n"/>
      <c r="F1460" s="54">
        <f>IF(E1460="","",IFERROR(IF(INDEX(lst_exp_item_cat,MATCH(E1460,lst_exp_items,0))="","❔ Без категории",INDEX(lst_exp_item_cat,MATCH(E1460,lst_exp_items,0))),"❔ Без категории"))</f>
        <v/>
      </c>
      <c r="G1460" s="43" t="n"/>
      <c r="H1460" s="56" t="n"/>
      <c r="I1460" s="43" t="n"/>
      <c r="J1460" s="57">
        <f>IF(OR(A1460="",H1460=""),"",IF(COUNTIFS(exp_year,C1460,exp_month,D1460,exp_item,E1460,exp_status,"&lt;&gt;❌ Отменено")&gt;0,1,0))</f>
        <v/>
      </c>
    </row>
    <row r="1461">
      <c r="A1461" s="52" t="n"/>
      <c r="B1461" s="53">
        <f>IF(A1461="","",CHOOSE(WEEKDAY(A1461,2),"Пн","Вт","Ср","Чт","Пт","Сб","Вс"))</f>
        <v/>
      </c>
      <c r="C1461" s="53">
        <f>IF(A1461="","",YEAR(A1461))</f>
        <v/>
      </c>
      <c r="D1461" s="54">
        <f>IF(A1461="","",INDEX(lst_months,MONTH(A1461)))</f>
        <v/>
      </c>
      <c r="E1461" s="55" t="n"/>
      <c r="F1461" s="54">
        <f>IF(E1461="","",IFERROR(IF(INDEX(lst_exp_item_cat,MATCH(E1461,lst_exp_items,0))="","❔ Без категории",INDEX(lst_exp_item_cat,MATCH(E1461,lst_exp_items,0))),"❔ Без категории"))</f>
        <v/>
      </c>
      <c r="G1461" s="43" t="n"/>
      <c r="H1461" s="56" t="n"/>
      <c r="I1461" s="43" t="n"/>
      <c r="J1461" s="57">
        <f>IF(OR(A1461="",H1461=""),"",IF(COUNTIFS(exp_year,C1461,exp_month,D1461,exp_item,E1461,exp_status,"&lt;&gt;❌ Отменено")&gt;0,1,0))</f>
        <v/>
      </c>
    </row>
    <row r="1462">
      <c r="A1462" s="52" t="n"/>
      <c r="B1462" s="53">
        <f>IF(A1462="","",CHOOSE(WEEKDAY(A1462,2),"Пн","Вт","Ср","Чт","Пт","Сб","Вс"))</f>
        <v/>
      </c>
      <c r="C1462" s="53">
        <f>IF(A1462="","",YEAR(A1462))</f>
        <v/>
      </c>
      <c r="D1462" s="54">
        <f>IF(A1462="","",INDEX(lst_months,MONTH(A1462)))</f>
        <v/>
      </c>
      <c r="E1462" s="55" t="n"/>
      <c r="F1462" s="54">
        <f>IF(E1462="","",IFERROR(IF(INDEX(lst_exp_item_cat,MATCH(E1462,lst_exp_items,0))="","❔ Без категории",INDEX(lst_exp_item_cat,MATCH(E1462,lst_exp_items,0))),"❔ Без категории"))</f>
        <v/>
      </c>
      <c r="G1462" s="43" t="n"/>
      <c r="H1462" s="56" t="n"/>
      <c r="I1462" s="43" t="n"/>
      <c r="J1462" s="57">
        <f>IF(OR(A1462="",H1462=""),"",IF(COUNTIFS(exp_year,C1462,exp_month,D1462,exp_item,E1462,exp_status,"&lt;&gt;❌ Отменено")&gt;0,1,0))</f>
        <v/>
      </c>
    </row>
    <row r="1463">
      <c r="A1463" s="52" t="n"/>
      <c r="B1463" s="53">
        <f>IF(A1463="","",CHOOSE(WEEKDAY(A1463,2),"Пн","Вт","Ср","Чт","Пт","Сб","Вс"))</f>
        <v/>
      </c>
      <c r="C1463" s="53">
        <f>IF(A1463="","",YEAR(A1463))</f>
        <v/>
      </c>
      <c r="D1463" s="54">
        <f>IF(A1463="","",INDEX(lst_months,MONTH(A1463)))</f>
        <v/>
      </c>
      <c r="E1463" s="55" t="n"/>
      <c r="F1463" s="54">
        <f>IF(E1463="","",IFERROR(IF(INDEX(lst_exp_item_cat,MATCH(E1463,lst_exp_items,0))="","❔ Без категории",INDEX(lst_exp_item_cat,MATCH(E1463,lst_exp_items,0))),"❔ Без категории"))</f>
        <v/>
      </c>
      <c r="G1463" s="43" t="n"/>
      <c r="H1463" s="56" t="n"/>
      <c r="I1463" s="43" t="n"/>
      <c r="J1463" s="57">
        <f>IF(OR(A1463="",H1463=""),"",IF(COUNTIFS(exp_year,C1463,exp_month,D1463,exp_item,E1463,exp_status,"&lt;&gt;❌ Отменено")&gt;0,1,0))</f>
        <v/>
      </c>
    </row>
    <row r="1464">
      <c r="A1464" s="52" t="n"/>
      <c r="B1464" s="53">
        <f>IF(A1464="","",CHOOSE(WEEKDAY(A1464,2),"Пн","Вт","Ср","Чт","Пт","Сб","Вс"))</f>
        <v/>
      </c>
      <c r="C1464" s="53">
        <f>IF(A1464="","",YEAR(A1464))</f>
        <v/>
      </c>
      <c r="D1464" s="54">
        <f>IF(A1464="","",INDEX(lst_months,MONTH(A1464)))</f>
        <v/>
      </c>
      <c r="E1464" s="55" t="n"/>
      <c r="F1464" s="54">
        <f>IF(E1464="","",IFERROR(IF(INDEX(lst_exp_item_cat,MATCH(E1464,lst_exp_items,0))="","❔ Без категории",INDEX(lst_exp_item_cat,MATCH(E1464,lst_exp_items,0))),"❔ Без категории"))</f>
        <v/>
      </c>
      <c r="G1464" s="43" t="n"/>
      <c r="H1464" s="56" t="n"/>
      <c r="I1464" s="43" t="n"/>
      <c r="J1464" s="57">
        <f>IF(OR(A1464="",H1464=""),"",IF(COUNTIFS(exp_year,C1464,exp_month,D1464,exp_item,E1464,exp_status,"&lt;&gt;❌ Отменено")&gt;0,1,0))</f>
        <v/>
      </c>
    </row>
    <row r="1465">
      <c r="A1465" s="52" t="n"/>
      <c r="B1465" s="53">
        <f>IF(A1465="","",CHOOSE(WEEKDAY(A1465,2),"Пн","Вт","Ср","Чт","Пт","Сб","Вс"))</f>
        <v/>
      </c>
      <c r="C1465" s="53">
        <f>IF(A1465="","",YEAR(A1465))</f>
        <v/>
      </c>
      <c r="D1465" s="54">
        <f>IF(A1465="","",INDEX(lst_months,MONTH(A1465)))</f>
        <v/>
      </c>
      <c r="E1465" s="55" t="n"/>
      <c r="F1465" s="54">
        <f>IF(E1465="","",IFERROR(IF(INDEX(lst_exp_item_cat,MATCH(E1465,lst_exp_items,0))="","❔ Без категории",INDEX(lst_exp_item_cat,MATCH(E1465,lst_exp_items,0))),"❔ Без категории"))</f>
        <v/>
      </c>
      <c r="G1465" s="43" t="n"/>
      <c r="H1465" s="56" t="n"/>
      <c r="I1465" s="43" t="n"/>
      <c r="J1465" s="57">
        <f>IF(OR(A1465="",H1465=""),"",IF(COUNTIFS(exp_year,C1465,exp_month,D1465,exp_item,E1465,exp_status,"&lt;&gt;❌ Отменено")&gt;0,1,0))</f>
        <v/>
      </c>
    </row>
    <row r="1466">
      <c r="A1466" s="52" t="n"/>
      <c r="B1466" s="53">
        <f>IF(A1466="","",CHOOSE(WEEKDAY(A1466,2),"Пн","Вт","Ср","Чт","Пт","Сб","Вс"))</f>
        <v/>
      </c>
      <c r="C1466" s="53">
        <f>IF(A1466="","",YEAR(A1466))</f>
        <v/>
      </c>
      <c r="D1466" s="54">
        <f>IF(A1466="","",INDEX(lst_months,MONTH(A1466)))</f>
        <v/>
      </c>
      <c r="E1466" s="55" t="n"/>
      <c r="F1466" s="54">
        <f>IF(E1466="","",IFERROR(IF(INDEX(lst_exp_item_cat,MATCH(E1466,lst_exp_items,0))="","❔ Без категории",INDEX(lst_exp_item_cat,MATCH(E1466,lst_exp_items,0))),"❔ Без категории"))</f>
        <v/>
      </c>
      <c r="G1466" s="43" t="n"/>
      <c r="H1466" s="56" t="n"/>
      <c r="I1466" s="43" t="n"/>
      <c r="J1466" s="57">
        <f>IF(OR(A1466="",H1466=""),"",IF(COUNTIFS(exp_year,C1466,exp_month,D1466,exp_item,E1466,exp_status,"&lt;&gt;❌ Отменено")&gt;0,1,0))</f>
        <v/>
      </c>
    </row>
    <row r="1467">
      <c r="A1467" s="52" t="n"/>
      <c r="B1467" s="53">
        <f>IF(A1467="","",CHOOSE(WEEKDAY(A1467,2),"Пн","Вт","Ср","Чт","Пт","Сб","Вс"))</f>
        <v/>
      </c>
      <c r="C1467" s="53">
        <f>IF(A1467="","",YEAR(A1467))</f>
        <v/>
      </c>
      <c r="D1467" s="54">
        <f>IF(A1467="","",INDEX(lst_months,MONTH(A1467)))</f>
        <v/>
      </c>
      <c r="E1467" s="55" t="n"/>
      <c r="F1467" s="54">
        <f>IF(E1467="","",IFERROR(IF(INDEX(lst_exp_item_cat,MATCH(E1467,lst_exp_items,0))="","❔ Без категории",INDEX(lst_exp_item_cat,MATCH(E1467,lst_exp_items,0))),"❔ Без категории"))</f>
        <v/>
      </c>
      <c r="G1467" s="43" t="n"/>
      <c r="H1467" s="56" t="n"/>
      <c r="I1467" s="43" t="n"/>
      <c r="J1467" s="57">
        <f>IF(OR(A1467="",H1467=""),"",IF(COUNTIFS(exp_year,C1467,exp_month,D1467,exp_item,E1467,exp_status,"&lt;&gt;❌ Отменено")&gt;0,1,0))</f>
        <v/>
      </c>
    </row>
    <row r="1468">
      <c r="A1468" s="52" t="n"/>
      <c r="B1468" s="53">
        <f>IF(A1468="","",CHOOSE(WEEKDAY(A1468,2),"Пн","Вт","Ср","Чт","Пт","Сб","Вс"))</f>
        <v/>
      </c>
      <c r="C1468" s="53">
        <f>IF(A1468="","",YEAR(A1468))</f>
        <v/>
      </c>
      <c r="D1468" s="54">
        <f>IF(A1468="","",INDEX(lst_months,MONTH(A1468)))</f>
        <v/>
      </c>
      <c r="E1468" s="55" t="n"/>
      <c r="F1468" s="54">
        <f>IF(E1468="","",IFERROR(IF(INDEX(lst_exp_item_cat,MATCH(E1468,lst_exp_items,0))="","❔ Без категории",INDEX(lst_exp_item_cat,MATCH(E1468,lst_exp_items,0))),"❔ Без категории"))</f>
        <v/>
      </c>
      <c r="G1468" s="43" t="n"/>
      <c r="H1468" s="56" t="n"/>
      <c r="I1468" s="43" t="n"/>
      <c r="J1468" s="57">
        <f>IF(OR(A1468="",H1468=""),"",IF(COUNTIFS(exp_year,C1468,exp_month,D1468,exp_item,E1468,exp_status,"&lt;&gt;❌ Отменено")&gt;0,1,0))</f>
        <v/>
      </c>
    </row>
    <row r="1469">
      <c r="A1469" s="52" t="n"/>
      <c r="B1469" s="53">
        <f>IF(A1469="","",CHOOSE(WEEKDAY(A1469,2),"Пн","Вт","Ср","Чт","Пт","Сб","Вс"))</f>
        <v/>
      </c>
      <c r="C1469" s="53">
        <f>IF(A1469="","",YEAR(A1469))</f>
        <v/>
      </c>
      <c r="D1469" s="54">
        <f>IF(A1469="","",INDEX(lst_months,MONTH(A1469)))</f>
        <v/>
      </c>
      <c r="E1469" s="55" t="n"/>
      <c r="F1469" s="54">
        <f>IF(E1469="","",IFERROR(IF(INDEX(lst_exp_item_cat,MATCH(E1469,lst_exp_items,0))="","❔ Без категории",INDEX(lst_exp_item_cat,MATCH(E1469,lst_exp_items,0))),"❔ Без категории"))</f>
        <v/>
      </c>
      <c r="G1469" s="43" t="n"/>
      <c r="H1469" s="56" t="n"/>
      <c r="I1469" s="43" t="n"/>
      <c r="J1469" s="57">
        <f>IF(OR(A1469="",H1469=""),"",IF(COUNTIFS(exp_year,C1469,exp_month,D1469,exp_item,E1469,exp_status,"&lt;&gt;❌ Отменено")&gt;0,1,0))</f>
        <v/>
      </c>
    </row>
    <row r="1470">
      <c r="A1470" s="52" t="n"/>
      <c r="B1470" s="53">
        <f>IF(A1470="","",CHOOSE(WEEKDAY(A1470,2),"Пн","Вт","Ср","Чт","Пт","Сб","Вс"))</f>
        <v/>
      </c>
      <c r="C1470" s="53">
        <f>IF(A1470="","",YEAR(A1470))</f>
        <v/>
      </c>
      <c r="D1470" s="54">
        <f>IF(A1470="","",INDEX(lst_months,MONTH(A1470)))</f>
        <v/>
      </c>
      <c r="E1470" s="55" t="n"/>
      <c r="F1470" s="54">
        <f>IF(E1470="","",IFERROR(IF(INDEX(lst_exp_item_cat,MATCH(E1470,lst_exp_items,0))="","❔ Без категории",INDEX(lst_exp_item_cat,MATCH(E1470,lst_exp_items,0))),"❔ Без категории"))</f>
        <v/>
      </c>
      <c r="G1470" s="43" t="n"/>
      <c r="H1470" s="56" t="n"/>
      <c r="I1470" s="43" t="n"/>
      <c r="J1470" s="57">
        <f>IF(OR(A1470="",H1470=""),"",IF(COUNTIFS(exp_year,C1470,exp_month,D1470,exp_item,E1470,exp_status,"&lt;&gt;❌ Отменено")&gt;0,1,0))</f>
        <v/>
      </c>
    </row>
    <row r="1471">
      <c r="A1471" s="52" t="n"/>
      <c r="B1471" s="53">
        <f>IF(A1471="","",CHOOSE(WEEKDAY(A1471,2),"Пн","Вт","Ср","Чт","Пт","Сб","Вс"))</f>
        <v/>
      </c>
      <c r="C1471" s="53">
        <f>IF(A1471="","",YEAR(A1471))</f>
        <v/>
      </c>
      <c r="D1471" s="54">
        <f>IF(A1471="","",INDEX(lst_months,MONTH(A1471)))</f>
        <v/>
      </c>
      <c r="E1471" s="55" t="n"/>
      <c r="F1471" s="54">
        <f>IF(E1471="","",IFERROR(IF(INDEX(lst_exp_item_cat,MATCH(E1471,lst_exp_items,0))="","❔ Без категории",INDEX(lst_exp_item_cat,MATCH(E1471,lst_exp_items,0))),"❔ Без категории"))</f>
        <v/>
      </c>
      <c r="G1471" s="43" t="n"/>
      <c r="H1471" s="56" t="n"/>
      <c r="I1471" s="43" t="n"/>
      <c r="J1471" s="57">
        <f>IF(OR(A1471="",H1471=""),"",IF(COUNTIFS(exp_year,C1471,exp_month,D1471,exp_item,E1471,exp_status,"&lt;&gt;❌ Отменено")&gt;0,1,0))</f>
        <v/>
      </c>
    </row>
    <row r="1472">
      <c r="A1472" s="52" t="n"/>
      <c r="B1472" s="53">
        <f>IF(A1472="","",CHOOSE(WEEKDAY(A1472,2),"Пн","Вт","Ср","Чт","Пт","Сб","Вс"))</f>
        <v/>
      </c>
      <c r="C1472" s="53">
        <f>IF(A1472="","",YEAR(A1472))</f>
        <v/>
      </c>
      <c r="D1472" s="54">
        <f>IF(A1472="","",INDEX(lst_months,MONTH(A1472)))</f>
        <v/>
      </c>
      <c r="E1472" s="55" t="n"/>
      <c r="F1472" s="54">
        <f>IF(E1472="","",IFERROR(IF(INDEX(lst_exp_item_cat,MATCH(E1472,lst_exp_items,0))="","❔ Без категории",INDEX(lst_exp_item_cat,MATCH(E1472,lst_exp_items,0))),"❔ Без категории"))</f>
        <v/>
      </c>
      <c r="G1472" s="43" t="n"/>
      <c r="H1472" s="56" t="n"/>
      <c r="I1472" s="43" t="n"/>
      <c r="J1472" s="57">
        <f>IF(OR(A1472="",H1472=""),"",IF(COUNTIFS(exp_year,C1472,exp_month,D1472,exp_item,E1472,exp_status,"&lt;&gt;❌ Отменено")&gt;0,1,0))</f>
        <v/>
      </c>
    </row>
    <row r="1473">
      <c r="A1473" s="52" t="n"/>
      <c r="B1473" s="53">
        <f>IF(A1473="","",CHOOSE(WEEKDAY(A1473,2),"Пн","Вт","Ср","Чт","Пт","Сб","Вс"))</f>
        <v/>
      </c>
      <c r="C1473" s="53">
        <f>IF(A1473="","",YEAR(A1473))</f>
        <v/>
      </c>
      <c r="D1473" s="54">
        <f>IF(A1473="","",INDEX(lst_months,MONTH(A1473)))</f>
        <v/>
      </c>
      <c r="E1473" s="55" t="n"/>
      <c r="F1473" s="54">
        <f>IF(E1473="","",IFERROR(IF(INDEX(lst_exp_item_cat,MATCH(E1473,lst_exp_items,0))="","❔ Без категории",INDEX(lst_exp_item_cat,MATCH(E1473,lst_exp_items,0))),"❔ Без категории"))</f>
        <v/>
      </c>
      <c r="G1473" s="43" t="n"/>
      <c r="H1473" s="56" t="n"/>
      <c r="I1473" s="43" t="n"/>
      <c r="J1473" s="57">
        <f>IF(OR(A1473="",H1473=""),"",IF(COUNTIFS(exp_year,C1473,exp_month,D1473,exp_item,E1473,exp_status,"&lt;&gt;❌ Отменено")&gt;0,1,0))</f>
        <v/>
      </c>
    </row>
    <row r="1474">
      <c r="A1474" s="52" t="n"/>
      <c r="B1474" s="53">
        <f>IF(A1474="","",CHOOSE(WEEKDAY(A1474,2),"Пн","Вт","Ср","Чт","Пт","Сб","Вс"))</f>
        <v/>
      </c>
      <c r="C1474" s="53">
        <f>IF(A1474="","",YEAR(A1474))</f>
        <v/>
      </c>
      <c r="D1474" s="54">
        <f>IF(A1474="","",INDEX(lst_months,MONTH(A1474)))</f>
        <v/>
      </c>
      <c r="E1474" s="55" t="n"/>
      <c r="F1474" s="54">
        <f>IF(E1474="","",IFERROR(IF(INDEX(lst_exp_item_cat,MATCH(E1474,lst_exp_items,0))="","❔ Без категории",INDEX(lst_exp_item_cat,MATCH(E1474,lst_exp_items,0))),"❔ Без категории"))</f>
        <v/>
      </c>
      <c r="G1474" s="43" t="n"/>
      <c r="H1474" s="56" t="n"/>
      <c r="I1474" s="43" t="n"/>
      <c r="J1474" s="57">
        <f>IF(OR(A1474="",H1474=""),"",IF(COUNTIFS(exp_year,C1474,exp_month,D1474,exp_item,E1474,exp_status,"&lt;&gt;❌ Отменено")&gt;0,1,0))</f>
        <v/>
      </c>
    </row>
    <row r="1475">
      <c r="A1475" s="52" t="n"/>
      <c r="B1475" s="53">
        <f>IF(A1475="","",CHOOSE(WEEKDAY(A1475,2),"Пн","Вт","Ср","Чт","Пт","Сб","Вс"))</f>
        <v/>
      </c>
      <c r="C1475" s="53">
        <f>IF(A1475="","",YEAR(A1475))</f>
        <v/>
      </c>
      <c r="D1475" s="54">
        <f>IF(A1475="","",INDEX(lst_months,MONTH(A1475)))</f>
        <v/>
      </c>
      <c r="E1475" s="55" t="n"/>
      <c r="F1475" s="54">
        <f>IF(E1475="","",IFERROR(IF(INDEX(lst_exp_item_cat,MATCH(E1475,lst_exp_items,0))="","❔ Без категории",INDEX(lst_exp_item_cat,MATCH(E1475,lst_exp_items,0))),"❔ Без категории"))</f>
        <v/>
      </c>
      <c r="G1475" s="43" t="n"/>
      <c r="H1475" s="56" t="n"/>
      <c r="I1475" s="43" t="n"/>
      <c r="J1475" s="57">
        <f>IF(OR(A1475="",H1475=""),"",IF(COUNTIFS(exp_year,C1475,exp_month,D1475,exp_item,E1475,exp_status,"&lt;&gt;❌ Отменено")&gt;0,1,0))</f>
        <v/>
      </c>
    </row>
    <row r="1476">
      <c r="A1476" s="52" t="n"/>
      <c r="B1476" s="53">
        <f>IF(A1476="","",CHOOSE(WEEKDAY(A1476,2),"Пн","Вт","Ср","Чт","Пт","Сб","Вс"))</f>
        <v/>
      </c>
      <c r="C1476" s="53">
        <f>IF(A1476="","",YEAR(A1476))</f>
        <v/>
      </c>
      <c r="D1476" s="54">
        <f>IF(A1476="","",INDEX(lst_months,MONTH(A1476)))</f>
        <v/>
      </c>
      <c r="E1476" s="55" t="n"/>
      <c r="F1476" s="54">
        <f>IF(E1476="","",IFERROR(IF(INDEX(lst_exp_item_cat,MATCH(E1476,lst_exp_items,0))="","❔ Без категории",INDEX(lst_exp_item_cat,MATCH(E1476,lst_exp_items,0))),"❔ Без категории"))</f>
        <v/>
      </c>
      <c r="G1476" s="43" t="n"/>
      <c r="H1476" s="56" t="n"/>
      <c r="I1476" s="43" t="n"/>
      <c r="J1476" s="57">
        <f>IF(OR(A1476="",H1476=""),"",IF(COUNTIFS(exp_year,C1476,exp_month,D1476,exp_item,E1476,exp_status,"&lt;&gt;❌ Отменено")&gt;0,1,0))</f>
        <v/>
      </c>
    </row>
    <row r="1477">
      <c r="A1477" s="52" t="n"/>
      <c r="B1477" s="53">
        <f>IF(A1477="","",CHOOSE(WEEKDAY(A1477,2),"Пн","Вт","Ср","Чт","Пт","Сб","Вс"))</f>
        <v/>
      </c>
      <c r="C1477" s="53">
        <f>IF(A1477="","",YEAR(A1477))</f>
        <v/>
      </c>
      <c r="D1477" s="54">
        <f>IF(A1477="","",INDEX(lst_months,MONTH(A1477)))</f>
        <v/>
      </c>
      <c r="E1477" s="55" t="n"/>
      <c r="F1477" s="54">
        <f>IF(E1477="","",IFERROR(IF(INDEX(lst_exp_item_cat,MATCH(E1477,lst_exp_items,0))="","❔ Без категории",INDEX(lst_exp_item_cat,MATCH(E1477,lst_exp_items,0))),"❔ Без категории"))</f>
        <v/>
      </c>
      <c r="G1477" s="43" t="n"/>
      <c r="H1477" s="56" t="n"/>
      <c r="I1477" s="43" t="n"/>
      <c r="J1477" s="57">
        <f>IF(OR(A1477="",H1477=""),"",IF(COUNTIFS(exp_year,C1477,exp_month,D1477,exp_item,E1477,exp_status,"&lt;&gt;❌ Отменено")&gt;0,1,0))</f>
        <v/>
      </c>
    </row>
    <row r="1478">
      <c r="A1478" s="52" t="n"/>
      <c r="B1478" s="53">
        <f>IF(A1478="","",CHOOSE(WEEKDAY(A1478,2),"Пн","Вт","Ср","Чт","Пт","Сб","Вс"))</f>
        <v/>
      </c>
      <c r="C1478" s="53">
        <f>IF(A1478="","",YEAR(A1478))</f>
        <v/>
      </c>
      <c r="D1478" s="54">
        <f>IF(A1478="","",INDEX(lst_months,MONTH(A1478)))</f>
        <v/>
      </c>
      <c r="E1478" s="55" t="n"/>
      <c r="F1478" s="54">
        <f>IF(E1478="","",IFERROR(IF(INDEX(lst_exp_item_cat,MATCH(E1478,lst_exp_items,0))="","❔ Без категории",INDEX(lst_exp_item_cat,MATCH(E1478,lst_exp_items,0))),"❔ Без категории"))</f>
        <v/>
      </c>
      <c r="G1478" s="43" t="n"/>
      <c r="H1478" s="56" t="n"/>
      <c r="I1478" s="43" t="n"/>
      <c r="J1478" s="57">
        <f>IF(OR(A1478="",H1478=""),"",IF(COUNTIFS(exp_year,C1478,exp_month,D1478,exp_item,E1478,exp_status,"&lt;&gt;❌ Отменено")&gt;0,1,0))</f>
        <v/>
      </c>
    </row>
    <row r="1479">
      <c r="A1479" s="52" t="n"/>
      <c r="B1479" s="53">
        <f>IF(A1479="","",CHOOSE(WEEKDAY(A1479,2),"Пн","Вт","Ср","Чт","Пт","Сб","Вс"))</f>
        <v/>
      </c>
      <c r="C1479" s="53">
        <f>IF(A1479="","",YEAR(A1479))</f>
        <v/>
      </c>
      <c r="D1479" s="54">
        <f>IF(A1479="","",INDEX(lst_months,MONTH(A1479)))</f>
        <v/>
      </c>
      <c r="E1479" s="55" t="n"/>
      <c r="F1479" s="54">
        <f>IF(E1479="","",IFERROR(IF(INDEX(lst_exp_item_cat,MATCH(E1479,lst_exp_items,0))="","❔ Без категории",INDEX(lst_exp_item_cat,MATCH(E1479,lst_exp_items,0))),"❔ Без категории"))</f>
        <v/>
      </c>
      <c r="G1479" s="43" t="n"/>
      <c r="H1479" s="56" t="n"/>
      <c r="I1479" s="43" t="n"/>
      <c r="J1479" s="57">
        <f>IF(OR(A1479="",H1479=""),"",IF(COUNTIFS(exp_year,C1479,exp_month,D1479,exp_item,E1479,exp_status,"&lt;&gt;❌ Отменено")&gt;0,1,0))</f>
        <v/>
      </c>
    </row>
    <row r="1480">
      <c r="A1480" s="52" t="n"/>
      <c r="B1480" s="53">
        <f>IF(A1480="","",CHOOSE(WEEKDAY(A1480,2),"Пн","Вт","Ср","Чт","Пт","Сб","Вс"))</f>
        <v/>
      </c>
      <c r="C1480" s="53">
        <f>IF(A1480="","",YEAR(A1480))</f>
        <v/>
      </c>
      <c r="D1480" s="54">
        <f>IF(A1480="","",INDEX(lst_months,MONTH(A1480)))</f>
        <v/>
      </c>
      <c r="E1480" s="55" t="n"/>
      <c r="F1480" s="54">
        <f>IF(E1480="","",IFERROR(IF(INDEX(lst_exp_item_cat,MATCH(E1480,lst_exp_items,0))="","❔ Без категории",INDEX(lst_exp_item_cat,MATCH(E1480,lst_exp_items,0))),"❔ Без категории"))</f>
        <v/>
      </c>
      <c r="G1480" s="43" t="n"/>
      <c r="H1480" s="56" t="n"/>
      <c r="I1480" s="43" t="n"/>
      <c r="J1480" s="57">
        <f>IF(OR(A1480="",H1480=""),"",IF(COUNTIFS(exp_year,C1480,exp_month,D1480,exp_item,E1480,exp_status,"&lt;&gt;❌ Отменено")&gt;0,1,0))</f>
        <v/>
      </c>
    </row>
    <row r="1481">
      <c r="A1481" s="52" t="n"/>
      <c r="B1481" s="53">
        <f>IF(A1481="","",CHOOSE(WEEKDAY(A1481,2),"Пн","Вт","Ср","Чт","Пт","Сб","Вс"))</f>
        <v/>
      </c>
      <c r="C1481" s="53">
        <f>IF(A1481="","",YEAR(A1481))</f>
        <v/>
      </c>
      <c r="D1481" s="54">
        <f>IF(A1481="","",INDEX(lst_months,MONTH(A1481)))</f>
        <v/>
      </c>
      <c r="E1481" s="55" t="n"/>
      <c r="F1481" s="54">
        <f>IF(E1481="","",IFERROR(IF(INDEX(lst_exp_item_cat,MATCH(E1481,lst_exp_items,0))="","❔ Без категории",INDEX(lst_exp_item_cat,MATCH(E1481,lst_exp_items,0))),"❔ Без категории"))</f>
        <v/>
      </c>
      <c r="G1481" s="43" t="n"/>
      <c r="H1481" s="56" t="n"/>
      <c r="I1481" s="43" t="n"/>
      <c r="J1481" s="57">
        <f>IF(OR(A1481="",H1481=""),"",IF(COUNTIFS(exp_year,C1481,exp_month,D1481,exp_item,E1481,exp_status,"&lt;&gt;❌ Отменено")&gt;0,1,0))</f>
        <v/>
      </c>
    </row>
    <row r="1482">
      <c r="A1482" s="52" t="n"/>
      <c r="B1482" s="53">
        <f>IF(A1482="","",CHOOSE(WEEKDAY(A1482,2),"Пн","Вт","Ср","Чт","Пт","Сб","Вс"))</f>
        <v/>
      </c>
      <c r="C1482" s="53">
        <f>IF(A1482="","",YEAR(A1482))</f>
        <v/>
      </c>
      <c r="D1482" s="54">
        <f>IF(A1482="","",INDEX(lst_months,MONTH(A1482)))</f>
        <v/>
      </c>
      <c r="E1482" s="55" t="n"/>
      <c r="F1482" s="54">
        <f>IF(E1482="","",IFERROR(IF(INDEX(lst_exp_item_cat,MATCH(E1482,lst_exp_items,0))="","❔ Без категории",INDEX(lst_exp_item_cat,MATCH(E1482,lst_exp_items,0))),"❔ Без категории"))</f>
        <v/>
      </c>
      <c r="G1482" s="43" t="n"/>
      <c r="H1482" s="56" t="n"/>
      <c r="I1482" s="43" t="n"/>
      <c r="J1482" s="57">
        <f>IF(OR(A1482="",H1482=""),"",IF(COUNTIFS(exp_year,C1482,exp_month,D1482,exp_item,E1482,exp_status,"&lt;&gt;❌ Отменено")&gt;0,1,0))</f>
        <v/>
      </c>
    </row>
    <row r="1483">
      <c r="A1483" s="52" t="n"/>
      <c r="B1483" s="53">
        <f>IF(A1483="","",CHOOSE(WEEKDAY(A1483,2),"Пн","Вт","Ср","Чт","Пт","Сб","Вс"))</f>
        <v/>
      </c>
      <c r="C1483" s="53">
        <f>IF(A1483="","",YEAR(A1483))</f>
        <v/>
      </c>
      <c r="D1483" s="54">
        <f>IF(A1483="","",INDEX(lst_months,MONTH(A1483)))</f>
        <v/>
      </c>
      <c r="E1483" s="55" t="n"/>
      <c r="F1483" s="54">
        <f>IF(E1483="","",IFERROR(IF(INDEX(lst_exp_item_cat,MATCH(E1483,lst_exp_items,0))="","❔ Без категории",INDEX(lst_exp_item_cat,MATCH(E1483,lst_exp_items,0))),"❔ Без категории"))</f>
        <v/>
      </c>
      <c r="G1483" s="43" t="n"/>
      <c r="H1483" s="56" t="n"/>
      <c r="I1483" s="43" t="n"/>
      <c r="J1483" s="57">
        <f>IF(OR(A1483="",H1483=""),"",IF(COUNTIFS(exp_year,C1483,exp_month,D1483,exp_item,E1483,exp_status,"&lt;&gt;❌ Отменено")&gt;0,1,0))</f>
        <v/>
      </c>
    </row>
    <row r="1484">
      <c r="A1484" s="52" t="n"/>
      <c r="B1484" s="53">
        <f>IF(A1484="","",CHOOSE(WEEKDAY(A1484,2),"Пн","Вт","Ср","Чт","Пт","Сб","Вс"))</f>
        <v/>
      </c>
      <c r="C1484" s="53">
        <f>IF(A1484="","",YEAR(A1484))</f>
        <v/>
      </c>
      <c r="D1484" s="54">
        <f>IF(A1484="","",INDEX(lst_months,MONTH(A1484)))</f>
        <v/>
      </c>
      <c r="E1484" s="55" t="n"/>
      <c r="F1484" s="54">
        <f>IF(E1484="","",IFERROR(IF(INDEX(lst_exp_item_cat,MATCH(E1484,lst_exp_items,0))="","❔ Без категории",INDEX(lst_exp_item_cat,MATCH(E1484,lst_exp_items,0))),"❔ Без категории"))</f>
        <v/>
      </c>
      <c r="G1484" s="43" t="n"/>
      <c r="H1484" s="56" t="n"/>
      <c r="I1484" s="43" t="n"/>
      <c r="J1484" s="57">
        <f>IF(OR(A1484="",H1484=""),"",IF(COUNTIFS(exp_year,C1484,exp_month,D1484,exp_item,E1484,exp_status,"&lt;&gt;❌ Отменено")&gt;0,1,0))</f>
        <v/>
      </c>
    </row>
    <row r="1485">
      <c r="A1485" s="52" t="n"/>
      <c r="B1485" s="53">
        <f>IF(A1485="","",CHOOSE(WEEKDAY(A1485,2),"Пн","Вт","Ср","Чт","Пт","Сб","Вс"))</f>
        <v/>
      </c>
      <c r="C1485" s="53">
        <f>IF(A1485="","",YEAR(A1485))</f>
        <v/>
      </c>
      <c r="D1485" s="54">
        <f>IF(A1485="","",INDEX(lst_months,MONTH(A1485)))</f>
        <v/>
      </c>
      <c r="E1485" s="55" t="n"/>
      <c r="F1485" s="54">
        <f>IF(E1485="","",IFERROR(IF(INDEX(lst_exp_item_cat,MATCH(E1485,lst_exp_items,0))="","❔ Без категории",INDEX(lst_exp_item_cat,MATCH(E1485,lst_exp_items,0))),"❔ Без категории"))</f>
        <v/>
      </c>
      <c r="G1485" s="43" t="n"/>
      <c r="H1485" s="56" t="n"/>
      <c r="I1485" s="43" t="n"/>
      <c r="J1485" s="57">
        <f>IF(OR(A1485="",H1485=""),"",IF(COUNTIFS(exp_year,C1485,exp_month,D1485,exp_item,E1485,exp_status,"&lt;&gt;❌ Отменено")&gt;0,1,0))</f>
        <v/>
      </c>
    </row>
    <row r="1486">
      <c r="A1486" s="52" t="n"/>
      <c r="B1486" s="53">
        <f>IF(A1486="","",CHOOSE(WEEKDAY(A1486,2),"Пн","Вт","Ср","Чт","Пт","Сб","Вс"))</f>
        <v/>
      </c>
      <c r="C1486" s="53">
        <f>IF(A1486="","",YEAR(A1486))</f>
        <v/>
      </c>
      <c r="D1486" s="54">
        <f>IF(A1486="","",INDEX(lst_months,MONTH(A1486)))</f>
        <v/>
      </c>
      <c r="E1486" s="55" t="n"/>
      <c r="F1486" s="54">
        <f>IF(E1486="","",IFERROR(IF(INDEX(lst_exp_item_cat,MATCH(E1486,lst_exp_items,0))="","❔ Без категории",INDEX(lst_exp_item_cat,MATCH(E1486,lst_exp_items,0))),"❔ Без категории"))</f>
        <v/>
      </c>
      <c r="G1486" s="43" t="n"/>
      <c r="H1486" s="56" t="n"/>
      <c r="I1486" s="43" t="n"/>
      <c r="J1486" s="57">
        <f>IF(OR(A1486="",H1486=""),"",IF(COUNTIFS(exp_year,C1486,exp_month,D1486,exp_item,E1486,exp_status,"&lt;&gt;❌ Отменено")&gt;0,1,0))</f>
        <v/>
      </c>
    </row>
    <row r="1487">
      <c r="A1487" s="52" t="n"/>
      <c r="B1487" s="53">
        <f>IF(A1487="","",CHOOSE(WEEKDAY(A1487,2),"Пн","Вт","Ср","Чт","Пт","Сб","Вс"))</f>
        <v/>
      </c>
      <c r="C1487" s="53">
        <f>IF(A1487="","",YEAR(A1487))</f>
        <v/>
      </c>
      <c r="D1487" s="54">
        <f>IF(A1487="","",INDEX(lst_months,MONTH(A1487)))</f>
        <v/>
      </c>
      <c r="E1487" s="55" t="n"/>
      <c r="F1487" s="54">
        <f>IF(E1487="","",IFERROR(IF(INDEX(lst_exp_item_cat,MATCH(E1487,lst_exp_items,0))="","❔ Без категории",INDEX(lst_exp_item_cat,MATCH(E1487,lst_exp_items,0))),"❔ Без категории"))</f>
        <v/>
      </c>
      <c r="G1487" s="43" t="n"/>
      <c r="H1487" s="56" t="n"/>
      <c r="I1487" s="43" t="n"/>
      <c r="J1487" s="57">
        <f>IF(OR(A1487="",H1487=""),"",IF(COUNTIFS(exp_year,C1487,exp_month,D1487,exp_item,E1487,exp_status,"&lt;&gt;❌ Отменено")&gt;0,1,0))</f>
        <v/>
      </c>
    </row>
    <row r="1488">
      <c r="A1488" s="52" t="n"/>
      <c r="B1488" s="53">
        <f>IF(A1488="","",CHOOSE(WEEKDAY(A1488,2),"Пн","Вт","Ср","Чт","Пт","Сб","Вс"))</f>
        <v/>
      </c>
      <c r="C1488" s="53">
        <f>IF(A1488="","",YEAR(A1488))</f>
        <v/>
      </c>
      <c r="D1488" s="54">
        <f>IF(A1488="","",INDEX(lst_months,MONTH(A1488)))</f>
        <v/>
      </c>
      <c r="E1488" s="55" t="n"/>
      <c r="F1488" s="54">
        <f>IF(E1488="","",IFERROR(IF(INDEX(lst_exp_item_cat,MATCH(E1488,lst_exp_items,0))="","❔ Без категории",INDEX(lst_exp_item_cat,MATCH(E1488,lst_exp_items,0))),"❔ Без категории"))</f>
        <v/>
      </c>
      <c r="G1488" s="43" t="n"/>
      <c r="H1488" s="56" t="n"/>
      <c r="I1488" s="43" t="n"/>
      <c r="J1488" s="57">
        <f>IF(OR(A1488="",H1488=""),"",IF(COUNTIFS(exp_year,C1488,exp_month,D1488,exp_item,E1488,exp_status,"&lt;&gt;❌ Отменено")&gt;0,1,0))</f>
        <v/>
      </c>
    </row>
    <row r="1489">
      <c r="A1489" s="52" t="n"/>
      <c r="B1489" s="53">
        <f>IF(A1489="","",CHOOSE(WEEKDAY(A1489,2),"Пн","Вт","Ср","Чт","Пт","Сб","Вс"))</f>
        <v/>
      </c>
      <c r="C1489" s="53">
        <f>IF(A1489="","",YEAR(A1489))</f>
        <v/>
      </c>
      <c r="D1489" s="54">
        <f>IF(A1489="","",INDEX(lst_months,MONTH(A1489)))</f>
        <v/>
      </c>
      <c r="E1489" s="55" t="n"/>
      <c r="F1489" s="54">
        <f>IF(E1489="","",IFERROR(IF(INDEX(lst_exp_item_cat,MATCH(E1489,lst_exp_items,0))="","❔ Без категории",INDEX(lst_exp_item_cat,MATCH(E1489,lst_exp_items,0))),"❔ Без категории"))</f>
        <v/>
      </c>
      <c r="G1489" s="43" t="n"/>
      <c r="H1489" s="56" t="n"/>
      <c r="I1489" s="43" t="n"/>
      <c r="J1489" s="57">
        <f>IF(OR(A1489="",H1489=""),"",IF(COUNTIFS(exp_year,C1489,exp_month,D1489,exp_item,E1489,exp_status,"&lt;&gt;❌ Отменено")&gt;0,1,0))</f>
        <v/>
      </c>
    </row>
    <row r="1490">
      <c r="A1490" s="52" t="n"/>
      <c r="B1490" s="53">
        <f>IF(A1490="","",CHOOSE(WEEKDAY(A1490,2),"Пн","Вт","Ср","Чт","Пт","Сб","Вс"))</f>
        <v/>
      </c>
      <c r="C1490" s="53">
        <f>IF(A1490="","",YEAR(A1490))</f>
        <v/>
      </c>
      <c r="D1490" s="54">
        <f>IF(A1490="","",INDEX(lst_months,MONTH(A1490)))</f>
        <v/>
      </c>
      <c r="E1490" s="55" t="n"/>
      <c r="F1490" s="54">
        <f>IF(E1490="","",IFERROR(IF(INDEX(lst_exp_item_cat,MATCH(E1490,lst_exp_items,0))="","❔ Без категории",INDEX(lst_exp_item_cat,MATCH(E1490,lst_exp_items,0))),"❔ Без категории"))</f>
        <v/>
      </c>
      <c r="G1490" s="43" t="n"/>
      <c r="H1490" s="56" t="n"/>
      <c r="I1490" s="43" t="n"/>
      <c r="J1490" s="57">
        <f>IF(OR(A1490="",H1490=""),"",IF(COUNTIFS(exp_year,C1490,exp_month,D1490,exp_item,E1490,exp_status,"&lt;&gt;❌ Отменено")&gt;0,1,0))</f>
        <v/>
      </c>
    </row>
    <row r="1491">
      <c r="A1491" s="52" t="n"/>
      <c r="B1491" s="53">
        <f>IF(A1491="","",CHOOSE(WEEKDAY(A1491,2),"Пн","Вт","Ср","Чт","Пт","Сб","Вс"))</f>
        <v/>
      </c>
      <c r="C1491" s="53">
        <f>IF(A1491="","",YEAR(A1491))</f>
        <v/>
      </c>
      <c r="D1491" s="54">
        <f>IF(A1491="","",INDEX(lst_months,MONTH(A1491)))</f>
        <v/>
      </c>
      <c r="E1491" s="55" t="n"/>
      <c r="F1491" s="54">
        <f>IF(E1491="","",IFERROR(IF(INDEX(lst_exp_item_cat,MATCH(E1491,lst_exp_items,0))="","❔ Без категории",INDEX(lst_exp_item_cat,MATCH(E1491,lst_exp_items,0))),"❔ Без категории"))</f>
        <v/>
      </c>
      <c r="G1491" s="43" t="n"/>
      <c r="H1491" s="56" t="n"/>
      <c r="I1491" s="43" t="n"/>
      <c r="J1491" s="57">
        <f>IF(OR(A1491="",H1491=""),"",IF(COUNTIFS(exp_year,C1491,exp_month,D1491,exp_item,E1491,exp_status,"&lt;&gt;❌ Отменено")&gt;0,1,0))</f>
        <v/>
      </c>
    </row>
    <row r="1492">
      <c r="A1492" s="52" t="n"/>
      <c r="B1492" s="53">
        <f>IF(A1492="","",CHOOSE(WEEKDAY(A1492,2),"Пн","Вт","Ср","Чт","Пт","Сб","Вс"))</f>
        <v/>
      </c>
      <c r="C1492" s="53">
        <f>IF(A1492="","",YEAR(A1492))</f>
        <v/>
      </c>
      <c r="D1492" s="54">
        <f>IF(A1492="","",INDEX(lst_months,MONTH(A1492)))</f>
        <v/>
      </c>
      <c r="E1492" s="55" t="n"/>
      <c r="F1492" s="54">
        <f>IF(E1492="","",IFERROR(IF(INDEX(lst_exp_item_cat,MATCH(E1492,lst_exp_items,0))="","❔ Без категории",INDEX(lst_exp_item_cat,MATCH(E1492,lst_exp_items,0))),"❔ Без категории"))</f>
        <v/>
      </c>
      <c r="G1492" s="43" t="n"/>
      <c r="H1492" s="56" t="n"/>
      <c r="I1492" s="43" t="n"/>
      <c r="J1492" s="57">
        <f>IF(OR(A1492="",H1492=""),"",IF(COUNTIFS(exp_year,C1492,exp_month,D1492,exp_item,E1492,exp_status,"&lt;&gt;❌ Отменено")&gt;0,1,0))</f>
        <v/>
      </c>
    </row>
    <row r="1493">
      <c r="A1493" s="52" t="n"/>
      <c r="B1493" s="53">
        <f>IF(A1493="","",CHOOSE(WEEKDAY(A1493,2),"Пн","Вт","Ср","Чт","Пт","Сб","Вс"))</f>
        <v/>
      </c>
      <c r="C1493" s="53">
        <f>IF(A1493="","",YEAR(A1493))</f>
        <v/>
      </c>
      <c r="D1493" s="54">
        <f>IF(A1493="","",INDEX(lst_months,MONTH(A1493)))</f>
        <v/>
      </c>
      <c r="E1493" s="55" t="n"/>
      <c r="F1493" s="54">
        <f>IF(E1493="","",IFERROR(IF(INDEX(lst_exp_item_cat,MATCH(E1493,lst_exp_items,0))="","❔ Без категории",INDEX(lst_exp_item_cat,MATCH(E1493,lst_exp_items,0))),"❔ Без категории"))</f>
        <v/>
      </c>
      <c r="G1493" s="43" t="n"/>
      <c r="H1493" s="56" t="n"/>
      <c r="I1493" s="43" t="n"/>
      <c r="J1493" s="57">
        <f>IF(OR(A1493="",H1493=""),"",IF(COUNTIFS(exp_year,C1493,exp_month,D1493,exp_item,E1493,exp_status,"&lt;&gt;❌ Отменено")&gt;0,1,0))</f>
        <v/>
      </c>
    </row>
    <row r="1494">
      <c r="A1494" s="52" t="n"/>
      <c r="B1494" s="53">
        <f>IF(A1494="","",CHOOSE(WEEKDAY(A1494,2),"Пн","Вт","Ср","Чт","Пт","Сб","Вс"))</f>
        <v/>
      </c>
      <c r="C1494" s="53">
        <f>IF(A1494="","",YEAR(A1494))</f>
        <v/>
      </c>
      <c r="D1494" s="54">
        <f>IF(A1494="","",INDEX(lst_months,MONTH(A1494)))</f>
        <v/>
      </c>
      <c r="E1494" s="55" t="n"/>
      <c r="F1494" s="54">
        <f>IF(E1494="","",IFERROR(IF(INDEX(lst_exp_item_cat,MATCH(E1494,lst_exp_items,0))="","❔ Без категории",INDEX(lst_exp_item_cat,MATCH(E1494,lst_exp_items,0))),"❔ Без категории"))</f>
        <v/>
      </c>
      <c r="G1494" s="43" t="n"/>
      <c r="H1494" s="56" t="n"/>
      <c r="I1494" s="43" t="n"/>
      <c r="J1494" s="57">
        <f>IF(OR(A1494="",H1494=""),"",IF(COUNTIFS(exp_year,C1494,exp_month,D1494,exp_item,E1494,exp_status,"&lt;&gt;❌ Отменено")&gt;0,1,0))</f>
        <v/>
      </c>
    </row>
    <row r="1495">
      <c r="A1495" s="52" t="n"/>
      <c r="B1495" s="53">
        <f>IF(A1495="","",CHOOSE(WEEKDAY(A1495,2),"Пн","Вт","Ср","Чт","Пт","Сб","Вс"))</f>
        <v/>
      </c>
      <c r="C1495" s="53">
        <f>IF(A1495="","",YEAR(A1495))</f>
        <v/>
      </c>
      <c r="D1495" s="54">
        <f>IF(A1495="","",INDEX(lst_months,MONTH(A1495)))</f>
        <v/>
      </c>
      <c r="E1495" s="55" t="n"/>
      <c r="F1495" s="54">
        <f>IF(E1495="","",IFERROR(IF(INDEX(lst_exp_item_cat,MATCH(E1495,lst_exp_items,0))="","❔ Без категории",INDEX(lst_exp_item_cat,MATCH(E1495,lst_exp_items,0))),"❔ Без категории"))</f>
        <v/>
      </c>
      <c r="G1495" s="43" t="n"/>
      <c r="H1495" s="56" t="n"/>
      <c r="I1495" s="43" t="n"/>
      <c r="J1495" s="57">
        <f>IF(OR(A1495="",H1495=""),"",IF(COUNTIFS(exp_year,C1495,exp_month,D1495,exp_item,E1495,exp_status,"&lt;&gt;❌ Отменено")&gt;0,1,0))</f>
        <v/>
      </c>
    </row>
    <row r="1496">
      <c r="A1496" s="52" t="n"/>
      <c r="B1496" s="53">
        <f>IF(A1496="","",CHOOSE(WEEKDAY(A1496,2),"Пн","Вт","Ср","Чт","Пт","Сб","Вс"))</f>
        <v/>
      </c>
      <c r="C1496" s="53">
        <f>IF(A1496="","",YEAR(A1496))</f>
        <v/>
      </c>
      <c r="D1496" s="54">
        <f>IF(A1496="","",INDEX(lst_months,MONTH(A1496)))</f>
        <v/>
      </c>
      <c r="E1496" s="55" t="n"/>
      <c r="F1496" s="54">
        <f>IF(E1496="","",IFERROR(IF(INDEX(lst_exp_item_cat,MATCH(E1496,lst_exp_items,0))="","❔ Без категории",INDEX(lst_exp_item_cat,MATCH(E1496,lst_exp_items,0))),"❔ Без категории"))</f>
        <v/>
      </c>
      <c r="G1496" s="43" t="n"/>
      <c r="H1496" s="56" t="n"/>
      <c r="I1496" s="43" t="n"/>
      <c r="J1496" s="57">
        <f>IF(OR(A1496="",H1496=""),"",IF(COUNTIFS(exp_year,C1496,exp_month,D1496,exp_item,E1496,exp_status,"&lt;&gt;❌ Отменено")&gt;0,1,0))</f>
        <v/>
      </c>
    </row>
    <row r="1497">
      <c r="A1497" s="52" t="n"/>
      <c r="B1497" s="53">
        <f>IF(A1497="","",CHOOSE(WEEKDAY(A1497,2),"Пн","Вт","Ср","Чт","Пт","Сб","Вс"))</f>
        <v/>
      </c>
      <c r="C1497" s="53">
        <f>IF(A1497="","",YEAR(A1497))</f>
        <v/>
      </c>
      <c r="D1497" s="54">
        <f>IF(A1497="","",INDEX(lst_months,MONTH(A1497)))</f>
        <v/>
      </c>
      <c r="E1497" s="55" t="n"/>
      <c r="F1497" s="54">
        <f>IF(E1497="","",IFERROR(IF(INDEX(lst_exp_item_cat,MATCH(E1497,lst_exp_items,0))="","❔ Без категории",INDEX(lst_exp_item_cat,MATCH(E1497,lst_exp_items,0))),"❔ Без категории"))</f>
        <v/>
      </c>
      <c r="G1497" s="43" t="n"/>
      <c r="H1497" s="56" t="n"/>
      <c r="I1497" s="43" t="n"/>
      <c r="J1497" s="57">
        <f>IF(OR(A1497="",H1497=""),"",IF(COUNTIFS(exp_year,C1497,exp_month,D1497,exp_item,E1497,exp_status,"&lt;&gt;❌ Отменено")&gt;0,1,0))</f>
        <v/>
      </c>
    </row>
    <row r="1498">
      <c r="A1498" s="52" t="n"/>
      <c r="B1498" s="53">
        <f>IF(A1498="","",CHOOSE(WEEKDAY(A1498,2),"Пн","Вт","Ср","Чт","Пт","Сб","Вс"))</f>
        <v/>
      </c>
      <c r="C1498" s="53">
        <f>IF(A1498="","",YEAR(A1498))</f>
        <v/>
      </c>
      <c r="D1498" s="54">
        <f>IF(A1498="","",INDEX(lst_months,MONTH(A1498)))</f>
        <v/>
      </c>
      <c r="E1498" s="55" t="n"/>
      <c r="F1498" s="54">
        <f>IF(E1498="","",IFERROR(IF(INDEX(lst_exp_item_cat,MATCH(E1498,lst_exp_items,0))="","❔ Без категории",INDEX(lst_exp_item_cat,MATCH(E1498,lst_exp_items,0))),"❔ Без категории"))</f>
        <v/>
      </c>
      <c r="G1498" s="43" t="n"/>
      <c r="H1498" s="56" t="n"/>
      <c r="I1498" s="43" t="n"/>
      <c r="J1498" s="57">
        <f>IF(OR(A1498="",H1498=""),"",IF(COUNTIFS(exp_year,C1498,exp_month,D1498,exp_item,E1498,exp_status,"&lt;&gt;❌ Отменено")&gt;0,1,0))</f>
        <v/>
      </c>
    </row>
    <row r="1499">
      <c r="A1499" s="52" t="n"/>
      <c r="B1499" s="53">
        <f>IF(A1499="","",CHOOSE(WEEKDAY(A1499,2),"Пн","Вт","Ср","Чт","Пт","Сб","Вс"))</f>
        <v/>
      </c>
      <c r="C1499" s="53">
        <f>IF(A1499="","",YEAR(A1499))</f>
        <v/>
      </c>
      <c r="D1499" s="54">
        <f>IF(A1499="","",INDEX(lst_months,MONTH(A1499)))</f>
        <v/>
      </c>
      <c r="E1499" s="55" t="n"/>
      <c r="F1499" s="54">
        <f>IF(E1499="","",IFERROR(IF(INDEX(lst_exp_item_cat,MATCH(E1499,lst_exp_items,0))="","❔ Без категории",INDEX(lst_exp_item_cat,MATCH(E1499,lst_exp_items,0))),"❔ Без категории"))</f>
        <v/>
      </c>
      <c r="G1499" s="43" t="n"/>
      <c r="H1499" s="56" t="n"/>
      <c r="I1499" s="43" t="n"/>
      <c r="J1499" s="57">
        <f>IF(OR(A1499="",H1499=""),"",IF(COUNTIFS(exp_year,C1499,exp_month,D1499,exp_item,E1499,exp_status,"&lt;&gt;❌ Отменено")&gt;0,1,0))</f>
        <v/>
      </c>
    </row>
    <row r="1500">
      <c r="A1500" s="52" t="n"/>
      <c r="B1500" s="53">
        <f>IF(A1500="","",CHOOSE(WEEKDAY(A1500,2),"Пн","Вт","Ср","Чт","Пт","Сб","Вс"))</f>
        <v/>
      </c>
      <c r="C1500" s="53">
        <f>IF(A1500="","",YEAR(A1500))</f>
        <v/>
      </c>
      <c r="D1500" s="54">
        <f>IF(A1500="","",INDEX(lst_months,MONTH(A1500)))</f>
        <v/>
      </c>
      <c r="E1500" s="55" t="n"/>
      <c r="F1500" s="54">
        <f>IF(E1500="","",IFERROR(IF(INDEX(lst_exp_item_cat,MATCH(E1500,lst_exp_items,0))="","❔ Без категории",INDEX(lst_exp_item_cat,MATCH(E1500,lst_exp_items,0))),"❔ Без категории"))</f>
        <v/>
      </c>
      <c r="G1500" s="43" t="n"/>
      <c r="H1500" s="56" t="n"/>
      <c r="I1500" s="43" t="n"/>
      <c r="J1500" s="57">
        <f>IF(OR(A1500="",H1500=""),"",IF(COUNTIFS(exp_year,C1500,exp_month,D1500,exp_item,E1500,exp_status,"&lt;&gt;❌ Отменено")&gt;0,1,0))</f>
        <v/>
      </c>
    </row>
    <row r="1501">
      <c r="A1501" s="52" t="n"/>
      <c r="B1501" s="53">
        <f>IF(A1501="","",CHOOSE(WEEKDAY(A1501,2),"Пн","Вт","Ср","Чт","Пт","Сб","Вс"))</f>
        <v/>
      </c>
      <c r="C1501" s="53">
        <f>IF(A1501="","",YEAR(A1501))</f>
        <v/>
      </c>
      <c r="D1501" s="54">
        <f>IF(A1501="","",INDEX(lst_months,MONTH(A1501)))</f>
        <v/>
      </c>
      <c r="E1501" s="55" t="n"/>
      <c r="F1501" s="54">
        <f>IF(E1501="","",IFERROR(IF(INDEX(lst_exp_item_cat,MATCH(E1501,lst_exp_items,0))="","❔ Без категории",INDEX(lst_exp_item_cat,MATCH(E1501,lst_exp_items,0))),"❔ Без категории"))</f>
        <v/>
      </c>
      <c r="G1501" s="43" t="n"/>
      <c r="H1501" s="56" t="n"/>
      <c r="I1501" s="43" t="n"/>
      <c r="J1501" s="57">
        <f>IF(OR(A1501="",H1501=""),"",IF(COUNTIFS(exp_year,C1501,exp_month,D1501,exp_item,E1501,exp_status,"&lt;&gt;❌ Отменено")&gt;0,1,0))</f>
        <v/>
      </c>
    </row>
    <row r="1502">
      <c r="A1502" s="52" t="n"/>
      <c r="B1502" s="53">
        <f>IF(A1502="","",CHOOSE(WEEKDAY(A1502,2),"Пн","Вт","Ср","Чт","Пт","Сб","Вс"))</f>
        <v/>
      </c>
      <c r="C1502" s="53">
        <f>IF(A1502="","",YEAR(A1502))</f>
        <v/>
      </c>
      <c r="D1502" s="54">
        <f>IF(A1502="","",INDEX(lst_months,MONTH(A1502)))</f>
        <v/>
      </c>
      <c r="E1502" s="55" t="n"/>
      <c r="F1502" s="54">
        <f>IF(E1502="","",IFERROR(IF(INDEX(lst_exp_item_cat,MATCH(E1502,lst_exp_items,0))="","❔ Без категории",INDEX(lst_exp_item_cat,MATCH(E1502,lst_exp_items,0))),"❔ Без категории"))</f>
        <v/>
      </c>
      <c r="G1502" s="43" t="n"/>
      <c r="H1502" s="56" t="n"/>
      <c r="I1502" s="43" t="n"/>
      <c r="J1502" s="57">
        <f>IF(OR(A1502="",H1502=""),"",IF(COUNTIFS(exp_year,C1502,exp_month,D1502,exp_item,E1502,exp_status,"&lt;&gt;❌ Отменено")&gt;0,1,0))</f>
        <v/>
      </c>
    </row>
    <row r="1503">
      <c r="A1503" s="52" t="n"/>
      <c r="B1503" s="53">
        <f>IF(A1503="","",CHOOSE(WEEKDAY(A1503,2),"Пн","Вт","Ср","Чт","Пт","Сб","Вс"))</f>
        <v/>
      </c>
      <c r="C1503" s="53">
        <f>IF(A1503="","",YEAR(A1503))</f>
        <v/>
      </c>
      <c r="D1503" s="54">
        <f>IF(A1503="","",INDEX(lst_months,MONTH(A1503)))</f>
        <v/>
      </c>
      <c r="E1503" s="55" t="n"/>
      <c r="F1503" s="54">
        <f>IF(E1503="","",IFERROR(IF(INDEX(lst_exp_item_cat,MATCH(E1503,lst_exp_items,0))="","❔ Без категории",INDEX(lst_exp_item_cat,MATCH(E1503,lst_exp_items,0))),"❔ Без категории"))</f>
        <v/>
      </c>
      <c r="G1503" s="43" t="n"/>
      <c r="H1503" s="56" t="n"/>
      <c r="I1503" s="43" t="n"/>
      <c r="J1503" s="57">
        <f>IF(OR(A1503="",H1503=""),"",IF(COUNTIFS(exp_year,C1503,exp_month,D1503,exp_item,E1503,exp_status,"&lt;&gt;❌ Отменено")&gt;0,1,0))</f>
        <v/>
      </c>
    </row>
    <row r="1504">
      <c r="A1504" s="52" t="n"/>
      <c r="B1504" s="53">
        <f>IF(A1504="","",CHOOSE(WEEKDAY(A1504,2),"Пн","Вт","Ср","Чт","Пт","Сб","Вс"))</f>
        <v/>
      </c>
      <c r="C1504" s="53">
        <f>IF(A1504="","",YEAR(A1504))</f>
        <v/>
      </c>
      <c r="D1504" s="54">
        <f>IF(A1504="","",INDEX(lst_months,MONTH(A1504)))</f>
        <v/>
      </c>
      <c r="E1504" s="55" t="n"/>
      <c r="F1504" s="54">
        <f>IF(E1504="","",IFERROR(IF(INDEX(lst_exp_item_cat,MATCH(E1504,lst_exp_items,0))="","❔ Без категории",INDEX(lst_exp_item_cat,MATCH(E1504,lst_exp_items,0))),"❔ Без категории"))</f>
        <v/>
      </c>
      <c r="G1504" s="43" t="n"/>
      <c r="H1504" s="56" t="n"/>
      <c r="I1504" s="43" t="n"/>
      <c r="J1504" s="57">
        <f>IF(OR(A1504="",H1504=""),"",IF(COUNTIFS(exp_year,C1504,exp_month,D1504,exp_item,E1504,exp_status,"&lt;&gt;❌ Отменено")&gt;0,1,0))</f>
        <v/>
      </c>
    </row>
    <row r="1505">
      <c r="A1505" s="52" t="n"/>
      <c r="B1505" s="53">
        <f>IF(A1505="","",CHOOSE(WEEKDAY(A1505,2),"Пн","Вт","Ср","Чт","Пт","Сб","Вс"))</f>
        <v/>
      </c>
      <c r="C1505" s="53">
        <f>IF(A1505="","",YEAR(A1505))</f>
        <v/>
      </c>
      <c r="D1505" s="54">
        <f>IF(A1505="","",INDEX(lst_months,MONTH(A1505)))</f>
        <v/>
      </c>
      <c r="E1505" s="55" t="n"/>
      <c r="F1505" s="54">
        <f>IF(E1505="","",IFERROR(IF(INDEX(lst_exp_item_cat,MATCH(E1505,lst_exp_items,0))="","❔ Без категории",INDEX(lst_exp_item_cat,MATCH(E1505,lst_exp_items,0))),"❔ Без категории"))</f>
        <v/>
      </c>
      <c r="G1505" s="43" t="n"/>
      <c r="H1505" s="56" t="n"/>
      <c r="I1505" s="43" t="n"/>
      <c r="J1505" s="57">
        <f>IF(OR(A1505="",H1505=""),"",IF(COUNTIFS(exp_year,C1505,exp_month,D1505,exp_item,E1505,exp_status,"&lt;&gt;❌ Отменено")&gt;0,1,0))</f>
        <v/>
      </c>
    </row>
    <row r="1506">
      <c r="A1506" s="52" t="n"/>
      <c r="B1506" s="53">
        <f>IF(A1506="","",CHOOSE(WEEKDAY(A1506,2),"Пн","Вт","Ср","Чт","Пт","Сб","Вс"))</f>
        <v/>
      </c>
      <c r="C1506" s="53">
        <f>IF(A1506="","",YEAR(A1506))</f>
        <v/>
      </c>
      <c r="D1506" s="54">
        <f>IF(A1506="","",INDEX(lst_months,MONTH(A1506)))</f>
        <v/>
      </c>
      <c r="E1506" s="55" t="n"/>
      <c r="F1506" s="54">
        <f>IF(E1506="","",IFERROR(IF(INDEX(lst_exp_item_cat,MATCH(E1506,lst_exp_items,0))="","❔ Без категории",INDEX(lst_exp_item_cat,MATCH(E1506,lst_exp_items,0))),"❔ Без категории"))</f>
        <v/>
      </c>
      <c r="G1506" s="43" t="n"/>
      <c r="H1506" s="56" t="n"/>
      <c r="I1506" s="43" t="n"/>
      <c r="J1506" s="57">
        <f>IF(OR(A1506="",H1506=""),"",IF(COUNTIFS(exp_year,C1506,exp_month,D1506,exp_item,E1506,exp_status,"&lt;&gt;❌ Отменено")&gt;0,1,0))</f>
        <v/>
      </c>
    </row>
    <row r="1507">
      <c r="A1507" s="52" t="n"/>
      <c r="B1507" s="53">
        <f>IF(A1507="","",CHOOSE(WEEKDAY(A1507,2),"Пн","Вт","Ср","Чт","Пт","Сб","Вс"))</f>
        <v/>
      </c>
      <c r="C1507" s="53">
        <f>IF(A1507="","",YEAR(A1507))</f>
        <v/>
      </c>
      <c r="D1507" s="54">
        <f>IF(A1507="","",INDEX(lst_months,MONTH(A1507)))</f>
        <v/>
      </c>
      <c r="E1507" s="55" t="n"/>
      <c r="F1507" s="54">
        <f>IF(E1507="","",IFERROR(IF(INDEX(lst_exp_item_cat,MATCH(E1507,lst_exp_items,0))="","❔ Без категории",INDEX(lst_exp_item_cat,MATCH(E1507,lst_exp_items,0))),"❔ Без категории"))</f>
        <v/>
      </c>
      <c r="G1507" s="43" t="n"/>
      <c r="H1507" s="56" t="n"/>
      <c r="I1507" s="43" t="n"/>
      <c r="J1507" s="57">
        <f>IF(OR(A1507="",H1507=""),"",IF(COUNTIFS(exp_year,C1507,exp_month,D1507,exp_item,E1507,exp_status,"&lt;&gt;❌ Отменено")&gt;0,1,0))</f>
        <v/>
      </c>
    </row>
    <row r="1508">
      <c r="A1508" s="52" t="n"/>
      <c r="B1508" s="53">
        <f>IF(A1508="","",CHOOSE(WEEKDAY(A1508,2),"Пн","Вт","Ср","Чт","Пт","Сб","Вс"))</f>
        <v/>
      </c>
      <c r="C1508" s="53">
        <f>IF(A1508="","",YEAR(A1508))</f>
        <v/>
      </c>
      <c r="D1508" s="54">
        <f>IF(A1508="","",INDEX(lst_months,MONTH(A1508)))</f>
        <v/>
      </c>
      <c r="E1508" s="55" t="n"/>
      <c r="F1508" s="54">
        <f>IF(E1508="","",IFERROR(IF(INDEX(lst_exp_item_cat,MATCH(E1508,lst_exp_items,0))="","❔ Без категории",INDEX(lst_exp_item_cat,MATCH(E1508,lst_exp_items,0))),"❔ Без категории"))</f>
        <v/>
      </c>
      <c r="G1508" s="43" t="n"/>
      <c r="H1508" s="56" t="n"/>
      <c r="I1508" s="43" t="n"/>
      <c r="J1508" s="57">
        <f>IF(OR(A1508="",H1508=""),"",IF(COUNTIFS(exp_year,C1508,exp_month,D1508,exp_item,E1508,exp_status,"&lt;&gt;❌ Отменено")&gt;0,1,0))</f>
        <v/>
      </c>
    </row>
    <row r="1509">
      <c r="A1509" s="52" t="n"/>
      <c r="B1509" s="53">
        <f>IF(A1509="","",CHOOSE(WEEKDAY(A1509,2),"Пн","Вт","Ср","Чт","Пт","Сб","Вс"))</f>
        <v/>
      </c>
      <c r="C1509" s="53">
        <f>IF(A1509="","",YEAR(A1509))</f>
        <v/>
      </c>
      <c r="D1509" s="54">
        <f>IF(A1509="","",INDEX(lst_months,MONTH(A1509)))</f>
        <v/>
      </c>
      <c r="E1509" s="55" t="n"/>
      <c r="F1509" s="54">
        <f>IF(E1509="","",IFERROR(IF(INDEX(lst_exp_item_cat,MATCH(E1509,lst_exp_items,0))="","❔ Без категории",INDEX(lst_exp_item_cat,MATCH(E1509,lst_exp_items,0))),"❔ Без категории"))</f>
        <v/>
      </c>
      <c r="G1509" s="43" t="n"/>
      <c r="H1509" s="56" t="n"/>
      <c r="I1509" s="43" t="n"/>
      <c r="J1509" s="57">
        <f>IF(OR(A1509="",H1509=""),"",IF(COUNTIFS(exp_year,C1509,exp_month,D1509,exp_item,E1509,exp_status,"&lt;&gt;❌ Отменено")&gt;0,1,0))</f>
        <v/>
      </c>
    </row>
    <row r="1510">
      <c r="A1510" s="52" t="n"/>
      <c r="B1510" s="53">
        <f>IF(A1510="","",CHOOSE(WEEKDAY(A1510,2),"Пн","Вт","Ср","Чт","Пт","Сб","Вс"))</f>
        <v/>
      </c>
      <c r="C1510" s="53">
        <f>IF(A1510="","",YEAR(A1510))</f>
        <v/>
      </c>
      <c r="D1510" s="54">
        <f>IF(A1510="","",INDEX(lst_months,MONTH(A1510)))</f>
        <v/>
      </c>
      <c r="E1510" s="55" t="n"/>
      <c r="F1510" s="54">
        <f>IF(E1510="","",IFERROR(IF(INDEX(lst_exp_item_cat,MATCH(E1510,lst_exp_items,0))="","❔ Без категории",INDEX(lst_exp_item_cat,MATCH(E1510,lst_exp_items,0))),"❔ Без категории"))</f>
        <v/>
      </c>
      <c r="G1510" s="43" t="n"/>
      <c r="H1510" s="56" t="n"/>
      <c r="I1510" s="43" t="n"/>
      <c r="J1510" s="57">
        <f>IF(OR(A1510="",H1510=""),"",IF(COUNTIFS(exp_year,C1510,exp_month,D1510,exp_item,E1510,exp_status,"&lt;&gt;❌ Отменено")&gt;0,1,0))</f>
        <v/>
      </c>
    </row>
    <row r="1511">
      <c r="A1511" s="52" t="n"/>
      <c r="B1511" s="53">
        <f>IF(A1511="","",CHOOSE(WEEKDAY(A1511,2),"Пн","Вт","Ср","Чт","Пт","Сб","Вс"))</f>
        <v/>
      </c>
      <c r="C1511" s="53">
        <f>IF(A1511="","",YEAR(A1511))</f>
        <v/>
      </c>
      <c r="D1511" s="54">
        <f>IF(A1511="","",INDEX(lst_months,MONTH(A1511)))</f>
        <v/>
      </c>
      <c r="E1511" s="55" t="n"/>
      <c r="F1511" s="54">
        <f>IF(E1511="","",IFERROR(IF(INDEX(lst_exp_item_cat,MATCH(E1511,lst_exp_items,0))="","❔ Без категории",INDEX(lst_exp_item_cat,MATCH(E1511,lst_exp_items,0))),"❔ Без категории"))</f>
        <v/>
      </c>
      <c r="G1511" s="43" t="n"/>
      <c r="H1511" s="56" t="n"/>
      <c r="I1511" s="43" t="n"/>
      <c r="J1511" s="57">
        <f>IF(OR(A1511="",H1511=""),"",IF(COUNTIFS(exp_year,C1511,exp_month,D1511,exp_item,E1511,exp_status,"&lt;&gt;❌ Отменено")&gt;0,1,0))</f>
        <v/>
      </c>
    </row>
    <row r="1512">
      <c r="A1512" s="52" t="n"/>
      <c r="B1512" s="53">
        <f>IF(A1512="","",CHOOSE(WEEKDAY(A1512,2),"Пн","Вт","Ср","Чт","Пт","Сб","Вс"))</f>
        <v/>
      </c>
      <c r="C1512" s="53">
        <f>IF(A1512="","",YEAR(A1512))</f>
        <v/>
      </c>
      <c r="D1512" s="54">
        <f>IF(A1512="","",INDEX(lst_months,MONTH(A1512)))</f>
        <v/>
      </c>
      <c r="E1512" s="55" t="n"/>
      <c r="F1512" s="54">
        <f>IF(E1512="","",IFERROR(IF(INDEX(lst_exp_item_cat,MATCH(E1512,lst_exp_items,0))="","❔ Без категории",INDEX(lst_exp_item_cat,MATCH(E1512,lst_exp_items,0))),"❔ Без категории"))</f>
        <v/>
      </c>
      <c r="G1512" s="43" t="n"/>
      <c r="H1512" s="56" t="n"/>
      <c r="I1512" s="43" t="n"/>
      <c r="J1512" s="57">
        <f>IF(OR(A1512="",H1512=""),"",IF(COUNTIFS(exp_year,C1512,exp_month,D1512,exp_item,E1512,exp_status,"&lt;&gt;❌ Отменено")&gt;0,1,0))</f>
        <v/>
      </c>
    </row>
    <row r="1513">
      <c r="A1513" s="52" t="n"/>
      <c r="B1513" s="53">
        <f>IF(A1513="","",CHOOSE(WEEKDAY(A1513,2),"Пн","Вт","Ср","Чт","Пт","Сб","Вс"))</f>
        <v/>
      </c>
      <c r="C1513" s="53">
        <f>IF(A1513="","",YEAR(A1513))</f>
        <v/>
      </c>
      <c r="D1513" s="54">
        <f>IF(A1513="","",INDEX(lst_months,MONTH(A1513)))</f>
        <v/>
      </c>
      <c r="E1513" s="55" t="n"/>
      <c r="F1513" s="54">
        <f>IF(E1513="","",IFERROR(IF(INDEX(lst_exp_item_cat,MATCH(E1513,lst_exp_items,0))="","❔ Без категории",INDEX(lst_exp_item_cat,MATCH(E1513,lst_exp_items,0))),"❔ Без категории"))</f>
        <v/>
      </c>
      <c r="G1513" s="43" t="n"/>
      <c r="H1513" s="56" t="n"/>
      <c r="I1513" s="43" t="n"/>
      <c r="J1513" s="57">
        <f>IF(OR(A1513="",H1513=""),"",IF(COUNTIFS(exp_year,C1513,exp_month,D1513,exp_item,E1513,exp_status,"&lt;&gt;❌ Отменено")&gt;0,1,0))</f>
        <v/>
      </c>
    </row>
    <row r="1514">
      <c r="A1514" s="52" t="n"/>
      <c r="B1514" s="53">
        <f>IF(A1514="","",CHOOSE(WEEKDAY(A1514,2),"Пн","Вт","Ср","Чт","Пт","Сб","Вс"))</f>
        <v/>
      </c>
      <c r="C1514" s="53">
        <f>IF(A1514="","",YEAR(A1514))</f>
        <v/>
      </c>
      <c r="D1514" s="54">
        <f>IF(A1514="","",INDEX(lst_months,MONTH(A1514)))</f>
        <v/>
      </c>
      <c r="E1514" s="55" t="n"/>
      <c r="F1514" s="54">
        <f>IF(E1514="","",IFERROR(IF(INDEX(lst_exp_item_cat,MATCH(E1514,lst_exp_items,0))="","❔ Без категории",INDEX(lst_exp_item_cat,MATCH(E1514,lst_exp_items,0))),"❔ Без категории"))</f>
        <v/>
      </c>
      <c r="G1514" s="43" t="n"/>
      <c r="H1514" s="56" t="n"/>
      <c r="I1514" s="43" t="n"/>
      <c r="J1514" s="57">
        <f>IF(OR(A1514="",H1514=""),"",IF(COUNTIFS(exp_year,C1514,exp_month,D1514,exp_item,E1514,exp_status,"&lt;&gt;❌ Отменено")&gt;0,1,0))</f>
        <v/>
      </c>
    </row>
    <row r="1515">
      <c r="A1515" s="52" t="n"/>
      <c r="B1515" s="53">
        <f>IF(A1515="","",CHOOSE(WEEKDAY(A1515,2),"Пн","Вт","Ср","Чт","Пт","Сб","Вс"))</f>
        <v/>
      </c>
      <c r="C1515" s="53">
        <f>IF(A1515="","",YEAR(A1515))</f>
        <v/>
      </c>
      <c r="D1515" s="54">
        <f>IF(A1515="","",INDEX(lst_months,MONTH(A1515)))</f>
        <v/>
      </c>
      <c r="E1515" s="55" t="n"/>
      <c r="F1515" s="54">
        <f>IF(E1515="","",IFERROR(IF(INDEX(lst_exp_item_cat,MATCH(E1515,lst_exp_items,0))="","❔ Без категории",INDEX(lst_exp_item_cat,MATCH(E1515,lst_exp_items,0))),"❔ Без категории"))</f>
        <v/>
      </c>
      <c r="G1515" s="43" t="n"/>
      <c r="H1515" s="56" t="n"/>
      <c r="I1515" s="43" t="n"/>
      <c r="J1515" s="57">
        <f>IF(OR(A1515="",H1515=""),"",IF(COUNTIFS(exp_year,C1515,exp_month,D1515,exp_item,E1515,exp_status,"&lt;&gt;❌ Отменено")&gt;0,1,0))</f>
        <v/>
      </c>
    </row>
    <row r="1516">
      <c r="A1516" s="52" t="n"/>
      <c r="B1516" s="53">
        <f>IF(A1516="","",CHOOSE(WEEKDAY(A1516,2),"Пн","Вт","Ср","Чт","Пт","Сб","Вс"))</f>
        <v/>
      </c>
      <c r="C1516" s="53">
        <f>IF(A1516="","",YEAR(A1516))</f>
        <v/>
      </c>
      <c r="D1516" s="54">
        <f>IF(A1516="","",INDEX(lst_months,MONTH(A1516)))</f>
        <v/>
      </c>
      <c r="E1516" s="55" t="n"/>
      <c r="F1516" s="54">
        <f>IF(E1516="","",IFERROR(IF(INDEX(lst_exp_item_cat,MATCH(E1516,lst_exp_items,0))="","❔ Без категории",INDEX(lst_exp_item_cat,MATCH(E1516,lst_exp_items,0))),"❔ Без категории"))</f>
        <v/>
      </c>
      <c r="G1516" s="43" t="n"/>
      <c r="H1516" s="56" t="n"/>
      <c r="I1516" s="43" t="n"/>
      <c r="J1516" s="57">
        <f>IF(OR(A1516="",H1516=""),"",IF(COUNTIFS(exp_year,C1516,exp_month,D1516,exp_item,E1516,exp_status,"&lt;&gt;❌ Отменено")&gt;0,1,0))</f>
        <v/>
      </c>
    </row>
    <row r="1517">
      <c r="A1517" s="52" t="n"/>
      <c r="B1517" s="53">
        <f>IF(A1517="","",CHOOSE(WEEKDAY(A1517,2),"Пн","Вт","Ср","Чт","Пт","Сб","Вс"))</f>
        <v/>
      </c>
      <c r="C1517" s="53">
        <f>IF(A1517="","",YEAR(A1517))</f>
        <v/>
      </c>
      <c r="D1517" s="54">
        <f>IF(A1517="","",INDEX(lst_months,MONTH(A1517)))</f>
        <v/>
      </c>
      <c r="E1517" s="55" t="n"/>
      <c r="F1517" s="54">
        <f>IF(E1517="","",IFERROR(IF(INDEX(lst_exp_item_cat,MATCH(E1517,lst_exp_items,0))="","❔ Без категории",INDEX(lst_exp_item_cat,MATCH(E1517,lst_exp_items,0))),"❔ Без категории"))</f>
        <v/>
      </c>
      <c r="G1517" s="43" t="n"/>
      <c r="H1517" s="56" t="n"/>
      <c r="I1517" s="43" t="n"/>
      <c r="J1517" s="57">
        <f>IF(OR(A1517="",H1517=""),"",IF(COUNTIFS(exp_year,C1517,exp_month,D1517,exp_item,E1517,exp_status,"&lt;&gt;❌ Отменено")&gt;0,1,0))</f>
        <v/>
      </c>
    </row>
    <row r="1518">
      <c r="A1518" s="52" t="n"/>
      <c r="B1518" s="53">
        <f>IF(A1518="","",CHOOSE(WEEKDAY(A1518,2),"Пн","Вт","Ср","Чт","Пт","Сб","Вс"))</f>
        <v/>
      </c>
      <c r="C1518" s="53">
        <f>IF(A1518="","",YEAR(A1518))</f>
        <v/>
      </c>
      <c r="D1518" s="54">
        <f>IF(A1518="","",INDEX(lst_months,MONTH(A1518)))</f>
        <v/>
      </c>
      <c r="E1518" s="55" t="n"/>
      <c r="F1518" s="54">
        <f>IF(E1518="","",IFERROR(IF(INDEX(lst_exp_item_cat,MATCH(E1518,lst_exp_items,0))="","❔ Без категории",INDEX(lst_exp_item_cat,MATCH(E1518,lst_exp_items,0))),"❔ Без категории"))</f>
        <v/>
      </c>
      <c r="G1518" s="43" t="n"/>
      <c r="H1518" s="56" t="n"/>
      <c r="I1518" s="43" t="n"/>
      <c r="J1518" s="57">
        <f>IF(OR(A1518="",H1518=""),"",IF(COUNTIFS(exp_year,C1518,exp_month,D1518,exp_item,E1518,exp_status,"&lt;&gt;❌ Отменено")&gt;0,1,0))</f>
        <v/>
      </c>
    </row>
    <row r="1519">
      <c r="A1519" s="52" t="n"/>
      <c r="B1519" s="53">
        <f>IF(A1519="","",CHOOSE(WEEKDAY(A1519,2),"Пн","Вт","Ср","Чт","Пт","Сб","Вс"))</f>
        <v/>
      </c>
      <c r="C1519" s="53">
        <f>IF(A1519="","",YEAR(A1519))</f>
        <v/>
      </c>
      <c r="D1519" s="54">
        <f>IF(A1519="","",INDEX(lst_months,MONTH(A1519)))</f>
        <v/>
      </c>
      <c r="E1519" s="55" t="n"/>
      <c r="F1519" s="54">
        <f>IF(E1519="","",IFERROR(IF(INDEX(lst_exp_item_cat,MATCH(E1519,lst_exp_items,0))="","❔ Без категории",INDEX(lst_exp_item_cat,MATCH(E1519,lst_exp_items,0))),"❔ Без категории"))</f>
        <v/>
      </c>
      <c r="G1519" s="43" t="n"/>
      <c r="H1519" s="56" t="n"/>
      <c r="I1519" s="43" t="n"/>
      <c r="J1519" s="57">
        <f>IF(OR(A1519="",H1519=""),"",IF(COUNTIFS(exp_year,C1519,exp_month,D1519,exp_item,E1519,exp_status,"&lt;&gt;❌ Отменено")&gt;0,1,0))</f>
        <v/>
      </c>
    </row>
    <row r="1520">
      <c r="A1520" s="52" t="n"/>
      <c r="B1520" s="53">
        <f>IF(A1520="","",CHOOSE(WEEKDAY(A1520,2),"Пн","Вт","Ср","Чт","Пт","Сб","Вс"))</f>
        <v/>
      </c>
      <c r="C1520" s="53">
        <f>IF(A1520="","",YEAR(A1520))</f>
        <v/>
      </c>
      <c r="D1520" s="54">
        <f>IF(A1520="","",INDEX(lst_months,MONTH(A1520)))</f>
        <v/>
      </c>
      <c r="E1520" s="55" t="n"/>
      <c r="F1520" s="54">
        <f>IF(E1520="","",IFERROR(IF(INDEX(lst_exp_item_cat,MATCH(E1520,lst_exp_items,0))="","❔ Без категории",INDEX(lst_exp_item_cat,MATCH(E1520,lst_exp_items,0))),"❔ Без категории"))</f>
        <v/>
      </c>
      <c r="G1520" s="43" t="n"/>
      <c r="H1520" s="56" t="n"/>
      <c r="I1520" s="43" t="n"/>
      <c r="J1520" s="57">
        <f>IF(OR(A1520="",H1520=""),"",IF(COUNTIFS(exp_year,C1520,exp_month,D1520,exp_item,E1520,exp_status,"&lt;&gt;❌ Отменено")&gt;0,1,0))</f>
        <v/>
      </c>
    </row>
    <row r="1521">
      <c r="A1521" s="52" t="n"/>
      <c r="B1521" s="53">
        <f>IF(A1521="","",CHOOSE(WEEKDAY(A1521,2),"Пн","Вт","Ср","Чт","Пт","Сб","Вс"))</f>
        <v/>
      </c>
      <c r="C1521" s="53">
        <f>IF(A1521="","",YEAR(A1521))</f>
        <v/>
      </c>
      <c r="D1521" s="54">
        <f>IF(A1521="","",INDEX(lst_months,MONTH(A1521)))</f>
        <v/>
      </c>
      <c r="E1521" s="55" t="n"/>
      <c r="F1521" s="54">
        <f>IF(E1521="","",IFERROR(IF(INDEX(lst_exp_item_cat,MATCH(E1521,lst_exp_items,0))="","❔ Без категории",INDEX(lst_exp_item_cat,MATCH(E1521,lst_exp_items,0))),"❔ Без категории"))</f>
        <v/>
      </c>
      <c r="G1521" s="43" t="n"/>
      <c r="H1521" s="56" t="n"/>
      <c r="I1521" s="43" t="n"/>
      <c r="J1521" s="57">
        <f>IF(OR(A1521="",H1521=""),"",IF(COUNTIFS(exp_year,C1521,exp_month,D1521,exp_item,E1521,exp_status,"&lt;&gt;❌ Отменено")&gt;0,1,0))</f>
        <v/>
      </c>
    </row>
    <row r="1522">
      <c r="A1522" s="52" t="n"/>
      <c r="B1522" s="53">
        <f>IF(A1522="","",CHOOSE(WEEKDAY(A1522,2),"Пн","Вт","Ср","Чт","Пт","Сб","Вс"))</f>
        <v/>
      </c>
      <c r="C1522" s="53">
        <f>IF(A1522="","",YEAR(A1522))</f>
        <v/>
      </c>
      <c r="D1522" s="54">
        <f>IF(A1522="","",INDEX(lst_months,MONTH(A1522)))</f>
        <v/>
      </c>
      <c r="E1522" s="55" t="n"/>
      <c r="F1522" s="54">
        <f>IF(E1522="","",IFERROR(IF(INDEX(lst_exp_item_cat,MATCH(E1522,lst_exp_items,0))="","❔ Без категории",INDEX(lst_exp_item_cat,MATCH(E1522,lst_exp_items,0))),"❔ Без категории"))</f>
        <v/>
      </c>
      <c r="G1522" s="43" t="n"/>
      <c r="H1522" s="56" t="n"/>
      <c r="I1522" s="43" t="n"/>
      <c r="J1522" s="57">
        <f>IF(OR(A1522="",H1522=""),"",IF(COUNTIFS(exp_year,C1522,exp_month,D1522,exp_item,E1522,exp_status,"&lt;&gt;❌ Отменено")&gt;0,1,0))</f>
        <v/>
      </c>
    </row>
    <row r="1523">
      <c r="A1523" s="52" t="n"/>
      <c r="B1523" s="53">
        <f>IF(A1523="","",CHOOSE(WEEKDAY(A1523,2),"Пн","Вт","Ср","Чт","Пт","Сб","Вс"))</f>
        <v/>
      </c>
      <c r="C1523" s="53">
        <f>IF(A1523="","",YEAR(A1523))</f>
        <v/>
      </c>
      <c r="D1523" s="54">
        <f>IF(A1523="","",INDEX(lst_months,MONTH(A1523)))</f>
        <v/>
      </c>
      <c r="E1523" s="55" t="n"/>
      <c r="F1523" s="54">
        <f>IF(E1523="","",IFERROR(IF(INDEX(lst_exp_item_cat,MATCH(E1523,lst_exp_items,0))="","❔ Без категории",INDEX(lst_exp_item_cat,MATCH(E1523,lst_exp_items,0))),"❔ Без категории"))</f>
        <v/>
      </c>
      <c r="G1523" s="43" t="n"/>
      <c r="H1523" s="56" t="n"/>
      <c r="I1523" s="43" t="n"/>
      <c r="J1523" s="57">
        <f>IF(OR(A1523="",H1523=""),"",IF(COUNTIFS(exp_year,C1523,exp_month,D1523,exp_item,E1523,exp_status,"&lt;&gt;❌ Отменено")&gt;0,1,0))</f>
        <v/>
      </c>
    </row>
    <row r="1524">
      <c r="A1524" s="52" t="n"/>
      <c r="B1524" s="53">
        <f>IF(A1524="","",CHOOSE(WEEKDAY(A1524,2),"Пн","Вт","Ср","Чт","Пт","Сб","Вс"))</f>
        <v/>
      </c>
      <c r="C1524" s="53">
        <f>IF(A1524="","",YEAR(A1524))</f>
        <v/>
      </c>
      <c r="D1524" s="54">
        <f>IF(A1524="","",INDEX(lst_months,MONTH(A1524)))</f>
        <v/>
      </c>
      <c r="E1524" s="55" t="n"/>
      <c r="F1524" s="54">
        <f>IF(E1524="","",IFERROR(IF(INDEX(lst_exp_item_cat,MATCH(E1524,lst_exp_items,0))="","❔ Без категории",INDEX(lst_exp_item_cat,MATCH(E1524,lst_exp_items,0))),"❔ Без категории"))</f>
        <v/>
      </c>
      <c r="G1524" s="43" t="n"/>
      <c r="H1524" s="56" t="n"/>
      <c r="I1524" s="43" t="n"/>
      <c r="J1524" s="57">
        <f>IF(OR(A1524="",H1524=""),"",IF(COUNTIFS(exp_year,C1524,exp_month,D1524,exp_item,E1524,exp_status,"&lt;&gt;❌ Отменено")&gt;0,1,0))</f>
        <v/>
      </c>
    </row>
    <row r="1525">
      <c r="A1525" s="52" t="n"/>
      <c r="B1525" s="53">
        <f>IF(A1525="","",CHOOSE(WEEKDAY(A1525,2),"Пн","Вт","Ср","Чт","Пт","Сб","Вс"))</f>
        <v/>
      </c>
      <c r="C1525" s="53">
        <f>IF(A1525="","",YEAR(A1525))</f>
        <v/>
      </c>
      <c r="D1525" s="54">
        <f>IF(A1525="","",INDEX(lst_months,MONTH(A1525)))</f>
        <v/>
      </c>
      <c r="E1525" s="55" t="n"/>
      <c r="F1525" s="54">
        <f>IF(E1525="","",IFERROR(IF(INDEX(lst_exp_item_cat,MATCH(E1525,lst_exp_items,0))="","❔ Без категории",INDEX(lst_exp_item_cat,MATCH(E1525,lst_exp_items,0))),"❔ Без категории"))</f>
        <v/>
      </c>
      <c r="G1525" s="43" t="n"/>
      <c r="H1525" s="56" t="n"/>
      <c r="I1525" s="43" t="n"/>
      <c r="J1525" s="57">
        <f>IF(OR(A1525="",H1525=""),"",IF(COUNTIFS(exp_year,C1525,exp_month,D1525,exp_item,E1525,exp_status,"&lt;&gt;❌ Отменено")&gt;0,1,0))</f>
        <v/>
      </c>
    </row>
    <row r="1526">
      <c r="A1526" s="52" t="n"/>
      <c r="B1526" s="53">
        <f>IF(A1526="","",CHOOSE(WEEKDAY(A1526,2),"Пн","Вт","Ср","Чт","Пт","Сб","Вс"))</f>
        <v/>
      </c>
      <c r="C1526" s="53">
        <f>IF(A1526="","",YEAR(A1526))</f>
        <v/>
      </c>
      <c r="D1526" s="54">
        <f>IF(A1526="","",INDEX(lst_months,MONTH(A1526)))</f>
        <v/>
      </c>
      <c r="E1526" s="55" t="n"/>
      <c r="F1526" s="54">
        <f>IF(E1526="","",IFERROR(IF(INDEX(lst_exp_item_cat,MATCH(E1526,lst_exp_items,0))="","❔ Без категории",INDEX(lst_exp_item_cat,MATCH(E1526,lst_exp_items,0))),"❔ Без категории"))</f>
        <v/>
      </c>
      <c r="G1526" s="43" t="n"/>
      <c r="H1526" s="56" t="n"/>
      <c r="I1526" s="43" t="n"/>
      <c r="J1526" s="57">
        <f>IF(OR(A1526="",H1526=""),"",IF(COUNTIFS(exp_year,C1526,exp_month,D1526,exp_item,E1526,exp_status,"&lt;&gt;❌ Отменено")&gt;0,1,0))</f>
        <v/>
      </c>
    </row>
    <row r="1527">
      <c r="A1527" s="52" t="n"/>
      <c r="B1527" s="53">
        <f>IF(A1527="","",CHOOSE(WEEKDAY(A1527,2),"Пн","Вт","Ср","Чт","Пт","Сб","Вс"))</f>
        <v/>
      </c>
      <c r="C1527" s="53">
        <f>IF(A1527="","",YEAR(A1527))</f>
        <v/>
      </c>
      <c r="D1527" s="54">
        <f>IF(A1527="","",INDEX(lst_months,MONTH(A1527)))</f>
        <v/>
      </c>
      <c r="E1527" s="55" t="n"/>
      <c r="F1527" s="54">
        <f>IF(E1527="","",IFERROR(IF(INDEX(lst_exp_item_cat,MATCH(E1527,lst_exp_items,0))="","❔ Без категории",INDEX(lst_exp_item_cat,MATCH(E1527,lst_exp_items,0))),"❔ Без категории"))</f>
        <v/>
      </c>
      <c r="G1527" s="43" t="n"/>
      <c r="H1527" s="56" t="n"/>
      <c r="I1527" s="43" t="n"/>
      <c r="J1527" s="57">
        <f>IF(OR(A1527="",H1527=""),"",IF(COUNTIFS(exp_year,C1527,exp_month,D1527,exp_item,E1527,exp_status,"&lt;&gt;❌ Отменено")&gt;0,1,0))</f>
        <v/>
      </c>
    </row>
    <row r="1528">
      <c r="A1528" s="52" t="n"/>
      <c r="B1528" s="53">
        <f>IF(A1528="","",CHOOSE(WEEKDAY(A1528,2),"Пн","Вт","Ср","Чт","Пт","Сб","Вс"))</f>
        <v/>
      </c>
      <c r="C1528" s="53">
        <f>IF(A1528="","",YEAR(A1528))</f>
        <v/>
      </c>
      <c r="D1528" s="54">
        <f>IF(A1528="","",INDEX(lst_months,MONTH(A1528)))</f>
        <v/>
      </c>
      <c r="E1528" s="55" t="n"/>
      <c r="F1528" s="54">
        <f>IF(E1528="","",IFERROR(IF(INDEX(lst_exp_item_cat,MATCH(E1528,lst_exp_items,0))="","❔ Без категории",INDEX(lst_exp_item_cat,MATCH(E1528,lst_exp_items,0))),"❔ Без категории"))</f>
        <v/>
      </c>
      <c r="G1528" s="43" t="n"/>
      <c r="H1528" s="56" t="n"/>
      <c r="I1528" s="43" t="n"/>
      <c r="J1528" s="57">
        <f>IF(OR(A1528="",H1528=""),"",IF(COUNTIFS(exp_year,C1528,exp_month,D1528,exp_item,E1528,exp_status,"&lt;&gt;❌ Отменено")&gt;0,1,0))</f>
        <v/>
      </c>
    </row>
    <row r="1529">
      <c r="A1529" s="52" t="n"/>
      <c r="B1529" s="53">
        <f>IF(A1529="","",CHOOSE(WEEKDAY(A1529,2),"Пн","Вт","Ср","Чт","Пт","Сб","Вс"))</f>
        <v/>
      </c>
      <c r="C1529" s="53">
        <f>IF(A1529="","",YEAR(A1529))</f>
        <v/>
      </c>
      <c r="D1529" s="54">
        <f>IF(A1529="","",INDEX(lst_months,MONTH(A1529)))</f>
        <v/>
      </c>
      <c r="E1529" s="55" t="n"/>
      <c r="F1529" s="54">
        <f>IF(E1529="","",IFERROR(IF(INDEX(lst_exp_item_cat,MATCH(E1529,lst_exp_items,0))="","❔ Без категории",INDEX(lst_exp_item_cat,MATCH(E1529,lst_exp_items,0))),"❔ Без категории"))</f>
        <v/>
      </c>
      <c r="G1529" s="43" t="n"/>
      <c r="H1529" s="56" t="n"/>
      <c r="I1529" s="43" t="n"/>
      <c r="J1529" s="57">
        <f>IF(OR(A1529="",H1529=""),"",IF(COUNTIFS(exp_year,C1529,exp_month,D1529,exp_item,E1529,exp_status,"&lt;&gt;❌ Отменено")&gt;0,1,0))</f>
        <v/>
      </c>
    </row>
    <row r="1530">
      <c r="A1530" s="52" t="n"/>
      <c r="B1530" s="53">
        <f>IF(A1530="","",CHOOSE(WEEKDAY(A1530,2),"Пн","Вт","Ср","Чт","Пт","Сб","Вс"))</f>
        <v/>
      </c>
      <c r="C1530" s="53">
        <f>IF(A1530="","",YEAR(A1530))</f>
        <v/>
      </c>
      <c r="D1530" s="54">
        <f>IF(A1530="","",INDEX(lst_months,MONTH(A1530)))</f>
        <v/>
      </c>
      <c r="E1530" s="55" t="n"/>
      <c r="F1530" s="54">
        <f>IF(E1530="","",IFERROR(IF(INDEX(lst_exp_item_cat,MATCH(E1530,lst_exp_items,0))="","❔ Без категории",INDEX(lst_exp_item_cat,MATCH(E1530,lst_exp_items,0))),"❔ Без категории"))</f>
        <v/>
      </c>
      <c r="G1530" s="43" t="n"/>
      <c r="H1530" s="56" t="n"/>
      <c r="I1530" s="43" t="n"/>
      <c r="J1530" s="57">
        <f>IF(OR(A1530="",H1530=""),"",IF(COUNTIFS(exp_year,C1530,exp_month,D1530,exp_item,E1530,exp_status,"&lt;&gt;❌ Отменено")&gt;0,1,0))</f>
        <v/>
      </c>
    </row>
    <row r="1531">
      <c r="A1531" s="52" t="n"/>
      <c r="B1531" s="53">
        <f>IF(A1531="","",CHOOSE(WEEKDAY(A1531,2),"Пн","Вт","Ср","Чт","Пт","Сб","Вс"))</f>
        <v/>
      </c>
      <c r="C1531" s="53">
        <f>IF(A1531="","",YEAR(A1531))</f>
        <v/>
      </c>
      <c r="D1531" s="54">
        <f>IF(A1531="","",INDEX(lst_months,MONTH(A1531)))</f>
        <v/>
      </c>
      <c r="E1531" s="55" t="n"/>
      <c r="F1531" s="54">
        <f>IF(E1531="","",IFERROR(IF(INDEX(lst_exp_item_cat,MATCH(E1531,lst_exp_items,0))="","❔ Без категории",INDEX(lst_exp_item_cat,MATCH(E1531,lst_exp_items,0))),"❔ Без категории"))</f>
        <v/>
      </c>
      <c r="G1531" s="43" t="n"/>
      <c r="H1531" s="56" t="n"/>
      <c r="I1531" s="43" t="n"/>
      <c r="J1531" s="57">
        <f>IF(OR(A1531="",H1531=""),"",IF(COUNTIFS(exp_year,C1531,exp_month,D1531,exp_item,E1531,exp_status,"&lt;&gt;❌ Отменено")&gt;0,1,0))</f>
        <v/>
      </c>
    </row>
    <row r="1532">
      <c r="A1532" s="52" t="n"/>
      <c r="B1532" s="53">
        <f>IF(A1532="","",CHOOSE(WEEKDAY(A1532,2),"Пн","Вт","Ср","Чт","Пт","Сб","Вс"))</f>
        <v/>
      </c>
      <c r="C1532" s="53">
        <f>IF(A1532="","",YEAR(A1532))</f>
        <v/>
      </c>
      <c r="D1532" s="54">
        <f>IF(A1532="","",INDEX(lst_months,MONTH(A1532)))</f>
        <v/>
      </c>
      <c r="E1532" s="55" t="n"/>
      <c r="F1532" s="54">
        <f>IF(E1532="","",IFERROR(IF(INDEX(lst_exp_item_cat,MATCH(E1532,lst_exp_items,0))="","❔ Без категории",INDEX(lst_exp_item_cat,MATCH(E1532,lst_exp_items,0))),"❔ Без категории"))</f>
        <v/>
      </c>
      <c r="G1532" s="43" t="n"/>
      <c r="H1532" s="56" t="n"/>
      <c r="I1532" s="43" t="n"/>
      <c r="J1532" s="57">
        <f>IF(OR(A1532="",H1532=""),"",IF(COUNTIFS(exp_year,C1532,exp_month,D1532,exp_item,E1532,exp_status,"&lt;&gt;❌ Отменено")&gt;0,1,0))</f>
        <v/>
      </c>
    </row>
    <row r="1533">
      <c r="A1533" s="52" t="n"/>
      <c r="B1533" s="53">
        <f>IF(A1533="","",CHOOSE(WEEKDAY(A1533,2),"Пн","Вт","Ср","Чт","Пт","Сб","Вс"))</f>
        <v/>
      </c>
      <c r="C1533" s="53">
        <f>IF(A1533="","",YEAR(A1533))</f>
        <v/>
      </c>
      <c r="D1533" s="54">
        <f>IF(A1533="","",INDEX(lst_months,MONTH(A1533)))</f>
        <v/>
      </c>
      <c r="E1533" s="55" t="n"/>
      <c r="F1533" s="54">
        <f>IF(E1533="","",IFERROR(IF(INDEX(lst_exp_item_cat,MATCH(E1533,lst_exp_items,0))="","❔ Без категории",INDEX(lst_exp_item_cat,MATCH(E1533,lst_exp_items,0))),"❔ Без категории"))</f>
        <v/>
      </c>
      <c r="G1533" s="43" t="n"/>
      <c r="H1533" s="56" t="n"/>
      <c r="I1533" s="43" t="n"/>
      <c r="J1533" s="57">
        <f>IF(OR(A1533="",H1533=""),"",IF(COUNTIFS(exp_year,C1533,exp_month,D1533,exp_item,E1533,exp_status,"&lt;&gt;❌ Отменено")&gt;0,1,0))</f>
        <v/>
      </c>
    </row>
    <row r="1534">
      <c r="A1534" s="52" t="n"/>
      <c r="B1534" s="53">
        <f>IF(A1534="","",CHOOSE(WEEKDAY(A1534,2),"Пн","Вт","Ср","Чт","Пт","Сб","Вс"))</f>
        <v/>
      </c>
      <c r="C1534" s="53">
        <f>IF(A1534="","",YEAR(A1534))</f>
        <v/>
      </c>
      <c r="D1534" s="54">
        <f>IF(A1534="","",INDEX(lst_months,MONTH(A1534)))</f>
        <v/>
      </c>
      <c r="E1534" s="55" t="n"/>
      <c r="F1534" s="54">
        <f>IF(E1534="","",IFERROR(IF(INDEX(lst_exp_item_cat,MATCH(E1534,lst_exp_items,0))="","❔ Без категории",INDEX(lst_exp_item_cat,MATCH(E1534,lst_exp_items,0))),"❔ Без категории"))</f>
        <v/>
      </c>
      <c r="G1534" s="43" t="n"/>
      <c r="H1534" s="56" t="n"/>
      <c r="I1534" s="43" t="n"/>
      <c r="J1534" s="57">
        <f>IF(OR(A1534="",H1534=""),"",IF(COUNTIFS(exp_year,C1534,exp_month,D1534,exp_item,E1534,exp_status,"&lt;&gt;❌ Отменено")&gt;0,1,0))</f>
        <v/>
      </c>
    </row>
    <row r="1535">
      <c r="A1535" s="52" t="n"/>
      <c r="B1535" s="53">
        <f>IF(A1535="","",CHOOSE(WEEKDAY(A1535,2),"Пн","Вт","Ср","Чт","Пт","Сб","Вс"))</f>
        <v/>
      </c>
      <c r="C1535" s="53">
        <f>IF(A1535="","",YEAR(A1535))</f>
        <v/>
      </c>
      <c r="D1535" s="54">
        <f>IF(A1535="","",INDEX(lst_months,MONTH(A1535)))</f>
        <v/>
      </c>
      <c r="E1535" s="55" t="n"/>
      <c r="F1535" s="54">
        <f>IF(E1535="","",IFERROR(IF(INDEX(lst_exp_item_cat,MATCH(E1535,lst_exp_items,0))="","❔ Без категории",INDEX(lst_exp_item_cat,MATCH(E1535,lst_exp_items,0))),"❔ Без категории"))</f>
        <v/>
      </c>
      <c r="G1535" s="43" t="n"/>
      <c r="H1535" s="56" t="n"/>
      <c r="I1535" s="43" t="n"/>
      <c r="J1535" s="57">
        <f>IF(OR(A1535="",H1535=""),"",IF(COUNTIFS(exp_year,C1535,exp_month,D1535,exp_item,E1535,exp_status,"&lt;&gt;❌ Отменено")&gt;0,1,0))</f>
        <v/>
      </c>
    </row>
    <row r="1536">
      <c r="A1536" s="52" t="n"/>
      <c r="B1536" s="53">
        <f>IF(A1536="","",CHOOSE(WEEKDAY(A1536,2),"Пн","Вт","Ср","Чт","Пт","Сб","Вс"))</f>
        <v/>
      </c>
      <c r="C1536" s="53">
        <f>IF(A1536="","",YEAR(A1536))</f>
        <v/>
      </c>
      <c r="D1536" s="54">
        <f>IF(A1536="","",INDEX(lst_months,MONTH(A1536)))</f>
        <v/>
      </c>
      <c r="E1536" s="55" t="n"/>
      <c r="F1536" s="54">
        <f>IF(E1536="","",IFERROR(IF(INDEX(lst_exp_item_cat,MATCH(E1536,lst_exp_items,0))="","❔ Без категории",INDEX(lst_exp_item_cat,MATCH(E1536,lst_exp_items,0))),"❔ Без категории"))</f>
        <v/>
      </c>
      <c r="G1536" s="43" t="n"/>
      <c r="H1536" s="56" t="n"/>
      <c r="I1536" s="43" t="n"/>
      <c r="J1536" s="57">
        <f>IF(OR(A1536="",H1536=""),"",IF(COUNTIFS(exp_year,C1536,exp_month,D1536,exp_item,E1536,exp_status,"&lt;&gt;❌ Отменено")&gt;0,1,0))</f>
        <v/>
      </c>
    </row>
    <row r="1537">
      <c r="A1537" s="52" t="n"/>
      <c r="B1537" s="53">
        <f>IF(A1537="","",CHOOSE(WEEKDAY(A1537,2),"Пн","Вт","Ср","Чт","Пт","Сб","Вс"))</f>
        <v/>
      </c>
      <c r="C1537" s="53">
        <f>IF(A1537="","",YEAR(A1537))</f>
        <v/>
      </c>
      <c r="D1537" s="54">
        <f>IF(A1537="","",INDEX(lst_months,MONTH(A1537)))</f>
        <v/>
      </c>
      <c r="E1537" s="55" t="n"/>
      <c r="F1537" s="54">
        <f>IF(E1537="","",IFERROR(IF(INDEX(lst_exp_item_cat,MATCH(E1537,lst_exp_items,0))="","❔ Без категории",INDEX(lst_exp_item_cat,MATCH(E1537,lst_exp_items,0))),"❔ Без категории"))</f>
        <v/>
      </c>
      <c r="G1537" s="43" t="n"/>
      <c r="H1537" s="56" t="n"/>
      <c r="I1537" s="43" t="n"/>
      <c r="J1537" s="57">
        <f>IF(OR(A1537="",H1537=""),"",IF(COUNTIFS(exp_year,C1537,exp_month,D1537,exp_item,E1537,exp_status,"&lt;&gt;❌ Отменено")&gt;0,1,0))</f>
        <v/>
      </c>
    </row>
    <row r="1538">
      <c r="A1538" s="52" t="n"/>
      <c r="B1538" s="53">
        <f>IF(A1538="","",CHOOSE(WEEKDAY(A1538,2),"Пн","Вт","Ср","Чт","Пт","Сб","Вс"))</f>
        <v/>
      </c>
      <c r="C1538" s="53">
        <f>IF(A1538="","",YEAR(A1538))</f>
        <v/>
      </c>
      <c r="D1538" s="54">
        <f>IF(A1538="","",INDEX(lst_months,MONTH(A1538)))</f>
        <v/>
      </c>
      <c r="E1538" s="55" t="n"/>
      <c r="F1538" s="54">
        <f>IF(E1538="","",IFERROR(IF(INDEX(lst_exp_item_cat,MATCH(E1538,lst_exp_items,0))="","❔ Без категории",INDEX(lst_exp_item_cat,MATCH(E1538,lst_exp_items,0))),"❔ Без категории"))</f>
        <v/>
      </c>
      <c r="G1538" s="43" t="n"/>
      <c r="H1538" s="56" t="n"/>
      <c r="I1538" s="43" t="n"/>
      <c r="J1538" s="57">
        <f>IF(OR(A1538="",H1538=""),"",IF(COUNTIFS(exp_year,C1538,exp_month,D1538,exp_item,E1538,exp_status,"&lt;&gt;❌ Отменено")&gt;0,1,0))</f>
        <v/>
      </c>
    </row>
    <row r="1539">
      <c r="A1539" s="52" t="n"/>
      <c r="B1539" s="53">
        <f>IF(A1539="","",CHOOSE(WEEKDAY(A1539,2),"Пн","Вт","Ср","Чт","Пт","Сб","Вс"))</f>
        <v/>
      </c>
      <c r="C1539" s="53">
        <f>IF(A1539="","",YEAR(A1539))</f>
        <v/>
      </c>
      <c r="D1539" s="54">
        <f>IF(A1539="","",INDEX(lst_months,MONTH(A1539)))</f>
        <v/>
      </c>
      <c r="E1539" s="55" t="n"/>
      <c r="F1539" s="54">
        <f>IF(E1539="","",IFERROR(IF(INDEX(lst_exp_item_cat,MATCH(E1539,lst_exp_items,0))="","❔ Без категории",INDEX(lst_exp_item_cat,MATCH(E1539,lst_exp_items,0))),"❔ Без категории"))</f>
        <v/>
      </c>
      <c r="G1539" s="43" t="n"/>
      <c r="H1539" s="56" t="n"/>
      <c r="I1539" s="43" t="n"/>
      <c r="J1539" s="57">
        <f>IF(OR(A1539="",H1539=""),"",IF(COUNTIFS(exp_year,C1539,exp_month,D1539,exp_item,E1539,exp_status,"&lt;&gt;❌ Отменено")&gt;0,1,0))</f>
        <v/>
      </c>
    </row>
    <row r="1540">
      <c r="A1540" s="52" t="n"/>
      <c r="B1540" s="53">
        <f>IF(A1540="","",CHOOSE(WEEKDAY(A1540,2),"Пн","Вт","Ср","Чт","Пт","Сб","Вс"))</f>
        <v/>
      </c>
      <c r="C1540" s="53">
        <f>IF(A1540="","",YEAR(A1540))</f>
        <v/>
      </c>
      <c r="D1540" s="54">
        <f>IF(A1540="","",INDEX(lst_months,MONTH(A1540)))</f>
        <v/>
      </c>
      <c r="E1540" s="55" t="n"/>
      <c r="F1540" s="54">
        <f>IF(E1540="","",IFERROR(IF(INDEX(lst_exp_item_cat,MATCH(E1540,lst_exp_items,0))="","❔ Без категории",INDEX(lst_exp_item_cat,MATCH(E1540,lst_exp_items,0))),"❔ Без категории"))</f>
        <v/>
      </c>
      <c r="G1540" s="43" t="n"/>
      <c r="H1540" s="56" t="n"/>
      <c r="I1540" s="43" t="n"/>
      <c r="J1540" s="57">
        <f>IF(OR(A1540="",H1540=""),"",IF(COUNTIFS(exp_year,C1540,exp_month,D1540,exp_item,E1540,exp_status,"&lt;&gt;❌ Отменено")&gt;0,1,0))</f>
        <v/>
      </c>
    </row>
    <row r="1541">
      <c r="A1541" s="52" t="n"/>
      <c r="B1541" s="53">
        <f>IF(A1541="","",CHOOSE(WEEKDAY(A1541,2),"Пн","Вт","Ср","Чт","Пт","Сб","Вс"))</f>
        <v/>
      </c>
      <c r="C1541" s="53">
        <f>IF(A1541="","",YEAR(A1541))</f>
        <v/>
      </c>
      <c r="D1541" s="54">
        <f>IF(A1541="","",INDEX(lst_months,MONTH(A1541)))</f>
        <v/>
      </c>
      <c r="E1541" s="55" t="n"/>
      <c r="F1541" s="54">
        <f>IF(E1541="","",IFERROR(IF(INDEX(lst_exp_item_cat,MATCH(E1541,lst_exp_items,0))="","❔ Без категории",INDEX(lst_exp_item_cat,MATCH(E1541,lst_exp_items,0))),"❔ Без категории"))</f>
        <v/>
      </c>
      <c r="G1541" s="43" t="n"/>
      <c r="H1541" s="56" t="n"/>
      <c r="I1541" s="43" t="n"/>
      <c r="J1541" s="57">
        <f>IF(OR(A1541="",H1541=""),"",IF(COUNTIFS(exp_year,C1541,exp_month,D1541,exp_item,E1541,exp_status,"&lt;&gt;❌ Отменено")&gt;0,1,0))</f>
        <v/>
      </c>
    </row>
    <row r="1542">
      <c r="A1542" s="52" t="n"/>
      <c r="B1542" s="53">
        <f>IF(A1542="","",CHOOSE(WEEKDAY(A1542,2),"Пн","Вт","Ср","Чт","Пт","Сб","Вс"))</f>
        <v/>
      </c>
      <c r="C1542" s="53">
        <f>IF(A1542="","",YEAR(A1542))</f>
        <v/>
      </c>
      <c r="D1542" s="54">
        <f>IF(A1542="","",INDEX(lst_months,MONTH(A1542)))</f>
        <v/>
      </c>
      <c r="E1542" s="55" t="n"/>
      <c r="F1542" s="54">
        <f>IF(E1542="","",IFERROR(IF(INDEX(lst_exp_item_cat,MATCH(E1542,lst_exp_items,0))="","❔ Без категории",INDEX(lst_exp_item_cat,MATCH(E1542,lst_exp_items,0))),"❔ Без категории"))</f>
        <v/>
      </c>
      <c r="G1542" s="43" t="n"/>
      <c r="H1542" s="56" t="n"/>
      <c r="I1542" s="43" t="n"/>
      <c r="J1542" s="57">
        <f>IF(OR(A1542="",H1542=""),"",IF(COUNTIFS(exp_year,C1542,exp_month,D1542,exp_item,E1542,exp_status,"&lt;&gt;❌ Отменено")&gt;0,1,0))</f>
        <v/>
      </c>
    </row>
    <row r="1543">
      <c r="A1543" s="52" t="n"/>
      <c r="B1543" s="53">
        <f>IF(A1543="","",CHOOSE(WEEKDAY(A1543,2),"Пн","Вт","Ср","Чт","Пт","Сб","Вс"))</f>
        <v/>
      </c>
      <c r="C1543" s="53">
        <f>IF(A1543="","",YEAR(A1543))</f>
        <v/>
      </c>
      <c r="D1543" s="54">
        <f>IF(A1543="","",INDEX(lst_months,MONTH(A1543)))</f>
        <v/>
      </c>
      <c r="E1543" s="55" t="n"/>
      <c r="F1543" s="54">
        <f>IF(E1543="","",IFERROR(IF(INDEX(lst_exp_item_cat,MATCH(E1543,lst_exp_items,0))="","❔ Без категории",INDEX(lst_exp_item_cat,MATCH(E1543,lst_exp_items,0))),"❔ Без категории"))</f>
        <v/>
      </c>
      <c r="G1543" s="43" t="n"/>
      <c r="H1543" s="56" t="n"/>
      <c r="I1543" s="43" t="n"/>
      <c r="J1543" s="57">
        <f>IF(OR(A1543="",H1543=""),"",IF(COUNTIFS(exp_year,C1543,exp_month,D1543,exp_item,E1543,exp_status,"&lt;&gt;❌ Отменено")&gt;0,1,0))</f>
        <v/>
      </c>
    </row>
    <row r="1544">
      <c r="A1544" s="52" t="n"/>
      <c r="B1544" s="53">
        <f>IF(A1544="","",CHOOSE(WEEKDAY(A1544,2),"Пн","Вт","Ср","Чт","Пт","Сб","Вс"))</f>
        <v/>
      </c>
      <c r="C1544" s="53">
        <f>IF(A1544="","",YEAR(A1544))</f>
        <v/>
      </c>
      <c r="D1544" s="54">
        <f>IF(A1544="","",INDEX(lst_months,MONTH(A1544)))</f>
        <v/>
      </c>
      <c r="E1544" s="55" t="n"/>
      <c r="F1544" s="54">
        <f>IF(E1544="","",IFERROR(IF(INDEX(lst_exp_item_cat,MATCH(E1544,lst_exp_items,0))="","❔ Без категории",INDEX(lst_exp_item_cat,MATCH(E1544,lst_exp_items,0))),"❔ Без категории"))</f>
        <v/>
      </c>
      <c r="G1544" s="43" t="n"/>
      <c r="H1544" s="56" t="n"/>
      <c r="I1544" s="43" t="n"/>
      <c r="J1544" s="57">
        <f>IF(OR(A1544="",H1544=""),"",IF(COUNTIFS(exp_year,C1544,exp_month,D1544,exp_item,E1544,exp_status,"&lt;&gt;❌ Отменено")&gt;0,1,0))</f>
        <v/>
      </c>
    </row>
    <row r="1545">
      <c r="A1545" s="52" t="n"/>
      <c r="B1545" s="53">
        <f>IF(A1545="","",CHOOSE(WEEKDAY(A1545,2),"Пн","Вт","Ср","Чт","Пт","Сб","Вс"))</f>
        <v/>
      </c>
      <c r="C1545" s="53">
        <f>IF(A1545="","",YEAR(A1545))</f>
        <v/>
      </c>
      <c r="D1545" s="54">
        <f>IF(A1545="","",INDEX(lst_months,MONTH(A1545)))</f>
        <v/>
      </c>
      <c r="E1545" s="55" t="n"/>
      <c r="F1545" s="54">
        <f>IF(E1545="","",IFERROR(IF(INDEX(lst_exp_item_cat,MATCH(E1545,lst_exp_items,0))="","❔ Без категории",INDEX(lst_exp_item_cat,MATCH(E1545,lst_exp_items,0))),"❔ Без категории"))</f>
        <v/>
      </c>
      <c r="G1545" s="43" t="n"/>
      <c r="H1545" s="56" t="n"/>
      <c r="I1545" s="43" t="n"/>
      <c r="J1545" s="57">
        <f>IF(OR(A1545="",H1545=""),"",IF(COUNTIFS(exp_year,C1545,exp_month,D1545,exp_item,E1545,exp_status,"&lt;&gt;❌ Отменено")&gt;0,1,0))</f>
        <v/>
      </c>
    </row>
    <row r="1546">
      <c r="A1546" s="52" t="n"/>
      <c r="B1546" s="53">
        <f>IF(A1546="","",CHOOSE(WEEKDAY(A1546,2),"Пн","Вт","Ср","Чт","Пт","Сб","Вс"))</f>
        <v/>
      </c>
      <c r="C1546" s="53">
        <f>IF(A1546="","",YEAR(A1546))</f>
        <v/>
      </c>
      <c r="D1546" s="54">
        <f>IF(A1546="","",INDEX(lst_months,MONTH(A1546)))</f>
        <v/>
      </c>
      <c r="E1546" s="55" t="n"/>
      <c r="F1546" s="54">
        <f>IF(E1546="","",IFERROR(IF(INDEX(lst_exp_item_cat,MATCH(E1546,lst_exp_items,0))="","❔ Без категории",INDEX(lst_exp_item_cat,MATCH(E1546,lst_exp_items,0))),"❔ Без категории"))</f>
        <v/>
      </c>
      <c r="G1546" s="43" t="n"/>
      <c r="H1546" s="56" t="n"/>
      <c r="I1546" s="43" t="n"/>
      <c r="J1546" s="57">
        <f>IF(OR(A1546="",H1546=""),"",IF(COUNTIFS(exp_year,C1546,exp_month,D1546,exp_item,E1546,exp_status,"&lt;&gt;❌ Отменено")&gt;0,1,0))</f>
        <v/>
      </c>
    </row>
    <row r="1547">
      <c r="A1547" s="52" t="n"/>
      <c r="B1547" s="53">
        <f>IF(A1547="","",CHOOSE(WEEKDAY(A1547,2),"Пн","Вт","Ср","Чт","Пт","Сб","Вс"))</f>
        <v/>
      </c>
      <c r="C1547" s="53">
        <f>IF(A1547="","",YEAR(A1547))</f>
        <v/>
      </c>
      <c r="D1547" s="54">
        <f>IF(A1547="","",INDEX(lst_months,MONTH(A1547)))</f>
        <v/>
      </c>
      <c r="E1547" s="55" t="n"/>
      <c r="F1547" s="54">
        <f>IF(E1547="","",IFERROR(IF(INDEX(lst_exp_item_cat,MATCH(E1547,lst_exp_items,0))="","❔ Без категории",INDEX(lst_exp_item_cat,MATCH(E1547,lst_exp_items,0))),"❔ Без категории"))</f>
        <v/>
      </c>
      <c r="G1547" s="43" t="n"/>
      <c r="H1547" s="56" t="n"/>
      <c r="I1547" s="43" t="n"/>
      <c r="J1547" s="57">
        <f>IF(OR(A1547="",H1547=""),"",IF(COUNTIFS(exp_year,C1547,exp_month,D1547,exp_item,E1547,exp_status,"&lt;&gt;❌ Отменено")&gt;0,1,0))</f>
        <v/>
      </c>
    </row>
    <row r="1548">
      <c r="A1548" s="52" t="n"/>
      <c r="B1548" s="53">
        <f>IF(A1548="","",CHOOSE(WEEKDAY(A1548,2),"Пн","Вт","Ср","Чт","Пт","Сб","Вс"))</f>
        <v/>
      </c>
      <c r="C1548" s="53">
        <f>IF(A1548="","",YEAR(A1548))</f>
        <v/>
      </c>
      <c r="D1548" s="54">
        <f>IF(A1548="","",INDEX(lst_months,MONTH(A1548)))</f>
        <v/>
      </c>
      <c r="E1548" s="55" t="n"/>
      <c r="F1548" s="54">
        <f>IF(E1548="","",IFERROR(IF(INDEX(lst_exp_item_cat,MATCH(E1548,lst_exp_items,0))="","❔ Без категории",INDEX(lst_exp_item_cat,MATCH(E1548,lst_exp_items,0))),"❔ Без категории"))</f>
        <v/>
      </c>
      <c r="G1548" s="43" t="n"/>
      <c r="H1548" s="56" t="n"/>
      <c r="I1548" s="43" t="n"/>
      <c r="J1548" s="57">
        <f>IF(OR(A1548="",H1548=""),"",IF(COUNTIFS(exp_year,C1548,exp_month,D1548,exp_item,E1548,exp_status,"&lt;&gt;❌ Отменено")&gt;0,1,0))</f>
        <v/>
      </c>
    </row>
    <row r="1549">
      <c r="A1549" s="52" t="n"/>
      <c r="B1549" s="53">
        <f>IF(A1549="","",CHOOSE(WEEKDAY(A1549,2),"Пн","Вт","Ср","Чт","Пт","Сб","Вс"))</f>
        <v/>
      </c>
      <c r="C1549" s="53">
        <f>IF(A1549="","",YEAR(A1549))</f>
        <v/>
      </c>
      <c r="D1549" s="54">
        <f>IF(A1549="","",INDEX(lst_months,MONTH(A1549)))</f>
        <v/>
      </c>
      <c r="E1549" s="55" t="n"/>
      <c r="F1549" s="54">
        <f>IF(E1549="","",IFERROR(IF(INDEX(lst_exp_item_cat,MATCH(E1549,lst_exp_items,0))="","❔ Без категории",INDEX(lst_exp_item_cat,MATCH(E1549,lst_exp_items,0))),"❔ Без категории"))</f>
        <v/>
      </c>
      <c r="G1549" s="43" t="n"/>
      <c r="H1549" s="56" t="n"/>
      <c r="I1549" s="43" t="n"/>
      <c r="J1549" s="57">
        <f>IF(OR(A1549="",H1549=""),"",IF(COUNTIFS(exp_year,C1549,exp_month,D1549,exp_item,E1549,exp_status,"&lt;&gt;❌ Отменено")&gt;0,1,0))</f>
        <v/>
      </c>
    </row>
    <row r="1550">
      <c r="A1550" s="52" t="n"/>
      <c r="B1550" s="53">
        <f>IF(A1550="","",CHOOSE(WEEKDAY(A1550,2),"Пн","Вт","Ср","Чт","Пт","Сб","Вс"))</f>
        <v/>
      </c>
      <c r="C1550" s="53">
        <f>IF(A1550="","",YEAR(A1550))</f>
        <v/>
      </c>
      <c r="D1550" s="54">
        <f>IF(A1550="","",INDEX(lst_months,MONTH(A1550)))</f>
        <v/>
      </c>
      <c r="E1550" s="55" t="n"/>
      <c r="F1550" s="54">
        <f>IF(E1550="","",IFERROR(IF(INDEX(lst_exp_item_cat,MATCH(E1550,lst_exp_items,0))="","❔ Без категории",INDEX(lst_exp_item_cat,MATCH(E1550,lst_exp_items,0))),"❔ Без категории"))</f>
        <v/>
      </c>
      <c r="G1550" s="43" t="n"/>
      <c r="H1550" s="56" t="n"/>
      <c r="I1550" s="43" t="n"/>
      <c r="J1550" s="57">
        <f>IF(OR(A1550="",H1550=""),"",IF(COUNTIFS(exp_year,C1550,exp_month,D1550,exp_item,E1550,exp_status,"&lt;&gt;❌ Отменено")&gt;0,1,0))</f>
        <v/>
      </c>
    </row>
    <row r="1551">
      <c r="A1551" s="52" t="n"/>
      <c r="B1551" s="53">
        <f>IF(A1551="","",CHOOSE(WEEKDAY(A1551,2),"Пн","Вт","Ср","Чт","Пт","Сб","Вс"))</f>
        <v/>
      </c>
      <c r="C1551" s="53">
        <f>IF(A1551="","",YEAR(A1551))</f>
        <v/>
      </c>
      <c r="D1551" s="54">
        <f>IF(A1551="","",INDEX(lst_months,MONTH(A1551)))</f>
        <v/>
      </c>
      <c r="E1551" s="55" t="n"/>
      <c r="F1551" s="54">
        <f>IF(E1551="","",IFERROR(IF(INDEX(lst_exp_item_cat,MATCH(E1551,lst_exp_items,0))="","❔ Без категории",INDEX(lst_exp_item_cat,MATCH(E1551,lst_exp_items,0))),"❔ Без категории"))</f>
        <v/>
      </c>
      <c r="G1551" s="43" t="n"/>
      <c r="H1551" s="56" t="n"/>
      <c r="I1551" s="43" t="n"/>
      <c r="J1551" s="57">
        <f>IF(OR(A1551="",H1551=""),"",IF(COUNTIFS(exp_year,C1551,exp_month,D1551,exp_item,E1551,exp_status,"&lt;&gt;❌ Отменено")&gt;0,1,0))</f>
        <v/>
      </c>
    </row>
    <row r="1552">
      <c r="A1552" s="52" t="n"/>
      <c r="B1552" s="53">
        <f>IF(A1552="","",CHOOSE(WEEKDAY(A1552,2),"Пн","Вт","Ср","Чт","Пт","Сб","Вс"))</f>
        <v/>
      </c>
      <c r="C1552" s="53">
        <f>IF(A1552="","",YEAR(A1552))</f>
        <v/>
      </c>
      <c r="D1552" s="54">
        <f>IF(A1552="","",INDEX(lst_months,MONTH(A1552)))</f>
        <v/>
      </c>
      <c r="E1552" s="55" t="n"/>
      <c r="F1552" s="54">
        <f>IF(E1552="","",IFERROR(IF(INDEX(lst_exp_item_cat,MATCH(E1552,lst_exp_items,0))="","❔ Без категории",INDEX(lst_exp_item_cat,MATCH(E1552,lst_exp_items,0))),"❔ Без категории"))</f>
        <v/>
      </c>
      <c r="G1552" s="43" t="n"/>
      <c r="H1552" s="56" t="n"/>
      <c r="I1552" s="43" t="n"/>
      <c r="J1552" s="57">
        <f>IF(OR(A1552="",H1552=""),"",IF(COUNTIFS(exp_year,C1552,exp_month,D1552,exp_item,E1552,exp_status,"&lt;&gt;❌ Отменено")&gt;0,1,0))</f>
        <v/>
      </c>
    </row>
    <row r="1553">
      <c r="A1553" s="52" t="n"/>
      <c r="B1553" s="53">
        <f>IF(A1553="","",CHOOSE(WEEKDAY(A1553,2),"Пн","Вт","Ср","Чт","Пт","Сб","Вс"))</f>
        <v/>
      </c>
      <c r="C1553" s="53">
        <f>IF(A1553="","",YEAR(A1553))</f>
        <v/>
      </c>
      <c r="D1553" s="54">
        <f>IF(A1553="","",INDEX(lst_months,MONTH(A1553)))</f>
        <v/>
      </c>
      <c r="E1553" s="55" t="n"/>
      <c r="F1553" s="54">
        <f>IF(E1553="","",IFERROR(IF(INDEX(lst_exp_item_cat,MATCH(E1553,lst_exp_items,0))="","❔ Без категории",INDEX(lst_exp_item_cat,MATCH(E1553,lst_exp_items,0))),"❔ Без категории"))</f>
        <v/>
      </c>
      <c r="G1553" s="43" t="n"/>
      <c r="H1553" s="56" t="n"/>
      <c r="I1553" s="43" t="n"/>
      <c r="J1553" s="57">
        <f>IF(OR(A1553="",H1553=""),"",IF(COUNTIFS(exp_year,C1553,exp_month,D1553,exp_item,E1553,exp_status,"&lt;&gt;❌ Отменено")&gt;0,1,0))</f>
        <v/>
      </c>
    </row>
    <row r="1554">
      <c r="A1554" s="52" t="n"/>
      <c r="B1554" s="53">
        <f>IF(A1554="","",CHOOSE(WEEKDAY(A1554,2),"Пн","Вт","Ср","Чт","Пт","Сб","Вс"))</f>
        <v/>
      </c>
      <c r="C1554" s="53">
        <f>IF(A1554="","",YEAR(A1554))</f>
        <v/>
      </c>
      <c r="D1554" s="54">
        <f>IF(A1554="","",INDEX(lst_months,MONTH(A1554)))</f>
        <v/>
      </c>
      <c r="E1554" s="55" t="n"/>
      <c r="F1554" s="54">
        <f>IF(E1554="","",IFERROR(IF(INDEX(lst_exp_item_cat,MATCH(E1554,lst_exp_items,0))="","❔ Без категории",INDEX(lst_exp_item_cat,MATCH(E1554,lst_exp_items,0))),"❔ Без категории"))</f>
        <v/>
      </c>
      <c r="G1554" s="43" t="n"/>
      <c r="H1554" s="56" t="n"/>
      <c r="I1554" s="43" t="n"/>
      <c r="J1554" s="57">
        <f>IF(OR(A1554="",H1554=""),"",IF(COUNTIFS(exp_year,C1554,exp_month,D1554,exp_item,E1554,exp_status,"&lt;&gt;❌ Отменено")&gt;0,1,0))</f>
        <v/>
      </c>
    </row>
    <row r="1555">
      <c r="A1555" s="52" t="n"/>
      <c r="B1555" s="53">
        <f>IF(A1555="","",CHOOSE(WEEKDAY(A1555,2),"Пн","Вт","Ср","Чт","Пт","Сб","Вс"))</f>
        <v/>
      </c>
      <c r="C1555" s="53">
        <f>IF(A1555="","",YEAR(A1555))</f>
        <v/>
      </c>
      <c r="D1555" s="54">
        <f>IF(A1555="","",INDEX(lst_months,MONTH(A1555)))</f>
        <v/>
      </c>
      <c r="E1555" s="55" t="n"/>
      <c r="F1555" s="54">
        <f>IF(E1555="","",IFERROR(IF(INDEX(lst_exp_item_cat,MATCH(E1555,lst_exp_items,0))="","❔ Без категории",INDEX(lst_exp_item_cat,MATCH(E1555,lst_exp_items,0))),"❔ Без категории"))</f>
        <v/>
      </c>
      <c r="G1555" s="43" t="n"/>
      <c r="H1555" s="56" t="n"/>
      <c r="I1555" s="43" t="n"/>
      <c r="J1555" s="57">
        <f>IF(OR(A1555="",H1555=""),"",IF(COUNTIFS(exp_year,C1555,exp_month,D1555,exp_item,E1555,exp_status,"&lt;&gt;❌ Отменено")&gt;0,1,0))</f>
        <v/>
      </c>
    </row>
    <row r="1556">
      <c r="A1556" s="52" t="n"/>
      <c r="B1556" s="53">
        <f>IF(A1556="","",CHOOSE(WEEKDAY(A1556,2),"Пн","Вт","Ср","Чт","Пт","Сб","Вс"))</f>
        <v/>
      </c>
      <c r="C1556" s="53">
        <f>IF(A1556="","",YEAR(A1556))</f>
        <v/>
      </c>
      <c r="D1556" s="54">
        <f>IF(A1556="","",INDEX(lst_months,MONTH(A1556)))</f>
        <v/>
      </c>
      <c r="E1556" s="55" t="n"/>
      <c r="F1556" s="54">
        <f>IF(E1556="","",IFERROR(IF(INDEX(lst_exp_item_cat,MATCH(E1556,lst_exp_items,0))="","❔ Без категории",INDEX(lst_exp_item_cat,MATCH(E1556,lst_exp_items,0))),"❔ Без категории"))</f>
        <v/>
      </c>
      <c r="G1556" s="43" t="n"/>
      <c r="H1556" s="56" t="n"/>
      <c r="I1556" s="43" t="n"/>
      <c r="J1556" s="57">
        <f>IF(OR(A1556="",H1556=""),"",IF(COUNTIFS(exp_year,C1556,exp_month,D1556,exp_item,E1556,exp_status,"&lt;&gt;❌ Отменено")&gt;0,1,0))</f>
        <v/>
      </c>
    </row>
    <row r="1557">
      <c r="A1557" s="52" t="n"/>
      <c r="B1557" s="53">
        <f>IF(A1557="","",CHOOSE(WEEKDAY(A1557,2),"Пн","Вт","Ср","Чт","Пт","Сб","Вс"))</f>
        <v/>
      </c>
      <c r="C1557" s="53">
        <f>IF(A1557="","",YEAR(A1557))</f>
        <v/>
      </c>
      <c r="D1557" s="54">
        <f>IF(A1557="","",INDEX(lst_months,MONTH(A1557)))</f>
        <v/>
      </c>
      <c r="E1557" s="55" t="n"/>
      <c r="F1557" s="54">
        <f>IF(E1557="","",IFERROR(IF(INDEX(lst_exp_item_cat,MATCH(E1557,lst_exp_items,0))="","❔ Без категории",INDEX(lst_exp_item_cat,MATCH(E1557,lst_exp_items,0))),"❔ Без категории"))</f>
        <v/>
      </c>
      <c r="G1557" s="43" t="n"/>
      <c r="H1557" s="56" t="n"/>
      <c r="I1557" s="43" t="n"/>
      <c r="J1557" s="57">
        <f>IF(OR(A1557="",H1557=""),"",IF(COUNTIFS(exp_year,C1557,exp_month,D1557,exp_item,E1557,exp_status,"&lt;&gt;❌ Отменено")&gt;0,1,0))</f>
        <v/>
      </c>
    </row>
    <row r="1558">
      <c r="A1558" s="52" t="n"/>
      <c r="B1558" s="53">
        <f>IF(A1558="","",CHOOSE(WEEKDAY(A1558,2),"Пн","Вт","Ср","Чт","Пт","Сб","Вс"))</f>
        <v/>
      </c>
      <c r="C1558" s="53">
        <f>IF(A1558="","",YEAR(A1558))</f>
        <v/>
      </c>
      <c r="D1558" s="54">
        <f>IF(A1558="","",INDEX(lst_months,MONTH(A1558)))</f>
        <v/>
      </c>
      <c r="E1558" s="55" t="n"/>
      <c r="F1558" s="54">
        <f>IF(E1558="","",IFERROR(IF(INDEX(lst_exp_item_cat,MATCH(E1558,lst_exp_items,0))="","❔ Без категории",INDEX(lst_exp_item_cat,MATCH(E1558,lst_exp_items,0))),"❔ Без категории"))</f>
        <v/>
      </c>
      <c r="G1558" s="43" t="n"/>
      <c r="H1558" s="56" t="n"/>
      <c r="I1558" s="43" t="n"/>
      <c r="J1558" s="57">
        <f>IF(OR(A1558="",H1558=""),"",IF(COUNTIFS(exp_year,C1558,exp_month,D1558,exp_item,E1558,exp_status,"&lt;&gt;❌ Отменено")&gt;0,1,0))</f>
        <v/>
      </c>
    </row>
    <row r="1559">
      <c r="A1559" s="52" t="n"/>
      <c r="B1559" s="53">
        <f>IF(A1559="","",CHOOSE(WEEKDAY(A1559,2),"Пн","Вт","Ср","Чт","Пт","Сб","Вс"))</f>
        <v/>
      </c>
      <c r="C1559" s="53">
        <f>IF(A1559="","",YEAR(A1559))</f>
        <v/>
      </c>
      <c r="D1559" s="54">
        <f>IF(A1559="","",INDEX(lst_months,MONTH(A1559)))</f>
        <v/>
      </c>
      <c r="E1559" s="55" t="n"/>
      <c r="F1559" s="54">
        <f>IF(E1559="","",IFERROR(IF(INDEX(lst_exp_item_cat,MATCH(E1559,lst_exp_items,0))="","❔ Без категории",INDEX(lst_exp_item_cat,MATCH(E1559,lst_exp_items,0))),"❔ Без категории"))</f>
        <v/>
      </c>
      <c r="G1559" s="43" t="n"/>
      <c r="H1559" s="56" t="n"/>
      <c r="I1559" s="43" t="n"/>
      <c r="J1559" s="57">
        <f>IF(OR(A1559="",H1559=""),"",IF(COUNTIFS(exp_year,C1559,exp_month,D1559,exp_item,E1559,exp_status,"&lt;&gt;❌ Отменено")&gt;0,1,0))</f>
        <v/>
      </c>
    </row>
    <row r="1560">
      <c r="A1560" s="52" t="n"/>
      <c r="B1560" s="53">
        <f>IF(A1560="","",CHOOSE(WEEKDAY(A1560,2),"Пн","Вт","Ср","Чт","Пт","Сб","Вс"))</f>
        <v/>
      </c>
      <c r="C1560" s="53">
        <f>IF(A1560="","",YEAR(A1560))</f>
        <v/>
      </c>
      <c r="D1560" s="54">
        <f>IF(A1560="","",INDEX(lst_months,MONTH(A1560)))</f>
        <v/>
      </c>
      <c r="E1560" s="55" t="n"/>
      <c r="F1560" s="54">
        <f>IF(E1560="","",IFERROR(IF(INDEX(lst_exp_item_cat,MATCH(E1560,lst_exp_items,0))="","❔ Без категории",INDEX(lst_exp_item_cat,MATCH(E1560,lst_exp_items,0))),"❔ Без категории"))</f>
        <v/>
      </c>
      <c r="G1560" s="43" t="n"/>
      <c r="H1560" s="56" t="n"/>
      <c r="I1560" s="43" t="n"/>
      <c r="J1560" s="57">
        <f>IF(OR(A1560="",H1560=""),"",IF(COUNTIFS(exp_year,C1560,exp_month,D1560,exp_item,E1560,exp_status,"&lt;&gt;❌ Отменено")&gt;0,1,0))</f>
        <v/>
      </c>
    </row>
    <row r="1561">
      <c r="A1561" s="52" t="n"/>
      <c r="B1561" s="53">
        <f>IF(A1561="","",CHOOSE(WEEKDAY(A1561,2),"Пн","Вт","Ср","Чт","Пт","Сб","Вс"))</f>
        <v/>
      </c>
      <c r="C1561" s="53">
        <f>IF(A1561="","",YEAR(A1561))</f>
        <v/>
      </c>
      <c r="D1561" s="54">
        <f>IF(A1561="","",INDEX(lst_months,MONTH(A1561)))</f>
        <v/>
      </c>
      <c r="E1561" s="55" t="n"/>
      <c r="F1561" s="54">
        <f>IF(E1561="","",IFERROR(IF(INDEX(lst_exp_item_cat,MATCH(E1561,lst_exp_items,0))="","❔ Без категории",INDEX(lst_exp_item_cat,MATCH(E1561,lst_exp_items,0))),"❔ Без категории"))</f>
        <v/>
      </c>
      <c r="G1561" s="43" t="n"/>
      <c r="H1561" s="56" t="n"/>
      <c r="I1561" s="43" t="n"/>
      <c r="J1561" s="57">
        <f>IF(OR(A1561="",H1561=""),"",IF(COUNTIFS(exp_year,C1561,exp_month,D1561,exp_item,E1561,exp_status,"&lt;&gt;❌ Отменено")&gt;0,1,0))</f>
        <v/>
      </c>
    </row>
    <row r="1562">
      <c r="A1562" s="52" t="n"/>
      <c r="B1562" s="53">
        <f>IF(A1562="","",CHOOSE(WEEKDAY(A1562,2),"Пн","Вт","Ср","Чт","Пт","Сб","Вс"))</f>
        <v/>
      </c>
      <c r="C1562" s="53">
        <f>IF(A1562="","",YEAR(A1562))</f>
        <v/>
      </c>
      <c r="D1562" s="54">
        <f>IF(A1562="","",INDEX(lst_months,MONTH(A1562)))</f>
        <v/>
      </c>
      <c r="E1562" s="55" t="n"/>
      <c r="F1562" s="54">
        <f>IF(E1562="","",IFERROR(IF(INDEX(lst_exp_item_cat,MATCH(E1562,lst_exp_items,0))="","❔ Без категории",INDEX(lst_exp_item_cat,MATCH(E1562,lst_exp_items,0))),"❔ Без категории"))</f>
        <v/>
      </c>
      <c r="G1562" s="43" t="n"/>
      <c r="H1562" s="56" t="n"/>
      <c r="I1562" s="43" t="n"/>
      <c r="J1562" s="57">
        <f>IF(OR(A1562="",H1562=""),"",IF(COUNTIFS(exp_year,C1562,exp_month,D1562,exp_item,E1562,exp_status,"&lt;&gt;❌ Отменено")&gt;0,1,0))</f>
        <v/>
      </c>
    </row>
    <row r="1563">
      <c r="A1563" s="52" t="n"/>
      <c r="B1563" s="53">
        <f>IF(A1563="","",CHOOSE(WEEKDAY(A1563,2),"Пн","Вт","Ср","Чт","Пт","Сб","Вс"))</f>
        <v/>
      </c>
      <c r="C1563" s="53">
        <f>IF(A1563="","",YEAR(A1563))</f>
        <v/>
      </c>
      <c r="D1563" s="54">
        <f>IF(A1563="","",INDEX(lst_months,MONTH(A1563)))</f>
        <v/>
      </c>
      <c r="E1563" s="55" t="n"/>
      <c r="F1563" s="54">
        <f>IF(E1563="","",IFERROR(IF(INDEX(lst_exp_item_cat,MATCH(E1563,lst_exp_items,0))="","❔ Без категории",INDEX(lst_exp_item_cat,MATCH(E1563,lst_exp_items,0))),"❔ Без категории"))</f>
        <v/>
      </c>
      <c r="G1563" s="43" t="n"/>
      <c r="H1563" s="56" t="n"/>
      <c r="I1563" s="43" t="n"/>
      <c r="J1563" s="57">
        <f>IF(OR(A1563="",H1563=""),"",IF(COUNTIFS(exp_year,C1563,exp_month,D1563,exp_item,E1563,exp_status,"&lt;&gt;❌ Отменено")&gt;0,1,0))</f>
        <v/>
      </c>
    </row>
    <row r="1564">
      <c r="A1564" s="52" t="n"/>
      <c r="B1564" s="53">
        <f>IF(A1564="","",CHOOSE(WEEKDAY(A1564,2),"Пн","Вт","Ср","Чт","Пт","Сб","Вс"))</f>
        <v/>
      </c>
      <c r="C1564" s="53">
        <f>IF(A1564="","",YEAR(A1564))</f>
        <v/>
      </c>
      <c r="D1564" s="54">
        <f>IF(A1564="","",INDEX(lst_months,MONTH(A1564)))</f>
        <v/>
      </c>
      <c r="E1564" s="55" t="n"/>
      <c r="F1564" s="54">
        <f>IF(E1564="","",IFERROR(IF(INDEX(lst_exp_item_cat,MATCH(E1564,lst_exp_items,0))="","❔ Без категории",INDEX(lst_exp_item_cat,MATCH(E1564,lst_exp_items,0))),"❔ Без категории"))</f>
        <v/>
      </c>
      <c r="G1564" s="43" t="n"/>
      <c r="H1564" s="56" t="n"/>
      <c r="I1564" s="43" t="n"/>
      <c r="J1564" s="57">
        <f>IF(OR(A1564="",H1564=""),"",IF(COUNTIFS(exp_year,C1564,exp_month,D1564,exp_item,E1564,exp_status,"&lt;&gt;❌ Отменено")&gt;0,1,0))</f>
        <v/>
      </c>
    </row>
    <row r="1565">
      <c r="A1565" s="52" t="n"/>
      <c r="B1565" s="53">
        <f>IF(A1565="","",CHOOSE(WEEKDAY(A1565,2),"Пн","Вт","Ср","Чт","Пт","Сб","Вс"))</f>
        <v/>
      </c>
      <c r="C1565" s="53">
        <f>IF(A1565="","",YEAR(A1565))</f>
        <v/>
      </c>
      <c r="D1565" s="54">
        <f>IF(A1565="","",INDEX(lst_months,MONTH(A1565)))</f>
        <v/>
      </c>
      <c r="E1565" s="55" t="n"/>
      <c r="F1565" s="54">
        <f>IF(E1565="","",IFERROR(IF(INDEX(lst_exp_item_cat,MATCH(E1565,lst_exp_items,0))="","❔ Без категории",INDEX(lst_exp_item_cat,MATCH(E1565,lst_exp_items,0))),"❔ Без категории"))</f>
        <v/>
      </c>
      <c r="G1565" s="43" t="n"/>
      <c r="H1565" s="56" t="n"/>
      <c r="I1565" s="43" t="n"/>
      <c r="J1565" s="57">
        <f>IF(OR(A1565="",H1565=""),"",IF(COUNTIFS(exp_year,C1565,exp_month,D1565,exp_item,E1565,exp_status,"&lt;&gt;❌ Отменено")&gt;0,1,0))</f>
        <v/>
      </c>
    </row>
    <row r="1566">
      <c r="A1566" s="52" t="n"/>
      <c r="B1566" s="53">
        <f>IF(A1566="","",CHOOSE(WEEKDAY(A1566,2),"Пн","Вт","Ср","Чт","Пт","Сб","Вс"))</f>
        <v/>
      </c>
      <c r="C1566" s="53">
        <f>IF(A1566="","",YEAR(A1566))</f>
        <v/>
      </c>
      <c r="D1566" s="54">
        <f>IF(A1566="","",INDEX(lst_months,MONTH(A1566)))</f>
        <v/>
      </c>
      <c r="E1566" s="55" t="n"/>
      <c r="F1566" s="54">
        <f>IF(E1566="","",IFERROR(IF(INDEX(lst_exp_item_cat,MATCH(E1566,lst_exp_items,0))="","❔ Без категории",INDEX(lst_exp_item_cat,MATCH(E1566,lst_exp_items,0))),"❔ Без категории"))</f>
        <v/>
      </c>
      <c r="G1566" s="43" t="n"/>
      <c r="H1566" s="56" t="n"/>
      <c r="I1566" s="43" t="n"/>
      <c r="J1566" s="57">
        <f>IF(OR(A1566="",H1566=""),"",IF(COUNTIFS(exp_year,C1566,exp_month,D1566,exp_item,E1566,exp_status,"&lt;&gt;❌ Отменено")&gt;0,1,0))</f>
        <v/>
      </c>
    </row>
    <row r="1567">
      <c r="A1567" s="52" t="n"/>
      <c r="B1567" s="53">
        <f>IF(A1567="","",CHOOSE(WEEKDAY(A1567,2),"Пн","Вт","Ср","Чт","Пт","Сб","Вс"))</f>
        <v/>
      </c>
      <c r="C1567" s="53">
        <f>IF(A1567="","",YEAR(A1567))</f>
        <v/>
      </c>
      <c r="D1567" s="54">
        <f>IF(A1567="","",INDEX(lst_months,MONTH(A1567)))</f>
        <v/>
      </c>
      <c r="E1567" s="55" t="n"/>
      <c r="F1567" s="54">
        <f>IF(E1567="","",IFERROR(IF(INDEX(lst_exp_item_cat,MATCH(E1567,lst_exp_items,0))="","❔ Без категории",INDEX(lst_exp_item_cat,MATCH(E1567,lst_exp_items,0))),"❔ Без категории"))</f>
        <v/>
      </c>
      <c r="G1567" s="43" t="n"/>
      <c r="H1567" s="56" t="n"/>
      <c r="I1567" s="43" t="n"/>
      <c r="J1567" s="57">
        <f>IF(OR(A1567="",H1567=""),"",IF(COUNTIFS(exp_year,C1567,exp_month,D1567,exp_item,E1567,exp_status,"&lt;&gt;❌ Отменено")&gt;0,1,0))</f>
        <v/>
      </c>
    </row>
    <row r="1568">
      <c r="A1568" s="52" t="n"/>
      <c r="B1568" s="53">
        <f>IF(A1568="","",CHOOSE(WEEKDAY(A1568,2),"Пн","Вт","Ср","Чт","Пт","Сб","Вс"))</f>
        <v/>
      </c>
      <c r="C1568" s="53">
        <f>IF(A1568="","",YEAR(A1568))</f>
        <v/>
      </c>
      <c r="D1568" s="54">
        <f>IF(A1568="","",INDEX(lst_months,MONTH(A1568)))</f>
        <v/>
      </c>
      <c r="E1568" s="55" t="n"/>
      <c r="F1568" s="54">
        <f>IF(E1568="","",IFERROR(IF(INDEX(lst_exp_item_cat,MATCH(E1568,lst_exp_items,0))="","❔ Без категории",INDEX(lst_exp_item_cat,MATCH(E1568,lst_exp_items,0))),"❔ Без категории"))</f>
        <v/>
      </c>
      <c r="G1568" s="43" t="n"/>
      <c r="H1568" s="56" t="n"/>
      <c r="I1568" s="43" t="n"/>
      <c r="J1568" s="57">
        <f>IF(OR(A1568="",H1568=""),"",IF(COUNTIFS(exp_year,C1568,exp_month,D1568,exp_item,E1568,exp_status,"&lt;&gt;❌ Отменено")&gt;0,1,0))</f>
        <v/>
      </c>
    </row>
    <row r="1569">
      <c r="A1569" s="52" t="n"/>
      <c r="B1569" s="53">
        <f>IF(A1569="","",CHOOSE(WEEKDAY(A1569,2),"Пн","Вт","Ср","Чт","Пт","Сб","Вс"))</f>
        <v/>
      </c>
      <c r="C1569" s="53">
        <f>IF(A1569="","",YEAR(A1569))</f>
        <v/>
      </c>
      <c r="D1569" s="54">
        <f>IF(A1569="","",INDEX(lst_months,MONTH(A1569)))</f>
        <v/>
      </c>
      <c r="E1569" s="55" t="n"/>
      <c r="F1569" s="54">
        <f>IF(E1569="","",IFERROR(IF(INDEX(lst_exp_item_cat,MATCH(E1569,lst_exp_items,0))="","❔ Без категории",INDEX(lst_exp_item_cat,MATCH(E1569,lst_exp_items,0))),"❔ Без категории"))</f>
        <v/>
      </c>
      <c r="G1569" s="43" t="n"/>
      <c r="H1569" s="56" t="n"/>
      <c r="I1569" s="43" t="n"/>
      <c r="J1569" s="57">
        <f>IF(OR(A1569="",H1569=""),"",IF(COUNTIFS(exp_year,C1569,exp_month,D1569,exp_item,E1569,exp_status,"&lt;&gt;❌ Отменено")&gt;0,1,0))</f>
        <v/>
      </c>
    </row>
    <row r="1570">
      <c r="A1570" s="52" t="n"/>
      <c r="B1570" s="53">
        <f>IF(A1570="","",CHOOSE(WEEKDAY(A1570,2),"Пн","Вт","Ср","Чт","Пт","Сб","Вс"))</f>
        <v/>
      </c>
      <c r="C1570" s="53">
        <f>IF(A1570="","",YEAR(A1570))</f>
        <v/>
      </c>
      <c r="D1570" s="54">
        <f>IF(A1570="","",INDEX(lst_months,MONTH(A1570)))</f>
        <v/>
      </c>
      <c r="E1570" s="55" t="n"/>
      <c r="F1570" s="54">
        <f>IF(E1570="","",IFERROR(IF(INDEX(lst_exp_item_cat,MATCH(E1570,lst_exp_items,0))="","❔ Без категории",INDEX(lst_exp_item_cat,MATCH(E1570,lst_exp_items,0))),"❔ Без категории"))</f>
        <v/>
      </c>
      <c r="G1570" s="43" t="n"/>
      <c r="H1570" s="56" t="n"/>
      <c r="I1570" s="43" t="n"/>
      <c r="J1570" s="57">
        <f>IF(OR(A1570="",H1570=""),"",IF(COUNTIFS(exp_year,C1570,exp_month,D1570,exp_item,E1570,exp_status,"&lt;&gt;❌ Отменено")&gt;0,1,0))</f>
        <v/>
      </c>
    </row>
    <row r="1571">
      <c r="A1571" s="52" t="n"/>
      <c r="B1571" s="53">
        <f>IF(A1571="","",CHOOSE(WEEKDAY(A1571,2),"Пн","Вт","Ср","Чт","Пт","Сб","Вс"))</f>
        <v/>
      </c>
      <c r="C1571" s="53">
        <f>IF(A1571="","",YEAR(A1571))</f>
        <v/>
      </c>
      <c r="D1571" s="54">
        <f>IF(A1571="","",INDEX(lst_months,MONTH(A1571)))</f>
        <v/>
      </c>
      <c r="E1571" s="55" t="n"/>
      <c r="F1571" s="54">
        <f>IF(E1571="","",IFERROR(IF(INDEX(lst_exp_item_cat,MATCH(E1571,lst_exp_items,0))="","❔ Без категории",INDEX(lst_exp_item_cat,MATCH(E1571,lst_exp_items,0))),"❔ Без категории"))</f>
        <v/>
      </c>
      <c r="G1571" s="43" t="n"/>
      <c r="H1571" s="56" t="n"/>
      <c r="I1571" s="43" t="n"/>
      <c r="J1571" s="57">
        <f>IF(OR(A1571="",H1571=""),"",IF(COUNTIFS(exp_year,C1571,exp_month,D1571,exp_item,E1571,exp_status,"&lt;&gt;❌ Отменено")&gt;0,1,0))</f>
        <v/>
      </c>
    </row>
    <row r="1572">
      <c r="A1572" s="52" t="n"/>
      <c r="B1572" s="53">
        <f>IF(A1572="","",CHOOSE(WEEKDAY(A1572,2),"Пн","Вт","Ср","Чт","Пт","Сб","Вс"))</f>
        <v/>
      </c>
      <c r="C1572" s="53">
        <f>IF(A1572="","",YEAR(A1572))</f>
        <v/>
      </c>
      <c r="D1572" s="54">
        <f>IF(A1572="","",INDEX(lst_months,MONTH(A1572)))</f>
        <v/>
      </c>
      <c r="E1572" s="55" t="n"/>
      <c r="F1572" s="54">
        <f>IF(E1572="","",IFERROR(IF(INDEX(lst_exp_item_cat,MATCH(E1572,lst_exp_items,0))="","❔ Без категории",INDEX(lst_exp_item_cat,MATCH(E1572,lst_exp_items,0))),"❔ Без категории"))</f>
        <v/>
      </c>
      <c r="G1572" s="43" t="n"/>
      <c r="H1572" s="56" t="n"/>
      <c r="I1572" s="43" t="n"/>
      <c r="J1572" s="57">
        <f>IF(OR(A1572="",H1572=""),"",IF(COUNTIFS(exp_year,C1572,exp_month,D1572,exp_item,E1572,exp_status,"&lt;&gt;❌ Отменено")&gt;0,1,0))</f>
        <v/>
      </c>
    </row>
    <row r="1573">
      <c r="A1573" s="52" t="n"/>
      <c r="B1573" s="53">
        <f>IF(A1573="","",CHOOSE(WEEKDAY(A1573,2),"Пн","Вт","Ср","Чт","Пт","Сб","Вс"))</f>
        <v/>
      </c>
      <c r="C1573" s="53">
        <f>IF(A1573="","",YEAR(A1573))</f>
        <v/>
      </c>
      <c r="D1573" s="54">
        <f>IF(A1573="","",INDEX(lst_months,MONTH(A1573)))</f>
        <v/>
      </c>
      <c r="E1573" s="55" t="n"/>
      <c r="F1573" s="54">
        <f>IF(E1573="","",IFERROR(IF(INDEX(lst_exp_item_cat,MATCH(E1573,lst_exp_items,0))="","❔ Без категории",INDEX(lst_exp_item_cat,MATCH(E1573,lst_exp_items,0))),"❔ Без категории"))</f>
        <v/>
      </c>
      <c r="G1573" s="43" t="n"/>
      <c r="H1573" s="56" t="n"/>
      <c r="I1573" s="43" t="n"/>
      <c r="J1573" s="57">
        <f>IF(OR(A1573="",H1573=""),"",IF(COUNTIFS(exp_year,C1573,exp_month,D1573,exp_item,E1573,exp_status,"&lt;&gt;❌ Отменено")&gt;0,1,0))</f>
        <v/>
      </c>
    </row>
    <row r="1574">
      <c r="A1574" s="52" t="n"/>
      <c r="B1574" s="53">
        <f>IF(A1574="","",CHOOSE(WEEKDAY(A1574,2),"Пн","Вт","Ср","Чт","Пт","Сб","Вс"))</f>
        <v/>
      </c>
      <c r="C1574" s="53">
        <f>IF(A1574="","",YEAR(A1574))</f>
        <v/>
      </c>
      <c r="D1574" s="54">
        <f>IF(A1574="","",INDEX(lst_months,MONTH(A1574)))</f>
        <v/>
      </c>
      <c r="E1574" s="55" t="n"/>
      <c r="F1574" s="54">
        <f>IF(E1574="","",IFERROR(IF(INDEX(lst_exp_item_cat,MATCH(E1574,lst_exp_items,0))="","❔ Без категории",INDEX(lst_exp_item_cat,MATCH(E1574,lst_exp_items,0))),"❔ Без категории"))</f>
        <v/>
      </c>
      <c r="G1574" s="43" t="n"/>
      <c r="H1574" s="56" t="n"/>
      <c r="I1574" s="43" t="n"/>
      <c r="J1574" s="57">
        <f>IF(OR(A1574="",H1574=""),"",IF(COUNTIFS(exp_year,C1574,exp_month,D1574,exp_item,E1574,exp_status,"&lt;&gt;❌ Отменено")&gt;0,1,0))</f>
        <v/>
      </c>
    </row>
    <row r="1575">
      <c r="A1575" s="52" t="n"/>
      <c r="B1575" s="53">
        <f>IF(A1575="","",CHOOSE(WEEKDAY(A1575,2),"Пн","Вт","Ср","Чт","Пт","Сб","Вс"))</f>
        <v/>
      </c>
      <c r="C1575" s="53">
        <f>IF(A1575="","",YEAR(A1575))</f>
        <v/>
      </c>
      <c r="D1575" s="54">
        <f>IF(A1575="","",INDEX(lst_months,MONTH(A1575)))</f>
        <v/>
      </c>
      <c r="E1575" s="55" t="n"/>
      <c r="F1575" s="54">
        <f>IF(E1575="","",IFERROR(IF(INDEX(lst_exp_item_cat,MATCH(E1575,lst_exp_items,0))="","❔ Без категории",INDEX(lst_exp_item_cat,MATCH(E1575,lst_exp_items,0))),"❔ Без категории"))</f>
        <v/>
      </c>
      <c r="G1575" s="43" t="n"/>
      <c r="H1575" s="56" t="n"/>
      <c r="I1575" s="43" t="n"/>
      <c r="J1575" s="57">
        <f>IF(OR(A1575="",H1575=""),"",IF(COUNTIFS(exp_year,C1575,exp_month,D1575,exp_item,E1575,exp_status,"&lt;&gt;❌ Отменено")&gt;0,1,0))</f>
        <v/>
      </c>
    </row>
    <row r="1576">
      <c r="A1576" s="52" t="n"/>
      <c r="B1576" s="53">
        <f>IF(A1576="","",CHOOSE(WEEKDAY(A1576,2),"Пн","Вт","Ср","Чт","Пт","Сб","Вс"))</f>
        <v/>
      </c>
      <c r="C1576" s="53">
        <f>IF(A1576="","",YEAR(A1576))</f>
        <v/>
      </c>
      <c r="D1576" s="54">
        <f>IF(A1576="","",INDEX(lst_months,MONTH(A1576)))</f>
        <v/>
      </c>
      <c r="E1576" s="55" t="n"/>
      <c r="F1576" s="54">
        <f>IF(E1576="","",IFERROR(IF(INDEX(lst_exp_item_cat,MATCH(E1576,lst_exp_items,0))="","❔ Без категории",INDEX(lst_exp_item_cat,MATCH(E1576,lst_exp_items,0))),"❔ Без категории"))</f>
        <v/>
      </c>
      <c r="G1576" s="43" t="n"/>
      <c r="H1576" s="56" t="n"/>
      <c r="I1576" s="43" t="n"/>
      <c r="J1576" s="57">
        <f>IF(OR(A1576="",H1576=""),"",IF(COUNTIFS(exp_year,C1576,exp_month,D1576,exp_item,E1576,exp_status,"&lt;&gt;❌ Отменено")&gt;0,1,0))</f>
        <v/>
      </c>
    </row>
    <row r="1577">
      <c r="A1577" s="52" t="n"/>
      <c r="B1577" s="53">
        <f>IF(A1577="","",CHOOSE(WEEKDAY(A1577,2),"Пн","Вт","Ср","Чт","Пт","Сб","Вс"))</f>
        <v/>
      </c>
      <c r="C1577" s="53">
        <f>IF(A1577="","",YEAR(A1577))</f>
        <v/>
      </c>
      <c r="D1577" s="54">
        <f>IF(A1577="","",INDEX(lst_months,MONTH(A1577)))</f>
        <v/>
      </c>
      <c r="E1577" s="55" t="n"/>
      <c r="F1577" s="54">
        <f>IF(E1577="","",IFERROR(IF(INDEX(lst_exp_item_cat,MATCH(E1577,lst_exp_items,0))="","❔ Без категории",INDEX(lst_exp_item_cat,MATCH(E1577,lst_exp_items,0))),"❔ Без категории"))</f>
        <v/>
      </c>
      <c r="G1577" s="43" t="n"/>
      <c r="H1577" s="56" t="n"/>
      <c r="I1577" s="43" t="n"/>
      <c r="J1577" s="57">
        <f>IF(OR(A1577="",H1577=""),"",IF(COUNTIFS(exp_year,C1577,exp_month,D1577,exp_item,E1577,exp_status,"&lt;&gt;❌ Отменено")&gt;0,1,0))</f>
        <v/>
      </c>
    </row>
    <row r="1578">
      <c r="A1578" s="52" t="n"/>
      <c r="B1578" s="53">
        <f>IF(A1578="","",CHOOSE(WEEKDAY(A1578,2),"Пн","Вт","Ср","Чт","Пт","Сб","Вс"))</f>
        <v/>
      </c>
      <c r="C1578" s="53">
        <f>IF(A1578="","",YEAR(A1578))</f>
        <v/>
      </c>
      <c r="D1578" s="54">
        <f>IF(A1578="","",INDEX(lst_months,MONTH(A1578)))</f>
        <v/>
      </c>
      <c r="E1578" s="55" t="n"/>
      <c r="F1578" s="54">
        <f>IF(E1578="","",IFERROR(IF(INDEX(lst_exp_item_cat,MATCH(E1578,lst_exp_items,0))="","❔ Без категории",INDEX(lst_exp_item_cat,MATCH(E1578,lst_exp_items,0))),"❔ Без категории"))</f>
        <v/>
      </c>
      <c r="G1578" s="43" t="n"/>
      <c r="H1578" s="56" t="n"/>
      <c r="I1578" s="43" t="n"/>
      <c r="J1578" s="57">
        <f>IF(OR(A1578="",H1578=""),"",IF(COUNTIFS(exp_year,C1578,exp_month,D1578,exp_item,E1578,exp_status,"&lt;&gt;❌ Отменено")&gt;0,1,0))</f>
        <v/>
      </c>
    </row>
    <row r="1579">
      <c r="A1579" s="52" t="n"/>
      <c r="B1579" s="53">
        <f>IF(A1579="","",CHOOSE(WEEKDAY(A1579,2),"Пн","Вт","Ср","Чт","Пт","Сб","Вс"))</f>
        <v/>
      </c>
      <c r="C1579" s="53">
        <f>IF(A1579="","",YEAR(A1579))</f>
        <v/>
      </c>
      <c r="D1579" s="54">
        <f>IF(A1579="","",INDEX(lst_months,MONTH(A1579)))</f>
        <v/>
      </c>
      <c r="E1579" s="55" t="n"/>
      <c r="F1579" s="54">
        <f>IF(E1579="","",IFERROR(IF(INDEX(lst_exp_item_cat,MATCH(E1579,lst_exp_items,0))="","❔ Без категории",INDEX(lst_exp_item_cat,MATCH(E1579,lst_exp_items,0))),"❔ Без категории"))</f>
        <v/>
      </c>
      <c r="G1579" s="43" t="n"/>
      <c r="H1579" s="56" t="n"/>
      <c r="I1579" s="43" t="n"/>
      <c r="J1579" s="57">
        <f>IF(OR(A1579="",H1579=""),"",IF(COUNTIFS(exp_year,C1579,exp_month,D1579,exp_item,E1579,exp_status,"&lt;&gt;❌ Отменено")&gt;0,1,0))</f>
        <v/>
      </c>
    </row>
    <row r="1580">
      <c r="A1580" s="52" t="n"/>
      <c r="B1580" s="53">
        <f>IF(A1580="","",CHOOSE(WEEKDAY(A1580,2),"Пн","Вт","Ср","Чт","Пт","Сб","Вс"))</f>
        <v/>
      </c>
      <c r="C1580" s="53">
        <f>IF(A1580="","",YEAR(A1580))</f>
        <v/>
      </c>
      <c r="D1580" s="54">
        <f>IF(A1580="","",INDEX(lst_months,MONTH(A1580)))</f>
        <v/>
      </c>
      <c r="E1580" s="55" t="n"/>
      <c r="F1580" s="54">
        <f>IF(E1580="","",IFERROR(IF(INDEX(lst_exp_item_cat,MATCH(E1580,lst_exp_items,0))="","❔ Без категории",INDEX(lst_exp_item_cat,MATCH(E1580,lst_exp_items,0))),"❔ Без категории"))</f>
        <v/>
      </c>
      <c r="G1580" s="43" t="n"/>
      <c r="H1580" s="56" t="n"/>
      <c r="I1580" s="43" t="n"/>
      <c r="J1580" s="57">
        <f>IF(OR(A1580="",H1580=""),"",IF(COUNTIFS(exp_year,C1580,exp_month,D1580,exp_item,E1580,exp_status,"&lt;&gt;❌ Отменено")&gt;0,1,0))</f>
        <v/>
      </c>
    </row>
    <row r="1581">
      <c r="A1581" s="52" t="n"/>
      <c r="B1581" s="53">
        <f>IF(A1581="","",CHOOSE(WEEKDAY(A1581,2),"Пн","Вт","Ср","Чт","Пт","Сб","Вс"))</f>
        <v/>
      </c>
      <c r="C1581" s="53">
        <f>IF(A1581="","",YEAR(A1581))</f>
        <v/>
      </c>
      <c r="D1581" s="54">
        <f>IF(A1581="","",INDEX(lst_months,MONTH(A1581)))</f>
        <v/>
      </c>
      <c r="E1581" s="55" t="n"/>
      <c r="F1581" s="54">
        <f>IF(E1581="","",IFERROR(IF(INDEX(lst_exp_item_cat,MATCH(E1581,lst_exp_items,0))="","❔ Без категории",INDEX(lst_exp_item_cat,MATCH(E1581,lst_exp_items,0))),"❔ Без категории"))</f>
        <v/>
      </c>
      <c r="G1581" s="43" t="n"/>
      <c r="H1581" s="56" t="n"/>
      <c r="I1581" s="43" t="n"/>
      <c r="J1581" s="57">
        <f>IF(OR(A1581="",H1581=""),"",IF(COUNTIFS(exp_year,C1581,exp_month,D1581,exp_item,E1581,exp_status,"&lt;&gt;❌ Отменено")&gt;0,1,0))</f>
        <v/>
      </c>
    </row>
    <row r="1582">
      <c r="A1582" s="52" t="n"/>
      <c r="B1582" s="53">
        <f>IF(A1582="","",CHOOSE(WEEKDAY(A1582,2),"Пн","Вт","Ср","Чт","Пт","Сб","Вс"))</f>
        <v/>
      </c>
      <c r="C1582" s="53">
        <f>IF(A1582="","",YEAR(A1582))</f>
        <v/>
      </c>
      <c r="D1582" s="54">
        <f>IF(A1582="","",INDEX(lst_months,MONTH(A1582)))</f>
        <v/>
      </c>
      <c r="E1582" s="55" t="n"/>
      <c r="F1582" s="54">
        <f>IF(E1582="","",IFERROR(IF(INDEX(lst_exp_item_cat,MATCH(E1582,lst_exp_items,0))="","❔ Без категории",INDEX(lst_exp_item_cat,MATCH(E1582,lst_exp_items,0))),"❔ Без категории"))</f>
        <v/>
      </c>
      <c r="G1582" s="43" t="n"/>
      <c r="H1582" s="56" t="n"/>
      <c r="I1582" s="43" t="n"/>
      <c r="J1582" s="57">
        <f>IF(OR(A1582="",H1582=""),"",IF(COUNTIFS(exp_year,C1582,exp_month,D1582,exp_item,E1582,exp_status,"&lt;&gt;❌ Отменено")&gt;0,1,0))</f>
        <v/>
      </c>
    </row>
    <row r="1583">
      <c r="A1583" s="52" t="n"/>
      <c r="B1583" s="53">
        <f>IF(A1583="","",CHOOSE(WEEKDAY(A1583,2),"Пн","Вт","Ср","Чт","Пт","Сб","Вс"))</f>
        <v/>
      </c>
      <c r="C1583" s="53">
        <f>IF(A1583="","",YEAR(A1583))</f>
        <v/>
      </c>
      <c r="D1583" s="54">
        <f>IF(A1583="","",INDEX(lst_months,MONTH(A1583)))</f>
        <v/>
      </c>
      <c r="E1583" s="55" t="n"/>
      <c r="F1583" s="54">
        <f>IF(E1583="","",IFERROR(IF(INDEX(lst_exp_item_cat,MATCH(E1583,lst_exp_items,0))="","❔ Без категории",INDEX(lst_exp_item_cat,MATCH(E1583,lst_exp_items,0))),"❔ Без категории"))</f>
        <v/>
      </c>
      <c r="G1583" s="43" t="n"/>
      <c r="H1583" s="56" t="n"/>
      <c r="I1583" s="43" t="n"/>
      <c r="J1583" s="57">
        <f>IF(OR(A1583="",H1583=""),"",IF(COUNTIFS(exp_year,C1583,exp_month,D1583,exp_item,E1583,exp_status,"&lt;&gt;❌ Отменено")&gt;0,1,0))</f>
        <v/>
      </c>
    </row>
    <row r="1584">
      <c r="A1584" s="52" t="n"/>
      <c r="B1584" s="53">
        <f>IF(A1584="","",CHOOSE(WEEKDAY(A1584,2),"Пн","Вт","Ср","Чт","Пт","Сб","Вс"))</f>
        <v/>
      </c>
      <c r="C1584" s="53">
        <f>IF(A1584="","",YEAR(A1584))</f>
        <v/>
      </c>
      <c r="D1584" s="54">
        <f>IF(A1584="","",INDEX(lst_months,MONTH(A1584)))</f>
        <v/>
      </c>
      <c r="E1584" s="55" t="n"/>
      <c r="F1584" s="54">
        <f>IF(E1584="","",IFERROR(IF(INDEX(lst_exp_item_cat,MATCH(E1584,lst_exp_items,0))="","❔ Без категории",INDEX(lst_exp_item_cat,MATCH(E1584,lst_exp_items,0))),"❔ Без категории"))</f>
        <v/>
      </c>
      <c r="G1584" s="43" t="n"/>
      <c r="H1584" s="56" t="n"/>
      <c r="I1584" s="43" t="n"/>
      <c r="J1584" s="57">
        <f>IF(OR(A1584="",H1584=""),"",IF(COUNTIFS(exp_year,C1584,exp_month,D1584,exp_item,E1584,exp_status,"&lt;&gt;❌ Отменено")&gt;0,1,0))</f>
        <v/>
      </c>
    </row>
    <row r="1585">
      <c r="A1585" s="52" t="n"/>
      <c r="B1585" s="53">
        <f>IF(A1585="","",CHOOSE(WEEKDAY(A1585,2),"Пн","Вт","Ср","Чт","Пт","Сб","Вс"))</f>
        <v/>
      </c>
      <c r="C1585" s="53">
        <f>IF(A1585="","",YEAR(A1585))</f>
        <v/>
      </c>
      <c r="D1585" s="54">
        <f>IF(A1585="","",INDEX(lst_months,MONTH(A1585)))</f>
        <v/>
      </c>
      <c r="E1585" s="55" t="n"/>
      <c r="F1585" s="54">
        <f>IF(E1585="","",IFERROR(IF(INDEX(lst_exp_item_cat,MATCH(E1585,lst_exp_items,0))="","❔ Без категории",INDEX(lst_exp_item_cat,MATCH(E1585,lst_exp_items,0))),"❔ Без категории"))</f>
        <v/>
      </c>
      <c r="G1585" s="43" t="n"/>
      <c r="H1585" s="56" t="n"/>
      <c r="I1585" s="43" t="n"/>
      <c r="J1585" s="57">
        <f>IF(OR(A1585="",H1585=""),"",IF(COUNTIFS(exp_year,C1585,exp_month,D1585,exp_item,E1585,exp_status,"&lt;&gt;❌ Отменено")&gt;0,1,0))</f>
        <v/>
      </c>
    </row>
    <row r="1586">
      <c r="A1586" s="52" t="n"/>
      <c r="B1586" s="53">
        <f>IF(A1586="","",CHOOSE(WEEKDAY(A1586,2),"Пн","Вт","Ср","Чт","Пт","Сб","Вс"))</f>
        <v/>
      </c>
      <c r="C1586" s="53">
        <f>IF(A1586="","",YEAR(A1586))</f>
        <v/>
      </c>
      <c r="D1586" s="54">
        <f>IF(A1586="","",INDEX(lst_months,MONTH(A1586)))</f>
        <v/>
      </c>
      <c r="E1586" s="55" t="n"/>
      <c r="F1586" s="54">
        <f>IF(E1586="","",IFERROR(IF(INDEX(lst_exp_item_cat,MATCH(E1586,lst_exp_items,0))="","❔ Без категории",INDEX(lst_exp_item_cat,MATCH(E1586,lst_exp_items,0))),"❔ Без категории"))</f>
        <v/>
      </c>
      <c r="G1586" s="43" t="n"/>
      <c r="H1586" s="56" t="n"/>
      <c r="I1586" s="43" t="n"/>
      <c r="J1586" s="57">
        <f>IF(OR(A1586="",H1586=""),"",IF(COUNTIFS(exp_year,C1586,exp_month,D1586,exp_item,E1586,exp_status,"&lt;&gt;❌ Отменено")&gt;0,1,0))</f>
        <v/>
      </c>
    </row>
    <row r="1587">
      <c r="A1587" s="52" t="n"/>
      <c r="B1587" s="53">
        <f>IF(A1587="","",CHOOSE(WEEKDAY(A1587,2),"Пн","Вт","Ср","Чт","Пт","Сб","Вс"))</f>
        <v/>
      </c>
      <c r="C1587" s="53">
        <f>IF(A1587="","",YEAR(A1587))</f>
        <v/>
      </c>
      <c r="D1587" s="54">
        <f>IF(A1587="","",INDEX(lst_months,MONTH(A1587)))</f>
        <v/>
      </c>
      <c r="E1587" s="55" t="n"/>
      <c r="F1587" s="54">
        <f>IF(E1587="","",IFERROR(IF(INDEX(lst_exp_item_cat,MATCH(E1587,lst_exp_items,0))="","❔ Без категории",INDEX(lst_exp_item_cat,MATCH(E1587,lst_exp_items,0))),"❔ Без категории"))</f>
        <v/>
      </c>
      <c r="G1587" s="43" t="n"/>
      <c r="H1587" s="56" t="n"/>
      <c r="I1587" s="43" t="n"/>
      <c r="J1587" s="57">
        <f>IF(OR(A1587="",H1587=""),"",IF(COUNTIFS(exp_year,C1587,exp_month,D1587,exp_item,E1587,exp_status,"&lt;&gt;❌ Отменено")&gt;0,1,0))</f>
        <v/>
      </c>
    </row>
    <row r="1588">
      <c r="A1588" s="52" t="n"/>
      <c r="B1588" s="53">
        <f>IF(A1588="","",CHOOSE(WEEKDAY(A1588,2),"Пн","Вт","Ср","Чт","Пт","Сб","Вс"))</f>
        <v/>
      </c>
      <c r="C1588" s="53">
        <f>IF(A1588="","",YEAR(A1588))</f>
        <v/>
      </c>
      <c r="D1588" s="54">
        <f>IF(A1588="","",INDEX(lst_months,MONTH(A1588)))</f>
        <v/>
      </c>
      <c r="E1588" s="55" t="n"/>
      <c r="F1588" s="54">
        <f>IF(E1588="","",IFERROR(IF(INDEX(lst_exp_item_cat,MATCH(E1588,lst_exp_items,0))="","❔ Без категории",INDEX(lst_exp_item_cat,MATCH(E1588,lst_exp_items,0))),"❔ Без категории"))</f>
        <v/>
      </c>
      <c r="G1588" s="43" t="n"/>
      <c r="H1588" s="56" t="n"/>
      <c r="I1588" s="43" t="n"/>
      <c r="J1588" s="57">
        <f>IF(OR(A1588="",H1588=""),"",IF(COUNTIFS(exp_year,C1588,exp_month,D1588,exp_item,E1588,exp_status,"&lt;&gt;❌ Отменено")&gt;0,1,0))</f>
        <v/>
      </c>
    </row>
    <row r="1589">
      <c r="A1589" s="52" t="n"/>
      <c r="B1589" s="53">
        <f>IF(A1589="","",CHOOSE(WEEKDAY(A1589,2),"Пн","Вт","Ср","Чт","Пт","Сб","Вс"))</f>
        <v/>
      </c>
      <c r="C1589" s="53">
        <f>IF(A1589="","",YEAR(A1589))</f>
        <v/>
      </c>
      <c r="D1589" s="54">
        <f>IF(A1589="","",INDEX(lst_months,MONTH(A1589)))</f>
        <v/>
      </c>
      <c r="E1589" s="55" t="n"/>
      <c r="F1589" s="54">
        <f>IF(E1589="","",IFERROR(IF(INDEX(lst_exp_item_cat,MATCH(E1589,lst_exp_items,0))="","❔ Без категории",INDEX(lst_exp_item_cat,MATCH(E1589,lst_exp_items,0))),"❔ Без категории"))</f>
        <v/>
      </c>
      <c r="G1589" s="43" t="n"/>
      <c r="H1589" s="56" t="n"/>
      <c r="I1589" s="43" t="n"/>
      <c r="J1589" s="57">
        <f>IF(OR(A1589="",H1589=""),"",IF(COUNTIFS(exp_year,C1589,exp_month,D1589,exp_item,E1589,exp_status,"&lt;&gt;❌ Отменено")&gt;0,1,0))</f>
        <v/>
      </c>
    </row>
    <row r="1590">
      <c r="A1590" s="52" t="n"/>
      <c r="B1590" s="53">
        <f>IF(A1590="","",CHOOSE(WEEKDAY(A1590,2),"Пн","Вт","Ср","Чт","Пт","Сб","Вс"))</f>
        <v/>
      </c>
      <c r="C1590" s="53">
        <f>IF(A1590="","",YEAR(A1590))</f>
        <v/>
      </c>
      <c r="D1590" s="54">
        <f>IF(A1590="","",INDEX(lst_months,MONTH(A1590)))</f>
        <v/>
      </c>
      <c r="E1590" s="55" t="n"/>
      <c r="F1590" s="54">
        <f>IF(E1590="","",IFERROR(IF(INDEX(lst_exp_item_cat,MATCH(E1590,lst_exp_items,0))="","❔ Без категории",INDEX(lst_exp_item_cat,MATCH(E1590,lst_exp_items,0))),"❔ Без категории"))</f>
        <v/>
      </c>
      <c r="G1590" s="43" t="n"/>
      <c r="H1590" s="56" t="n"/>
      <c r="I1590" s="43" t="n"/>
      <c r="J1590" s="57">
        <f>IF(OR(A1590="",H1590=""),"",IF(COUNTIFS(exp_year,C1590,exp_month,D1590,exp_item,E1590,exp_status,"&lt;&gt;❌ Отменено")&gt;0,1,0))</f>
        <v/>
      </c>
    </row>
    <row r="1591">
      <c r="A1591" s="52" t="n"/>
      <c r="B1591" s="53">
        <f>IF(A1591="","",CHOOSE(WEEKDAY(A1591,2),"Пн","Вт","Ср","Чт","Пт","Сб","Вс"))</f>
        <v/>
      </c>
      <c r="C1591" s="53">
        <f>IF(A1591="","",YEAR(A1591))</f>
        <v/>
      </c>
      <c r="D1591" s="54">
        <f>IF(A1591="","",INDEX(lst_months,MONTH(A1591)))</f>
        <v/>
      </c>
      <c r="E1591" s="55" t="n"/>
      <c r="F1591" s="54">
        <f>IF(E1591="","",IFERROR(IF(INDEX(lst_exp_item_cat,MATCH(E1591,lst_exp_items,0))="","❔ Без категории",INDEX(lst_exp_item_cat,MATCH(E1591,lst_exp_items,0))),"❔ Без категории"))</f>
        <v/>
      </c>
      <c r="G1591" s="43" t="n"/>
      <c r="H1591" s="56" t="n"/>
      <c r="I1591" s="43" t="n"/>
      <c r="J1591" s="57">
        <f>IF(OR(A1591="",H1591=""),"",IF(COUNTIFS(exp_year,C1591,exp_month,D1591,exp_item,E1591,exp_status,"&lt;&gt;❌ Отменено")&gt;0,1,0))</f>
        <v/>
      </c>
    </row>
    <row r="1592">
      <c r="A1592" s="52" t="n"/>
      <c r="B1592" s="53">
        <f>IF(A1592="","",CHOOSE(WEEKDAY(A1592,2),"Пн","Вт","Ср","Чт","Пт","Сб","Вс"))</f>
        <v/>
      </c>
      <c r="C1592" s="53">
        <f>IF(A1592="","",YEAR(A1592))</f>
        <v/>
      </c>
      <c r="D1592" s="54">
        <f>IF(A1592="","",INDEX(lst_months,MONTH(A1592)))</f>
        <v/>
      </c>
      <c r="E1592" s="55" t="n"/>
      <c r="F1592" s="54">
        <f>IF(E1592="","",IFERROR(IF(INDEX(lst_exp_item_cat,MATCH(E1592,lst_exp_items,0))="","❔ Без категории",INDEX(lst_exp_item_cat,MATCH(E1592,lst_exp_items,0))),"❔ Без категории"))</f>
        <v/>
      </c>
      <c r="G1592" s="43" t="n"/>
      <c r="H1592" s="56" t="n"/>
      <c r="I1592" s="43" t="n"/>
      <c r="J1592" s="57">
        <f>IF(OR(A1592="",H1592=""),"",IF(COUNTIFS(exp_year,C1592,exp_month,D1592,exp_item,E1592,exp_status,"&lt;&gt;❌ Отменено")&gt;0,1,0))</f>
        <v/>
      </c>
    </row>
    <row r="1593">
      <c r="A1593" s="52" t="n"/>
      <c r="B1593" s="53">
        <f>IF(A1593="","",CHOOSE(WEEKDAY(A1593,2),"Пн","Вт","Ср","Чт","Пт","Сб","Вс"))</f>
        <v/>
      </c>
      <c r="C1593" s="53">
        <f>IF(A1593="","",YEAR(A1593))</f>
        <v/>
      </c>
      <c r="D1593" s="54">
        <f>IF(A1593="","",INDEX(lst_months,MONTH(A1593)))</f>
        <v/>
      </c>
      <c r="E1593" s="55" t="n"/>
      <c r="F1593" s="54">
        <f>IF(E1593="","",IFERROR(IF(INDEX(lst_exp_item_cat,MATCH(E1593,lst_exp_items,0))="","❔ Без категории",INDEX(lst_exp_item_cat,MATCH(E1593,lst_exp_items,0))),"❔ Без категории"))</f>
        <v/>
      </c>
      <c r="G1593" s="43" t="n"/>
      <c r="H1593" s="56" t="n"/>
      <c r="I1593" s="43" t="n"/>
      <c r="J1593" s="57">
        <f>IF(OR(A1593="",H1593=""),"",IF(COUNTIFS(exp_year,C1593,exp_month,D1593,exp_item,E1593,exp_status,"&lt;&gt;❌ Отменено")&gt;0,1,0))</f>
        <v/>
      </c>
    </row>
    <row r="1594">
      <c r="A1594" s="52" t="n"/>
      <c r="B1594" s="53">
        <f>IF(A1594="","",CHOOSE(WEEKDAY(A1594,2),"Пн","Вт","Ср","Чт","Пт","Сб","Вс"))</f>
        <v/>
      </c>
      <c r="C1594" s="53">
        <f>IF(A1594="","",YEAR(A1594))</f>
        <v/>
      </c>
      <c r="D1594" s="54">
        <f>IF(A1594="","",INDEX(lst_months,MONTH(A1594)))</f>
        <v/>
      </c>
      <c r="E1594" s="55" t="n"/>
      <c r="F1594" s="54">
        <f>IF(E1594="","",IFERROR(IF(INDEX(lst_exp_item_cat,MATCH(E1594,lst_exp_items,0))="","❔ Без категории",INDEX(lst_exp_item_cat,MATCH(E1594,lst_exp_items,0))),"❔ Без категории"))</f>
        <v/>
      </c>
      <c r="G1594" s="43" t="n"/>
      <c r="H1594" s="56" t="n"/>
      <c r="I1594" s="43" t="n"/>
      <c r="J1594" s="57">
        <f>IF(OR(A1594="",H1594=""),"",IF(COUNTIFS(exp_year,C1594,exp_month,D1594,exp_item,E1594,exp_status,"&lt;&gt;❌ Отменено")&gt;0,1,0))</f>
        <v/>
      </c>
    </row>
    <row r="1595">
      <c r="A1595" s="52" t="n"/>
      <c r="B1595" s="53">
        <f>IF(A1595="","",CHOOSE(WEEKDAY(A1595,2),"Пн","Вт","Ср","Чт","Пт","Сб","Вс"))</f>
        <v/>
      </c>
      <c r="C1595" s="53">
        <f>IF(A1595="","",YEAR(A1595))</f>
        <v/>
      </c>
      <c r="D1595" s="54">
        <f>IF(A1595="","",INDEX(lst_months,MONTH(A1595)))</f>
        <v/>
      </c>
      <c r="E1595" s="55" t="n"/>
      <c r="F1595" s="54">
        <f>IF(E1595="","",IFERROR(IF(INDEX(lst_exp_item_cat,MATCH(E1595,lst_exp_items,0))="","❔ Без категории",INDEX(lst_exp_item_cat,MATCH(E1595,lst_exp_items,0))),"❔ Без категории"))</f>
        <v/>
      </c>
      <c r="G1595" s="43" t="n"/>
      <c r="H1595" s="56" t="n"/>
      <c r="I1595" s="43" t="n"/>
      <c r="J1595" s="57">
        <f>IF(OR(A1595="",H1595=""),"",IF(COUNTIFS(exp_year,C1595,exp_month,D1595,exp_item,E1595,exp_status,"&lt;&gt;❌ Отменено")&gt;0,1,0))</f>
        <v/>
      </c>
    </row>
    <row r="1596">
      <c r="A1596" s="52" t="n"/>
      <c r="B1596" s="53">
        <f>IF(A1596="","",CHOOSE(WEEKDAY(A1596,2),"Пн","Вт","Ср","Чт","Пт","Сб","Вс"))</f>
        <v/>
      </c>
      <c r="C1596" s="53">
        <f>IF(A1596="","",YEAR(A1596))</f>
        <v/>
      </c>
      <c r="D1596" s="54">
        <f>IF(A1596="","",INDEX(lst_months,MONTH(A1596)))</f>
        <v/>
      </c>
      <c r="E1596" s="55" t="n"/>
      <c r="F1596" s="54">
        <f>IF(E1596="","",IFERROR(IF(INDEX(lst_exp_item_cat,MATCH(E1596,lst_exp_items,0))="","❔ Без категории",INDEX(lst_exp_item_cat,MATCH(E1596,lst_exp_items,0))),"❔ Без категории"))</f>
        <v/>
      </c>
      <c r="G1596" s="43" t="n"/>
      <c r="H1596" s="56" t="n"/>
      <c r="I1596" s="43" t="n"/>
      <c r="J1596" s="57">
        <f>IF(OR(A1596="",H1596=""),"",IF(COUNTIFS(exp_year,C1596,exp_month,D1596,exp_item,E1596,exp_status,"&lt;&gt;❌ Отменено")&gt;0,1,0))</f>
        <v/>
      </c>
    </row>
    <row r="1597">
      <c r="A1597" s="52" t="n"/>
      <c r="B1597" s="53">
        <f>IF(A1597="","",CHOOSE(WEEKDAY(A1597,2),"Пн","Вт","Ср","Чт","Пт","Сб","Вс"))</f>
        <v/>
      </c>
      <c r="C1597" s="53">
        <f>IF(A1597="","",YEAR(A1597))</f>
        <v/>
      </c>
      <c r="D1597" s="54">
        <f>IF(A1597="","",INDEX(lst_months,MONTH(A1597)))</f>
        <v/>
      </c>
      <c r="E1597" s="55" t="n"/>
      <c r="F1597" s="54">
        <f>IF(E1597="","",IFERROR(IF(INDEX(lst_exp_item_cat,MATCH(E1597,lst_exp_items,0))="","❔ Без категории",INDEX(lst_exp_item_cat,MATCH(E1597,lst_exp_items,0))),"❔ Без категории"))</f>
        <v/>
      </c>
      <c r="G1597" s="43" t="n"/>
      <c r="H1597" s="56" t="n"/>
      <c r="I1597" s="43" t="n"/>
      <c r="J1597" s="57">
        <f>IF(OR(A1597="",H1597=""),"",IF(COUNTIFS(exp_year,C1597,exp_month,D1597,exp_item,E1597,exp_status,"&lt;&gt;❌ Отменено")&gt;0,1,0))</f>
        <v/>
      </c>
    </row>
    <row r="1598">
      <c r="A1598" s="52" t="n"/>
      <c r="B1598" s="53">
        <f>IF(A1598="","",CHOOSE(WEEKDAY(A1598,2),"Пн","Вт","Ср","Чт","Пт","Сб","Вс"))</f>
        <v/>
      </c>
      <c r="C1598" s="53">
        <f>IF(A1598="","",YEAR(A1598))</f>
        <v/>
      </c>
      <c r="D1598" s="54">
        <f>IF(A1598="","",INDEX(lst_months,MONTH(A1598)))</f>
        <v/>
      </c>
      <c r="E1598" s="55" t="n"/>
      <c r="F1598" s="54">
        <f>IF(E1598="","",IFERROR(IF(INDEX(lst_exp_item_cat,MATCH(E1598,lst_exp_items,0))="","❔ Без категории",INDEX(lst_exp_item_cat,MATCH(E1598,lst_exp_items,0))),"❔ Без категории"))</f>
        <v/>
      </c>
      <c r="G1598" s="43" t="n"/>
      <c r="H1598" s="56" t="n"/>
      <c r="I1598" s="43" t="n"/>
      <c r="J1598" s="57">
        <f>IF(OR(A1598="",H1598=""),"",IF(COUNTIFS(exp_year,C1598,exp_month,D1598,exp_item,E1598,exp_status,"&lt;&gt;❌ Отменено")&gt;0,1,0))</f>
        <v/>
      </c>
    </row>
    <row r="1599">
      <c r="A1599" s="52" t="n"/>
      <c r="B1599" s="53">
        <f>IF(A1599="","",CHOOSE(WEEKDAY(A1599,2),"Пн","Вт","Ср","Чт","Пт","Сб","Вс"))</f>
        <v/>
      </c>
      <c r="C1599" s="53">
        <f>IF(A1599="","",YEAR(A1599))</f>
        <v/>
      </c>
      <c r="D1599" s="54">
        <f>IF(A1599="","",INDEX(lst_months,MONTH(A1599)))</f>
        <v/>
      </c>
      <c r="E1599" s="55" t="n"/>
      <c r="F1599" s="54">
        <f>IF(E1599="","",IFERROR(IF(INDEX(lst_exp_item_cat,MATCH(E1599,lst_exp_items,0))="","❔ Без категории",INDEX(lst_exp_item_cat,MATCH(E1599,lst_exp_items,0))),"❔ Без категории"))</f>
        <v/>
      </c>
      <c r="G1599" s="43" t="n"/>
      <c r="H1599" s="56" t="n"/>
      <c r="I1599" s="43" t="n"/>
      <c r="J1599" s="57">
        <f>IF(OR(A1599="",H1599=""),"",IF(COUNTIFS(exp_year,C1599,exp_month,D1599,exp_item,E1599,exp_status,"&lt;&gt;❌ Отменено")&gt;0,1,0))</f>
        <v/>
      </c>
    </row>
    <row r="1600">
      <c r="A1600" s="52" t="n"/>
      <c r="B1600" s="53">
        <f>IF(A1600="","",CHOOSE(WEEKDAY(A1600,2),"Пн","Вт","Ср","Чт","Пт","Сб","Вс"))</f>
        <v/>
      </c>
      <c r="C1600" s="53">
        <f>IF(A1600="","",YEAR(A1600))</f>
        <v/>
      </c>
      <c r="D1600" s="54">
        <f>IF(A1600="","",INDEX(lst_months,MONTH(A1600)))</f>
        <v/>
      </c>
      <c r="E1600" s="55" t="n"/>
      <c r="F1600" s="54">
        <f>IF(E1600="","",IFERROR(IF(INDEX(lst_exp_item_cat,MATCH(E1600,lst_exp_items,0))="","❔ Без категории",INDEX(lst_exp_item_cat,MATCH(E1600,lst_exp_items,0))),"❔ Без категории"))</f>
        <v/>
      </c>
      <c r="G1600" s="43" t="n"/>
      <c r="H1600" s="56" t="n"/>
      <c r="I1600" s="43" t="n"/>
      <c r="J1600" s="57">
        <f>IF(OR(A1600="",H1600=""),"",IF(COUNTIFS(exp_year,C1600,exp_month,D1600,exp_item,E1600,exp_status,"&lt;&gt;❌ Отменено")&gt;0,1,0))</f>
        <v/>
      </c>
    </row>
    <row r="1601">
      <c r="A1601" s="52" t="n"/>
      <c r="B1601" s="53">
        <f>IF(A1601="","",CHOOSE(WEEKDAY(A1601,2),"Пн","Вт","Ср","Чт","Пт","Сб","Вс"))</f>
        <v/>
      </c>
      <c r="C1601" s="53">
        <f>IF(A1601="","",YEAR(A1601))</f>
        <v/>
      </c>
      <c r="D1601" s="54">
        <f>IF(A1601="","",INDEX(lst_months,MONTH(A1601)))</f>
        <v/>
      </c>
      <c r="E1601" s="55" t="n"/>
      <c r="F1601" s="54">
        <f>IF(E1601="","",IFERROR(IF(INDEX(lst_exp_item_cat,MATCH(E1601,lst_exp_items,0))="","❔ Без категории",INDEX(lst_exp_item_cat,MATCH(E1601,lst_exp_items,0))),"❔ Без категории"))</f>
        <v/>
      </c>
      <c r="G1601" s="43" t="n"/>
      <c r="H1601" s="56" t="n"/>
      <c r="I1601" s="43" t="n"/>
      <c r="J1601" s="57">
        <f>IF(OR(A1601="",H1601=""),"",IF(COUNTIFS(exp_year,C1601,exp_month,D1601,exp_item,E1601,exp_status,"&lt;&gt;❌ Отменено")&gt;0,1,0))</f>
        <v/>
      </c>
    </row>
    <row r="1602">
      <c r="A1602" s="52" t="n"/>
      <c r="B1602" s="53">
        <f>IF(A1602="","",CHOOSE(WEEKDAY(A1602,2),"Пн","Вт","Ср","Чт","Пт","Сб","Вс"))</f>
        <v/>
      </c>
      <c r="C1602" s="53">
        <f>IF(A1602="","",YEAR(A1602))</f>
        <v/>
      </c>
      <c r="D1602" s="54">
        <f>IF(A1602="","",INDEX(lst_months,MONTH(A1602)))</f>
        <v/>
      </c>
      <c r="E1602" s="55" t="n"/>
      <c r="F1602" s="54">
        <f>IF(E1602="","",IFERROR(IF(INDEX(lst_exp_item_cat,MATCH(E1602,lst_exp_items,0))="","❔ Без категории",INDEX(lst_exp_item_cat,MATCH(E1602,lst_exp_items,0))),"❔ Без категории"))</f>
        <v/>
      </c>
      <c r="G1602" s="43" t="n"/>
      <c r="H1602" s="56" t="n"/>
      <c r="I1602" s="43" t="n"/>
      <c r="J1602" s="57">
        <f>IF(OR(A1602="",H1602=""),"",IF(COUNTIFS(exp_year,C1602,exp_month,D1602,exp_item,E1602,exp_status,"&lt;&gt;❌ Отменено")&gt;0,1,0))</f>
        <v/>
      </c>
    </row>
    <row r="1603">
      <c r="A1603" s="52" t="n"/>
      <c r="B1603" s="53">
        <f>IF(A1603="","",CHOOSE(WEEKDAY(A1603,2),"Пн","Вт","Ср","Чт","Пт","Сб","Вс"))</f>
        <v/>
      </c>
      <c r="C1603" s="53">
        <f>IF(A1603="","",YEAR(A1603))</f>
        <v/>
      </c>
      <c r="D1603" s="54">
        <f>IF(A1603="","",INDEX(lst_months,MONTH(A1603)))</f>
        <v/>
      </c>
      <c r="E1603" s="55" t="n"/>
      <c r="F1603" s="54">
        <f>IF(E1603="","",IFERROR(IF(INDEX(lst_exp_item_cat,MATCH(E1603,lst_exp_items,0))="","❔ Без категории",INDEX(lst_exp_item_cat,MATCH(E1603,lst_exp_items,0))),"❔ Без категории"))</f>
        <v/>
      </c>
      <c r="G1603" s="43" t="n"/>
      <c r="H1603" s="56" t="n"/>
      <c r="I1603" s="43" t="n"/>
      <c r="J1603" s="57">
        <f>IF(OR(A1603="",H1603=""),"",IF(COUNTIFS(exp_year,C1603,exp_month,D1603,exp_item,E1603,exp_status,"&lt;&gt;❌ Отменено")&gt;0,1,0))</f>
        <v/>
      </c>
    </row>
    <row r="1604">
      <c r="A1604" s="52" t="n"/>
      <c r="B1604" s="53">
        <f>IF(A1604="","",CHOOSE(WEEKDAY(A1604,2),"Пн","Вт","Ср","Чт","Пт","Сб","Вс"))</f>
        <v/>
      </c>
      <c r="C1604" s="53">
        <f>IF(A1604="","",YEAR(A1604))</f>
        <v/>
      </c>
      <c r="D1604" s="54">
        <f>IF(A1604="","",INDEX(lst_months,MONTH(A1604)))</f>
        <v/>
      </c>
      <c r="E1604" s="55" t="n"/>
      <c r="F1604" s="54">
        <f>IF(E1604="","",IFERROR(IF(INDEX(lst_exp_item_cat,MATCH(E1604,lst_exp_items,0))="","❔ Без категории",INDEX(lst_exp_item_cat,MATCH(E1604,lst_exp_items,0))),"❔ Без категории"))</f>
        <v/>
      </c>
      <c r="G1604" s="43" t="n"/>
      <c r="H1604" s="56" t="n"/>
      <c r="I1604" s="43" t="n"/>
      <c r="J1604" s="57">
        <f>IF(OR(A1604="",H1604=""),"",IF(COUNTIFS(exp_year,C1604,exp_month,D1604,exp_item,E1604,exp_status,"&lt;&gt;❌ Отменено")&gt;0,1,0))</f>
        <v/>
      </c>
    </row>
    <row r="1605">
      <c r="A1605" s="52" t="n"/>
      <c r="B1605" s="53">
        <f>IF(A1605="","",CHOOSE(WEEKDAY(A1605,2),"Пн","Вт","Ср","Чт","Пт","Сб","Вс"))</f>
        <v/>
      </c>
      <c r="C1605" s="53">
        <f>IF(A1605="","",YEAR(A1605))</f>
        <v/>
      </c>
      <c r="D1605" s="54">
        <f>IF(A1605="","",INDEX(lst_months,MONTH(A1605)))</f>
        <v/>
      </c>
      <c r="E1605" s="55" t="n"/>
      <c r="F1605" s="54">
        <f>IF(E1605="","",IFERROR(IF(INDEX(lst_exp_item_cat,MATCH(E1605,lst_exp_items,0))="","❔ Без категории",INDEX(lst_exp_item_cat,MATCH(E1605,lst_exp_items,0))),"❔ Без категории"))</f>
        <v/>
      </c>
      <c r="G1605" s="43" t="n"/>
      <c r="H1605" s="56" t="n"/>
      <c r="I1605" s="43" t="n"/>
      <c r="J1605" s="57">
        <f>IF(OR(A1605="",H1605=""),"",IF(COUNTIFS(exp_year,C1605,exp_month,D1605,exp_item,E1605,exp_status,"&lt;&gt;❌ Отменено")&gt;0,1,0))</f>
        <v/>
      </c>
    </row>
    <row r="1606">
      <c r="A1606" s="52" t="n"/>
      <c r="B1606" s="53">
        <f>IF(A1606="","",CHOOSE(WEEKDAY(A1606,2),"Пн","Вт","Ср","Чт","Пт","Сб","Вс"))</f>
        <v/>
      </c>
      <c r="C1606" s="53">
        <f>IF(A1606="","",YEAR(A1606))</f>
        <v/>
      </c>
      <c r="D1606" s="54">
        <f>IF(A1606="","",INDEX(lst_months,MONTH(A1606)))</f>
        <v/>
      </c>
      <c r="E1606" s="55" t="n"/>
      <c r="F1606" s="54">
        <f>IF(E1606="","",IFERROR(IF(INDEX(lst_exp_item_cat,MATCH(E1606,lst_exp_items,0))="","❔ Без категории",INDEX(lst_exp_item_cat,MATCH(E1606,lst_exp_items,0))),"❔ Без категории"))</f>
        <v/>
      </c>
      <c r="G1606" s="43" t="n"/>
      <c r="H1606" s="56" t="n"/>
      <c r="I1606" s="43" t="n"/>
      <c r="J1606" s="57">
        <f>IF(OR(A1606="",H1606=""),"",IF(COUNTIFS(exp_year,C1606,exp_month,D1606,exp_item,E1606,exp_status,"&lt;&gt;❌ Отменено")&gt;0,1,0))</f>
        <v/>
      </c>
    </row>
    <row r="1607">
      <c r="A1607" s="52" t="n"/>
      <c r="B1607" s="53">
        <f>IF(A1607="","",CHOOSE(WEEKDAY(A1607,2),"Пн","Вт","Ср","Чт","Пт","Сб","Вс"))</f>
        <v/>
      </c>
      <c r="C1607" s="53">
        <f>IF(A1607="","",YEAR(A1607))</f>
        <v/>
      </c>
      <c r="D1607" s="54">
        <f>IF(A1607="","",INDEX(lst_months,MONTH(A1607)))</f>
        <v/>
      </c>
      <c r="E1607" s="55" t="n"/>
      <c r="F1607" s="54">
        <f>IF(E1607="","",IFERROR(IF(INDEX(lst_exp_item_cat,MATCH(E1607,lst_exp_items,0))="","❔ Без категории",INDEX(lst_exp_item_cat,MATCH(E1607,lst_exp_items,0))),"❔ Без категории"))</f>
        <v/>
      </c>
      <c r="G1607" s="43" t="n"/>
      <c r="H1607" s="56" t="n"/>
      <c r="I1607" s="43" t="n"/>
      <c r="J1607" s="57">
        <f>IF(OR(A1607="",H1607=""),"",IF(COUNTIFS(exp_year,C1607,exp_month,D1607,exp_item,E1607,exp_status,"&lt;&gt;❌ Отменено")&gt;0,1,0))</f>
        <v/>
      </c>
    </row>
    <row r="1608">
      <c r="A1608" s="52" t="n"/>
      <c r="B1608" s="53">
        <f>IF(A1608="","",CHOOSE(WEEKDAY(A1608,2),"Пн","Вт","Ср","Чт","Пт","Сб","Вс"))</f>
        <v/>
      </c>
      <c r="C1608" s="53">
        <f>IF(A1608="","",YEAR(A1608))</f>
        <v/>
      </c>
      <c r="D1608" s="54">
        <f>IF(A1608="","",INDEX(lst_months,MONTH(A1608)))</f>
        <v/>
      </c>
      <c r="E1608" s="55" t="n"/>
      <c r="F1608" s="54">
        <f>IF(E1608="","",IFERROR(IF(INDEX(lst_exp_item_cat,MATCH(E1608,lst_exp_items,0))="","❔ Без категории",INDEX(lst_exp_item_cat,MATCH(E1608,lst_exp_items,0))),"❔ Без категории"))</f>
        <v/>
      </c>
      <c r="G1608" s="43" t="n"/>
      <c r="H1608" s="56" t="n"/>
      <c r="I1608" s="43" t="n"/>
      <c r="J1608" s="57">
        <f>IF(OR(A1608="",H1608=""),"",IF(COUNTIFS(exp_year,C1608,exp_month,D1608,exp_item,E1608,exp_status,"&lt;&gt;❌ Отменено")&gt;0,1,0))</f>
        <v/>
      </c>
    </row>
    <row r="1609">
      <c r="A1609" s="52" t="n"/>
      <c r="B1609" s="53">
        <f>IF(A1609="","",CHOOSE(WEEKDAY(A1609,2),"Пн","Вт","Ср","Чт","Пт","Сб","Вс"))</f>
        <v/>
      </c>
      <c r="C1609" s="53">
        <f>IF(A1609="","",YEAR(A1609))</f>
        <v/>
      </c>
      <c r="D1609" s="54">
        <f>IF(A1609="","",INDEX(lst_months,MONTH(A1609)))</f>
        <v/>
      </c>
      <c r="E1609" s="55" t="n"/>
      <c r="F1609" s="54">
        <f>IF(E1609="","",IFERROR(IF(INDEX(lst_exp_item_cat,MATCH(E1609,lst_exp_items,0))="","❔ Без категории",INDEX(lst_exp_item_cat,MATCH(E1609,lst_exp_items,0))),"❔ Без категории"))</f>
        <v/>
      </c>
      <c r="G1609" s="43" t="n"/>
      <c r="H1609" s="56" t="n"/>
      <c r="I1609" s="43" t="n"/>
      <c r="J1609" s="57">
        <f>IF(OR(A1609="",H1609=""),"",IF(COUNTIFS(exp_year,C1609,exp_month,D1609,exp_item,E1609,exp_status,"&lt;&gt;❌ Отменено")&gt;0,1,0))</f>
        <v/>
      </c>
    </row>
    <row r="1610">
      <c r="A1610" s="52" t="n"/>
      <c r="B1610" s="53">
        <f>IF(A1610="","",CHOOSE(WEEKDAY(A1610,2),"Пн","Вт","Ср","Чт","Пт","Сб","Вс"))</f>
        <v/>
      </c>
      <c r="C1610" s="53">
        <f>IF(A1610="","",YEAR(A1610))</f>
        <v/>
      </c>
      <c r="D1610" s="54">
        <f>IF(A1610="","",INDEX(lst_months,MONTH(A1610)))</f>
        <v/>
      </c>
      <c r="E1610" s="55" t="n"/>
      <c r="F1610" s="54">
        <f>IF(E1610="","",IFERROR(IF(INDEX(lst_exp_item_cat,MATCH(E1610,lst_exp_items,0))="","❔ Без категории",INDEX(lst_exp_item_cat,MATCH(E1610,lst_exp_items,0))),"❔ Без категории"))</f>
        <v/>
      </c>
      <c r="G1610" s="43" t="n"/>
      <c r="H1610" s="56" t="n"/>
      <c r="I1610" s="43" t="n"/>
      <c r="J1610" s="57">
        <f>IF(OR(A1610="",H1610=""),"",IF(COUNTIFS(exp_year,C1610,exp_month,D1610,exp_item,E1610,exp_status,"&lt;&gt;❌ Отменено")&gt;0,1,0))</f>
        <v/>
      </c>
    </row>
    <row r="1611">
      <c r="A1611" s="52" t="n"/>
      <c r="B1611" s="53">
        <f>IF(A1611="","",CHOOSE(WEEKDAY(A1611,2),"Пн","Вт","Ср","Чт","Пт","Сб","Вс"))</f>
        <v/>
      </c>
      <c r="C1611" s="53">
        <f>IF(A1611="","",YEAR(A1611))</f>
        <v/>
      </c>
      <c r="D1611" s="54">
        <f>IF(A1611="","",INDEX(lst_months,MONTH(A1611)))</f>
        <v/>
      </c>
      <c r="E1611" s="55" t="n"/>
      <c r="F1611" s="54">
        <f>IF(E1611="","",IFERROR(IF(INDEX(lst_exp_item_cat,MATCH(E1611,lst_exp_items,0))="","❔ Без категории",INDEX(lst_exp_item_cat,MATCH(E1611,lst_exp_items,0))),"❔ Без категории"))</f>
        <v/>
      </c>
      <c r="G1611" s="43" t="n"/>
      <c r="H1611" s="56" t="n"/>
      <c r="I1611" s="43" t="n"/>
      <c r="J1611" s="57">
        <f>IF(OR(A1611="",H1611=""),"",IF(COUNTIFS(exp_year,C1611,exp_month,D1611,exp_item,E1611,exp_status,"&lt;&gt;❌ Отменено")&gt;0,1,0))</f>
        <v/>
      </c>
    </row>
    <row r="1612">
      <c r="A1612" s="52" t="n"/>
      <c r="B1612" s="53">
        <f>IF(A1612="","",CHOOSE(WEEKDAY(A1612,2),"Пн","Вт","Ср","Чт","Пт","Сб","Вс"))</f>
        <v/>
      </c>
      <c r="C1612" s="53">
        <f>IF(A1612="","",YEAR(A1612))</f>
        <v/>
      </c>
      <c r="D1612" s="54">
        <f>IF(A1612="","",INDEX(lst_months,MONTH(A1612)))</f>
        <v/>
      </c>
      <c r="E1612" s="55" t="n"/>
      <c r="F1612" s="54">
        <f>IF(E1612="","",IFERROR(IF(INDEX(lst_exp_item_cat,MATCH(E1612,lst_exp_items,0))="","❔ Без категории",INDEX(lst_exp_item_cat,MATCH(E1612,lst_exp_items,0))),"❔ Без категории"))</f>
        <v/>
      </c>
      <c r="G1612" s="43" t="n"/>
      <c r="H1612" s="56" t="n"/>
      <c r="I1612" s="43" t="n"/>
      <c r="J1612" s="57">
        <f>IF(OR(A1612="",H1612=""),"",IF(COUNTIFS(exp_year,C1612,exp_month,D1612,exp_item,E1612,exp_status,"&lt;&gt;❌ Отменено")&gt;0,1,0))</f>
        <v/>
      </c>
    </row>
    <row r="1613">
      <c r="A1613" s="52" t="n"/>
      <c r="B1613" s="53">
        <f>IF(A1613="","",CHOOSE(WEEKDAY(A1613,2),"Пн","Вт","Ср","Чт","Пт","Сб","Вс"))</f>
        <v/>
      </c>
      <c r="C1613" s="53">
        <f>IF(A1613="","",YEAR(A1613))</f>
        <v/>
      </c>
      <c r="D1613" s="54">
        <f>IF(A1613="","",INDEX(lst_months,MONTH(A1613)))</f>
        <v/>
      </c>
      <c r="E1613" s="55" t="n"/>
      <c r="F1613" s="54">
        <f>IF(E1613="","",IFERROR(IF(INDEX(lst_exp_item_cat,MATCH(E1613,lst_exp_items,0))="","❔ Без категории",INDEX(lst_exp_item_cat,MATCH(E1613,lst_exp_items,0))),"❔ Без категории"))</f>
        <v/>
      </c>
      <c r="G1613" s="43" t="n"/>
      <c r="H1613" s="56" t="n"/>
      <c r="I1613" s="43" t="n"/>
      <c r="J1613" s="57">
        <f>IF(OR(A1613="",H1613=""),"",IF(COUNTIFS(exp_year,C1613,exp_month,D1613,exp_item,E1613,exp_status,"&lt;&gt;❌ Отменено")&gt;0,1,0))</f>
        <v/>
      </c>
    </row>
    <row r="1614">
      <c r="A1614" s="52" t="n"/>
      <c r="B1614" s="53">
        <f>IF(A1614="","",CHOOSE(WEEKDAY(A1614,2),"Пн","Вт","Ср","Чт","Пт","Сб","Вс"))</f>
        <v/>
      </c>
      <c r="C1614" s="53">
        <f>IF(A1614="","",YEAR(A1614))</f>
        <v/>
      </c>
      <c r="D1614" s="54">
        <f>IF(A1614="","",INDEX(lst_months,MONTH(A1614)))</f>
        <v/>
      </c>
      <c r="E1614" s="55" t="n"/>
      <c r="F1614" s="54">
        <f>IF(E1614="","",IFERROR(IF(INDEX(lst_exp_item_cat,MATCH(E1614,lst_exp_items,0))="","❔ Без категории",INDEX(lst_exp_item_cat,MATCH(E1614,lst_exp_items,0))),"❔ Без категории"))</f>
        <v/>
      </c>
      <c r="G1614" s="43" t="n"/>
      <c r="H1614" s="56" t="n"/>
      <c r="I1614" s="43" t="n"/>
      <c r="J1614" s="57">
        <f>IF(OR(A1614="",H1614=""),"",IF(COUNTIFS(exp_year,C1614,exp_month,D1614,exp_item,E1614,exp_status,"&lt;&gt;❌ Отменено")&gt;0,1,0))</f>
        <v/>
      </c>
    </row>
    <row r="1615">
      <c r="A1615" s="52" t="n"/>
      <c r="B1615" s="53">
        <f>IF(A1615="","",CHOOSE(WEEKDAY(A1615,2),"Пн","Вт","Ср","Чт","Пт","Сб","Вс"))</f>
        <v/>
      </c>
      <c r="C1615" s="53">
        <f>IF(A1615="","",YEAR(A1615))</f>
        <v/>
      </c>
      <c r="D1615" s="54">
        <f>IF(A1615="","",INDEX(lst_months,MONTH(A1615)))</f>
        <v/>
      </c>
      <c r="E1615" s="55" t="n"/>
      <c r="F1615" s="54">
        <f>IF(E1615="","",IFERROR(IF(INDEX(lst_exp_item_cat,MATCH(E1615,lst_exp_items,0))="","❔ Без категории",INDEX(lst_exp_item_cat,MATCH(E1615,lst_exp_items,0))),"❔ Без категории"))</f>
        <v/>
      </c>
      <c r="G1615" s="43" t="n"/>
      <c r="H1615" s="56" t="n"/>
      <c r="I1615" s="43" t="n"/>
      <c r="J1615" s="57">
        <f>IF(OR(A1615="",H1615=""),"",IF(COUNTIFS(exp_year,C1615,exp_month,D1615,exp_item,E1615,exp_status,"&lt;&gt;❌ Отменено")&gt;0,1,0))</f>
        <v/>
      </c>
    </row>
    <row r="1616">
      <c r="A1616" s="52" t="n"/>
      <c r="B1616" s="53">
        <f>IF(A1616="","",CHOOSE(WEEKDAY(A1616,2),"Пн","Вт","Ср","Чт","Пт","Сб","Вс"))</f>
        <v/>
      </c>
      <c r="C1616" s="53">
        <f>IF(A1616="","",YEAR(A1616))</f>
        <v/>
      </c>
      <c r="D1616" s="54">
        <f>IF(A1616="","",INDEX(lst_months,MONTH(A1616)))</f>
        <v/>
      </c>
      <c r="E1616" s="55" t="n"/>
      <c r="F1616" s="54">
        <f>IF(E1616="","",IFERROR(IF(INDEX(lst_exp_item_cat,MATCH(E1616,lst_exp_items,0))="","❔ Без категории",INDEX(lst_exp_item_cat,MATCH(E1616,lst_exp_items,0))),"❔ Без категории"))</f>
        <v/>
      </c>
      <c r="G1616" s="43" t="n"/>
      <c r="H1616" s="56" t="n"/>
      <c r="I1616" s="43" t="n"/>
      <c r="J1616" s="57">
        <f>IF(OR(A1616="",H1616=""),"",IF(COUNTIFS(exp_year,C1616,exp_month,D1616,exp_item,E1616,exp_status,"&lt;&gt;❌ Отменено")&gt;0,1,0))</f>
        <v/>
      </c>
    </row>
    <row r="1617">
      <c r="A1617" s="52" t="n"/>
      <c r="B1617" s="53">
        <f>IF(A1617="","",CHOOSE(WEEKDAY(A1617,2),"Пн","Вт","Ср","Чт","Пт","Сб","Вс"))</f>
        <v/>
      </c>
      <c r="C1617" s="53">
        <f>IF(A1617="","",YEAR(A1617))</f>
        <v/>
      </c>
      <c r="D1617" s="54">
        <f>IF(A1617="","",INDEX(lst_months,MONTH(A1617)))</f>
        <v/>
      </c>
      <c r="E1617" s="55" t="n"/>
      <c r="F1617" s="54">
        <f>IF(E1617="","",IFERROR(IF(INDEX(lst_exp_item_cat,MATCH(E1617,lst_exp_items,0))="","❔ Без категории",INDEX(lst_exp_item_cat,MATCH(E1617,lst_exp_items,0))),"❔ Без категории"))</f>
        <v/>
      </c>
      <c r="G1617" s="43" t="n"/>
      <c r="H1617" s="56" t="n"/>
      <c r="I1617" s="43" t="n"/>
      <c r="J1617" s="57">
        <f>IF(OR(A1617="",H1617=""),"",IF(COUNTIFS(exp_year,C1617,exp_month,D1617,exp_item,E1617,exp_status,"&lt;&gt;❌ Отменено")&gt;0,1,0))</f>
        <v/>
      </c>
    </row>
    <row r="1618">
      <c r="A1618" s="52" t="n"/>
      <c r="B1618" s="53">
        <f>IF(A1618="","",CHOOSE(WEEKDAY(A1618,2),"Пн","Вт","Ср","Чт","Пт","Сб","Вс"))</f>
        <v/>
      </c>
      <c r="C1618" s="53">
        <f>IF(A1618="","",YEAR(A1618))</f>
        <v/>
      </c>
      <c r="D1618" s="54">
        <f>IF(A1618="","",INDEX(lst_months,MONTH(A1618)))</f>
        <v/>
      </c>
      <c r="E1618" s="55" t="n"/>
      <c r="F1618" s="54">
        <f>IF(E1618="","",IFERROR(IF(INDEX(lst_exp_item_cat,MATCH(E1618,lst_exp_items,0))="","❔ Без категории",INDEX(lst_exp_item_cat,MATCH(E1618,lst_exp_items,0))),"❔ Без категории"))</f>
        <v/>
      </c>
      <c r="G1618" s="43" t="n"/>
      <c r="H1618" s="56" t="n"/>
      <c r="I1618" s="43" t="n"/>
      <c r="J1618" s="57">
        <f>IF(OR(A1618="",H1618=""),"",IF(COUNTIFS(exp_year,C1618,exp_month,D1618,exp_item,E1618,exp_status,"&lt;&gt;❌ Отменено")&gt;0,1,0))</f>
        <v/>
      </c>
    </row>
    <row r="1619">
      <c r="A1619" s="52" t="n"/>
      <c r="B1619" s="53">
        <f>IF(A1619="","",CHOOSE(WEEKDAY(A1619,2),"Пн","Вт","Ср","Чт","Пт","Сб","Вс"))</f>
        <v/>
      </c>
      <c r="C1619" s="53">
        <f>IF(A1619="","",YEAR(A1619))</f>
        <v/>
      </c>
      <c r="D1619" s="54">
        <f>IF(A1619="","",INDEX(lst_months,MONTH(A1619)))</f>
        <v/>
      </c>
      <c r="E1619" s="55" t="n"/>
      <c r="F1619" s="54">
        <f>IF(E1619="","",IFERROR(IF(INDEX(lst_exp_item_cat,MATCH(E1619,lst_exp_items,0))="","❔ Без категории",INDEX(lst_exp_item_cat,MATCH(E1619,lst_exp_items,0))),"❔ Без категории"))</f>
        <v/>
      </c>
      <c r="G1619" s="43" t="n"/>
      <c r="H1619" s="56" t="n"/>
      <c r="I1619" s="43" t="n"/>
      <c r="J1619" s="57">
        <f>IF(OR(A1619="",H1619=""),"",IF(COUNTIFS(exp_year,C1619,exp_month,D1619,exp_item,E1619,exp_status,"&lt;&gt;❌ Отменено")&gt;0,1,0))</f>
        <v/>
      </c>
    </row>
    <row r="1620">
      <c r="A1620" s="52" t="n"/>
      <c r="B1620" s="53">
        <f>IF(A1620="","",CHOOSE(WEEKDAY(A1620,2),"Пн","Вт","Ср","Чт","Пт","Сб","Вс"))</f>
        <v/>
      </c>
      <c r="C1620" s="53">
        <f>IF(A1620="","",YEAR(A1620))</f>
        <v/>
      </c>
      <c r="D1620" s="54">
        <f>IF(A1620="","",INDEX(lst_months,MONTH(A1620)))</f>
        <v/>
      </c>
      <c r="E1620" s="55" t="n"/>
      <c r="F1620" s="54">
        <f>IF(E1620="","",IFERROR(IF(INDEX(lst_exp_item_cat,MATCH(E1620,lst_exp_items,0))="","❔ Без категории",INDEX(lst_exp_item_cat,MATCH(E1620,lst_exp_items,0))),"❔ Без категории"))</f>
        <v/>
      </c>
      <c r="G1620" s="43" t="n"/>
      <c r="H1620" s="56" t="n"/>
      <c r="I1620" s="43" t="n"/>
      <c r="J1620" s="57">
        <f>IF(OR(A1620="",H1620=""),"",IF(COUNTIFS(exp_year,C1620,exp_month,D1620,exp_item,E1620,exp_status,"&lt;&gt;❌ Отменено")&gt;0,1,0))</f>
        <v/>
      </c>
    </row>
    <row r="1621">
      <c r="A1621" s="52" t="n"/>
      <c r="B1621" s="53">
        <f>IF(A1621="","",CHOOSE(WEEKDAY(A1621,2),"Пн","Вт","Ср","Чт","Пт","Сб","Вс"))</f>
        <v/>
      </c>
      <c r="C1621" s="53">
        <f>IF(A1621="","",YEAR(A1621))</f>
        <v/>
      </c>
      <c r="D1621" s="54">
        <f>IF(A1621="","",INDEX(lst_months,MONTH(A1621)))</f>
        <v/>
      </c>
      <c r="E1621" s="55" t="n"/>
      <c r="F1621" s="54">
        <f>IF(E1621="","",IFERROR(IF(INDEX(lst_exp_item_cat,MATCH(E1621,lst_exp_items,0))="","❔ Без категории",INDEX(lst_exp_item_cat,MATCH(E1621,lst_exp_items,0))),"❔ Без категории"))</f>
        <v/>
      </c>
      <c r="G1621" s="43" t="n"/>
      <c r="H1621" s="56" t="n"/>
      <c r="I1621" s="43" t="n"/>
      <c r="J1621" s="57">
        <f>IF(OR(A1621="",H1621=""),"",IF(COUNTIFS(exp_year,C1621,exp_month,D1621,exp_item,E1621,exp_status,"&lt;&gt;❌ Отменено")&gt;0,1,0))</f>
        <v/>
      </c>
    </row>
    <row r="1622">
      <c r="A1622" s="52" t="n"/>
      <c r="B1622" s="53">
        <f>IF(A1622="","",CHOOSE(WEEKDAY(A1622,2),"Пн","Вт","Ср","Чт","Пт","Сб","Вс"))</f>
        <v/>
      </c>
      <c r="C1622" s="53">
        <f>IF(A1622="","",YEAR(A1622))</f>
        <v/>
      </c>
      <c r="D1622" s="54">
        <f>IF(A1622="","",INDEX(lst_months,MONTH(A1622)))</f>
        <v/>
      </c>
      <c r="E1622" s="55" t="n"/>
      <c r="F1622" s="54">
        <f>IF(E1622="","",IFERROR(IF(INDEX(lst_exp_item_cat,MATCH(E1622,lst_exp_items,0))="","❔ Без категории",INDEX(lst_exp_item_cat,MATCH(E1622,lst_exp_items,0))),"❔ Без категории"))</f>
        <v/>
      </c>
      <c r="G1622" s="43" t="n"/>
      <c r="H1622" s="56" t="n"/>
      <c r="I1622" s="43" t="n"/>
      <c r="J1622" s="57">
        <f>IF(OR(A1622="",H1622=""),"",IF(COUNTIFS(exp_year,C1622,exp_month,D1622,exp_item,E1622,exp_status,"&lt;&gt;❌ Отменено")&gt;0,1,0))</f>
        <v/>
      </c>
    </row>
    <row r="1623">
      <c r="A1623" s="52" t="n"/>
      <c r="B1623" s="53">
        <f>IF(A1623="","",CHOOSE(WEEKDAY(A1623,2),"Пн","Вт","Ср","Чт","Пт","Сб","Вс"))</f>
        <v/>
      </c>
      <c r="C1623" s="53">
        <f>IF(A1623="","",YEAR(A1623))</f>
        <v/>
      </c>
      <c r="D1623" s="54">
        <f>IF(A1623="","",INDEX(lst_months,MONTH(A1623)))</f>
        <v/>
      </c>
      <c r="E1623" s="55" t="n"/>
      <c r="F1623" s="54">
        <f>IF(E1623="","",IFERROR(IF(INDEX(lst_exp_item_cat,MATCH(E1623,lst_exp_items,0))="","❔ Без категории",INDEX(lst_exp_item_cat,MATCH(E1623,lst_exp_items,0))),"❔ Без категории"))</f>
        <v/>
      </c>
      <c r="G1623" s="43" t="n"/>
      <c r="H1623" s="56" t="n"/>
      <c r="I1623" s="43" t="n"/>
      <c r="J1623" s="57">
        <f>IF(OR(A1623="",H1623=""),"",IF(COUNTIFS(exp_year,C1623,exp_month,D1623,exp_item,E1623,exp_status,"&lt;&gt;❌ Отменено")&gt;0,1,0))</f>
        <v/>
      </c>
    </row>
    <row r="1624">
      <c r="A1624" s="52" t="n"/>
      <c r="B1624" s="53">
        <f>IF(A1624="","",CHOOSE(WEEKDAY(A1624,2),"Пн","Вт","Ср","Чт","Пт","Сб","Вс"))</f>
        <v/>
      </c>
      <c r="C1624" s="53">
        <f>IF(A1624="","",YEAR(A1624))</f>
        <v/>
      </c>
      <c r="D1624" s="54">
        <f>IF(A1624="","",INDEX(lst_months,MONTH(A1624)))</f>
        <v/>
      </c>
      <c r="E1624" s="55" t="n"/>
      <c r="F1624" s="54">
        <f>IF(E1624="","",IFERROR(IF(INDEX(lst_exp_item_cat,MATCH(E1624,lst_exp_items,0))="","❔ Без категории",INDEX(lst_exp_item_cat,MATCH(E1624,lst_exp_items,0))),"❔ Без категории"))</f>
        <v/>
      </c>
      <c r="G1624" s="43" t="n"/>
      <c r="H1624" s="56" t="n"/>
      <c r="I1624" s="43" t="n"/>
      <c r="J1624" s="57">
        <f>IF(OR(A1624="",H1624=""),"",IF(COUNTIFS(exp_year,C1624,exp_month,D1624,exp_item,E1624,exp_status,"&lt;&gt;❌ Отменено")&gt;0,1,0))</f>
        <v/>
      </c>
    </row>
    <row r="1625">
      <c r="A1625" s="52" t="n"/>
      <c r="B1625" s="53">
        <f>IF(A1625="","",CHOOSE(WEEKDAY(A1625,2),"Пн","Вт","Ср","Чт","Пт","Сб","Вс"))</f>
        <v/>
      </c>
      <c r="C1625" s="53">
        <f>IF(A1625="","",YEAR(A1625))</f>
        <v/>
      </c>
      <c r="D1625" s="54">
        <f>IF(A1625="","",INDEX(lst_months,MONTH(A1625)))</f>
        <v/>
      </c>
      <c r="E1625" s="55" t="n"/>
      <c r="F1625" s="54">
        <f>IF(E1625="","",IFERROR(IF(INDEX(lst_exp_item_cat,MATCH(E1625,lst_exp_items,0))="","❔ Без категории",INDEX(lst_exp_item_cat,MATCH(E1625,lst_exp_items,0))),"❔ Без категории"))</f>
        <v/>
      </c>
      <c r="G1625" s="43" t="n"/>
      <c r="H1625" s="56" t="n"/>
      <c r="I1625" s="43" t="n"/>
      <c r="J1625" s="57">
        <f>IF(OR(A1625="",H1625=""),"",IF(COUNTIFS(exp_year,C1625,exp_month,D1625,exp_item,E1625,exp_status,"&lt;&gt;❌ Отменено")&gt;0,1,0))</f>
        <v/>
      </c>
    </row>
    <row r="1626">
      <c r="A1626" s="52" t="n"/>
      <c r="B1626" s="53">
        <f>IF(A1626="","",CHOOSE(WEEKDAY(A1626,2),"Пн","Вт","Ср","Чт","Пт","Сб","Вс"))</f>
        <v/>
      </c>
      <c r="C1626" s="53">
        <f>IF(A1626="","",YEAR(A1626))</f>
        <v/>
      </c>
      <c r="D1626" s="54">
        <f>IF(A1626="","",INDEX(lst_months,MONTH(A1626)))</f>
        <v/>
      </c>
      <c r="E1626" s="55" t="n"/>
      <c r="F1626" s="54">
        <f>IF(E1626="","",IFERROR(IF(INDEX(lst_exp_item_cat,MATCH(E1626,lst_exp_items,0))="","❔ Без категории",INDEX(lst_exp_item_cat,MATCH(E1626,lst_exp_items,0))),"❔ Без категории"))</f>
        <v/>
      </c>
      <c r="G1626" s="43" t="n"/>
      <c r="H1626" s="56" t="n"/>
      <c r="I1626" s="43" t="n"/>
      <c r="J1626" s="57">
        <f>IF(OR(A1626="",H1626=""),"",IF(COUNTIFS(exp_year,C1626,exp_month,D1626,exp_item,E1626,exp_status,"&lt;&gt;❌ Отменено")&gt;0,1,0))</f>
        <v/>
      </c>
    </row>
    <row r="1627">
      <c r="A1627" s="52" t="n"/>
      <c r="B1627" s="53">
        <f>IF(A1627="","",CHOOSE(WEEKDAY(A1627,2),"Пн","Вт","Ср","Чт","Пт","Сб","Вс"))</f>
        <v/>
      </c>
      <c r="C1627" s="53">
        <f>IF(A1627="","",YEAR(A1627))</f>
        <v/>
      </c>
      <c r="D1627" s="54">
        <f>IF(A1627="","",INDEX(lst_months,MONTH(A1627)))</f>
        <v/>
      </c>
      <c r="E1627" s="55" t="n"/>
      <c r="F1627" s="54">
        <f>IF(E1627="","",IFERROR(IF(INDEX(lst_exp_item_cat,MATCH(E1627,lst_exp_items,0))="","❔ Без категории",INDEX(lst_exp_item_cat,MATCH(E1627,lst_exp_items,0))),"❔ Без категории"))</f>
        <v/>
      </c>
      <c r="G1627" s="43" t="n"/>
      <c r="H1627" s="56" t="n"/>
      <c r="I1627" s="43" t="n"/>
      <c r="J1627" s="57">
        <f>IF(OR(A1627="",H1627=""),"",IF(COUNTIFS(exp_year,C1627,exp_month,D1627,exp_item,E1627,exp_status,"&lt;&gt;❌ Отменено")&gt;0,1,0))</f>
        <v/>
      </c>
    </row>
    <row r="1628">
      <c r="A1628" s="52" t="n"/>
      <c r="B1628" s="53">
        <f>IF(A1628="","",CHOOSE(WEEKDAY(A1628,2),"Пн","Вт","Ср","Чт","Пт","Сб","Вс"))</f>
        <v/>
      </c>
      <c r="C1628" s="53">
        <f>IF(A1628="","",YEAR(A1628))</f>
        <v/>
      </c>
      <c r="D1628" s="54">
        <f>IF(A1628="","",INDEX(lst_months,MONTH(A1628)))</f>
        <v/>
      </c>
      <c r="E1628" s="55" t="n"/>
      <c r="F1628" s="54">
        <f>IF(E1628="","",IFERROR(IF(INDEX(lst_exp_item_cat,MATCH(E1628,lst_exp_items,0))="","❔ Без категории",INDEX(lst_exp_item_cat,MATCH(E1628,lst_exp_items,0))),"❔ Без категории"))</f>
        <v/>
      </c>
      <c r="G1628" s="43" t="n"/>
      <c r="H1628" s="56" t="n"/>
      <c r="I1628" s="43" t="n"/>
      <c r="J1628" s="57">
        <f>IF(OR(A1628="",H1628=""),"",IF(COUNTIFS(exp_year,C1628,exp_month,D1628,exp_item,E1628,exp_status,"&lt;&gt;❌ Отменено")&gt;0,1,0))</f>
        <v/>
      </c>
    </row>
    <row r="1629">
      <c r="A1629" s="52" t="n"/>
      <c r="B1629" s="53">
        <f>IF(A1629="","",CHOOSE(WEEKDAY(A1629,2),"Пн","Вт","Ср","Чт","Пт","Сб","Вс"))</f>
        <v/>
      </c>
      <c r="C1629" s="53">
        <f>IF(A1629="","",YEAR(A1629))</f>
        <v/>
      </c>
      <c r="D1629" s="54">
        <f>IF(A1629="","",INDEX(lst_months,MONTH(A1629)))</f>
        <v/>
      </c>
      <c r="E1629" s="55" t="n"/>
      <c r="F1629" s="54">
        <f>IF(E1629="","",IFERROR(IF(INDEX(lst_exp_item_cat,MATCH(E1629,lst_exp_items,0))="","❔ Без категории",INDEX(lst_exp_item_cat,MATCH(E1629,lst_exp_items,0))),"❔ Без категории"))</f>
        <v/>
      </c>
      <c r="G1629" s="43" t="n"/>
      <c r="H1629" s="56" t="n"/>
      <c r="I1629" s="43" t="n"/>
      <c r="J1629" s="57">
        <f>IF(OR(A1629="",H1629=""),"",IF(COUNTIFS(exp_year,C1629,exp_month,D1629,exp_item,E1629,exp_status,"&lt;&gt;❌ Отменено")&gt;0,1,0))</f>
        <v/>
      </c>
    </row>
    <row r="1630">
      <c r="A1630" s="52" t="n"/>
      <c r="B1630" s="53">
        <f>IF(A1630="","",CHOOSE(WEEKDAY(A1630,2),"Пн","Вт","Ср","Чт","Пт","Сб","Вс"))</f>
        <v/>
      </c>
      <c r="C1630" s="53">
        <f>IF(A1630="","",YEAR(A1630))</f>
        <v/>
      </c>
      <c r="D1630" s="54">
        <f>IF(A1630="","",INDEX(lst_months,MONTH(A1630)))</f>
        <v/>
      </c>
      <c r="E1630" s="55" t="n"/>
      <c r="F1630" s="54">
        <f>IF(E1630="","",IFERROR(IF(INDEX(lst_exp_item_cat,MATCH(E1630,lst_exp_items,0))="","❔ Без категории",INDEX(lst_exp_item_cat,MATCH(E1630,lst_exp_items,0))),"❔ Без категории"))</f>
        <v/>
      </c>
      <c r="G1630" s="43" t="n"/>
      <c r="H1630" s="56" t="n"/>
      <c r="I1630" s="43" t="n"/>
      <c r="J1630" s="57">
        <f>IF(OR(A1630="",H1630=""),"",IF(COUNTIFS(exp_year,C1630,exp_month,D1630,exp_item,E1630,exp_status,"&lt;&gt;❌ Отменено")&gt;0,1,0))</f>
        <v/>
      </c>
    </row>
    <row r="1631">
      <c r="A1631" s="52" t="n"/>
      <c r="B1631" s="53">
        <f>IF(A1631="","",CHOOSE(WEEKDAY(A1631,2),"Пн","Вт","Ср","Чт","Пт","Сб","Вс"))</f>
        <v/>
      </c>
      <c r="C1631" s="53">
        <f>IF(A1631="","",YEAR(A1631))</f>
        <v/>
      </c>
      <c r="D1631" s="54">
        <f>IF(A1631="","",INDEX(lst_months,MONTH(A1631)))</f>
        <v/>
      </c>
      <c r="E1631" s="55" t="n"/>
      <c r="F1631" s="54">
        <f>IF(E1631="","",IFERROR(IF(INDEX(lst_exp_item_cat,MATCH(E1631,lst_exp_items,0))="","❔ Без категории",INDEX(lst_exp_item_cat,MATCH(E1631,lst_exp_items,0))),"❔ Без категории"))</f>
        <v/>
      </c>
      <c r="G1631" s="43" t="n"/>
      <c r="H1631" s="56" t="n"/>
      <c r="I1631" s="43" t="n"/>
      <c r="J1631" s="57">
        <f>IF(OR(A1631="",H1631=""),"",IF(COUNTIFS(exp_year,C1631,exp_month,D1631,exp_item,E1631,exp_status,"&lt;&gt;❌ Отменено")&gt;0,1,0))</f>
        <v/>
      </c>
    </row>
    <row r="1632">
      <c r="A1632" s="52" t="n"/>
      <c r="B1632" s="53">
        <f>IF(A1632="","",CHOOSE(WEEKDAY(A1632,2),"Пн","Вт","Ср","Чт","Пт","Сб","Вс"))</f>
        <v/>
      </c>
      <c r="C1632" s="53">
        <f>IF(A1632="","",YEAR(A1632))</f>
        <v/>
      </c>
      <c r="D1632" s="54">
        <f>IF(A1632="","",INDEX(lst_months,MONTH(A1632)))</f>
        <v/>
      </c>
      <c r="E1632" s="55" t="n"/>
      <c r="F1632" s="54">
        <f>IF(E1632="","",IFERROR(IF(INDEX(lst_exp_item_cat,MATCH(E1632,lst_exp_items,0))="","❔ Без категории",INDEX(lst_exp_item_cat,MATCH(E1632,lst_exp_items,0))),"❔ Без категории"))</f>
        <v/>
      </c>
      <c r="G1632" s="43" t="n"/>
      <c r="H1632" s="56" t="n"/>
      <c r="I1632" s="43" t="n"/>
      <c r="J1632" s="57">
        <f>IF(OR(A1632="",H1632=""),"",IF(COUNTIFS(exp_year,C1632,exp_month,D1632,exp_item,E1632,exp_status,"&lt;&gt;❌ Отменено")&gt;0,1,0))</f>
        <v/>
      </c>
    </row>
    <row r="1633">
      <c r="A1633" s="52" t="n"/>
      <c r="B1633" s="53">
        <f>IF(A1633="","",CHOOSE(WEEKDAY(A1633,2),"Пн","Вт","Ср","Чт","Пт","Сб","Вс"))</f>
        <v/>
      </c>
      <c r="C1633" s="53">
        <f>IF(A1633="","",YEAR(A1633))</f>
        <v/>
      </c>
      <c r="D1633" s="54">
        <f>IF(A1633="","",INDEX(lst_months,MONTH(A1633)))</f>
        <v/>
      </c>
      <c r="E1633" s="55" t="n"/>
      <c r="F1633" s="54">
        <f>IF(E1633="","",IFERROR(IF(INDEX(lst_exp_item_cat,MATCH(E1633,lst_exp_items,0))="","❔ Без категории",INDEX(lst_exp_item_cat,MATCH(E1633,lst_exp_items,0))),"❔ Без категории"))</f>
        <v/>
      </c>
      <c r="G1633" s="43" t="n"/>
      <c r="H1633" s="56" t="n"/>
      <c r="I1633" s="43" t="n"/>
      <c r="J1633" s="57">
        <f>IF(OR(A1633="",H1633=""),"",IF(COUNTIFS(exp_year,C1633,exp_month,D1633,exp_item,E1633,exp_status,"&lt;&gt;❌ Отменено")&gt;0,1,0))</f>
        <v/>
      </c>
    </row>
    <row r="1634">
      <c r="A1634" s="52" t="n"/>
      <c r="B1634" s="53">
        <f>IF(A1634="","",CHOOSE(WEEKDAY(A1634,2),"Пн","Вт","Ср","Чт","Пт","Сб","Вс"))</f>
        <v/>
      </c>
      <c r="C1634" s="53">
        <f>IF(A1634="","",YEAR(A1634))</f>
        <v/>
      </c>
      <c r="D1634" s="54">
        <f>IF(A1634="","",INDEX(lst_months,MONTH(A1634)))</f>
        <v/>
      </c>
      <c r="E1634" s="55" t="n"/>
      <c r="F1634" s="54">
        <f>IF(E1634="","",IFERROR(IF(INDEX(lst_exp_item_cat,MATCH(E1634,lst_exp_items,0))="","❔ Без категории",INDEX(lst_exp_item_cat,MATCH(E1634,lst_exp_items,0))),"❔ Без категории"))</f>
        <v/>
      </c>
      <c r="G1634" s="43" t="n"/>
      <c r="H1634" s="56" t="n"/>
      <c r="I1634" s="43" t="n"/>
      <c r="J1634" s="57">
        <f>IF(OR(A1634="",H1634=""),"",IF(COUNTIFS(exp_year,C1634,exp_month,D1634,exp_item,E1634,exp_status,"&lt;&gt;❌ Отменено")&gt;0,1,0))</f>
        <v/>
      </c>
    </row>
    <row r="1635">
      <c r="A1635" s="52" t="n"/>
      <c r="B1635" s="53">
        <f>IF(A1635="","",CHOOSE(WEEKDAY(A1635,2),"Пн","Вт","Ср","Чт","Пт","Сб","Вс"))</f>
        <v/>
      </c>
      <c r="C1635" s="53">
        <f>IF(A1635="","",YEAR(A1635))</f>
        <v/>
      </c>
      <c r="D1635" s="54">
        <f>IF(A1635="","",INDEX(lst_months,MONTH(A1635)))</f>
        <v/>
      </c>
      <c r="E1635" s="55" t="n"/>
      <c r="F1635" s="54">
        <f>IF(E1635="","",IFERROR(IF(INDEX(lst_exp_item_cat,MATCH(E1635,lst_exp_items,0))="","❔ Без категории",INDEX(lst_exp_item_cat,MATCH(E1635,lst_exp_items,0))),"❔ Без категории"))</f>
        <v/>
      </c>
      <c r="G1635" s="43" t="n"/>
      <c r="H1635" s="56" t="n"/>
      <c r="I1635" s="43" t="n"/>
      <c r="J1635" s="57">
        <f>IF(OR(A1635="",H1635=""),"",IF(COUNTIFS(exp_year,C1635,exp_month,D1635,exp_item,E1635,exp_status,"&lt;&gt;❌ Отменено")&gt;0,1,0))</f>
        <v/>
      </c>
    </row>
    <row r="1636">
      <c r="A1636" s="52" t="n"/>
      <c r="B1636" s="53">
        <f>IF(A1636="","",CHOOSE(WEEKDAY(A1636,2),"Пн","Вт","Ср","Чт","Пт","Сб","Вс"))</f>
        <v/>
      </c>
      <c r="C1636" s="53">
        <f>IF(A1636="","",YEAR(A1636))</f>
        <v/>
      </c>
      <c r="D1636" s="54">
        <f>IF(A1636="","",INDEX(lst_months,MONTH(A1636)))</f>
        <v/>
      </c>
      <c r="E1636" s="55" t="n"/>
      <c r="F1636" s="54">
        <f>IF(E1636="","",IFERROR(IF(INDEX(lst_exp_item_cat,MATCH(E1636,lst_exp_items,0))="","❔ Без категории",INDEX(lst_exp_item_cat,MATCH(E1636,lst_exp_items,0))),"❔ Без категории"))</f>
        <v/>
      </c>
      <c r="G1636" s="43" t="n"/>
      <c r="H1636" s="56" t="n"/>
      <c r="I1636" s="43" t="n"/>
      <c r="J1636" s="57">
        <f>IF(OR(A1636="",H1636=""),"",IF(COUNTIFS(exp_year,C1636,exp_month,D1636,exp_item,E1636,exp_status,"&lt;&gt;❌ Отменено")&gt;0,1,0))</f>
        <v/>
      </c>
    </row>
    <row r="1637">
      <c r="A1637" s="52" t="n"/>
      <c r="B1637" s="53">
        <f>IF(A1637="","",CHOOSE(WEEKDAY(A1637,2),"Пн","Вт","Ср","Чт","Пт","Сб","Вс"))</f>
        <v/>
      </c>
      <c r="C1637" s="53">
        <f>IF(A1637="","",YEAR(A1637))</f>
        <v/>
      </c>
      <c r="D1637" s="54">
        <f>IF(A1637="","",INDEX(lst_months,MONTH(A1637)))</f>
        <v/>
      </c>
      <c r="E1637" s="55" t="n"/>
      <c r="F1637" s="54">
        <f>IF(E1637="","",IFERROR(IF(INDEX(lst_exp_item_cat,MATCH(E1637,lst_exp_items,0))="","❔ Без категории",INDEX(lst_exp_item_cat,MATCH(E1637,lst_exp_items,0))),"❔ Без категории"))</f>
        <v/>
      </c>
      <c r="G1637" s="43" t="n"/>
      <c r="H1637" s="56" t="n"/>
      <c r="I1637" s="43" t="n"/>
      <c r="J1637" s="57">
        <f>IF(OR(A1637="",H1637=""),"",IF(COUNTIFS(exp_year,C1637,exp_month,D1637,exp_item,E1637,exp_status,"&lt;&gt;❌ Отменено")&gt;0,1,0))</f>
        <v/>
      </c>
    </row>
    <row r="1638">
      <c r="A1638" s="52" t="n"/>
      <c r="B1638" s="53">
        <f>IF(A1638="","",CHOOSE(WEEKDAY(A1638,2),"Пн","Вт","Ср","Чт","Пт","Сб","Вс"))</f>
        <v/>
      </c>
      <c r="C1638" s="53">
        <f>IF(A1638="","",YEAR(A1638))</f>
        <v/>
      </c>
      <c r="D1638" s="54">
        <f>IF(A1638="","",INDEX(lst_months,MONTH(A1638)))</f>
        <v/>
      </c>
      <c r="E1638" s="55" t="n"/>
      <c r="F1638" s="54">
        <f>IF(E1638="","",IFERROR(IF(INDEX(lst_exp_item_cat,MATCH(E1638,lst_exp_items,0))="","❔ Без категории",INDEX(lst_exp_item_cat,MATCH(E1638,lst_exp_items,0))),"❔ Без категории"))</f>
        <v/>
      </c>
      <c r="G1638" s="43" t="n"/>
      <c r="H1638" s="56" t="n"/>
      <c r="I1638" s="43" t="n"/>
      <c r="J1638" s="57">
        <f>IF(OR(A1638="",H1638=""),"",IF(COUNTIFS(exp_year,C1638,exp_month,D1638,exp_item,E1638,exp_status,"&lt;&gt;❌ Отменено")&gt;0,1,0))</f>
        <v/>
      </c>
    </row>
    <row r="1639">
      <c r="A1639" s="52" t="n"/>
      <c r="B1639" s="53">
        <f>IF(A1639="","",CHOOSE(WEEKDAY(A1639,2),"Пн","Вт","Ср","Чт","Пт","Сб","Вс"))</f>
        <v/>
      </c>
      <c r="C1639" s="53">
        <f>IF(A1639="","",YEAR(A1639))</f>
        <v/>
      </c>
      <c r="D1639" s="54">
        <f>IF(A1639="","",INDEX(lst_months,MONTH(A1639)))</f>
        <v/>
      </c>
      <c r="E1639" s="55" t="n"/>
      <c r="F1639" s="54">
        <f>IF(E1639="","",IFERROR(IF(INDEX(lst_exp_item_cat,MATCH(E1639,lst_exp_items,0))="","❔ Без категории",INDEX(lst_exp_item_cat,MATCH(E1639,lst_exp_items,0))),"❔ Без категории"))</f>
        <v/>
      </c>
      <c r="G1639" s="43" t="n"/>
      <c r="H1639" s="56" t="n"/>
      <c r="I1639" s="43" t="n"/>
      <c r="J1639" s="57">
        <f>IF(OR(A1639="",H1639=""),"",IF(COUNTIFS(exp_year,C1639,exp_month,D1639,exp_item,E1639,exp_status,"&lt;&gt;❌ Отменено")&gt;0,1,0))</f>
        <v/>
      </c>
    </row>
    <row r="1640">
      <c r="A1640" s="52" t="n"/>
      <c r="B1640" s="53">
        <f>IF(A1640="","",CHOOSE(WEEKDAY(A1640,2),"Пн","Вт","Ср","Чт","Пт","Сб","Вс"))</f>
        <v/>
      </c>
      <c r="C1640" s="53">
        <f>IF(A1640="","",YEAR(A1640))</f>
        <v/>
      </c>
      <c r="D1640" s="54">
        <f>IF(A1640="","",INDEX(lst_months,MONTH(A1640)))</f>
        <v/>
      </c>
      <c r="E1640" s="55" t="n"/>
      <c r="F1640" s="54">
        <f>IF(E1640="","",IFERROR(IF(INDEX(lst_exp_item_cat,MATCH(E1640,lst_exp_items,0))="","❔ Без категории",INDEX(lst_exp_item_cat,MATCH(E1640,lst_exp_items,0))),"❔ Без категории"))</f>
        <v/>
      </c>
      <c r="G1640" s="43" t="n"/>
      <c r="H1640" s="56" t="n"/>
      <c r="I1640" s="43" t="n"/>
      <c r="J1640" s="57">
        <f>IF(OR(A1640="",H1640=""),"",IF(COUNTIFS(exp_year,C1640,exp_month,D1640,exp_item,E1640,exp_status,"&lt;&gt;❌ Отменено")&gt;0,1,0))</f>
        <v/>
      </c>
    </row>
    <row r="1641">
      <c r="A1641" s="52" t="n"/>
      <c r="B1641" s="53">
        <f>IF(A1641="","",CHOOSE(WEEKDAY(A1641,2),"Пн","Вт","Ср","Чт","Пт","Сб","Вс"))</f>
        <v/>
      </c>
      <c r="C1641" s="53">
        <f>IF(A1641="","",YEAR(A1641))</f>
        <v/>
      </c>
      <c r="D1641" s="54">
        <f>IF(A1641="","",INDEX(lst_months,MONTH(A1641)))</f>
        <v/>
      </c>
      <c r="E1641" s="55" t="n"/>
      <c r="F1641" s="54">
        <f>IF(E1641="","",IFERROR(IF(INDEX(lst_exp_item_cat,MATCH(E1641,lst_exp_items,0))="","❔ Без категории",INDEX(lst_exp_item_cat,MATCH(E1641,lst_exp_items,0))),"❔ Без категории"))</f>
        <v/>
      </c>
      <c r="G1641" s="43" t="n"/>
      <c r="H1641" s="56" t="n"/>
      <c r="I1641" s="43" t="n"/>
      <c r="J1641" s="57">
        <f>IF(OR(A1641="",H1641=""),"",IF(COUNTIFS(exp_year,C1641,exp_month,D1641,exp_item,E1641,exp_status,"&lt;&gt;❌ Отменено")&gt;0,1,0))</f>
        <v/>
      </c>
    </row>
    <row r="1642">
      <c r="A1642" s="52" t="n"/>
      <c r="B1642" s="53">
        <f>IF(A1642="","",CHOOSE(WEEKDAY(A1642,2),"Пн","Вт","Ср","Чт","Пт","Сб","Вс"))</f>
        <v/>
      </c>
      <c r="C1642" s="53">
        <f>IF(A1642="","",YEAR(A1642))</f>
        <v/>
      </c>
      <c r="D1642" s="54">
        <f>IF(A1642="","",INDEX(lst_months,MONTH(A1642)))</f>
        <v/>
      </c>
      <c r="E1642" s="55" t="n"/>
      <c r="F1642" s="54">
        <f>IF(E1642="","",IFERROR(IF(INDEX(lst_exp_item_cat,MATCH(E1642,lst_exp_items,0))="","❔ Без категории",INDEX(lst_exp_item_cat,MATCH(E1642,lst_exp_items,0))),"❔ Без категории"))</f>
        <v/>
      </c>
      <c r="G1642" s="43" t="n"/>
      <c r="H1642" s="56" t="n"/>
      <c r="I1642" s="43" t="n"/>
      <c r="J1642" s="57">
        <f>IF(OR(A1642="",H1642=""),"",IF(COUNTIFS(exp_year,C1642,exp_month,D1642,exp_item,E1642,exp_status,"&lt;&gt;❌ Отменено")&gt;0,1,0))</f>
        <v/>
      </c>
    </row>
    <row r="1643">
      <c r="A1643" s="52" t="n"/>
      <c r="B1643" s="53">
        <f>IF(A1643="","",CHOOSE(WEEKDAY(A1643,2),"Пн","Вт","Ср","Чт","Пт","Сб","Вс"))</f>
        <v/>
      </c>
      <c r="C1643" s="53">
        <f>IF(A1643="","",YEAR(A1643))</f>
        <v/>
      </c>
      <c r="D1643" s="54">
        <f>IF(A1643="","",INDEX(lst_months,MONTH(A1643)))</f>
        <v/>
      </c>
      <c r="E1643" s="55" t="n"/>
      <c r="F1643" s="54">
        <f>IF(E1643="","",IFERROR(IF(INDEX(lst_exp_item_cat,MATCH(E1643,lst_exp_items,0))="","❔ Без категории",INDEX(lst_exp_item_cat,MATCH(E1643,lst_exp_items,0))),"❔ Без категории"))</f>
        <v/>
      </c>
      <c r="G1643" s="43" t="n"/>
      <c r="H1643" s="56" t="n"/>
      <c r="I1643" s="43" t="n"/>
      <c r="J1643" s="57">
        <f>IF(OR(A1643="",H1643=""),"",IF(COUNTIFS(exp_year,C1643,exp_month,D1643,exp_item,E1643,exp_status,"&lt;&gt;❌ Отменено")&gt;0,1,0))</f>
        <v/>
      </c>
    </row>
    <row r="1644">
      <c r="A1644" s="52" t="n"/>
      <c r="B1644" s="53">
        <f>IF(A1644="","",CHOOSE(WEEKDAY(A1644,2),"Пн","Вт","Ср","Чт","Пт","Сб","Вс"))</f>
        <v/>
      </c>
      <c r="C1644" s="53">
        <f>IF(A1644="","",YEAR(A1644))</f>
        <v/>
      </c>
      <c r="D1644" s="54">
        <f>IF(A1644="","",INDEX(lst_months,MONTH(A1644)))</f>
        <v/>
      </c>
      <c r="E1644" s="55" t="n"/>
      <c r="F1644" s="54">
        <f>IF(E1644="","",IFERROR(IF(INDEX(lst_exp_item_cat,MATCH(E1644,lst_exp_items,0))="","❔ Без категории",INDEX(lst_exp_item_cat,MATCH(E1644,lst_exp_items,0))),"❔ Без категории"))</f>
        <v/>
      </c>
      <c r="G1644" s="43" t="n"/>
      <c r="H1644" s="56" t="n"/>
      <c r="I1644" s="43" t="n"/>
      <c r="J1644" s="57">
        <f>IF(OR(A1644="",H1644=""),"",IF(COUNTIFS(exp_year,C1644,exp_month,D1644,exp_item,E1644,exp_status,"&lt;&gt;❌ Отменено")&gt;0,1,0))</f>
        <v/>
      </c>
    </row>
    <row r="1645">
      <c r="A1645" s="52" t="n"/>
      <c r="B1645" s="53">
        <f>IF(A1645="","",CHOOSE(WEEKDAY(A1645,2),"Пн","Вт","Ср","Чт","Пт","Сб","Вс"))</f>
        <v/>
      </c>
      <c r="C1645" s="53">
        <f>IF(A1645="","",YEAR(A1645))</f>
        <v/>
      </c>
      <c r="D1645" s="54">
        <f>IF(A1645="","",INDEX(lst_months,MONTH(A1645)))</f>
        <v/>
      </c>
      <c r="E1645" s="55" t="n"/>
      <c r="F1645" s="54">
        <f>IF(E1645="","",IFERROR(IF(INDEX(lst_exp_item_cat,MATCH(E1645,lst_exp_items,0))="","❔ Без категории",INDEX(lst_exp_item_cat,MATCH(E1645,lst_exp_items,0))),"❔ Без категории"))</f>
        <v/>
      </c>
      <c r="G1645" s="43" t="n"/>
      <c r="H1645" s="56" t="n"/>
      <c r="I1645" s="43" t="n"/>
      <c r="J1645" s="57">
        <f>IF(OR(A1645="",H1645=""),"",IF(COUNTIFS(exp_year,C1645,exp_month,D1645,exp_item,E1645,exp_status,"&lt;&gt;❌ Отменено")&gt;0,1,0))</f>
        <v/>
      </c>
    </row>
    <row r="1646">
      <c r="A1646" s="52" t="n"/>
      <c r="B1646" s="53">
        <f>IF(A1646="","",CHOOSE(WEEKDAY(A1646,2),"Пн","Вт","Ср","Чт","Пт","Сб","Вс"))</f>
        <v/>
      </c>
      <c r="C1646" s="53">
        <f>IF(A1646="","",YEAR(A1646))</f>
        <v/>
      </c>
      <c r="D1646" s="54">
        <f>IF(A1646="","",INDEX(lst_months,MONTH(A1646)))</f>
        <v/>
      </c>
      <c r="E1646" s="55" t="n"/>
      <c r="F1646" s="54">
        <f>IF(E1646="","",IFERROR(IF(INDEX(lst_exp_item_cat,MATCH(E1646,lst_exp_items,0))="","❔ Без категории",INDEX(lst_exp_item_cat,MATCH(E1646,lst_exp_items,0))),"❔ Без категории"))</f>
        <v/>
      </c>
      <c r="G1646" s="43" t="n"/>
      <c r="H1646" s="56" t="n"/>
      <c r="I1646" s="43" t="n"/>
      <c r="J1646" s="57">
        <f>IF(OR(A1646="",H1646=""),"",IF(COUNTIFS(exp_year,C1646,exp_month,D1646,exp_item,E1646,exp_status,"&lt;&gt;❌ Отменено")&gt;0,1,0))</f>
        <v/>
      </c>
    </row>
    <row r="1647">
      <c r="A1647" s="52" t="n"/>
      <c r="B1647" s="53">
        <f>IF(A1647="","",CHOOSE(WEEKDAY(A1647,2),"Пн","Вт","Ср","Чт","Пт","Сб","Вс"))</f>
        <v/>
      </c>
      <c r="C1647" s="53">
        <f>IF(A1647="","",YEAR(A1647))</f>
        <v/>
      </c>
      <c r="D1647" s="54">
        <f>IF(A1647="","",INDEX(lst_months,MONTH(A1647)))</f>
        <v/>
      </c>
      <c r="E1647" s="55" t="n"/>
      <c r="F1647" s="54">
        <f>IF(E1647="","",IFERROR(IF(INDEX(lst_exp_item_cat,MATCH(E1647,lst_exp_items,0))="","❔ Без категории",INDEX(lst_exp_item_cat,MATCH(E1647,lst_exp_items,0))),"❔ Без категории"))</f>
        <v/>
      </c>
      <c r="G1647" s="43" t="n"/>
      <c r="H1647" s="56" t="n"/>
      <c r="I1647" s="43" t="n"/>
      <c r="J1647" s="57">
        <f>IF(OR(A1647="",H1647=""),"",IF(COUNTIFS(exp_year,C1647,exp_month,D1647,exp_item,E1647,exp_status,"&lt;&gt;❌ Отменено")&gt;0,1,0))</f>
        <v/>
      </c>
    </row>
    <row r="1648">
      <c r="A1648" s="52" t="n"/>
      <c r="B1648" s="53">
        <f>IF(A1648="","",CHOOSE(WEEKDAY(A1648,2),"Пн","Вт","Ср","Чт","Пт","Сб","Вс"))</f>
        <v/>
      </c>
      <c r="C1648" s="53">
        <f>IF(A1648="","",YEAR(A1648))</f>
        <v/>
      </c>
      <c r="D1648" s="54">
        <f>IF(A1648="","",INDEX(lst_months,MONTH(A1648)))</f>
        <v/>
      </c>
      <c r="E1648" s="55" t="n"/>
      <c r="F1648" s="54">
        <f>IF(E1648="","",IFERROR(IF(INDEX(lst_exp_item_cat,MATCH(E1648,lst_exp_items,0))="","❔ Без категории",INDEX(lst_exp_item_cat,MATCH(E1648,lst_exp_items,0))),"❔ Без категории"))</f>
        <v/>
      </c>
      <c r="G1648" s="43" t="n"/>
      <c r="H1648" s="56" t="n"/>
      <c r="I1648" s="43" t="n"/>
      <c r="J1648" s="57">
        <f>IF(OR(A1648="",H1648=""),"",IF(COUNTIFS(exp_year,C1648,exp_month,D1648,exp_item,E1648,exp_status,"&lt;&gt;❌ Отменено")&gt;0,1,0))</f>
        <v/>
      </c>
    </row>
    <row r="1649">
      <c r="A1649" s="52" t="n"/>
      <c r="B1649" s="53">
        <f>IF(A1649="","",CHOOSE(WEEKDAY(A1649,2),"Пн","Вт","Ср","Чт","Пт","Сб","Вс"))</f>
        <v/>
      </c>
      <c r="C1649" s="53">
        <f>IF(A1649="","",YEAR(A1649))</f>
        <v/>
      </c>
      <c r="D1649" s="54">
        <f>IF(A1649="","",INDEX(lst_months,MONTH(A1649)))</f>
        <v/>
      </c>
      <c r="E1649" s="55" t="n"/>
      <c r="F1649" s="54">
        <f>IF(E1649="","",IFERROR(IF(INDEX(lst_exp_item_cat,MATCH(E1649,lst_exp_items,0))="","❔ Без категории",INDEX(lst_exp_item_cat,MATCH(E1649,lst_exp_items,0))),"❔ Без категории"))</f>
        <v/>
      </c>
      <c r="G1649" s="43" t="n"/>
      <c r="H1649" s="56" t="n"/>
      <c r="I1649" s="43" t="n"/>
      <c r="J1649" s="57">
        <f>IF(OR(A1649="",H1649=""),"",IF(COUNTIFS(exp_year,C1649,exp_month,D1649,exp_item,E1649,exp_status,"&lt;&gt;❌ Отменено")&gt;0,1,0))</f>
        <v/>
      </c>
    </row>
    <row r="1650">
      <c r="A1650" s="52" t="n"/>
      <c r="B1650" s="53">
        <f>IF(A1650="","",CHOOSE(WEEKDAY(A1650,2),"Пн","Вт","Ср","Чт","Пт","Сб","Вс"))</f>
        <v/>
      </c>
      <c r="C1650" s="53">
        <f>IF(A1650="","",YEAR(A1650))</f>
        <v/>
      </c>
      <c r="D1650" s="54">
        <f>IF(A1650="","",INDEX(lst_months,MONTH(A1650)))</f>
        <v/>
      </c>
      <c r="E1650" s="55" t="n"/>
      <c r="F1650" s="54">
        <f>IF(E1650="","",IFERROR(IF(INDEX(lst_exp_item_cat,MATCH(E1650,lst_exp_items,0))="","❔ Без категории",INDEX(lst_exp_item_cat,MATCH(E1650,lst_exp_items,0))),"❔ Без категории"))</f>
        <v/>
      </c>
      <c r="G1650" s="43" t="n"/>
      <c r="H1650" s="56" t="n"/>
      <c r="I1650" s="43" t="n"/>
      <c r="J1650" s="57">
        <f>IF(OR(A1650="",H1650=""),"",IF(COUNTIFS(exp_year,C1650,exp_month,D1650,exp_item,E1650,exp_status,"&lt;&gt;❌ Отменено")&gt;0,1,0))</f>
        <v/>
      </c>
    </row>
    <row r="1651">
      <c r="A1651" s="52" t="n"/>
      <c r="B1651" s="53">
        <f>IF(A1651="","",CHOOSE(WEEKDAY(A1651,2),"Пн","Вт","Ср","Чт","Пт","Сб","Вс"))</f>
        <v/>
      </c>
      <c r="C1651" s="53">
        <f>IF(A1651="","",YEAR(A1651))</f>
        <v/>
      </c>
      <c r="D1651" s="54">
        <f>IF(A1651="","",INDEX(lst_months,MONTH(A1651)))</f>
        <v/>
      </c>
      <c r="E1651" s="55" t="n"/>
      <c r="F1651" s="54">
        <f>IF(E1651="","",IFERROR(IF(INDEX(lst_exp_item_cat,MATCH(E1651,lst_exp_items,0))="","❔ Без категории",INDEX(lst_exp_item_cat,MATCH(E1651,lst_exp_items,0))),"❔ Без категории"))</f>
        <v/>
      </c>
      <c r="G1651" s="43" t="n"/>
      <c r="H1651" s="56" t="n"/>
      <c r="I1651" s="43" t="n"/>
      <c r="J1651" s="57">
        <f>IF(OR(A1651="",H1651=""),"",IF(COUNTIFS(exp_year,C1651,exp_month,D1651,exp_item,E1651,exp_status,"&lt;&gt;❌ Отменено")&gt;0,1,0))</f>
        <v/>
      </c>
    </row>
    <row r="1652">
      <c r="A1652" s="52" t="n"/>
      <c r="B1652" s="53">
        <f>IF(A1652="","",CHOOSE(WEEKDAY(A1652,2),"Пн","Вт","Ср","Чт","Пт","Сб","Вс"))</f>
        <v/>
      </c>
      <c r="C1652" s="53">
        <f>IF(A1652="","",YEAR(A1652))</f>
        <v/>
      </c>
      <c r="D1652" s="54">
        <f>IF(A1652="","",INDEX(lst_months,MONTH(A1652)))</f>
        <v/>
      </c>
      <c r="E1652" s="55" t="n"/>
      <c r="F1652" s="54">
        <f>IF(E1652="","",IFERROR(IF(INDEX(lst_exp_item_cat,MATCH(E1652,lst_exp_items,0))="","❔ Без категории",INDEX(lst_exp_item_cat,MATCH(E1652,lst_exp_items,0))),"❔ Без категории"))</f>
        <v/>
      </c>
      <c r="G1652" s="43" t="n"/>
      <c r="H1652" s="56" t="n"/>
      <c r="I1652" s="43" t="n"/>
      <c r="J1652" s="57">
        <f>IF(OR(A1652="",H1652=""),"",IF(COUNTIFS(exp_year,C1652,exp_month,D1652,exp_item,E1652,exp_status,"&lt;&gt;❌ Отменено")&gt;0,1,0))</f>
        <v/>
      </c>
    </row>
    <row r="1653">
      <c r="A1653" s="52" t="n"/>
      <c r="B1653" s="53">
        <f>IF(A1653="","",CHOOSE(WEEKDAY(A1653,2),"Пн","Вт","Ср","Чт","Пт","Сб","Вс"))</f>
        <v/>
      </c>
      <c r="C1653" s="53">
        <f>IF(A1653="","",YEAR(A1653))</f>
        <v/>
      </c>
      <c r="D1653" s="54">
        <f>IF(A1653="","",INDEX(lst_months,MONTH(A1653)))</f>
        <v/>
      </c>
      <c r="E1653" s="55" t="n"/>
      <c r="F1653" s="54">
        <f>IF(E1653="","",IFERROR(IF(INDEX(lst_exp_item_cat,MATCH(E1653,lst_exp_items,0))="","❔ Без категории",INDEX(lst_exp_item_cat,MATCH(E1653,lst_exp_items,0))),"❔ Без категории"))</f>
        <v/>
      </c>
      <c r="G1653" s="43" t="n"/>
      <c r="H1653" s="56" t="n"/>
      <c r="I1653" s="43" t="n"/>
      <c r="J1653" s="57">
        <f>IF(OR(A1653="",H1653=""),"",IF(COUNTIFS(exp_year,C1653,exp_month,D1653,exp_item,E1653,exp_status,"&lt;&gt;❌ Отменено")&gt;0,1,0))</f>
        <v/>
      </c>
    </row>
    <row r="1654">
      <c r="A1654" s="52" t="n"/>
      <c r="B1654" s="53">
        <f>IF(A1654="","",CHOOSE(WEEKDAY(A1654,2),"Пн","Вт","Ср","Чт","Пт","Сб","Вс"))</f>
        <v/>
      </c>
      <c r="C1654" s="53">
        <f>IF(A1654="","",YEAR(A1654))</f>
        <v/>
      </c>
      <c r="D1654" s="54">
        <f>IF(A1654="","",INDEX(lst_months,MONTH(A1654)))</f>
        <v/>
      </c>
      <c r="E1654" s="55" t="n"/>
      <c r="F1654" s="54">
        <f>IF(E1654="","",IFERROR(IF(INDEX(lst_exp_item_cat,MATCH(E1654,lst_exp_items,0))="","❔ Без категории",INDEX(lst_exp_item_cat,MATCH(E1654,lst_exp_items,0))),"❔ Без категории"))</f>
        <v/>
      </c>
      <c r="G1654" s="43" t="n"/>
      <c r="H1654" s="56" t="n"/>
      <c r="I1654" s="43" t="n"/>
      <c r="J1654" s="57">
        <f>IF(OR(A1654="",H1654=""),"",IF(COUNTIFS(exp_year,C1654,exp_month,D1654,exp_item,E1654,exp_status,"&lt;&gt;❌ Отменено")&gt;0,1,0))</f>
        <v/>
      </c>
    </row>
    <row r="1655">
      <c r="A1655" s="52" t="n"/>
      <c r="B1655" s="53">
        <f>IF(A1655="","",CHOOSE(WEEKDAY(A1655,2),"Пн","Вт","Ср","Чт","Пт","Сб","Вс"))</f>
        <v/>
      </c>
      <c r="C1655" s="53">
        <f>IF(A1655="","",YEAR(A1655))</f>
        <v/>
      </c>
      <c r="D1655" s="54">
        <f>IF(A1655="","",INDEX(lst_months,MONTH(A1655)))</f>
        <v/>
      </c>
      <c r="E1655" s="55" t="n"/>
      <c r="F1655" s="54">
        <f>IF(E1655="","",IFERROR(IF(INDEX(lst_exp_item_cat,MATCH(E1655,lst_exp_items,0))="","❔ Без категории",INDEX(lst_exp_item_cat,MATCH(E1655,lst_exp_items,0))),"❔ Без категории"))</f>
        <v/>
      </c>
      <c r="G1655" s="43" t="n"/>
      <c r="H1655" s="56" t="n"/>
      <c r="I1655" s="43" t="n"/>
      <c r="J1655" s="57">
        <f>IF(OR(A1655="",H1655=""),"",IF(COUNTIFS(exp_year,C1655,exp_month,D1655,exp_item,E1655,exp_status,"&lt;&gt;❌ Отменено")&gt;0,1,0))</f>
        <v/>
      </c>
    </row>
    <row r="1656">
      <c r="A1656" s="52" t="n"/>
      <c r="B1656" s="53">
        <f>IF(A1656="","",CHOOSE(WEEKDAY(A1656,2),"Пн","Вт","Ср","Чт","Пт","Сб","Вс"))</f>
        <v/>
      </c>
      <c r="C1656" s="53">
        <f>IF(A1656="","",YEAR(A1656))</f>
        <v/>
      </c>
      <c r="D1656" s="54">
        <f>IF(A1656="","",INDEX(lst_months,MONTH(A1656)))</f>
        <v/>
      </c>
      <c r="E1656" s="55" t="n"/>
      <c r="F1656" s="54">
        <f>IF(E1656="","",IFERROR(IF(INDEX(lst_exp_item_cat,MATCH(E1656,lst_exp_items,0))="","❔ Без категории",INDEX(lst_exp_item_cat,MATCH(E1656,lst_exp_items,0))),"❔ Без категории"))</f>
        <v/>
      </c>
      <c r="G1656" s="43" t="n"/>
      <c r="H1656" s="56" t="n"/>
      <c r="I1656" s="43" t="n"/>
      <c r="J1656" s="57">
        <f>IF(OR(A1656="",H1656=""),"",IF(COUNTIFS(exp_year,C1656,exp_month,D1656,exp_item,E1656,exp_status,"&lt;&gt;❌ Отменено")&gt;0,1,0))</f>
        <v/>
      </c>
    </row>
    <row r="1657">
      <c r="A1657" s="52" t="n"/>
      <c r="B1657" s="53">
        <f>IF(A1657="","",CHOOSE(WEEKDAY(A1657,2),"Пн","Вт","Ср","Чт","Пт","Сб","Вс"))</f>
        <v/>
      </c>
      <c r="C1657" s="53">
        <f>IF(A1657="","",YEAR(A1657))</f>
        <v/>
      </c>
      <c r="D1657" s="54">
        <f>IF(A1657="","",INDEX(lst_months,MONTH(A1657)))</f>
        <v/>
      </c>
      <c r="E1657" s="55" t="n"/>
      <c r="F1657" s="54">
        <f>IF(E1657="","",IFERROR(IF(INDEX(lst_exp_item_cat,MATCH(E1657,lst_exp_items,0))="","❔ Без категории",INDEX(lst_exp_item_cat,MATCH(E1657,lst_exp_items,0))),"❔ Без категории"))</f>
        <v/>
      </c>
      <c r="G1657" s="43" t="n"/>
      <c r="H1657" s="56" t="n"/>
      <c r="I1657" s="43" t="n"/>
      <c r="J1657" s="57">
        <f>IF(OR(A1657="",H1657=""),"",IF(COUNTIFS(exp_year,C1657,exp_month,D1657,exp_item,E1657,exp_status,"&lt;&gt;❌ Отменено")&gt;0,1,0))</f>
        <v/>
      </c>
    </row>
    <row r="1658">
      <c r="A1658" s="52" t="n"/>
      <c r="B1658" s="53">
        <f>IF(A1658="","",CHOOSE(WEEKDAY(A1658,2),"Пн","Вт","Ср","Чт","Пт","Сб","Вс"))</f>
        <v/>
      </c>
      <c r="C1658" s="53">
        <f>IF(A1658="","",YEAR(A1658))</f>
        <v/>
      </c>
      <c r="D1658" s="54">
        <f>IF(A1658="","",INDEX(lst_months,MONTH(A1658)))</f>
        <v/>
      </c>
      <c r="E1658" s="55" t="n"/>
      <c r="F1658" s="54">
        <f>IF(E1658="","",IFERROR(IF(INDEX(lst_exp_item_cat,MATCH(E1658,lst_exp_items,0))="","❔ Без категории",INDEX(lst_exp_item_cat,MATCH(E1658,lst_exp_items,0))),"❔ Без категории"))</f>
        <v/>
      </c>
      <c r="G1658" s="43" t="n"/>
      <c r="H1658" s="56" t="n"/>
      <c r="I1658" s="43" t="n"/>
      <c r="J1658" s="57">
        <f>IF(OR(A1658="",H1658=""),"",IF(COUNTIFS(exp_year,C1658,exp_month,D1658,exp_item,E1658,exp_status,"&lt;&gt;❌ Отменено")&gt;0,1,0))</f>
        <v/>
      </c>
    </row>
    <row r="1659">
      <c r="A1659" s="52" t="n"/>
      <c r="B1659" s="53">
        <f>IF(A1659="","",CHOOSE(WEEKDAY(A1659,2),"Пн","Вт","Ср","Чт","Пт","Сб","Вс"))</f>
        <v/>
      </c>
      <c r="C1659" s="53">
        <f>IF(A1659="","",YEAR(A1659))</f>
        <v/>
      </c>
      <c r="D1659" s="54">
        <f>IF(A1659="","",INDEX(lst_months,MONTH(A1659)))</f>
        <v/>
      </c>
      <c r="E1659" s="55" t="n"/>
      <c r="F1659" s="54">
        <f>IF(E1659="","",IFERROR(IF(INDEX(lst_exp_item_cat,MATCH(E1659,lst_exp_items,0))="","❔ Без категории",INDEX(lst_exp_item_cat,MATCH(E1659,lst_exp_items,0))),"❔ Без категории"))</f>
        <v/>
      </c>
      <c r="G1659" s="43" t="n"/>
      <c r="H1659" s="56" t="n"/>
      <c r="I1659" s="43" t="n"/>
      <c r="J1659" s="57">
        <f>IF(OR(A1659="",H1659=""),"",IF(COUNTIFS(exp_year,C1659,exp_month,D1659,exp_item,E1659,exp_status,"&lt;&gt;❌ Отменено")&gt;0,1,0))</f>
        <v/>
      </c>
    </row>
    <row r="1660">
      <c r="A1660" s="52" t="n"/>
      <c r="B1660" s="53">
        <f>IF(A1660="","",CHOOSE(WEEKDAY(A1660,2),"Пн","Вт","Ср","Чт","Пт","Сб","Вс"))</f>
        <v/>
      </c>
      <c r="C1660" s="53">
        <f>IF(A1660="","",YEAR(A1660))</f>
        <v/>
      </c>
      <c r="D1660" s="54">
        <f>IF(A1660="","",INDEX(lst_months,MONTH(A1660)))</f>
        <v/>
      </c>
      <c r="E1660" s="55" t="n"/>
      <c r="F1660" s="54">
        <f>IF(E1660="","",IFERROR(IF(INDEX(lst_exp_item_cat,MATCH(E1660,lst_exp_items,0))="","❔ Без категории",INDEX(lst_exp_item_cat,MATCH(E1660,lst_exp_items,0))),"❔ Без категории"))</f>
        <v/>
      </c>
      <c r="G1660" s="43" t="n"/>
      <c r="H1660" s="56" t="n"/>
      <c r="I1660" s="43" t="n"/>
      <c r="J1660" s="57">
        <f>IF(OR(A1660="",H1660=""),"",IF(COUNTIFS(exp_year,C1660,exp_month,D1660,exp_item,E1660,exp_status,"&lt;&gt;❌ Отменено")&gt;0,1,0))</f>
        <v/>
      </c>
    </row>
    <row r="1661">
      <c r="A1661" s="52" t="n"/>
      <c r="B1661" s="53">
        <f>IF(A1661="","",CHOOSE(WEEKDAY(A1661,2),"Пн","Вт","Ср","Чт","Пт","Сб","Вс"))</f>
        <v/>
      </c>
      <c r="C1661" s="53">
        <f>IF(A1661="","",YEAR(A1661))</f>
        <v/>
      </c>
      <c r="D1661" s="54">
        <f>IF(A1661="","",INDEX(lst_months,MONTH(A1661)))</f>
        <v/>
      </c>
      <c r="E1661" s="55" t="n"/>
      <c r="F1661" s="54">
        <f>IF(E1661="","",IFERROR(IF(INDEX(lst_exp_item_cat,MATCH(E1661,lst_exp_items,0))="","❔ Без категории",INDEX(lst_exp_item_cat,MATCH(E1661,lst_exp_items,0))),"❔ Без категории"))</f>
        <v/>
      </c>
      <c r="G1661" s="43" t="n"/>
      <c r="H1661" s="56" t="n"/>
      <c r="I1661" s="43" t="n"/>
      <c r="J1661" s="57">
        <f>IF(OR(A1661="",H1661=""),"",IF(COUNTIFS(exp_year,C1661,exp_month,D1661,exp_item,E1661,exp_status,"&lt;&gt;❌ Отменено")&gt;0,1,0))</f>
        <v/>
      </c>
    </row>
    <row r="1662">
      <c r="A1662" s="52" t="n"/>
      <c r="B1662" s="53">
        <f>IF(A1662="","",CHOOSE(WEEKDAY(A1662,2),"Пн","Вт","Ср","Чт","Пт","Сб","Вс"))</f>
        <v/>
      </c>
      <c r="C1662" s="53">
        <f>IF(A1662="","",YEAR(A1662))</f>
        <v/>
      </c>
      <c r="D1662" s="54">
        <f>IF(A1662="","",INDEX(lst_months,MONTH(A1662)))</f>
        <v/>
      </c>
      <c r="E1662" s="55" t="n"/>
      <c r="F1662" s="54">
        <f>IF(E1662="","",IFERROR(IF(INDEX(lst_exp_item_cat,MATCH(E1662,lst_exp_items,0))="","❔ Без категории",INDEX(lst_exp_item_cat,MATCH(E1662,lst_exp_items,0))),"❔ Без категории"))</f>
        <v/>
      </c>
      <c r="G1662" s="43" t="n"/>
      <c r="H1662" s="56" t="n"/>
      <c r="I1662" s="43" t="n"/>
      <c r="J1662" s="57">
        <f>IF(OR(A1662="",H1662=""),"",IF(COUNTIFS(exp_year,C1662,exp_month,D1662,exp_item,E1662,exp_status,"&lt;&gt;❌ Отменено")&gt;0,1,0))</f>
        <v/>
      </c>
    </row>
    <row r="1663">
      <c r="A1663" s="52" t="n"/>
      <c r="B1663" s="53">
        <f>IF(A1663="","",CHOOSE(WEEKDAY(A1663,2),"Пн","Вт","Ср","Чт","Пт","Сб","Вс"))</f>
        <v/>
      </c>
      <c r="C1663" s="53">
        <f>IF(A1663="","",YEAR(A1663))</f>
        <v/>
      </c>
      <c r="D1663" s="54">
        <f>IF(A1663="","",INDEX(lst_months,MONTH(A1663)))</f>
        <v/>
      </c>
      <c r="E1663" s="55" t="n"/>
      <c r="F1663" s="54">
        <f>IF(E1663="","",IFERROR(IF(INDEX(lst_exp_item_cat,MATCH(E1663,lst_exp_items,0))="","❔ Без категории",INDEX(lst_exp_item_cat,MATCH(E1663,lst_exp_items,0))),"❔ Без категории"))</f>
        <v/>
      </c>
      <c r="G1663" s="43" t="n"/>
      <c r="H1663" s="56" t="n"/>
      <c r="I1663" s="43" t="n"/>
      <c r="J1663" s="57">
        <f>IF(OR(A1663="",H1663=""),"",IF(COUNTIFS(exp_year,C1663,exp_month,D1663,exp_item,E1663,exp_status,"&lt;&gt;❌ Отменено")&gt;0,1,0))</f>
        <v/>
      </c>
    </row>
    <row r="1664">
      <c r="A1664" s="52" t="n"/>
      <c r="B1664" s="53">
        <f>IF(A1664="","",CHOOSE(WEEKDAY(A1664,2),"Пн","Вт","Ср","Чт","Пт","Сб","Вс"))</f>
        <v/>
      </c>
      <c r="C1664" s="53">
        <f>IF(A1664="","",YEAR(A1664))</f>
        <v/>
      </c>
      <c r="D1664" s="54">
        <f>IF(A1664="","",INDEX(lst_months,MONTH(A1664)))</f>
        <v/>
      </c>
      <c r="E1664" s="55" t="n"/>
      <c r="F1664" s="54">
        <f>IF(E1664="","",IFERROR(IF(INDEX(lst_exp_item_cat,MATCH(E1664,lst_exp_items,0))="","❔ Без категории",INDEX(lst_exp_item_cat,MATCH(E1664,lst_exp_items,0))),"❔ Без категории"))</f>
        <v/>
      </c>
      <c r="G1664" s="43" t="n"/>
      <c r="H1664" s="56" t="n"/>
      <c r="I1664" s="43" t="n"/>
      <c r="J1664" s="57">
        <f>IF(OR(A1664="",H1664=""),"",IF(COUNTIFS(exp_year,C1664,exp_month,D1664,exp_item,E1664,exp_status,"&lt;&gt;❌ Отменено")&gt;0,1,0))</f>
        <v/>
      </c>
    </row>
    <row r="1665">
      <c r="A1665" s="52" t="n"/>
      <c r="B1665" s="53">
        <f>IF(A1665="","",CHOOSE(WEEKDAY(A1665,2),"Пн","Вт","Ср","Чт","Пт","Сб","Вс"))</f>
        <v/>
      </c>
      <c r="C1665" s="53">
        <f>IF(A1665="","",YEAR(A1665))</f>
        <v/>
      </c>
      <c r="D1665" s="54">
        <f>IF(A1665="","",INDEX(lst_months,MONTH(A1665)))</f>
        <v/>
      </c>
      <c r="E1665" s="55" t="n"/>
      <c r="F1665" s="54">
        <f>IF(E1665="","",IFERROR(IF(INDEX(lst_exp_item_cat,MATCH(E1665,lst_exp_items,0))="","❔ Без категории",INDEX(lst_exp_item_cat,MATCH(E1665,lst_exp_items,0))),"❔ Без категории"))</f>
        <v/>
      </c>
      <c r="G1665" s="43" t="n"/>
      <c r="H1665" s="56" t="n"/>
      <c r="I1665" s="43" t="n"/>
      <c r="J1665" s="57">
        <f>IF(OR(A1665="",H1665=""),"",IF(COUNTIFS(exp_year,C1665,exp_month,D1665,exp_item,E1665,exp_status,"&lt;&gt;❌ Отменено")&gt;0,1,0))</f>
        <v/>
      </c>
    </row>
    <row r="1666">
      <c r="A1666" s="52" t="n"/>
      <c r="B1666" s="53">
        <f>IF(A1666="","",CHOOSE(WEEKDAY(A1666,2),"Пн","Вт","Ср","Чт","Пт","Сб","Вс"))</f>
        <v/>
      </c>
      <c r="C1666" s="53">
        <f>IF(A1666="","",YEAR(A1666))</f>
        <v/>
      </c>
      <c r="D1666" s="54">
        <f>IF(A1666="","",INDEX(lst_months,MONTH(A1666)))</f>
        <v/>
      </c>
      <c r="E1666" s="55" t="n"/>
      <c r="F1666" s="54">
        <f>IF(E1666="","",IFERROR(IF(INDEX(lst_exp_item_cat,MATCH(E1666,lst_exp_items,0))="","❔ Без категории",INDEX(lst_exp_item_cat,MATCH(E1666,lst_exp_items,0))),"❔ Без категории"))</f>
        <v/>
      </c>
      <c r="G1666" s="43" t="n"/>
      <c r="H1666" s="56" t="n"/>
      <c r="I1666" s="43" t="n"/>
      <c r="J1666" s="57">
        <f>IF(OR(A1666="",H1666=""),"",IF(COUNTIFS(exp_year,C1666,exp_month,D1666,exp_item,E1666,exp_status,"&lt;&gt;❌ Отменено")&gt;0,1,0))</f>
        <v/>
      </c>
    </row>
    <row r="1667">
      <c r="A1667" s="52" t="n"/>
      <c r="B1667" s="53">
        <f>IF(A1667="","",CHOOSE(WEEKDAY(A1667,2),"Пн","Вт","Ср","Чт","Пт","Сб","Вс"))</f>
        <v/>
      </c>
      <c r="C1667" s="53">
        <f>IF(A1667="","",YEAR(A1667))</f>
        <v/>
      </c>
      <c r="D1667" s="54">
        <f>IF(A1667="","",INDEX(lst_months,MONTH(A1667)))</f>
        <v/>
      </c>
      <c r="E1667" s="55" t="n"/>
      <c r="F1667" s="54">
        <f>IF(E1667="","",IFERROR(IF(INDEX(lst_exp_item_cat,MATCH(E1667,lst_exp_items,0))="","❔ Без категории",INDEX(lst_exp_item_cat,MATCH(E1667,lst_exp_items,0))),"❔ Без категории"))</f>
        <v/>
      </c>
      <c r="G1667" s="43" t="n"/>
      <c r="H1667" s="56" t="n"/>
      <c r="I1667" s="43" t="n"/>
      <c r="J1667" s="57">
        <f>IF(OR(A1667="",H1667=""),"",IF(COUNTIFS(exp_year,C1667,exp_month,D1667,exp_item,E1667,exp_status,"&lt;&gt;❌ Отменено")&gt;0,1,0))</f>
        <v/>
      </c>
    </row>
    <row r="1668">
      <c r="A1668" s="52" t="n"/>
      <c r="B1668" s="53">
        <f>IF(A1668="","",CHOOSE(WEEKDAY(A1668,2),"Пн","Вт","Ср","Чт","Пт","Сб","Вс"))</f>
        <v/>
      </c>
      <c r="C1668" s="53">
        <f>IF(A1668="","",YEAR(A1668))</f>
        <v/>
      </c>
      <c r="D1668" s="54">
        <f>IF(A1668="","",INDEX(lst_months,MONTH(A1668)))</f>
        <v/>
      </c>
      <c r="E1668" s="55" t="n"/>
      <c r="F1668" s="54">
        <f>IF(E1668="","",IFERROR(IF(INDEX(lst_exp_item_cat,MATCH(E1668,lst_exp_items,0))="","❔ Без категории",INDEX(lst_exp_item_cat,MATCH(E1668,lst_exp_items,0))),"❔ Без категории"))</f>
        <v/>
      </c>
      <c r="G1668" s="43" t="n"/>
      <c r="H1668" s="56" t="n"/>
      <c r="I1668" s="43" t="n"/>
      <c r="J1668" s="57">
        <f>IF(OR(A1668="",H1668=""),"",IF(COUNTIFS(exp_year,C1668,exp_month,D1668,exp_item,E1668,exp_status,"&lt;&gt;❌ Отменено")&gt;0,1,0))</f>
        <v/>
      </c>
    </row>
    <row r="1669">
      <c r="A1669" s="52" t="n"/>
      <c r="B1669" s="53">
        <f>IF(A1669="","",CHOOSE(WEEKDAY(A1669,2),"Пн","Вт","Ср","Чт","Пт","Сб","Вс"))</f>
        <v/>
      </c>
      <c r="C1669" s="53">
        <f>IF(A1669="","",YEAR(A1669))</f>
        <v/>
      </c>
      <c r="D1669" s="54">
        <f>IF(A1669="","",INDEX(lst_months,MONTH(A1669)))</f>
        <v/>
      </c>
      <c r="E1669" s="55" t="n"/>
      <c r="F1669" s="54">
        <f>IF(E1669="","",IFERROR(IF(INDEX(lst_exp_item_cat,MATCH(E1669,lst_exp_items,0))="","❔ Без категории",INDEX(lst_exp_item_cat,MATCH(E1669,lst_exp_items,0))),"❔ Без категории"))</f>
        <v/>
      </c>
      <c r="G1669" s="43" t="n"/>
      <c r="H1669" s="56" t="n"/>
      <c r="I1669" s="43" t="n"/>
      <c r="J1669" s="57">
        <f>IF(OR(A1669="",H1669=""),"",IF(COUNTIFS(exp_year,C1669,exp_month,D1669,exp_item,E1669,exp_status,"&lt;&gt;❌ Отменено")&gt;0,1,0))</f>
        <v/>
      </c>
    </row>
    <row r="1670">
      <c r="A1670" s="52" t="n"/>
      <c r="B1670" s="53">
        <f>IF(A1670="","",CHOOSE(WEEKDAY(A1670,2),"Пн","Вт","Ср","Чт","Пт","Сб","Вс"))</f>
        <v/>
      </c>
      <c r="C1670" s="53">
        <f>IF(A1670="","",YEAR(A1670))</f>
        <v/>
      </c>
      <c r="D1670" s="54">
        <f>IF(A1670="","",INDEX(lst_months,MONTH(A1670)))</f>
        <v/>
      </c>
      <c r="E1670" s="55" t="n"/>
      <c r="F1670" s="54">
        <f>IF(E1670="","",IFERROR(IF(INDEX(lst_exp_item_cat,MATCH(E1670,lst_exp_items,0))="","❔ Без категории",INDEX(lst_exp_item_cat,MATCH(E1670,lst_exp_items,0))),"❔ Без категории"))</f>
        <v/>
      </c>
      <c r="G1670" s="43" t="n"/>
      <c r="H1670" s="56" t="n"/>
      <c r="I1670" s="43" t="n"/>
      <c r="J1670" s="57">
        <f>IF(OR(A1670="",H1670=""),"",IF(COUNTIFS(exp_year,C1670,exp_month,D1670,exp_item,E1670,exp_status,"&lt;&gt;❌ Отменено")&gt;0,1,0))</f>
        <v/>
      </c>
    </row>
    <row r="1671">
      <c r="A1671" s="52" t="n"/>
      <c r="B1671" s="53">
        <f>IF(A1671="","",CHOOSE(WEEKDAY(A1671,2),"Пн","Вт","Ср","Чт","Пт","Сб","Вс"))</f>
        <v/>
      </c>
      <c r="C1671" s="53">
        <f>IF(A1671="","",YEAR(A1671))</f>
        <v/>
      </c>
      <c r="D1671" s="54">
        <f>IF(A1671="","",INDEX(lst_months,MONTH(A1671)))</f>
        <v/>
      </c>
      <c r="E1671" s="55" t="n"/>
      <c r="F1671" s="54">
        <f>IF(E1671="","",IFERROR(IF(INDEX(lst_exp_item_cat,MATCH(E1671,lst_exp_items,0))="","❔ Без категории",INDEX(lst_exp_item_cat,MATCH(E1671,lst_exp_items,0))),"❔ Без категории"))</f>
        <v/>
      </c>
      <c r="G1671" s="43" t="n"/>
      <c r="H1671" s="56" t="n"/>
      <c r="I1671" s="43" t="n"/>
      <c r="J1671" s="57">
        <f>IF(OR(A1671="",H1671=""),"",IF(COUNTIFS(exp_year,C1671,exp_month,D1671,exp_item,E1671,exp_status,"&lt;&gt;❌ Отменено")&gt;0,1,0))</f>
        <v/>
      </c>
    </row>
    <row r="1672">
      <c r="A1672" s="52" t="n"/>
      <c r="B1672" s="53">
        <f>IF(A1672="","",CHOOSE(WEEKDAY(A1672,2),"Пн","Вт","Ср","Чт","Пт","Сб","Вс"))</f>
        <v/>
      </c>
      <c r="C1672" s="53">
        <f>IF(A1672="","",YEAR(A1672))</f>
        <v/>
      </c>
      <c r="D1672" s="54">
        <f>IF(A1672="","",INDEX(lst_months,MONTH(A1672)))</f>
        <v/>
      </c>
      <c r="E1672" s="55" t="n"/>
      <c r="F1672" s="54">
        <f>IF(E1672="","",IFERROR(IF(INDEX(lst_exp_item_cat,MATCH(E1672,lst_exp_items,0))="","❔ Без категории",INDEX(lst_exp_item_cat,MATCH(E1672,lst_exp_items,0))),"❔ Без категории"))</f>
        <v/>
      </c>
      <c r="G1672" s="43" t="n"/>
      <c r="H1672" s="56" t="n"/>
      <c r="I1672" s="43" t="n"/>
      <c r="J1672" s="57">
        <f>IF(OR(A1672="",H1672=""),"",IF(COUNTIFS(exp_year,C1672,exp_month,D1672,exp_item,E1672,exp_status,"&lt;&gt;❌ Отменено")&gt;0,1,0))</f>
        <v/>
      </c>
    </row>
    <row r="1673">
      <c r="A1673" s="52" t="n"/>
      <c r="B1673" s="53">
        <f>IF(A1673="","",CHOOSE(WEEKDAY(A1673,2),"Пн","Вт","Ср","Чт","Пт","Сб","Вс"))</f>
        <v/>
      </c>
      <c r="C1673" s="53">
        <f>IF(A1673="","",YEAR(A1673))</f>
        <v/>
      </c>
      <c r="D1673" s="54">
        <f>IF(A1673="","",INDEX(lst_months,MONTH(A1673)))</f>
        <v/>
      </c>
      <c r="E1673" s="55" t="n"/>
      <c r="F1673" s="54">
        <f>IF(E1673="","",IFERROR(IF(INDEX(lst_exp_item_cat,MATCH(E1673,lst_exp_items,0))="","❔ Без категории",INDEX(lst_exp_item_cat,MATCH(E1673,lst_exp_items,0))),"❔ Без категории"))</f>
        <v/>
      </c>
      <c r="G1673" s="43" t="n"/>
      <c r="H1673" s="56" t="n"/>
      <c r="I1673" s="43" t="n"/>
      <c r="J1673" s="57">
        <f>IF(OR(A1673="",H1673=""),"",IF(COUNTIFS(exp_year,C1673,exp_month,D1673,exp_item,E1673,exp_status,"&lt;&gt;❌ Отменено")&gt;0,1,0))</f>
        <v/>
      </c>
    </row>
    <row r="1674">
      <c r="A1674" s="52" t="n"/>
      <c r="B1674" s="53">
        <f>IF(A1674="","",CHOOSE(WEEKDAY(A1674,2),"Пн","Вт","Ср","Чт","Пт","Сб","Вс"))</f>
        <v/>
      </c>
      <c r="C1674" s="53">
        <f>IF(A1674="","",YEAR(A1674))</f>
        <v/>
      </c>
      <c r="D1674" s="54">
        <f>IF(A1674="","",INDEX(lst_months,MONTH(A1674)))</f>
        <v/>
      </c>
      <c r="E1674" s="55" t="n"/>
      <c r="F1674" s="54">
        <f>IF(E1674="","",IFERROR(IF(INDEX(lst_exp_item_cat,MATCH(E1674,lst_exp_items,0))="","❔ Без категории",INDEX(lst_exp_item_cat,MATCH(E1674,lst_exp_items,0))),"❔ Без категории"))</f>
        <v/>
      </c>
      <c r="G1674" s="43" t="n"/>
      <c r="H1674" s="56" t="n"/>
      <c r="I1674" s="43" t="n"/>
      <c r="J1674" s="57">
        <f>IF(OR(A1674="",H1674=""),"",IF(COUNTIFS(exp_year,C1674,exp_month,D1674,exp_item,E1674,exp_status,"&lt;&gt;❌ Отменено")&gt;0,1,0))</f>
        <v/>
      </c>
    </row>
    <row r="1675">
      <c r="A1675" s="52" t="n"/>
      <c r="B1675" s="53">
        <f>IF(A1675="","",CHOOSE(WEEKDAY(A1675,2),"Пн","Вт","Ср","Чт","Пт","Сб","Вс"))</f>
        <v/>
      </c>
      <c r="C1675" s="53">
        <f>IF(A1675="","",YEAR(A1675))</f>
        <v/>
      </c>
      <c r="D1675" s="54">
        <f>IF(A1675="","",INDEX(lst_months,MONTH(A1675)))</f>
        <v/>
      </c>
      <c r="E1675" s="55" t="n"/>
      <c r="F1675" s="54">
        <f>IF(E1675="","",IFERROR(IF(INDEX(lst_exp_item_cat,MATCH(E1675,lst_exp_items,0))="","❔ Без категории",INDEX(lst_exp_item_cat,MATCH(E1675,lst_exp_items,0))),"❔ Без категории"))</f>
        <v/>
      </c>
      <c r="G1675" s="43" t="n"/>
      <c r="H1675" s="56" t="n"/>
      <c r="I1675" s="43" t="n"/>
      <c r="J1675" s="57">
        <f>IF(OR(A1675="",H1675=""),"",IF(COUNTIFS(exp_year,C1675,exp_month,D1675,exp_item,E1675,exp_status,"&lt;&gt;❌ Отменено")&gt;0,1,0))</f>
        <v/>
      </c>
    </row>
    <row r="1676">
      <c r="A1676" s="52" t="n"/>
      <c r="B1676" s="53">
        <f>IF(A1676="","",CHOOSE(WEEKDAY(A1676,2),"Пн","Вт","Ср","Чт","Пт","Сб","Вс"))</f>
        <v/>
      </c>
      <c r="C1676" s="53">
        <f>IF(A1676="","",YEAR(A1676))</f>
        <v/>
      </c>
      <c r="D1676" s="54">
        <f>IF(A1676="","",INDEX(lst_months,MONTH(A1676)))</f>
        <v/>
      </c>
      <c r="E1676" s="55" t="n"/>
      <c r="F1676" s="54">
        <f>IF(E1676="","",IFERROR(IF(INDEX(lst_exp_item_cat,MATCH(E1676,lst_exp_items,0))="","❔ Без категории",INDEX(lst_exp_item_cat,MATCH(E1676,lst_exp_items,0))),"❔ Без категории"))</f>
        <v/>
      </c>
      <c r="G1676" s="43" t="n"/>
      <c r="H1676" s="56" t="n"/>
      <c r="I1676" s="43" t="n"/>
      <c r="J1676" s="57">
        <f>IF(OR(A1676="",H1676=""),"",IF(COUNTIFS(exp_year,C1676,exp_month,D1676,exp_item,E1676,exp_status,"&lt;&gt;❌ Отменено")&gt;0,1,0))</f>
        <v/>
      </c>
    </row>
    <row r="1677">
      <c r="A1677" s="52" t="n"/>
      <c r="B1677" s="53">
        <f>IF(A1677="","",CHOOSE(WEEKDAY(A1677,2),"Пн","Вт","Ср","Чт","Пт","Сб","Вс"))</f>
        <v/>
      </c>
      <c r="C1677" s="53">
        <f>IF(A1677="","",YEAR(A1677))</f>
        <v/>
      </c>
      <c r="D1677" s="54">
        <f>IF(A1677="","",INDEX(lst_months,MONTH(A1677)))</f>
        <v/>
      </c>
      <c r="E1677" s="55" t="n"/>
      <c r="F1677" s="54">
        <f>IF(E1677="","",IFERROR(IF(INDEX(lst_exp_item_cat,MATCH(E1677,lst_exp_items,0))="","❔ Без категории",INDEX(lst_exp_item_cat,MATCH(E1677,lst_exp_items,0))),"❔ Без категории"))</f>
        <v/>
      </c>
      <c r="G1677" s="43" t="n"/>
      <c r="H1677" s="56" t="n"/>
      <c r="I1677" s="43" t="n"/>
      <c r="J1677" s="57">
        <f>IF(OR(A1677="",H1677=""),"",IF(COUNTIFS(exp_year,C1677,exp_month,D1677,exp_item,E1677,exp_status,"&lt;&gt;❌ Отменено")&gt;0,1,0))</f>
        <v/>
      </c>
    </row>
    <row r="1678">
      <c r="A1678" s="52" t="n"/>
      <c r="B1678" s="53">
        <f>IF(A1678="","",CHOOSE(WEEKDAY(A1678,2),"Пн","Вт","Ср","Чт","Пт","Сб","Вс"))</f>
        <v/>
      </c>
      <c r="C1678" s="53">
        <f>IF(A1678="","",YEAR(A1678))</f>
        <v/>
      </c>
      <c r="D1678" s="54">
        <f>IF(A1678="","",INDEX(lst_months,MONTH(A1678)))</f>
        <v/>
      </c>
      <c r="E1678" s="55" t="n"/>
      <c r="F1678" s="54">
        <f>IF(E1678="","",IFERROR(IF(INDEX(lst_exp_item_cat,MATCH(E1678,lst_exp_items,0))="","❔ Без категории",INDEX(lst_exp_item_cat,MATCH(E1678,lst_exp_items,0))),"❔ Без категории"))</f>
        <v/>
      </c>
      <c r="G1678" s="43" t="n"/>
      <c r="H1678" s="56" t="n"/>
      <c r="I1678" s="43" t="n"/>
      <c r="J1678" s="57">
        <f>IF(OR(A1678="",H1678=""),"",IF(COUNTIFS(exp_year,C1678,exp_month,D1678,exp_item,E1678,exp_status,"&lt;&gt;❌ Отменено")&gt;0,1,0))</f>
        <v/>
      </c>
    </row>
    <row r="1679">
      <c r="A1679" s="52" t="n"/>
      <c r="B1679" s="53">
        <f>IF(A1679="","",CHOOSE(WEEKDAY(A1679,2),"Пн","Вт","Ср","Чт","Пт","Сб","Вс"))</f>
        <v/>
      </c>
      <c r="C1679" s="53">
        <f>IF(A1679="","",YEAR(A1679))</f>
        <v/>
      </c>
      <c r="D1679" s="54">
        <f>IF(A1679="","",INDEX(lst_months,MONTH(A1679)))</f>
        <v/>
      </c>
      <c r="E1679" s="55" t="n"/>
      <c r="F1679" s="54">
        <f>IF(E1679="","",IFERROR(IF(INDEX(lst_exp_item_cat,MATCH(E1679,lst_exp_items,0))="","❔ Без категории",INDEX(lst_exp_item_cat,MATCH(E1679,lst_exp_items,0))),"❔ Без категории"))</f>
        <v/>
      </c>
      <c r="G1679" s="43" t="n"/>
      <c r="H1679" s="56" t="n"/>
      <c r="I1679" s="43" t="n"/>
      <c r="J1679" s="57">
        <f>IF(OR(A1679="",H1679=""),"",IF(COUNTIFS(exp_year,C1679,exp_month,D1679,exp_item,E1679,exp_status,"&lt;&gt;❌ Отменено")&gt;0,1,0))</f>
        <v/>
      </c>
    </row>
    <row r="1680">
      <c r="A1680" s="52" t="n"/>
      <c r="B1680" s="53">
        <f>IF(A1680="","",CHOOSE(WEEKDAY(A1680,2),"Пн","Вт","Ср","Чт","Пт","Сб","Вс"))</f>
        <v/>
      </c>
      <c r="C1680" s="53">
        <f>IF(A1680="","",YEAR(A1680))</f>
        <v/>
      </c>
      <c r="D1680" s="54">
        <f>IF(A1680="","",INDEX(lst_months,MONTH(A1680)))</f>
        <v/>
      </c>
      <c r="E1680" s="55" t="n"/>
      <c r="F1680" s="54">
        <f>IF(E1680="","",IFERROR(IF(INDEX(lst_exp_item_cat,MATCH(E1680,lst_exp_items,0))="","❔ Без категории",INDEX(lst_exp_item_cat,MATCH(E1680,lst_exp_items,0))),"❔ Без категории"))</f>
        <v/>
      </c>
      <c r="G1680" s="43" t="n"/>
      <c r="H1680" s="56" t="n"/>
      <c r="I1680" s="43" t="n"/>
      <c r="J1680" s="57">
        <f>IF(OR(A1680="",H1680=""),"",IF(COUNTIFS(exp_year,C1680,exp_month,D1680,exp_item,E1680,exp_status,"&lt;&gt;❌ Отменено")&gt;0,1,0))</f>
        <v/>
      </c>
    </row>
    <row r="1681">
      <c r="A1681" s="52" t="n"/>
      <c r="B1681" s="53">
        <f>IF(A1681="","",CHOOSE(WEEKDAY(A1681,2),"Пн","Вт","Ср","Чт","Пт","Сб","Вс"))</f>
        <v/>
      </c>
      <c r="C1681" s="53">
        <f>IF(A1681="","",YEAR(A1681))</f>
        <v/>
      </c>
      <c r="D1681" s="54">
        <f>IF(A1681="","",INDEX(lst_months,MONTH(A1681)))</f>
        <v/>
      </c>
      <c r="E1681" s="55" t="n"/>
      <c r="F1681" s="54">
        <f>IF(E1681="","",IFERROR(IF(INDEX(lst_exp_item_cat,MATCH(E1681,lst_exp_items,0))="","❔ Без категории",INDEX(lst_exp_item_cat,MATCH(E1681,lst_exp_items,0))),"❔ Без категории"))</f>
        <v/>
      </c>
      <c r="G1681" s="43" t="n"/>
      <c r="H1681" s="56" t="n"/>
      <c r="I1681" s="43" t="n"/>
      <c r="J1681" s="57">
        <f>IF(OR(A1681="",H1681=""),"",IF(COUNTIFS(exp_year,C1681,exp_month,D1681,exp_item,E1681,exp_status,"&lt;&gt;❌ Отменено")&gt;0,1,0))</f>
        <v/>
      </c>
    </row>
    <row r="1682">
      <c r="A1682" s="52" t="n"/>
      <c r="B1682" s="53">
        <f>IF(A1682="","",CHOOSE(WEEKDAY(A1682,2),"Пн","Вт","Ср","Чт","Пт","Сб","Вс"))</f>
        <v/>
      </c>
      <c r="C1682" s="53">
        <f>IF(A1682="","",YEAR(A1682))</f>
        <v/>
      </c>
      <c r="D1682" s="54">
        <f>IF(A1682="","",INDEX(lst_months,MONTH(A1682)))</f>
        <v/>
      </c>
      <c r="E1682" s="55" t="n"/>
      <c r="F1682" s="54">
        <f>IF(E1682="","",IFERROR(IF(INDEX(lst_exp_item_cat,MATCH(E1682,lst_exp_items,0))="","❔ Без категории",INDEX(lst_exp_item_cat,MATCH(E1682,lst_exp_items,0))),"❔ Без категории"))</f>
        <v/>
      </c>
      <c r="G1682" s="43" t="n"/>
      <c r="H1682" s="56" t="n"/>
      <c r="I1682" s="43" t="n"/>
      <c r="J1682" s="57">
        <f>IF(OR(A1682="",H1682=""),"",IF(COUNTIFS(exp_year,C1682,exp_month,D1682,exp_item,E1682,exp_status,"&lt;&gt;❌ Отменено")&gt;0,1,0))</f>
        <v/>
      </c>
    </row>
    <row r="1683">
      <c r="A1683" s="52" t="n"/>
      <c r="B1683" s="53">
        <f>IF(A1683="","",CHOOSE(WEEKDAY(A1683,2),"Пн","Вт","Ср","Чт","Пт","Сб","Вс"))</f>
        <v/>
      </c>
      <c r="C1683" s="53">
        <f>IF(A1683="","",YEAR(A1683))</f>
        <v/>
      </c>
      <c r="D1683" s="54">
        <f>IF(A1683="","",INDEX(lst_months,MONTH(A1683)))</f>
        <v/>
      </c>
      <c r="E1683" s="55" t="n"/>
      <c r="F1683" s="54">
        <f>IF(E1683="","",IFERROR(IF(INDEX(lst_exp_item_cat,MATCH(E1683,lst_exp_items,0))="","❔ Без категории",INDEX(lst_exp_item_cat,MATCH(E1683,lst_exp_items,0))),"❔ Без категории"))</f>
        <v/>
      </c>
      <c r="G1683" s="43" t="n"/>
      <c r="H1683" s="56" t="n"/>
      <c r="I1683" s="43" t="n"/>
      <c r="J1683" s="57">
        <f>IF(OR(A1683="",H1683=""),"",IF(COUNTIFS(exp_year,C1683,exp_month,D1683,exp_item,E1683,exp_status,"&lt;&gt;❌ Отменено")&gt;0,1,0))</f>
        <v/>
      </c>
    </row>
    <row r="1684">
      <c r="A1684" s="52" t="n"/>
      <c r="B1684" s="53">
        <f>IF(A1684="","",CHOOSE(WEEKDAY(A1684,2),"Пн","Вт","Ср","Чт","Пт","Сб","Вс"))</f>
        <v/>
      </c>
      <c r="C1684" s="53">
        <f>IF(A1684="","",YEAR(A1684))</f>
        <v/>
      </c>
      <c r="D1684" s="54">
        <f>IF(A1684="","",INDEX(lst_months,MONTH(A1684)))</f>
        <v/>
      </c>
      <c r="E1684" s="55" t="n"/>
      <c r="F1684" s="54">
        <f>IF(E1684="","",IFERROR(IF(INDEX(lst_exp_item_cat,MATCH(E1684,lst_exp_items,0))="","❔ Без категории",INDEX(lst_exp_item_cat,MATCH(E1684,lst_exp_items,0))),"❔ Без категории"))</f>
        <v/>
      </c>
      <c r="G1684" s="43" t="n"/>
      <c r="H1684" s="56" t="n"/>
      <c r="I1684" s="43" t="n"/>
      <c r="J1684" s="57">
        <f>IF(OR(A1684="",H1684=""),"",IF(COUNTIFS(exp_year,C1684,exp_month,D1684,exp_item,E1684,exp_status,"&lt;&gt;❌ Отменено")&gt;0,1,0))</f>
        <v/>
      </c>
    </row>
    <row r="1685">
      <c r="A1685" s="52" t="n"/>
      <c r="B1685" s="53">
        <f>IF(A1685="","",CHOOSE(WEEKDAY(A1685,2),"Пн","Вт","Ср","Чт","Пт","Сб","Вс"))</f>
        <v/>
      </c>
      <c r="C1685" s="53">
        <f>IF(A1685="","",YEAR(A1685))</f>
        <v/>
      </c>
      <c r="D1685" s="54">
        <f>IF(A1685="","",INDEX(lst_months,MONTH(A1685)))</f>
        <v/>
      </c>
      <c r="E1685" s="55" t="n"/>
      <c r="F1685" s="54">
        <f>IF(E1685="","",IFERROR(IF(INDEX(lst_exp_item_cat,MATCH(E1685,lst_exp_items,0))="","❔ Без категории",INDEX(lst_exp_item_cat,MATCH(E1685,lst_exp_items,0))),"❔ Без категории"))</f>
        <v/>
      </c>
      <c r="G1685" s="43" t="n"/>
      <c r="H1685" s="56" t="n"/>
      <c r="I1685" s="43" t="n"/>
      <c r="J1685" s="57">
        <f>IF(OR(A1685="",H1685=""),"",IF(COUNTIFS(exp_year,C1685,exp_month,D1685,exp_item,E1685,exp_status,"&lt;&gt;❌ Отменено")&gt;0,1,0))</f>
        <v/>
      </c>
    </row>
    <row r="1686">
      <c r="A1686" s="52" t="n"/>
      <c r="B1686" s="53">
        <f>IF(A1686="","",CHOOSE(WEEKDAY(A1686,2),"Пн","Вт","Ср","Чт","Пт","Сб","Вс"))</f>
        <v/>
      </c>
      <c r="C1686" s="53">
        <f>IF(A1686="","",YEAR(A1686))</f>
        <v/>
      </c>
      <c r="D1686" s="54">
        <f>IF(A1686="","",INDEX(lst_months,MONTH(A1686)))</f>
        <v/>
      </c>
      <c r="E1686" s="55" t="n"/>
      <c r="F1686" s="54">
        <f>IF(E1686="","",IFERROR(IF(INDEX(lst_exp_item_cat,MATCH(E1686,lst_exp_items,0))="","❔ Без категории",INDEX(lst_exp_item_cat,MATCH(E1686,lst_exp_items,0))),"❔ Без категории"))</f>
        <v/>
      </c>
      <c r="G1686" s="43" t="n"/>
      <c r="H1686" s="56" t="n"/>
      <c r="I1686" s="43" t="n"/>
      <c r="J1686" s="57">
        <f>IF(OR(A1686="",H1686=""),"",IF(COUNTIFS(exp_year,C1686,exp_month,D1686,exp_item,E1686,exp_status,"&lt;&gt;❌ Отменено")&gt;0,1,0))</f>
        <v/>
      </c>
    </row>
    <row r="1687">
      <c r="A1687" s="52" t="n"/>
      <c r="B1687" s="53">
        <f>IF(A1687="","",CHOOSE(WEEKDAY(A1687,2),"Пн","Вт","Ср","Чт","Пт","Сб","Вс"))</f>
        <v/>
      </c>
      <c r="C1687" s="53">
        <f>IF(A1687="","",YEAR(A1687))</f>
        <v/>
      </c>
      <c r="D1687" s="54">
        <f>IF(A1687="","",INDEX(lst_months,MONTH(A1687)))</f>
        <v/>
      </c>
      <c r="E1687" s="55" t="n"/>
      <c r="F1687" s="54">
        <f>IF(E1687="","",IFERROR(IF(INDEX(lst_exp_item_cat,MATCH(E1687,lst_exp_items,0))="","❔ Без категории",INDEX(lst_exp_item_cat,MATCH(E1687,lst_exp_items,0))),"❔ Без категории"))</f>
        <v/>
      </c>
      <c r="G1687" s="43" t="n"/>
      <c r="H1687" s="56" t="n"/>
      <c r="I1687" s="43" t="n"/>
      <c r="J1687" s="57">
        <f>IF(OR(A1687="",H1687=""),"",IF(COUNTIFS(exp_year,C1687,exp_month,D1687,exp_item,E1687,exp_status,"&lt;&gt;❌ Отменено")&gt;0,1,0))</f>
        <v/>
      </c>
    </row>
    <row r="1688">
      <c r="A1688" s="52" t="n"/>
      <c r="B1688" s="53">
        <f>IF(A1688="","",CHOOSE(WEEKDAY(A1688,2),"Пн","Вт","Ср","Чт","Пт","Сб","Вс"))</f>
        <v/>
      </c>
      <c r="C1688" s="53">
        <f>IF(A1688="","",YEAR(A1688))</f>
        <v/>
      </c>
      <c r="D1688" s="54">
        <f>IF(A1688="","",INDEX(lst_months,MONTH(A1688)))</f>
        <v/>
      </c>
      <c r="E1688" s="55" t="n"/>
      <c r="F1688" s="54">
        <f>IF(E1688="","",IFERROR(IF(INDEX(lst_exp_item_cat,MATCH(E1688,lst_exp_items,0))="","❔ Без категории",INDEX(lst_exp_item_cat,MATCH(E1688,lst_exp_items,0))),"❔ Без категории"))</f>
        <v/>
      </c>
      <c r="G1688" s="43" t="n"/>
      <c r="H1688" s="56" t="n"/>
      <c r="I1688" s="43" t="n"/>
      <c r="J1688" s="57">
        <f>IF(OR(A1688="",H1688=""),"",IF(COUNTIFS(exp_year,C1688,exp_month,D1688,exp_item,E1688,exp_status,"&lt;&gt;❌ Отменено")&gt;0,1,0))</f>
        <v/>
      </c>
    </row>
    <row r="1689">
      <c r="A1689" s="52" t="n"/>
      <c r="B1689" s="53">
        <f>IF(A1689="","",CHOOSE(WEEKDAY(A1689,2),"Пн","Вт","Ср","Чт","Пт","Сб","Вс"))</f>
        <v/>
      </c>
      <c r="C1689" s="53">
        <f>IF(A1689="","",YEAR(A1689))</f>
        <v/>
      </c>
      <c r="D1689" s="54">
        <f>IF(A1689="","",INDEX(lst_months,MONTH(A1689)))</f>
        <v/>
      </c>
      <c r="E1689" s="55" t="n"/>
      <c r="F1689" s="54">
        <f>IF(E1689="","",IFERROR(IF(INDEX(lst_exp_item_cat,MATCH(E1689,lst_exp_items,0))="","❔ Без категории",INDEX(lst_exp_item_cat,MATCH(E1689,lst_exp_items,0))),"❔ Без категории"))</f>
        <v/>
      </c>
      <c r="G1689" s="43" t="n"/>
      <c r="H1689" s="56" t="n"/>
      <c r="I1689" s="43" t="n"/>
      <c r="J1689" s="57">
        <f>IF(OR(A1689="",H1689=""),"",IF(COUNTIFS(exp_year,C1689,exp_month,D1689,exp_item,E1689,exp_status,"&lt;&gt;❌ Отменено")&gt;0,1,0))</f>
        <v/>
      </c>
    </row>
    <row r="1690">
      <c r="A1690" s="52" t="n"/>
      <c r="B1690" s="53">
        <f>IF(A1690="","",CHOOSE(WEEKDAY(A1690,2),"Пн","Вт","Ср","Чт","Пт","Сб","Вс"))</f>
        <v/>
      </c>
      <c r="C1690" s="53">
        <f>IF(A1690="","",YEAR(A1690))</f>
        <v/>
      </c>
      <c r="D1690" s="54">
        <f>IF(A1690="","",INDEX(lst_months,MONTH(A1690)))</f>
        <v/>
      </c>
      <c r="E1690" s="55" t="n"/>
      <c r="F1690" s="54">
        <f>IF(E1690="","",IFERROR(IF(INDEX(lst_exp_item_cat,MATCH(E1690,lst_exp_items,0))="","❔ Без категории",INDEX(lst_exp_item_cat,MATCH(E1690,lst_exp_items,0))),"❔ Без категории"))</f>
        <v/>
      </c>
      <c r="G1690" s="43" t="n"/>
      <c r="H1690" s="56" t="n"/>
      <c r="I1690" s="43" t="n"/>
      <c r="J1690" s="57">
        <f>IF(OR(A1690="",H1690=""),"",IF(COUNTIFS(exp_year,C1690,exp_month,D1690,exp_item,E1690,exp_status,"&lt;&gt;❌ Отменено")&gt;0,1,0))</f>
        <v/>
      </c>
    </row>
    <row r="1691">
      <c r="A1691" s="52" t="n"/>
      <c r="B1691" s="53">
        <f>IF(A1691="","",CHOOSE(WEEKDAY(A1691,2),"Пн","Вт","Ср","Чт","Пт","Сб","Вс"))</f>
        <v/>
      </c>
      <c r="C1691" s="53">
        <f>IF(A1691="","",YEAR(A1691))</f>
        <v/>
      </c>
      <c r="D1691" s="54">
        <f>IF(A1691="","",INDEX(lst_months,MONTH(A1691)))</f>
        <v/>
      </c>
      <c r="E1691" s="55" t="n"/>
      <c r="F1691" s="54">
        <f>IF(E1691="","",IFERROR(IF(INDEX(lst_exp_item_cat,MATCH(E1691,lst_exp_items,0))="","❔ Без категории",INDEX(lst_exp_item_cat,MATCH(E1691,lst_exp_items,0))),"❔ Без категории"))</f>
        <v/>
      </c>
      <c r="G1691" s="43" t="n"/>
      <c r="H1691" s="56" t="n"/>
      <c r="I1691" s="43" t="n"/>
      <c r="J1691" s="57">
        <f>IF(OR(A1691="",H1691=""),"",IF(COUNTIFS(exp_year,C1691,exp_month,D1691,exp_item,E1691,exp_status,"&lt;&gt;❌ Отменено")&gt;0,1,0))</f>
        <v/>
      </c>
    </row>
    <row r="1692">
      <c r="A1692" s="52" t="n"/>
      <c r="B1692" s="53">
        <f>IF(A1692="","",CHOOSE(WEEKDAY(A1692,2),"Пн","Вт","Ср","Чт","Пт","Сб","Вс"))</f>
        <v/>
      </c>
      <c r="C1692" s="53">
        <f>IF(A1692="","",YEAR(A1692))</f>
        <v/>
      </c>
      <c r="D1692" s="54">
        <f>IF(A1692="","",INDEX(lst_months,MONTH(A1692)))</f>
        <v/>
      </c>
      <c r="E1692" s="55" t="n"/>
      <c r="F1692" s="54">
        <f>IF(E1692="","",IFERROR(IF(INDEX(lst_exp_item_cat,MATCH(E1692,lst_exp_items,0))="","❔ Без категории",INDEX(lst_exp_item_cat,MATCH(E1692,lst_exp_items,0))),"❔ Без категории"))</f>
        <v/>
      </c>
      <c r="G1692" s="43" t="n"/>
      <c r="H1692" s="56" t="n"/>
      <c r="I1692" s="43" t="n"/>
      <c r="J1692" s="57">
        <f>IF(OR(A1692="",H1692=""),"",IF(COUNTIFS(exp_year,C1692,exp_month,D1692,exp_item,E1692,exp_status,"&lt;&gt;❌ Отменено")&gt;0,1,0))</f>
        <v/>
      </c>
    </row>
    <row r="1693">
      <c r="A1693" s="52" t="n"/>
      <c r="B1693" s="53">
        <f>IF(A1693="","",CHOOSE(WEEKDAY(A1693,2),"Пн","Вт","Ср","Чт","Пт","Сб","Вс"))</f>
        <v/>
      </c>
      <c r="C1693" s="53">
        <f>IF(A1693="","",YEAR(A1693))</f>
        <v/>
      </c>
      <c r="D1693" s="54">
        <f>IF(A1693="","",INDEX(lst_months,MONTH(A1693)))</f>
        <v/>
      </c>
      <c r="E1693" s="55" t="n"/>
      <c r="F1693" s="54">
        <f>IF(E1693="","",IFERROR(IF(INDEX(lst_exp_item_cat,MATCH(E1693,lst_exp_items,0))="","❔ Без категории",INDEX(lst_exp_item_cat,MATCH(E1693,lst_exp_items,0))),"❔ Без категории"))</f>
        <v/>
      </c>
      <c r="G1693" s="43" t="n"/>
      <c r="H1693" s="56" t="n"/>
      <c r="I1693" s="43" t="n"/>
      <c r="J1693" s="57">
        <f>IF(OR(A1693="",H1693=""),"",IF(COUNTIFS(exp_year,C1693,exp_month,D1693,exp_item,E1693,exp_status,"&lt;&gt;❌ Отменено")&gt;0,1,0))</f>
        <v/>
      </c>
    </row>
    <row r="1694">
      <c r="A1694" s="52" t="n"/>
      <c r="B1694" s="53">
        <f>IF(A1694="","",CHOOSE(WEEKDAY(A1694,2),"Пн","Вт","Ср","Чт","Пт","Сб","Вс"))</f>
        <v/>
      </c>
      <c r="C1694" s="53">
        <f>IF(A1694="","",YEAR(A1694))</f>
        <v/>
      </c>
      <c r="D1694" s="54">
        <f>IF(A1694="","",INDEX(lst_months,MONTH(A1694)))</f>
        <v/>
      </c>
      <c r="E1694" s="55" t="n"/>
      <c r="F1694" s="54">
        <f>IF(E1694="","",IFERROR(IF(INDEX(lst_exp_item_cat,MATCH(E1694,lst_exp_items,0))="","❔ Без категории",INDEX(lst_exp_item_cat,MATCH(E1694,lst_exp_items,0))),"❔ Без категории"))</f>
        <v/>
      </c>
      <c r="G1694" s="43" t="n"/>
      <c r="H1694" s="56" t="n"/>
      <c r="I1694" s="43" t="n"/>
      <c r="J1694" s="57">
        <f>IF(OR(A1694="",H1694=""),"",IF(COUNTIFS(exp_year,C1694,exp_month,D1694,exp_item,E1694,exp_status,"&lt;&gt;❌ Отменено")&gt;0,1,0))</f>
        <v/>
      </c>
    </row>
    <row r="1695">
      <c r="A1695" s="52" t="n"/>
      <c r="B1695" s="53">
        <f>IF(A1695="","",CHOOSE(WEEKDAY(A1695,2),"Пн","Вт","Ср","Чт","Пт","Сб","Вс"))</f>
        <v/>
      </c>
      <c r="C1695" s="53">
        <f>IF(A1695="","",YEAR(A1695))</f>
        <v/>
      </c>
      <c r="D1695" s="54">
        <f>IF(A1695="","",INDEX(lst_months,MONTH(A1695)))</f>
        <v/>
      </c>
      <c r="E1695" s="55" t="n"/>
      <c r="F1695" s="54">
        <f>IF(E1695="","",IFERROR(IF(INDEX(lst_exp_item_cat,MATCH(E1695,lst_exp_items,0))="","❔ Без категории",INDEX(lst_exp_item_cat,MATCH(E1695,lst_exp_items,0))),"❔ Без категории"))</f>
        <v/>
      </c>
      <c r="G1695" s="43" t="n"/>
      <c r="H1695" s="56" t="n"/>
      <c r="I1695" s="43" t="n"/>
      <c r="J1695" s="57">
        <f>IF(OR(A1695="",H1695=""),"",IF(COUNTIFS(exp_year,C1695,exp_month,D1695,exp_item,E1695,exp_status,"&lt;&gt;❌ Отменено")&gt;0,1,0))</f>
        <v/>
      </c>
    </row>
    <row r="1696">
      <c r="A1696" s="52" t="n"/>
      <c r="B1696" s="53">
        <f>IF(A1696="","",CHOOSE(WEEKDAY(A1696,2),"Пн","Вт","Ср","Чт","Пт","Сб","Вс"))</f>
        <v/>
      </c>
      <c r="C1696" s="53">
        <f>IF(A1696="","",YEAR(A1696))</f>
        <v/>
      </c>
      <c r="D1696" s="54">
        <f>IF(A1696="","",INDEX(lst_months,MONTH(A1696)))</f>
        <v/>
      </c>
      <c r="E1696" s="55" t="n"/>
      <c r="F1696" s="54">
        <f>IF(E1696="","",IFERROR(IF(INDEX(lst_exp_item_cat,MATCH(E1696,lst_exp_items,0))="","❔ Без категории",INDEX(lst_exp_item_cat,MATCH(E1696,lst_exp_items,0))),"❔ Без категории"))</f>
        <v/>
      </c>
      <c r="G1696" s="43" t="n"/>
      <c r="H1696" s="56" t="n"/>
      <c r="I1696" s="43" t="n"/>
      <c r="J1696" s="57">
        <f>IF(OR(A1696="",H1696=""),"",IF(COUNTIFS(exp_year,C1696,exp_month,D1696,exp_item,E1696,exp_status,"&lt;&gt;❌ Отменено")&gt;0,1,0))</f>
        <v/>
      </c>
    </row>
    <row r="1697">
      <c r="A1697" s="52" t="n"/>
      <c r="B1697" s="53">
        <f>IF(A1697="","",CHOOSE(WEEKDAY(A1697,2),"Пн","Вт","Ср","Чт","Пт","Сб","Вс"))</f>
        <v/>
      </c>
      <c r="C1697" s="53">
        <f>IF(A1697="","",YEAR(A1697))</f>
        <v/>
      </c>
      <c r="D1697" s="54">
        <f>IF(A1697="","",INDEX(lst_months,MONTH(A1697)))</f>
        <v/>
      </c>
      <c r="E1697" s="55" t="n"/>
      <c r="F1697" s="54">
        <f>IF(E1697="","",IFERROR(IF(INDEX(lst_exp_item_cat,MATCH(E1697,lst_exp_items,0))="","❔ Без категории",INDEX(lst_exp_item_cat,MATCH(E1697,lst_exp_items,0))),"❔ Без категории"))</f>
        <v/>
      </c>
      <c r="G1697" s="43" t="n"/>
      <c r="H1697" s="56" t="n"/>
      <c r="I1697" s="43" t="n"/>
      <c r="J1697" s="57">
        <f>IF(OR(A1697="",H1697=""),"",IF(COUNTIFS(exp_year,C1697,exp_month,D1697,exp_item,E1697,exp_status,"&lt;&gt;❌ Отменено")&gt;0,1,0))</f>
        <v/>
      </c>
    </row>
    <row r="1698">
      <c r="A1698" s="52" t="n"/>
      <c r="B1698" s="53">
        <f>IF(A1698="","",CHOOSE(WEEKDAY(A1698,2),"Пн","Вт","Ср","Чт","Пт","Сб","Вс"))</f>
        <v/>
      </c>
      <c r="C1698" s="53">
        <f>IF(A1698="","",YEAR(A1698))</f>
        <v/>
      </c>
      <c r="D1698" s="54">
        <f>IF(A1698="","",INDEX(lst_months,MONTH(A1698)))</f>
        <v/>
      </c>
      <c r="E1698" s="55" t="n"/>
      <c r="F1698" s="54">
        <f>IF(E1698="","",IFERROR(IF(INDEX(lst_exp_item_cat,MATCH(E1698,lst_exp_items,0))="","❔ Без категории",INDEX(lst_exp_item_cat,MATCH(E1698,lst_exp_items,0))),"❔ Без категории"))</f>
        <v/>
      </c>
      <c r="G1698" s="43" t="n"/>
      <c r="H1698" s="56" t="n"/>
      <c r="I1698" s="43" t="n"/>
      <c r="J1698" s="57">
        <f>IF(OR(A1698="",H1698=""),"",IF(COUNTIFS(exp_year,C1698,exp_month,D1698,exp_item,E1698,exp_status,"&lt;&gt;❌ Отменено")&gt;0,1,0))</f>
        <v/>
      </c>
    </row>
    <row r="1699">
      <c r="A1699" s="52" t="n"/>
      <c r="B1699" s="53">
        <f>IF(A1699="","",CHOOSE(WEEKDAY(A1699,2),"Пн","Вт","Ср","Чт","Пт","Сб","Вс"))</f>
        <v/>
      </c>
      <c r="C1699" s="53">
        <f>IF(A1699="","",YEAR(A1699))</f>
        <v/>
      </c>
      <c r="D1699" s="54">
        <f>IF(A1699="","",INDEX(lst_months,MONTH(A1699)))</f>
        <v/>
      </c>
      <c r="E1699" s="55" t="n"/>
      <c r="F1699" s="54">
        <f>IF(E1699="","",IFERROR(IF(INDEX(lst_exp_item_cat,MATCH(E1699,lst_exp_items,0))="","❔ Без категории",INDEX(lst_exp_item_cat,MATCH(E1699,lst_exp_items,0))),"❔ Без категории"))</f>
        <v/>
      </c>
      <c r="G1699" s="43" t="n"/>
      <c r="H1699" s="56" t="n"/>
      <c r="I1699" s="43" t="n"/>
      <c r="J1699" s="57">
        <f>IF(OR(A1699="",H1699=""),"",IF(COUNTIFS(exp_year,C1699,exp_month,D1699,exp_item,E1699,exp_status,"&lt;&gt;❌ Отменено")&gt;0,1,0))</f>
        <v/>
      </c>
    </row>
    <row r="1700">
      <c r="A1700" s="52" t="n"/>
      <c r="B1700" s="53">
        <f>IF(A1700="","",CHOOSE(WEEKDAY(A1700,2),"Пн","Вт","Ср","Чт","Пт","Сб","Вс"))</f>
        <v/>
      </c>
      <c r="C1700" s="53">
        <f>IF(A1700="","",YEAR(A1700))</f>
        <v/>
      </c>
      <c r="D1700" s="54">
        <f>IF(A1700="","",INDEX(lst_months,MONTH(A1700)))</f>
        <v/>
      </c>
      <c r="E1700" s="55" t="n"/>
      <c r="F1700" s="54">
        <f>IF(E1700="","",IFERROR(IF(INDEX(lst_exp_item_cat,MATCH(E1700,lst_exp_items,0))="","❔ Без категории",INDEX(lst_exp_item_cat,MATCH(E1700,lst_exp_items,0))),"❔ Без категории"))</f>
        <v/>
      </c>
      <c r="G1700" s="43" t="n"/>
      <c r="H1700" s="56" t="n"/>
      <c r="I1700" s="43" t="n"/>
      <c r="J1700" s="57">
        <f>IF(OR(A1700="",H1700=""),"",IF(COUNTIFS(exp_year,C1700,exp_month,D1700,exp_item,E1700,exp_status,"&lt;&gt;❌ Отменено")&gt;0,1,0))</f>
        <v/>
      </c>
    </row>
    <row r="1701">
      <c r="A1701" s="52" t="n"/>
      <c r="B1701" s="53">
        <f>IF(A1701="","",CHOOSE(WEEKDAY(A1701,2),"Пн","Вт","Ср","Чт","Пт","Сб","Вс"))</f>
        <v/>
      </c>
      <c r="C1701" s="53">
        <f>IF(A1701="","",YEAR(A1701))</f>
        <v/>
      </c>
      <c r="D1701" s="54">
        <f>IF(A1701="","",INDEX(lst_months,MONTH(A1701)))</f>
        <v/>
      </c>
      <c r="E1701" s="55" t="n"/>
      <c r="F1701" s="54">
        <f>IF(E1701="","",IFERROR(IF(INDEX(lst_exp_item_cat,MATCH(E1701,lst_exp_items,0))="","❔ Без категории",INDEX(lst_exp_item_cat,MATCH(E1701,lst_exp_items,0))),"❔ Без категории"))</f>
        <v/>
      </c>
      <c r="G1701" s="43" t="n"/>
      <c r="H1701" s="56" t="n"/>
      <c r="I1701" s="43" t="n"/>
      <c r="J1701" s="57">
        <f>IF(OR(A1701="",H1701=""),"",IF(COUNTIFS(exp_year,C1701,exp_month,D1701,exp_item,E1701,exp_status,"&lt;&gt;❌ Отменено")&gt;0,1,0))</f>
        <v/>
      </c>
    </row>
    <row r="1702">
      <c r="A1702" s="52" t="n"/>
      <c r="B1702" s="53">
        <f>IF(A1702="","",CHOOSE(WEEKDAY(A1702,2),"Пн","Вт","Ср","Чт","Пт","Сб","Вс"))</f>
        <v/>
      </c>
      <c r="C1702" s="53">
        <f>IF(A1702="","",YEAR(A1702))</f>
        <v/>
      </c>
      <c r="D1702" s="54">
        <f>IF(A1702="","",INDEX(lst_months,MONTH(A1702)))</f>
        <v/>
      </c>
      <c r="E1702" s="55" t="n"/>
      <c r="F1702" s="54">
        <f>IF(E1702="","",IFERROR(IF(INDEX(lst_exp_item_cat,MATCH(E1702,lst_exp_items,0))="","❔ Без категории",INDEX(lst_exp_item_cat,MATCH(E1702,lst_exp_items,0))),"❔ Без категории"))</f>
        <v/>
      </c>
      <c r="G1702" s="43" t="n"/>
      <c r="H1702" s="56" t="n"/>
      <c r="I1702" s="43" t="n"/>
      <c r="J1702" s="57">
        <f>IF(OR(A1702="",H1702=""),"",IF(COUNTIFS(exp_year,C1702,exp_month,D1702,exp_item,E1702,exp_status,"&lt;&gt;❌ Отменено")&gt;0,1,0))</f>
        <v/>
      </c>
    </row>
    <row r="1703">
      <c r="A1703" s="52" t="n"/>
      <c r="B1703" s="53">
        <f>IF(A1703="","",CHOOSE(WEEKDAY(A1703,2),"Пн","Вт","Ср","Чт","Пт","Сб","Вс"))</f>
        <v/>
      </c>
      <c r="C1703" s="53">
        <f>IF(A1703="","",YEAR(A1703))</f>
        <v/>
      </c>
      <c r="D1703" s="54">
        <f>IF(A1703="","",INDEX(lst_months,MONTH(A1703)))</f>
        <v/>
      </c>
      <c r="E1703" s="55" t="n"/>
      <c r="F1703" s="54">
        <f>IF(E1703="","",IFERROR(IF(INDEX(lst_exp_item_cat,MATCH(E1703,lst_exp_items,0))="","❔ Без категории",INDEX(lst_exp_item_cat,MATCH(E1703,lst_exp_items,0))),"❔ Без категории"))</f>
        <v/>
      </c>
      <c r="G1703" s="43" t="n"/>
      <c r="H1703" s="56" t="n"/>
      <c r="I1703" s="43" t="n"/>
      <c r="J1703" s="57">
        <f>IF(OR(A1703="",H1703=""),"",IF(COUNTIFS(exp_year,C1703,exp_month,D1703,exp_item,E1703,exp_status,"&lt;&gt;❌ Отменено")&gt;0,1,0))</f>
        <v/>
      </c>
    </row>
    <row r="1704">
      <c r="A1704" s="52" t="n"/>
      <c r="B1704" s="53">
        <f>IF(A1704="","",CHOOSE(WEEKDAY(A1704,2),"Пн","Вт","Ср","Чт","Пт","Сб","Вс"))</f>
        <v/>
      </c>
      <c r="C1704" s="53">
        <f>IF(A1704="","",YEAR(A1704))</f>
        <v/>
      </c>
      <c r="D1704" s="54">
        <f>IF(A1704="","",INDEX(lst_months,MONTH(A1704)))</f>
        <v/>
      </c>
      <c r="E1704" s="55" t="n"/>
      <c r="F1704" s="54">
        <f>IF(E1704="","",IFERROR(IF(INDEX(lst_exp_item_cat,MATCH(E1704,lst_exp_items,0))="","❔ Без категории",INDEX(lst_exp_item_cat,MATCH(E1704,lst_exp_items,0))),"❔ Без категории"))</f>
        <v/>
      </c>
      <c r="G1704" s="43" t="n"/>
      <c r="H1704" s="56" t="n"/>
      <c r="I1704" s="43" t="n"/>
      <c r="J1704" s="57">
        <f>IF(OR(A1704="",H1704=""),"",IF(COUNTIFS(exp_year,C1704,exp_month,D1704,exp_item,E1704,exp_status,"&lt;&gt;❌ Отменено")&gt;0,1,0))</f>
        <v/>
      </c>
    </row>
    <row r="1705">
      <c r="A1705" s="52" t="n"/>
      <c r="B1705" s="53">
        <f>IF(A1705="","",CHOOSE(WEEKDAY(A1705,2),"Пн","Вт","Ср","Чт","Пт","Сб","Вс"))</f>
        <v/>
      </c>
      <c r="C1705" s="53">
        <f>IF(A1705="","",YEAR(A1705))</f>
        <v/>
      </c>
      <c r="D1705" s="54">
        <f>IF(A1705="","",INDEX(lst_months,MONTH(A1705)))</f>
        <v/>
      </c>
      <c r="E1705" s="55" t="n"/>
      <c r="F1705" s="54">
        <f>IF(E1705="","",IFERROR(IF(INDEX(lst_exp_item_cat,MATCH(E1705,lst_exp_items,0))="","❔ Без категории",INDEX(lst_exp_item_cat,MATCH(E1705,lst_exp_items,0))),"❔ Без категории"))</f>
        <v/>
      </c>
      <c r="G1705" s="43" t="n"/>
      <c r="H1705" s="56" t="n"/>
      <c r="I1705" s="43" t="n"/>
      <c r="J1705" s="57">
        <f>IF(OR(A1705="",H1705=""),"",IF(COUNTIFS(exp_year,C1705,exp_month,D1705,exp_item,E1705,exp_status,"&lt;&gt;❌ Отменено")&gt;0,1,0))</f>
        <v/>
      </c>
    </row>
    <row r="1706">
      <c r="A1706" s="52" t="n"/>
      <c r="B1706" s="53">
        <f>IF(A1706="","",CHOOSE(WEEKDAY(A1706,2),"Пн","Вт","Ср","Чт","Пт","Сб","Вс"))</f>
        <v/>
      </c>
      <c r="C1706" s="53">
        <f>IF(A1706="","",YEAR(A1706))</f>
        <v/>
      </c>
      <c r="D1706" s="54">
        <f>IF(A1706="","",INDEX(lst_months,MONTH(A1706)))</f>
        <v/>
      </c>
      <c r="E1706" s="55" t="n"/>
      <c r="F1706" s="54">
        <f>IF(E1706="","",IFERROR(IF(INDEX(lst_exp_item_cat,MATCH(E1706,lst_exp_items,0))="","❔ Без категории",INDEX(lst_exp_item_cat,MATCH(E1706,lst_exp_items,0))),"❔ Без категории"))</f>
        <v/>
      </c>
      <c r="G1706" s="43" t="n"/>
      <c r="H1706" s="56" t="n"/>
      <c r="I1706" s="43" t="n"/>
      <c r="J1706" s="57">
        <f>IF(OR(A1706="",H1706=""),"",IF(COUNTIFS(exp_year,C1706,exp_month,D1706,exp_item,E1706,exp_status,"&lt;&gt;❌ Отменено")&gt;0,1,0))</f>
        <v/>
      </c>
    </row>
    <row r="1707">
      <c r="A1707" s="52" t="n"/>
      <c r="B1707" s="53">
        <f>IF(A1707="","",CHOOSE(WEEKDAY(A1707,2),"Пн","Вт","Ср","Чт","Пт","Сб","Вс"))</f>
        <v/>
      </c>
      <c r="C1707" s="53">
        <f>IF(A1707="","",YEAR(A1707))</f>
        <v/>
      </c>
      <c r="D1707" s="54">
        <f>IF(A1707="","",INDEX(lst_months,MONTH(A1707)))</f>
        <v/>
      </c>
      <c r="E1707" s="55" t="n"/>
      <c r="F1707" s="54">
        <f>IF(E1707="","",IFERROR(IF(INDEX(lst_exp_item_cat,MATCH(E1707,lst_exp_items,0))="","❔ Без категории",INDEX(lst_exp_item_cat,MATCH(E1707,lst_exp_items,0))),"❔ Без категории"))</f>
        <v/>
      </c>
      <c r="G1707" s="43" t="n"/>
      <c r="H1707" s="56" t="n"/>
      <c r="I1707" s="43" t="n"/>
      <c r="J1707" s="57">
        <f>IF(OR(A1707="",H1707=""),"",IF(COUNTIFS(exp_year,C1707,exp_month,D1707,exp_item,E1707,exp_status,"&lt;&gt;❌ Отменено")&gt;0,1,0))</f>
        <v/>
      </c>
    </row>
    <row r="1708">
      <c r="A1708" s="52" t="n"/>
      <c r="B1708" s="53">
        <f>IF(A1708="","",CHOOSE(WEEKDAY(A1708,2),"Пн","Вт","Ср","Чт","Пт","Сб","Вс"))</f>
        <v/>
      </c>
      <c r="C1708" s="53">
        <f>IF(A1708="","",YEAR(A1708))</f>
        <v/>
      </c>
      <c r="D1708" s="54">
        <f>IF(A1708="","",INDEX(lst_months,MONTH(A1708)))</f>
        <v/>
      </c>
      <c r="E1708" s="55" t="n"/>
      <c r="F1708" s="54">
        <f>IF(E1708="","",IFERROR(IF(INDEX(lst_exp_item_cat,MATCH(E1708,lst_exp_items,0))="","❔ Без категории",INDEX(lst_exp_item_cat,MATCH(E1708,lst_exp_items,0))),"❔ Без категории"))</f>
        <v/>
      </c>
      <c r="G1708" s="43" t="n"/>
      <c r="H1708" s="56" t="n"/>
      <c r="I1708" s="43" t="n"/>
      <c r="J1708" s="57">
        <f>IF(OR(A1708="",H1708=""),"",IF(COUNTIFS(exp_year,C1708,exp_month,D1708,exp_item,E1708,exp_status,"&lt;&gt;❌ Отменено")&gt;0,1,0))</f>
        <v/>
      </c>
    </row>
    <row r="1709">
      <c r="A1709" s="52" t="n"/>
      <c r="B1709" s="53">
        <f>IF(A1709="","",CHOOSE(WEEKDAY(A1709,2),"Пн","Вт","Ср","Чт","Пт","Сб","Вс"))</f>
        <v/>
      </c>
      <c r="C1709" s="53">
        <f>IF(A1709="","",YEAR(A1709))</f>
        <v/>
      </c>
      <c r="D1709" s="54">
        <f>IF(A1709="","",INDEX(lst_months,MONTH(A1709)))</f>
        <v/>
      </c>
      <c r="E1709" s="55" t="n"/>
      <c r="F1709" s="54">
        <f>IF(E1709="","",IFERROR(IF(INDEX(lst_exp_item_cat,MATCH(E1709,lst_exp_items,0))="","❔ Без категории",INDEX(lst_exp_item_cat,MATCH(E1709,lst_exp_items,0))),"❔ Без категории"))</f>
        <v/>
      </c>
      <c r="G1709" s="43" t="n"/>
      <c r="H1709" s="56" t="n"/>
      <c r="I1709" s="43" t="n"/>
      <c r="J1709" s="57">
        <f>IF(OR(A1709="",H1709=""),"",IF(COUNTIFS(exp_year,C1709,exp_month,D1709,exp_item,E1709,exp_status,"&lt;&gt;❌ Отменено")&gt;0,1,0))</f>
        <v/>
      </c>
    </row>
    <row r="1710">
      <c r="A1710" s="52" t="n"/>
      <c r="B1710" s="53">
        <f>IF(A1710="","",CHOOSE(WEEKDAY(A1710,2),"Пн","Вт","Ср","Чт","Пт","Сб","Вс"))</f>
        <v/>
      </c>
      <c r="C1710" s="53">
        <f>IF(A1710="","",YEAR(A1710))</f>
        <v/>
      </c>
      <c r="D1710" s="54">
        <f>IF(A1710="","",INDEX(lst_months,MONTH(A1710)))</f>
        <v/>
      </c>
      <c r="E1710" s="55" t="n"/>
      <c r="F1710" s="54">
        <f>IF(E1710="","",IFERROR(IF(INDEX(lst_exp_item_cat,MATCH(E1710,lst_exp_items,0))="","❔ Без категории",INDEX(lst_exp_item_cat,MATCH(E1710,lst_exp_items,0))),"❔ Без категории"))</f>
        <v/>
      </c>
      <c r="G1710" s="43" t="n"/>
      <c r="H1710" s="56" t="n"/>
      <c r="I1710" s="43" t="n"/>
      <c r="J1710" s="57">
        <f>IF(OR(A1710="",H1710=""),"",IF(COUNTIFS(exp_year,C1710,exp_month,D1710,exp_item,E1710,exp_status,"&lt;&gt;❌ Отменено")&gt;0,1,0))</f>
        <v/>
      </c>
    </row>
    <row r="1711">
      <c r="A1711" s="52" t="n"/>
      <c r="B1711" s="53">
        <f>IF(A1711="","",CHOOSE(WEEKDAY(A1711,2),"Пн","Вт","Ср","Чт","Пт","Сб","Вс"))</f>
        <v/>
      </c>
      <c r="C1711" s="53">
        <f>IF(A1711="","",YEAR(A1711))</f>
        <v/>
      </c>
      <c r="D1711" s="54">
        <f>IF(A1711="","",INDEX(lst_months,MONTH(A1711)))</f>
        <v/>
      </c>
      <c r="E1711" s="55" t="n"/>
      <c r="F1711" s="54">
        <f>IF(E1711="","",IFERROR(IF(INDEX(lst_exp_item_cat,MATCH(E1711,lst_exp_items,0))="","❔ Без категории",INDEX(lst_exp_item_cat,MATCH(E1711,lst_exp_items,0))),"❔ Без категории"))</f>
        <v/>
      </c>
      <c r="G1711" s="43" t="n"/>
      <c r="H1711" s="56" t="n"/>
      <c r="I1711" s="43" t="n"/>
      <c r="J1711" s="57">
        <f>IF(OR(A1711="",H1711=""),"",IF(COUNTIFS(exp_year,C1711,exp_month,D1711,exp_item,E1711,exp_status,"&lt;&gt;❌ Отменено")&gt;0,1,0))</f>
        <v/>
      </c>
    </row>
    <row r="1712">
      <c r="A1712" s="52" t="n"/>
      <c r="B1712" s="53">
        <f>IF(A1712="","",CHOOSE(WEEKDAY(A1712,2),"Пн","Вт","Ср","Чт","Пт","Сб","Вс"))</f>
        <v/>
      </c>
      <c r="C1712" s="53">
        <f>IF(A1712="","",YEAR(A1712))</f>
        <v/>
      </c>
      <c r="D1712" s="54">
        <f>IF(A1712="","",INDEX(lst_months,MONTH(A1712)))</f>
        <v/>
      </c>
      <c r="E1712" s="55" t="n"/>
      <c r="F1712" s="54">
        <f>IF(E1712="","",IFERROR(IF(INDEX(lst_exp_item_cat,MATCH(E1712,lst_exp_items,0))="","❔ Без категории",INDEX(lst_exp_item_cat,MATCH(E1712,lst_exp_items,0))),"❔ Без категории"))</f>
        <v/>
      </c>
      <c r="G1712" s="43" t="n"/>
      <c r="H1712" s="56" t="n"/>
      <c r="I1712" s="43" t="n"/>
      <c r="J1712" s="57">
        <f>IF(OR(A1712="",H1712=""),"",IF(COUNTIFS(exp_year,C1712,exp_month,D1712,exp_item,E1712,exp_status,"&lt;&gt;❌ Отменено")&gt;0,1,0))</f>
        <v/>
      </c>
    </row>
    <row r="1713">
      <c r="A1713" s="52" t="n"/>
      <c r="B1713" s="53">
        <f>IF(A1713="","",CHOOSE(WEEKDAY(A1713,2),"Пн","Вт","Ср","Чт","Пт","Сб","Вс"))</f>
        <v/>
      </c>
      <c r="C1713" s="53">
        <f>IF(A1713="","",YEAR(A1713))</f>
        <v/>
      </c>
      <c r="D1713" s="54">
        <f>IF(A1713="","",INDEX(lst_months,MONTH(A1713)))</f>
        <v/>
      </c>
      <c r="E1713" s="55" t="n"/>
      <c r="F1713" s="54">
        <f>IF(E1713="","",IFERROR(IF(INDEX(lst_exp_item_cat,MATCH(E1713,lst_exp_items,0))="","❔ Без категории",INDEX(lst_exp_item_cat,MATCH(E1713,lst_exp_items,0))),"❔ Без категории"))</f>
        <v/>
      </c>
      <c r="G1713" s="43" t="n"/>
      <c r="H1713" s="56" t="n"/>
      <c r="I1713" s="43" t="n"/>
      <c r="J1713" s="57">
        <f>IF(OR(A1713="",H1713=""),"",IF(COUNTIFS(exp_year,C1713,exp_month,D1713,exp_item,E1713,exp_status,"&lt;&gt;❌ Отменено")&gt;0,1,0))</f>
        <v/>
      </c>
    </row>
    <row r="1714">
      <c r="A1714" s="52" t="n"/>
      <c r="B1714" s="53">
        <f>IF(A1714="","",CHOOSE(WEEKDAY(A1714,2),"Пн","Вт","Ср","Чт","Пт","Сб","Вс"))</f>
        <v/>
      </c>
      <c r="C1714" s="53">
        <f>IF(A1714="","",YEAR(A1714))</f>
        <v/>
      </c>
      <c r="D1714" s="54">
        <f>IF(A1714="","",INDEX(lst_months,MONTH(A1714)))</f>
        <v/>
      </c>
      <c r="E1714" s="55" t="n"/>
      <c r="F1714" s="54">
        <f>IF(E1714="","",IFERROR(IF(INDEX(lst_exp_item_cat,MATCH(E1714,lst_exp_items,0))="","❔ Без категории",INDEX(lst_exp_item_cat,MATCH(E1714,lst_exp_items,0))),"❔ Без категории"))</f>
        <v/>
      </c>
      <c r="G1714" s="43" t="n"/>
      <c r="H1714" s="56" t="n"/>
      <c r="I1714" s="43" t="n"/>
      <c r="J1714" s="57">
        <f>IF(OR(A1714="",H1714=""),"",IF(COUNTIFS(exp_year,C1714,exp_month,D1714,exp_item,E1714,exp_status,"&lt;&gt;❌ Отменено")&gt;0,1,0))</f>
        <v/>
      </c>
    </row>
    <row r="1715">
      <c r="A1715" s="52" t="n"/>
      <c r="B1715" s="53">
        <f>IF(A1715="","",CHOOSE(WEEKDAY(A1715,2),"Пн","Вт","Ср","Чт","Пт","Сб","Вс"))</f>
        <v/>
      </c>
      <c r="C1715" s="53">
        <f>IF(A1715="","",YEAR(A1715))</f>
        <v/>
      </c>
      <c r="D1715" s="54">
        <f>IF(A1715="","",INDEX(lst_months,MONTH(A1715)))</f>
        <v/>
      </c>
      <c r="E1715" s="55" t="n"/>
      <c r="F1715" s="54">
        <f>IF(E1715="","",IFERROR(IF(INDEX(lst_exp_item_cat,MATCH(E1715,lst_exp_items,0))="","❔ Без категории",INDEX(lst_exp_item_cat,MATCH(E1715,lst_exp_items,0))),"❔ Без категории"))</f>
        <v/>
      </c>
      <c r="G1715" s="43" t="n"/>
      <c r="H1715" s="56" t="n"/>
      <c r="I1715" s="43" t="n"/>
      <c r="J1715" s="57">
        <f>IF(OR(A1715="",H1715=""),"",IF(COUNTIFS(exp_year,C1715,exp_month,D1715,exp_item,E1715,exp_status,"&lt;&gt;❌ Отменено")&gt;0,1,0))</f>
        <v/>
      </c>
    </row>
    <row r="1716">
      <c r="A1716" s="52" t="n"/>
      <c r="B1716" s="53">
        <f>IF(A1716="","",CHOOSE(WEEKDAY(A1716,2),"Пн","Вт","Ср","Чт","Пт","Сб","Вс"))</f>
        <v/>
      </c>
      <c r="C1716" s="53">
        <f>IF(A1716="","",YEAR(A1716))</f>
        <v/>
      </c>
      <c r="D1716" s="54">
        <f>IF(A1716="","",INDEX(lst_months,MONTH(A1716)))</f>
        <v/>
      </c>
      <c r="E1716" s="55" t="n"/>
      <c r="F1716" s="54">
        <f>IF(E1716="","",IFERROR(IF(INDEX(lst_exp_item_cat,MATCH(E1716,lst_exp_items,0))="","❔ Без категории",INDEX(lst_exp_item_cat,MATCH(E1716,lst_exp_items,0))),"❔ Без категории"))</f>
        <v/>
      </c>
      <c r="G1716" s="43" t="n"/>
      <c r="H1716" s="56" t="n"/>
      <c r="I1716" s="43" t="n"/>
      <c r="J1716" s="57">
        <f>IF(OR(A1716="",H1716=""),"",IF(COUNTIFS(exp_year,C1716,exp_month,D1716,exp_item,E1716,exp_status,"&lt;&gt;❌ Отменено")&gt;0,1,0))</f>
        <v/>
      </c>
    </row>
    <row r="1717">
      <c r="A1717" s="52" t="n"/>
      <c r="B1717" s="53">
        <f>IF(A1717="","",CHOOSE(WEEKDAY(A1717,2),"Пн","Вт","Ср","Чт","Пт","Сб","Вс"))</f>
        <v/>
      </c>
      <c r="C1717" s="53">
        <f>IF(A1717="","",YEAR(A1717))</f>
        <v/>
      </c>
      <c r="D1717" s="54">
        <f>IF(A1717="","",INDEX(lst_months,MONTH(A1717)))</f>
        <v/>
      </c>
      <c r="E1717" s="55" t="n"/>
      <c r="F1717" s="54">
        <f>IF(E1717="","",IFERROR(IF(INDEX(lst_exp_item_cat,MATCH(E1717,lst_exp_items,0))="","❔ Без категории",INDEX(lst_exp_item_cat,MATCH(E1717,lst_exp_items,0))),"❔ Без категории"))</f>
        <v/>
      </c>
      <c r="G1717" s="43" t="n"/>
      <c r="H1717" s="56" t="n"/>
      <c r="I1717" s="43" t="n"/>
      <c r="J1717" s="57">
        <f>IF(OR(A1717="",H1717=""),"",IF(COUNTIFS(exp_year,C1717,exp_month,D1717,exp_item,E1717,exp_status,"&lt;&gt;❌ Отменено")&gt;0,1,0))</f>
        <v/>
      </c>
    </row>
    <row r="1718">
      <c r="A1718" s="52" t="n"/>
      <c r="B1718" s="53">
        <f>IF(A1718="","",CHOOSE(WEEKDAY(A1718,2),"Пн","Вт","Ср","Чт","Пт","Сб","Вс"))</f>
        <v/>
      </c>
      <c r="C1718" s="53">
        <f>IF(A1718="","",YEAR(A1718))</f>
        <v/>
      </c>
      <c r="D1718" s="54">
        <f>IF(A1718="","",INDEX(lst_months,MONTH(A1718)))</f>
        <v/>
      </c>
      <c r="E1718" s="55" t="n"/>
      <c r="F1718" s="54">
        <f>IF(E1718="","",IFERROR(IF(INDEX(lst_exp_item_cat,MATCH(E1718,lst_exp_items,0))="","❔ Без категории",INDEX(lst_exp_item_cat,MATCH(E1718,lst_exp_items,0))),"❔ Без категории"))</f>
        <v/>
      </c>
      <c r="G1718" s="43" t="n"/>
      <c r="H1718" s="56" t="n"/>
      <c r="I1718" s="43" t="n"/>
      <c r="J1718" s="57">
        <f>IF(OR(A1718="",H1718=""),"",IF(COUNTIFS(exp_year,C1718,exp_month,D1718,exp_item,E1718,exp_status,"&lt;&gt;❌ Отменено")&gt;0,1,0))</f>
        <v/>
      </c>
    </row>
    <row r="1719">
      <c r="A1719" s="52" t="n"/>
      <c r="B1719" s="53">
        <f>IF(A1719="","",CHOOSE(WEEKDAY(A1719,2),"Пн","Вт","Ср","Чт","Пт","Сб","Вс"))</f>
        <v/>
      </c>
      <c r="C1719" s="53">
        <f>IF(A1719="","",YEAR(A1719))</f>
        <v/>
      </c>
      <c r="D1719" s="54">
        <f>IF(A1719="","",INDEX(lst_months,MONTH(A1719)))</f>
        <v/>
      </c>
      <c r="E1719" s="55" t="n"/>
      <c r="F1719" s="54">
        <f>IF(E1719="","",IFERROR(IF(INDEX(lst_exp_item_cat,MATCH(E1719,lst_exp_items,0))="","❔ Без категории",INDEX(lst_exp_item_cat,MATCH(E1719,lst_exp_items,0))),"❔ Без категории"))</f>
        <v/>
      </c>
      <c r="G1719" s="43" t="n"/>
      <c r="H1719" s="56" t="n"/>
      <c r="I1719" s="43" t="n"/>
      <c r="J1719" s="57">
        <f>IF(OR(A1719="",H1719=""),"",IF(COUNTIFS(exp_year,C1719,exp_month,D1719,exp_item,E1719,exp_status,"&lt;&gt;❌ Отменено")&gt;0,1,0))</f>
        <v/>
      </c>
    </row>
    <row r="1720">
      <c r="A1720" s="52" t="n"/>
      <c r="B1720" s="53">
        <f>IF(A1720="","",CHOOSE(WEEKDAY(A1720,2),"Пн","Вт","Ср","Чт","Пт","Сб","Вс"))</f>
        <v/>
      </c>
      <c r="C1720" s="53">
        <f>IF(A1720="","",YEAR(A1720))</f>
        <v/>
      </c>
      <c r="D1720" s="54">
        <f>IF(A1720="","",INDEX(lst_months,MONTH(A1720)))</f>
        <v/>
      </c>
      <c r="E1720" s="55" t="n"/>
      <c r="F1720" s="54">
        <f>IF(E1720="","",IFERROR(IF(INDEX(lst_exp_item_cat,MATCH(E1720,lst_exp_items,0))="","❔ Без категории",INDEX(lst_exp_item_cat,MATCH(E1720,lst_exp_items,0))),"❔ Без категории"))</f>
        <v/>
      </c>
      <c r="G1720" s="43" t="n"/>
      <c r="H1720" s="56" t="n"/>
      <c r="I1720" s="43" t="n"/>
      <c r="J1720" s="57">
        <f>IF(OR(A1720="",H1720=""),"",IF(COUNTIFS(exp_year,C1720,exp_month,D1720,exp_item,E1720,exp_status,"&lt;&gt;❌ Отменено")&gt;0,1,0))</f>
        <v/>
      </c>
    </row>
    <row r="1721">
      <c r="A1721" s="52" t="n"/>
      <c r="B1721" s="53">
        <f>IF(A1721="","",CHOOSE(WEEKDAY(A1721,2),"Пн","Вт","Ср","Чт","Пт","Сб","Вс"))</f>
        <v/>
      </c>
      <c r="C1721" s="53">
        <f>IF(A1721="","",YEAR(A1721))</f>
        <v/>
      </c>
      <c r="D1721" s="54">
        <f>IF(A1721="","",INDEX(lst_months,MONTH(A1721)))</f>
        <v/>
      </c>
      <c r="E1721" s="55" t="n"/>
      <c r="F1721" s="54">
        <f>IF(E1721="","",IFERROR(IF(INDEX(lst_exp_item_cat,MATCH(E1721,lst_exp_items,0))="","❔ Без категории",INDEX(lst_exp_item_cat,MATCH(E1721,lst_exp_items,0))),"❔ Без категории"))</f>
        <v/>
      </c>
      <c r="G1721" s="43" t="n"/>
      <c r="H1721" s="56" t="n"/>
      <c r="I1721" s="43" t="n"/>
      <c r="J1721" s="57">
        <f>IF(OR(A1721="",H1721=""),"",IF(COUNTIFS(exp_year,C1721,exp_month,D1721,exp_item,E1721,exp_status,"&lt;&gt;❌ Отменено")&gt;0,1,0))</f>
        <v/>
      </c>
    </row>
    <row r="1722">
      <c r="A1722" s="52" t="n"/>
      <c r="B1722" s="53">
        <f>IF(A1722="","",CHOOSE(WEEKDAY(A1722,2),"Пн","Вт","Ср","Чт","Пт","Сб","Вс"))</f>
        <v/>
      </c>
      <c r="C1722" s="53">
        <f>IF(A1722="","",YEAR(A1722))</f>
        <v/>
      </c>
      <c r="D1722" s="54">
        <f>IF(A1722="","",INDEX(lst_months,MONTH(A1722)))</f>
        <v/>
      </c>
      <c r="E1722" s="55" t="n"/>
      <c r="F1722" s="54">
        <f>IF(E1722="","",IFERROR(IF(INDEX(lst_exp_item_cat,MATCH(E1722,lst_exp_items,0))="","❔ Без категории",INDEX(lst_exp_item_cat,MATCH(E1722,lst_exp_items,0))),"❔ Без категории"))</f>
        <v/>
      </c>
      <c r="G1722" s="43" t="n"/>
      <c r="H1722" s="56" t="n"/>
      <c r="I1722" s="43" t="n"/>
      <c r="J1722" s="57">
        <f>IF(OR(A1722="",H1722=""),"",IF(COUNTIFS(exp_year,C1722,exp_month,D1722,exp_item,E1722,exp_status,"&lt;&gt;❌ Отменено")&gt;0,1,0))</f>
        <v/>
      </c>
    </row>
    <row r="1723">
      <c r="A1723" s="52" t="n"/>
      <c r="B1723" s="53">
        <f>IF(A1723="","",CHOOSE(WEEKDAY(A1723,2),"Пн","Вт","Ср","Чт","Пт","Сб","Вс"))</f>
        <v/>
      </c>
      <c r="C1723" s="53">
        <f>IF(A1723="","",YEAR(A1723))</f>
        <v/>
      </c>
      <c r="D1723" s="54">
        <f>IF(A1723="","",INDEX(lst_months,MONTH(A1723)))</f>
        <v/>
      </c>
      <c r="E1723" s="55" t="n"/>
      <c r="F1723" s="54">
        <f>IF(E1723="","",IFERROR(IF(INDEX(lst_exp_item_cat,MATCH(E1723,lst_exp_items,0))="","❔ Без категории",INDEX(lst_exp_item_cat,MATCH(E1723,lst_exp_items,0))),"❔ Без категории"))</f>
        <v/>
      </c>
      <c r="G1723" s="43" t="n"/>
      <c r="H1723" s="56" t="n"/>
      <c r="I1723" s="43" t="n"/>
      <c r="J1723" s="57">
        <f>IF(OR(A1723="",H1723=""),"",IF(COUNTIFS(exp_year,C1723,exp_month,D1723,exp_item,E1723,exp_status,"&lt;&gt;❌ Отменено")&gt;0,1,0))</f>
        <v/>
      </c>
    </row>
    <row r="1724">
      <c r="A1724" s="52" t="n"/>
      <c r="B1724" s="53">
        <f>IF(A1724="","",CHOOSE(WEEKDAY(A1724,2),"Пн","Вт","Ср","Чт","Пт","Сб","Вс"))</f>
        <v/>
      </c>
      <c r="C1724" s="53">
        <f>IF(A1724="","",YEAR(A1724))</f>
        <v/>
      </c>
      <c r="D1724" s="54">
        <f>IF(A1724="","",INDEX(lst_months,MONTH(A1724)))</f>
        <v/>
      </c>
      <c r="E1724" s="55" t="n"/>
      <c r="F1724" s="54">
        <f>IF(E1724="","",IFERROR(IF(INDEX(lst_exp_item_cat,MATCH(E1724,lst_exp_items,0))="","❔ Без категории",INDEX(lst_exp_item_cat,MATCH(E1724,lst_exp_items,0))),"❔ Без категории"))</f>
        <v/>
      </c>
      <c r="G1724" s="43" t="n"/>
      <c r="H1724" s="56" t="n"/>
      <c r="I1724" s="43" t="n"/>
      <c r="J1724" s="57">
        <f>IF(OR(A1724="",H1724=""),"",IF(COUNTIFS(exp_year,C1724,exp_month,D1724,exp_item,E1724,exp_status,"&lt;&gt;❌ Отменено")&gt;0,1,0))</f>
        <v/>
      </c>
    </row>
    <row r="1725">
      <c r="A1725" s="52" t="n"/>
      <c r="B1725" s="53">
        <f>IF(A1725="","",CHOOSE(WEEKDAY(A1725,2),"Пн","Вт","Ср","Чт","Пт","Сб","Вс"))</f>
        <v/>
      </c>
      <c r="C1725" s="53">
        <f>IF(A1725="","",YEAR(A1725))</f>
        <v/>
      </c>
      <c r="D1725" s="54">
        <f>IF(A1725="","",INDEX(lst_months,MONTH(A1725)))</f>
        <v/>
      </c>
      <c r="E1725" s="55" t="n"/>
      <c r="F1725" s="54">
        <f>IF(E1725="","",IFERROR(IF(INDEX(lst_exp_item_cat,MATCH(E1725,lst_exp_items,0))="","❔ Без категории",INDEX(lst_exp_item_cat,MATCH(E1725,lst_exp_items,0))),"❔ Без категории"))</f>
        <v/>
      </c>
      <c r="G1725" s="43" t="n"/>
      <c r="H1725" s="56" t="n"/>
      <c r="I1725" s="43" t="n"/>
      <c r="J1725" s="57">
        <f>IF(OR(A1725="",H1725=""),"",IF(COUNTIFS(exp_year,C1725,exp_month,D1725,exp_item,E1725,exp_status,"&lt;&gt;❌ Отменено")&gt;0,1,0))</f>
        <v/>
      </c>
    </row>
    <row r="1726">
      <c r="A1726" s="52" t="n"/>
      <c r="B1726" s="53">
        <f>IF(A1726="","",CHOOSE(WEEKDAY(A1726,2),"Пн","Вт","Ср","Чт","Пт","Сб","Вс"))</f>
        <v/>
      </c>
      <c r="C1726" s="53">
        <f>IF(A1726="","",YEAR(A1726))</f>
        <v/>
      </c>
      <c r="D1726" s="54">
        <f>IF(A1726="","",INDEX(lst_months,MONTH(A1726)))</f>
        <v/>
      </c>
      <c r="E1726" s="55" t="n"/>
      <c r="F1726" s="54">
        <f>IF(E1726="","",IFERROR(IF(INDEX(lst_exp_item_cat,MATCH(E1726,lst_exp_items,0))="","❔ Без категории",INDEX(lst_exp_item_cat,MATCH(E1726,lst_exp_items,0))),"❔ Без категории"))</f>
        <v/>
      </c>
      <c r="G1726" s="43" t="n"/>
      <c r="H1726" s="56" t="n"/>
      <c r="I1726" s="43" t="n"/>
      <c r="J1726" s="57">
        <f>IF(OR(A1726="",H1726=""),"",IF(COUNTIFS(exp_year,C1726,exp_month,D1726,exp_item,E1726,exp_status,"&lt;&gt;❌ Отменено")&gt;0,1,0))</f>
        <v/>
      </c>
    </row>
    <row r="1727">
      <c r="A1727" s="52" t="n"/>
      <c r="B1727" s="53">
        <f>IF(A1727="","",CHOOSE(WEEKDAY(A1727,2),"Пн","Вт","Ср","Чт","Пт","Сб","Вс"))</f>
        <v/>
      </c>
      <c r="C1727" s="53">
        <f>IF(A1727="","",YEAR(A1727))</f>
        <v/>
      </c>
      <c r="D1727" s="54">
        <f>IF(A1727="","",INDEX(lst_months,MONTH(A1727)))</f>
        <v/>
      </c>
      <c r="E1727" s="55" t="n"/>
      <c r="F1727" s="54">
        <f>IF(E1727="","",IFERROR(IF(INDEX(lst_exp_item_cat,MATCH(E1727,lst_exp_items,0))="","❔ Без категории",INDEX(lst_exp_item_cat,MATCH(E1727,lst_exp_items,0))),"❔ Без категории"))</f>
        <v/>
      </c>
      <c r="G1727" s="43" t="n"/>
      <c r="H1727" s="56" t="n"/>
      <c r="I1727" s="43" t="n"/>
      <c r="J1727" s="57">
        <f>IF(OR(A1727="",H1727=""),"",IF(COUNTIFS(exp_year,C1727,exp_month,D1727,exp_item,E1727,exp_status,"&lt;&gt;❌ Отменено")&gt;0,1,0))</f>
        <v/>
      </c>
    </row>
    <row r="1728">
      <c r="A1728" s="52" t="n"/>
      <c r="B1728" s="53">
        <f>IF(A1728="","",CHOOSE(WEEKDAY(A1728,2),"Пн","Вт","Ср","Чт","Пт","Сб","Вс"))</f>
        <v/>
      </c>
      <c r="C1728" s="53">
        <f>IF(A1728="","",YEAR(A1728))</f>
        <v/>
      </c>
      <c r="D1728" s="54">
        <f>IF(A1728="","",INDEX(lst_months,MONTH(A1728)))</f>
        <v/>
      </c>
      <c r="E1728" s="55" t="n"/>
      <c r="F1728" s="54">
        <f>IF(E1728="","",IFERROR(IF(INDEX(lst_exp_item_cat,MATCH(E1728,lst_exp_items,0))="","❔ Без категории",INDEX(lst_exp_item_cat,MATCH(E1728,lst_exp_items,0))),"❔ Без категории"))</f>
        <v/>
      </c>
      <c r="G1728" s="43" t="n"/>
      <c r="H1728" s="56" t="n"/>
      <c r="I1728" s="43" t="n"/>
      <c r="J1728" s="57">
        <f>IF(OR(A1728="",H1728=""),"",IF(COUNTIFS(exp_year,C1728,exp_month,D1728,exp_item,E1728,exp_status,"&lt;&gt;❌ Отменено")&gt;0,1,0))</f>
        <v/>
      </c>
    </row>
    <row r="1729">
      <c r="A1729" s="52" t="n"/>
      <c r="B1729" s="53">
        <f>IF(A1729="","",CHOOSE(WEEKDAY(A1729,2),"Пн","Вт","Ср","Чт","Пт","Сб","Вс"))</f>
        <v/>
      </c>
      <c r="C1729" s="53">
        <f>IF(A1729="","",YEAR(A1729))</f>
        <v/>
      </c>
      <c r="D1729" s="54">
        <f>IF(A1729="","",INDEX(lst_months,MONTH(A1729)))</f>
        <v/>
      </c>
      <c r="E1729" s="55" t="n"/>
      <c r="F1729" s="54">
        <f>IF(E1729="","",IFERROR(IF(INDEX(lst_exp_item_cat,MATCH(E1729,lst_exp_items,0))="","❔ Без категории",INDEX(lst_exp_item_cat,MATCH(E1729,lst_exp_items,0))),"❔ Без категории"))</f>
        <v/>
      </c>
      <c r="G1729" s="43" t="n"/>
      <c r="H1729" s="56" t="n"/>
      <c r="I1729" s="43" t="n"/>
      <c r="J1729" s="57">
        <f>IF(OR(A1729="",H1729=""),"",IF(COUNTIFS(exp_year,C1729,exp_month,D1729,exp_item,E1729,exp_status,"&lt;&gt;❌ Отменено")&gt;0,1,0))</f>
        <v/>
      </c>
    </row>
    <row r="1730">
      <c r="A1730" s="52" t="n"/>
      <c r="B1730" s="53">
        <f>IF(A1730="","",CHOOSE(WEEKDAY(A1730,2),"Пн","Вт","Ср","Чт","Пт","Сб","Вс"))</f>
        <v/>
      </c>
      <c r="C1730" s="53">
        <f>IF(A1730="","",YEAR(A1730))</f>
        <v/>
      </c>
      <c r="D1730" s="54">
        <f>IF(A1730="","",INDEX(lst_months,MONTH(A1730)))</f>
        <v/>
      </c>
      <c r="E1730" s="55" t="n"/>
      <c r="F1730" s="54">
        <f>IF(E1730="","",IFERROR(IF(INDEX(lst_exp_item_cat,MATCH(E1730,lst_exp_items,0))="","❔ Без категории",INDEX(lst_exp_item_cat,MATCH(E1730,lst_exp_items,0))),"❔ Без категории"))</f>
        <v/>
      </c>
      <c r="G1730" s="43" t="n"/>
      <c r="H1730" s="56" t="n"/>
      <c r="I1730" s="43" t="n"/>
      <c r="J1730" s="57">
        <f>IF(OR(A1730="",H1730=""),"",IF(COUNTIFS(exp_year,C1730,exp_month,D1730,exp_item,E1730,exp_status,"&lt;&gt;❌ Отменено")&gt;0,1,0))</f>
        <v/>
      </c>
    </row>
    <row r="1731">
      <c r="A1731" s="52" t="n"/>
      <c r="B1731" s="53">
        <f>IF(A1731="","",CHOOSE(WEEKDAY(A1731,2),"Пн","Вт","Ср","Чт","Пт","Сб","Вс"))</f>
        <v/>
      </c>
      <c r="C1731" s="53">
        <f>IF(A1731="","",YEAR(A1731))</f>
        <v/>
      </c>
      <c r="D1731" s="54">
        <f>IF(A1731="","",INDEX(lst_months,MONTH(A1731)))</f>
        <v/>
      </c>
      <c r="E1731" s="55" t="n"/>
      <c r="F1731" s="54">
        <f>IF(E1731="","",IFERROR(IF(INDEX(lst_exp_item_cat,MATCH(E1731,lst_exp_items,0))="","❔ Без категории",INDEX(lst_exp_item_cat,MATCH(E1731,lst_exp_items,0))),"❔ Без категории"))</f>
        <v/>
      </c>
      <c r="G1731" s="43" t="n"/>
      <c r="H1731" s="56" t="n"/>
      <c r="I1731" s="43" t="n"/>
      <c r="J1731" s="57">
        <f>IF(OR(A1731="",H1731=""),"",IF(COUNTIFS(exp_year,C1731,exp_month,D1731,exp_item,E1731,exp_status,"&lt;&gt;❌ Отменено")&gt;0,1,0))</f>
        <v/>
      </c>
    </row>
    <row r="1732">
      <c r="A1732" s="52" t="n"/>
      <c r="B1732" s="53">
        <f>IF(A1732="","",CHOOSE(WEEKDAY(A1732,2),"Пн","Вт","Ср","Чт","Пт","Сб","Вс"))</f>
        <v/>
      </c>
      <c r="C1732" s="53">
        <f>IF(A1732="","",YEAR(A1732))</f>
        <v/>
      </c>
      <c r="D1732" s="54">
        <f>IF(A1732="","",INDEX(lst_months,MONTH(A1732)))</f>
        <v/>
      </c>
      <c r="E1732" s="55" t="n"/>
      <c r="F1732" s="54">
        <f>IF(E1732="","",IFERROR(IF(INDEX(lst_exp_item_cat,MATCH(E1732,lst_exp_items,0))="","❔ Без категории",INDEX(lst_exp_item_cat,MATCH(E1732,lst_exp_items,0))),"❔ Без категории"))</f>
        <v/>
      </c>
      <c r="G1732" s="43" t="n"/>
      <c r="H1732" s="56" t="n"/>
      <c r="I1732" s="43" t="n"/>
      <c r="J1732" s="57">
        <f>IF(OR(A1732="",H1732=""),"",IF(COUNTIFS(exp_year,C1732,exp_month,D1732,exp_item,E1732,exp_status,"&lt;&gt;❌ Отменено")&gt;0,1,0))</f>
        <v/>
      </c>
    </row>
    <row r="1733">
      <c r="A1733" s="52" t="n"/>
      <c r="B1733" s="53">
        <f>IF(A1733="","",CHOOSE(WEEKDAY(A1733,2),"Пн","Вт","Ср","Чт","Пт","Сб","Вс"))</f>
        <v/>
      </c>
      <c r="C1733" s="53">
        <f>IF(A1733="","",YEAR(A1733))</f>
        <v/>
      </c>
      <c r="D1733" s="54">
        <f>IF(A1733="","",INDEX(lst_months,MONTH(A1733)))</f>
        <v/>
      </c>
      <c r="E1733" s="55" t="n"/>
      <c r="F1733" s="54">
        <f>IF(E1733="","",IFERROR(IF(INDEX(lst_exp_item_cat,MATCH(E1733,lst_exp_items,0))="","❔ Без категории",INDEX(lst_exp_item_cat,MATCH(E1733,lst_exp_items,0))),"❔ Без категории"))</f>
        <v/>
      </c>
      <c r="G1733" s="43" t="n"/>
      <c r="H1733" s="56" t="n"/>
      <c r="I1733" s="43" t="n"/>
      <c r="J1733" s="57">
        <f>IF(OR(A1733="",H1733=""),"",IF(COUNTIFS(exp_year,C1733,exp_month,D1733,exp_item,E1733,exp_status,"&lt;&gt;❌ Отменено")&gt;0,1,0))</f>
        <v/>
      </c>
    </row>
    <row r="1734">
      <c r="A1734" s="52" t="n"/>
      <c r="B1734" s="53">
        <f>IF(A1734="","",CHOOSE(WEEKDAY(A1734,2),"Пн","Вт","Ср","Чт","Пт","Сб","Вс"))</f>
        <v/>
      </c>
      <c r="C1734" s="53">
        <f>IF(A1734="","",YEAR(A1734))</f>
        <v/>
      </c>
      <c r="D1734" s="54">
        <f>IF(A1734="","",INDEX(lst_months,MONTH(A1734)))</f>
        <v/>
      </c>
      <c r="E1734" s="55" t="n"/>
      <c r="F1734" s="54">
        <f>IF(E1734="","",IFERROR(IF(INDEX(lst_exp_item_cat,MATCH(E1734,lst_exp_items,0))="","❔ Без категории",INDEX(lst_exp_item_cat,MATCH(E1734,lst_exp_items,0))),"❔ Без категории"))</f>
        <v/>
      </c>
      <c r="G1734" s="43" t="n"/>
      <c r="H1734" s="56" t="n"/>
      <c r="I1734" s="43" t="n"/>
      <c r="J1734" s="57">
        <f>IF(OR(A1734="",H1734=""),"",IF(COUNTIFS(exp_year,C1734,exp_month,D1734,exp_item,E1734,exp_status,"&lt;&gt;❌ Отменено")&gt;0,1,0))</f>
        <v/>
      </c>
    </row>
    <row r="1735">
      <c r="A1735" s="52" t="n"/>
      <c r="B1735" s="53">
        <f>IF(A1735="","",CHOOSE(WEEKDAY(A1735,2),"Пн","Вт","Ср","Чт","Пт","Сб","Вс"))</f>
        <v/>
      </c>
      <c r="C1735" s="53">
        <f>IF(A1735="","",YEAR(A1735))</f>
        <v/>
      </c>
      <c r="D1735" s="54">
        <f>IF(A1735="","",INDEX(lst_months,MONTH(A1735)))</f>
        <v/>
      </c>
      <c r="E1735" s="55" t="n"/>
      <c r="F1735" s="54">
        <f>IF(E1735="","",IFERROR(IF(INDEX(lst_exp_item_cat,MATCH(E1735,lst_exp_items,0))="","❔ Без категории",INDEX(lst_exp_item_cat,MATCH(E1735,lst_exp_items,0))),"❔ Без категории"))</f>
        <v/>
      </c>
      <c r="G1735" s="43" t="n"/>
      <c r="H1735" s="56" t="n"/>
      <c r="I1735" s="43" t="n"/>
      <c r="J1735" s="57">
        <f>IF(OR(A1735="",H1735=""),"",IF(COUNTIFS(exp_year,C1735,exp_month,D1735,exp_item,E1735,exp_status,"&lt;&gt;❌ Отменено")&gt;0,1,0))</f>
        <v/>
      </c>
    </row>
    <row r="1736">
      <c r="A1736" s="52" t="n"/>
      <c r="B1736" s="53">
        <f>IF(A1736="","",CHOOSE(WEEKDAY(A1736,2),"Пн","Вт","Ср","Чт","Пт","Сб","Вс"))</f>
        <v/>
      </c>
      <c r="C1736" s="53">
        <f>IF(A1736="","",YEAR(A1736))</f>
        <v/>
      </c>
      <c r="D1736" s="54">
        <f>IF(A1736="","",INDEX(lst_months,MONTH(A1736)))</f>
        <v/>
      </c>
      <c r="E1736" s="55" t="n"/>
      <c r="F1736" s="54">
        <f>IF(E1736="","",IFERROR(IF(INDEX(lst_exp_item_cat,MATCH(E1736,lst_exp_items,0))="","❔ Без категории",INDEX(lst_exp_item_cat,MATCH(E1736,lst_exp_items,0))),"❔ Без категории"))</f>
        <v/>
      </c>
      <c r="G1736" s="43" t="n"/>
      <c r="H1736" s="56" t="n"/>
      <c r="I1736" s="43" t="n"/>
      <c r="J1736" s="57">
        <f>IF(OR(A1736="",H1736=""),"",IF(COUNTIFS(exp_year,C1736,exp_month,D1736,exp_item,E1736,exp_status,"&lt;&gt;❌ Отменено")&gt;0,1,0))</f>
        <v/>
      </c>
    </row>
    <row r="1737">
      <c r="A1737" s="52" t="n"/>
      <c r="B1737" s="53">
        <f>IF(A1737="","",CHOOSE(WEEKDAY(A1737,2),"Пн","Вт","Ср","Чт","Пт","Сб","Вс"))</f>
        <v/>
      </c>
      <c r="C1737" s="53">
        <f>IF(A1737="","",YEAR(A1737))</f>
        <v/>
      </c>
      <c r="D1737" s="54">
        <f>IF(A1737="","",INDEX(lst_months,MONTH(A1737)))</f>
        <v/>
      </c>
      <c r="E1737" s="55" t="n"/>
      <c r="F1737" s="54">
        <f>IF(E1737="","",IFERROR(IF(INDEX(lst_exp_item_cat,MATCH(E1737,lst_exp_items,0))="","❔ Без категории",INDEX(lst_exp_item_cat,MATCH(E1737,lst_exp_items,0))),"❔ Без категории"))</f>
        <v/>
      </c>
      <c r="G1737" s="43" t="n"/>
      <c r="H1737" s="56" t="n"/>
      <c r="I1737" s="43" t="n"/>
      <c r="J1737" s="57">
        <f>IF(OR(A1737="",H1737=""),"",IF(COUNTIFS(exp_year,C1737,exp_month,D1737,exp_item,E1737,exp_status,"&lt;&gt;❌ Отменено")&gt;0,1,0))</f>
        <v/>
      </c>
    </row>
    <row r="1738">
      <c r="A1738" s="52" t="n"/>
      <c r="B1738" s="53">
        <f>IF(A1738="","",CHOOSE(WEEKDAY(A1738,2),"Пн","Вт","Ср","Чт","Пт","Сб","Вс"))</f>
        <v/>
      </c>
      <c r="C1738" s="53">
        <f>IF(A1738="","",YEAR(A1738))</f>
        <v/>
      </c>
      <c r="D1738" s="54">
        <f>IF(A1738="","",INDEX(lst_months,MONTH(A1738)))</f>
        <v/>
      </c>
      <c r="E1738" s="55" t="n"/>
      <c r="F1738" s="54">
        <f>IF(E1738="","",IFERROR(IF(INDEX(lst_exp_item_cat,MATCH(E1738,lst_exp_items,0))="","❔ Без категории",INDEX(lst_exp_item_cat,MATCH(E1738,lst_exp_items,0))),"❔ Без категории"))</f>
        <v/>
      </c>
      <c r="G1738" s="43" t="n"/>
      <c r="H1738" s="56" t="n"/>
      <c r="I1738" s="43" t="n"/>
      <c r="J1738" s="57">
        <f>IF(OR(A1738="",H1738=""),"",IF(COUNTIFS(exp_year,C1738,exp_month,D1738,exp_item,E1738,exp_status,"&lt;&gt;❌ Отменено")&gt;0,1,0))</f>
        <v/>
      </c>
    </row>
    <row r="1739">
      <c r="A1739" s="52" t="n"/>
      <c r="B1739" s="53">
        <f>IF(A1739="","",CHOOSE(WEEKDAY(A1739,2),"Пн","Вт","Ср","Чт","Пт","Сб","Вс"))</f>
        <v/>
      </c>
      <c r="C1739" s="53">
        <f>IF(A1739="","",YEAR(A1739))</f>
        <v/>
      </c>
      <c r="D1739" s="54">
        <f>IF(A1739="","",INDEX(lst_months,MONTH(A1739)))</f>
        <v/>
      </c>
      <c r="E1739" s="55" t="n"/>
      <c r="F1739" s="54">
        <f>IF(E1739="","",IFERROR(IF(INDEX(lst_exp_item_cat,MATCH(E1739,lst_exp_items,0))="","❔ Без категории",INDEX(lst_exp_item_cat,MATCH(E1739,lst_exp_items,0))),"❔ Без категории"))</f>
        <v/>
      </c>
      <c r="G1739" s="43" t="n"/>
      <c r="H1739" s="56" t="n"/>
      <c r="I1739" s="43" t="n"/>
      <c r="J1739" s="57">
        <f>IF(OR(A1739="",H1739=""),"",IF(COUNTIFS(exp_year,C1739,exp_month,D1739,exp_item,E1739,exp_status,"&lt;&gt;❌ Отменено")&gt;0,1,0))</f>
        <v/>
      </c>
    </row>
    <row r="1740">
      <c r="A1740" s="52" t="n"/>
      <c r="B1740" s="53">
        <f>IF(A1740="","",CHOOSE(WEEKDAY(A1740,2),"Пн","Вт","Ср","Чт","Пт","Сб","Вс"))</f>
        <v/>
      </c>
      <c r="C1740" s="53">
        <f>IF(A1740="","",YEAR(A1740))</f>
        <v/>
      </c>
      <c r="D1740" s="54">
        <f>IF(A1740="","",INDEX(lst_months,MONTH(A1740)))</f>
        <v/>
      </c>
      <c r="E1740" s="55" t="n"/>
      <c r="F1740" s="54">
        <f>IF(E1740="","",IFERROR(IF(INDEX(lst_exp_item_cat,MATCH(E1740,lst_exp_items,0))="","❔ Без категории",INDEX(lst_exp_item_cat,MATCH(E1740,lst_exp_items,0))),"❔ Без категории"))</f>
        <v/>
      </c>
      <c r="G1740" s="43" t="n"/>
      <c r="H1740" s="56" t="n"/>
      <c r="I1740" s="43" t="n"/>
      <c r="J1740" s="57">
        <f>IF(OR(A1740="",H1740=""),"",IF(COUNTIFS(exp_year,C1740,exp_month,D1740,exp_item,E1740,exp_status,"&lt;&gt;❌ Отменено")&gt;0,1,0))</f>
        <v/>
      </c>
    </row>
    <row r="1741">
      <c r="A1741" s="52" t="n"/>
      <c r="B1741" s="53">
        <f>IF(A1741="","",CHOOSE(WEEKDAY(A1741,2),"Пн","Вт","Ср","Чт","Пт","Сб","Вс"))</f>
        <v/>
      </c>
      <c r="C1741" s="53">
        <f>IF(A1741="","",YEAR(A1741))</f>
        <v/>
      </c>
      <c r="D1741" s="54">
        <f>IF(A1741="","",INDEX(lst_months,MONTH(A1741)))</f>
        <v/>
      </c>
      <c r="E1741" s="55" t="n"/>
      <c r="F1741" s="54">
        <f>IF(E1741="","",IFERROR(IF(INDEX(lst_exp_item_cat,MATCH(E1741,lst_exp_items,0))="","❔ Без категории",INDEX(lst_exp_item_cat,MATCH(E1741,lst_exp_items,0))),"❔ Без категории"))</f>
        <v/>
      </c>
      <c r="G1741" s="43" t="n"/>
      <c r="H1741" s="56" t="n"/>
      <c r="I1741" s="43" t="n"/>
      <c r="J1741" s="57">
        <f>IF(OR(A1741="",H1741=""),"",IF(COUNTIFS(exp_year,C1741,exp_month,D1741,exp_item,E1741,exp_status,"&lt;&gt;❌ Отменено")&gt;0,1,0))</f>
        <v/>
      </c>
    </row>
    <row r="1742">
      <c r="A1742" s="52" t="n"/>
      <c r="B1742" s="53">
        <f>IF(A1742="","",CHOOSE(WEEKDAY(A1742,2),"Пн","Вт","Ср","Чт","Пт","Сб","Вс"))</f>
        <v/>
      </c>
      <c r="C1742" s="53">
        <f>IF(A1742="","",YEAR(A1742))</f>
        <v/>
      </c>
      <c r="D1742" s="54">
        <f>IF(A1742="","",INDEX(lst_months,MONTH(A1742)))</f>
        <v/>
      </c>
      <c r="E1742" s="55" t="n"/>
      <c r="F1742" s="54">
        <f>IF(E1742="","",IFERROR(IF(INDEX(lst_exp_item_cat,MATCH(E1742,lst_exp_items,0))="","❔ Без категории",INDEX(lst_exp_item_cat,MATCH(E1742,lst_exp_items,0))),"❔ Без категории"))</f>
        <v/>
      </c>
      <c r="G1742" s="43" t="n"/>
      <c r="H1742" s="56" t="n"/>
      <c r="I1742" s="43" t="n"/>
      <c r="J1742" s="57">
        <f>IF(OR(A1742="",H1742=""),"",IF(COUNTIFS(exp_year,C1742,exp_month,D1742,exp_item,E1742,exp_status,"&lt;&gt;❌ Отменено")&gt;0,1,0))</f>
        <v/>
      </c>
    </row>
    <row r="1743">
      <c r="A1743" s="52" t="n"/>
      <c r="B1743" s="53">
        <f>IF(A1743="","",CHOOSE(WEEKDAY(A1743,2),"Пн","Вт","Ср","Чт","Пт","Сб","Вс"))</f>
        <v/>
      </c>
      <c r="C1743" s="53">
        <f>IF(A1743="","",YEAR(A1743))</f>
        <v/>
      </c>
      <c r="D1743" s="54">
        <f>IF(A1743="","",INDEX(lst_months,MONTH(A1743)))</f>
        <v/>
      </c>
      <c r="E1743" s="55" t="n"/>
      <c r="F1743" s="54">
        <f>IF(E1743="","",IFERROR(IF(INDEX(lst_exp_item_cat,MATCH(E1743,lst_exp_items,0))="","❔ Без категории",INDEX(lst_exp_item_cat,MATCH(E1743,lst_exp_items,0))),"❔ Без категории"))</f>
        <v/>
      </c>
      <c r="G1743" s="43" t="n"/>
      <c r="H1743" s="56" t="n"/>
      <c r="I1743" s="43" t="n"/>
      <c r="J1743" s="57">
        <f>IF(OR(A1743="",H1743=""),"",IF(COUNTIFS(exp_year,C1743,exp_month,D1743,exp_item,E1743,exp_status,"&lt;&gt;❌ Отменено")&gt;0,1,0))</f>
        <v/>
      </c>
    </row>
    <row r="1744">
      <c r="A1744" s="52" t="n"/>
      <c r="B1744" s="53">
        <f>IF(A1744="","",CHOOSE(WEEKDAY(A1744,2),"Пн","Вт","Ср","Чт","Пт","Сб","Вс"))</f>
        <v/>
      </c>
      <c r="C1744" s="53">
        <f>IF(A1744="","",YEAR(A1744))</f>
        <v/>
      </c>
      <c r="D1744" s="54">
        <f>IF(A1744="","",INDEX(lst_months,MONTH(A1744)))</f>
        <v/>
      </c>
      <c r="E1744" s="55" t="n"/>
      <c r="F1744" s="54">
        <f>IF(E1744="","",IFERROR(IF(INDEX(lst_exp_item_cat,MATCH(E1744,lst_exp_items,0))="","❔ Без категории",INDEX(lst_exp_item_cat,MATCH(E1744,lst_exp_items,0))),"❔ Без категории"))</f>
        <v/>
      </c>
      <c r="G1744" s="43" t="n"/>
      <c r="H1744" s="56" t="n"/>
      <c r="I1744" s="43" t="n"/>
      <c r="J1744" s="57">
        <f>IF(OR(A1744="",H1744=""),"",IF(COUNTIFS(exp_year,C1744,exp_month,D1744,exp_item,E1744,exp_status,"&lt;&gt;❌ Отменено")&gt;0,1,0))</f>
        <v/>
      </c>
    </row>
    <row r="1745">
      <c r="A1745" s="52" t="n"/>
      <c r="B1745" s="53">
        <f>IF(A1745="","",CHOOSE(WEEKDAY(A1745,2),"Пн","Вт","Ср","Чт","Пт","Сб","Вс"))</f>
        <v/>
      </c>
      <c r="C1745" s="53">
        <f>IF(A1745="","",YEAR(A1745))</f>
        <v/>
      </c>
      <c r="D1745" s="54">
        <f>IF(A1745="","",INDEX(lst_months,MONTH(A1745)))</f>
        <v/>
      </c>
      <c r="E1745" s="55" t="n"/>
      <c r="F1745" s="54">
        <f>IF(E1745="","",IFERROR(IF(INDEX(lst_exp_item_cat,MATCH(E1745,lst_exp_items,0))="","❔ Без категории",INDEX(lst_exp_item_cat,MATCH(E1745,lst_exp_items,0))),"❔ Без категории"))</f>
        <v/>
      </c>
      <c r="G1745" s="43" t="n"/>
      <c r="H1745" s="56" t="n"/>
      <c r="I1745" s="43" t="n"/>
      <c r="J1745" s="57">
        <f>IF(OR(A1745="",H1745=""),"",IF(COUNTIFS(exp_year,C1745,exp_month,D1745,exp_item,E1745,exp_status,"&lt;&gt;❌ Отменено")&gt;0,1,0))</f>
        <v/>
      </c>
    </row>
    <row r="1746">
      <c r="A1746" s="52" t="n"/>
      <c r="B1746" s="53">
        <f>IF(A1746="","",CHOOSE(WEEKDAY(A1746,2),"Пн","Вт","Ср","Чт","Пт","Сб","Вс"))</f>
        <v/>
      </c>
      <c r="C1746" s="53">
        <f>IF(A1746="","",YEAR(A1746))</f>
        <v/>
      </c>
      <c r="D1746" s="54">
        <f>IF(A1746="","",INDEX(lst_months,MONTH(A1746)))</f>
        <v/>
      </c>
      <c r="E1746" s="55" t="n"/>
      <c r="F1746" s="54">
        <f>IF(E1746="","",IFERROR(IF(INDEX(lst_exp_item_cat,MATCH(E1746,lst_exp_items,0))="","❔ Без категории",INDEX(lst_exp_item_cat,MATCH(E1746,lst_exp_items,0))),"❔ Без категории"))</f>
        <v/>
      </c>
      <c r="G1746" s="43" t="n"/>
      <c r="H1746" s="56" t="n"/>
      <c r="I1746" s="43" t="n"/>
      <c r="J1746" s="57">
        <f>IF(OR(A1746="",H1746=""),"",IF(COUNTIFS(exp_year,C1746,exp_month,D1746,exp_item,E1746,exp_status,"&lt;&gt;❌ Отменено")&gt;0,1,0))</f>
        <v/>
      </c>
    </row>
    <row r="1747">
      <c r="A1747" s="52" t="n"/>
      <c r="B1747" s="53">
        <f>IF(A1747="","",CHOOSE(WEEKDAY(A1747,2),"Пн","Вт","Ср","Чт","Пт","Сб","Вс"))</f>
        <v/>
      </c>
      <c r="C1747" s="53">
        <f>IF(A1747="","",YEAR(A1747))</f>
        <v/>
      </c>
      <c r="D1747" s="54">
        <f>IF(A1747="","",INDEX(lst_months,MONTH(A1747)))</f>
        <v/>
      </c>
      <c r="E1747" s="55" t="n"/>
      <c r="F1747" s="54">
        <f>IF(E1747="","",IFERROR(IF(INDEX(lst_exp_item_cat,MATCH(E1747,lst_exp_items,0))="","❔ Без категории",INDEX(lst_exp_item_cat,MATCH(E1747,lst_exp_items,0))),"❔ Без категории"))</f>
        <v/>
      </c>
      <c r="G1747" s="43" t="n"/>
      <c r="H1747" s="56" t="n"/>
      <c r="I1747" s="43" t="n"/>
      <c r="J1747" s="57">
        <f>IF(OR(A1747="",H1747=""),"",IF(COUNTIFS(exp_year,C1747,exp_month,D1747,exp_item,E1747,exp_status,"&lt;&gt;❌ Отменено")&gt;0,1,0))</f>
        <v/>
      </c>
    </row>
    <row r="1748">
      <c r="A1748" s="52" t="n"/>
      <c r="B1748" s="53">
        <f>IF(A1748="","",CHOOSE(WEEKDAY(A1748,2),"Пн","Вт","Ср","Чт","Пт","Сб","Вс"))</f>
        <v/>
      </c>
      <c r="C1748" s="53">
        <f>IF(A1748="","",YEAR(A1748))</f>
        <v/>
      </c>
      <c r="D1748" s="54">
        <f>IF(A1748="","",INDEX(lst_months,MONTH(A1748)))</f>
        <v/>
      </c>
      <c r="E1748" s="55" t="n"/>
      <c r="F1748" s="54">
        <f>IF(E1748="","",IFERROR(IF(INDEX(lst_exp_item_cat,MATCH(E1748,lst_exp_items,0))="","❔ Без категории",INDEX(lst_exp_item_cat,MATCH(E1748,lst_exp_items,0))),"❔ Без категории"))</f>
        <v/>
      </c>
      <c r="G1748" s="43" t="n"/>
      <c r="H1748" s="56" t="n"/>
      <c r="I1748" s="43" t="n"/>
      <c r="J1748" s="57">
        <f>IF(OR(A1748="",H1748=""),"",IF(COUNTIFS(exp_year,C1748,exp_month,D1748,exp_item,E1748,exp_status,"&lt;&gt;❌ Отменено")&gt;0,1,0))</f>
        <v/>
      </c>
    </row>
    <row r="1749">
      <c r="A1749" s="52" t="n"/>
      <c r="B1749" s="53">
        <f>IF(A1749="","",CHOOSE(WEEKDAY(A1749,2),"Пн","Вт","Ср","Чт","Пт","Сб","Вс"))</f>
        <v/>
      </c>
      <c r="C1749" s="53">
        <f>IF(A1749="","",YEAR(A1749))</f>
        <v/>
      </c>
      <c r="D1749" s="54">
        <f>IF(A1749="","",INDEX(lst_months,MONTH(A1749)))</f>
        <v/>
      </c>
      <c r="E1749" s="55" t="n"/>
      <c r="F1749" s="54">
        <f>IF(E1749="","",IFERROR(IF(INDEX(lst_exp_item_cat,MATCH(E1749,lst_exp_items,0))="","❔ Без категории",INDEX(lst_exp_item_cat,MATCH(E1749,lst_exp_items,0))),"❔ Без категории"))</f>
        <v/>
      </c>
      <c r="G1749" s="43" t="n"/>
      <c r="H1749" s="56" t="n"/>
      <c r="I1749" s="43" t="n"/>
      <c r="J1749" s="57">
        <f>IF(OR(A1749="",H1749=""),"",IF(COUNTIFS(exp_year,C1749,exp_month,D1749,exp_item,E1749,exp_status,"&lt;&gt;❌ Отменено")&gt;0,1,0))</f>
        <v/>
      </c>
    </row>
    <row r="1750">
      <c r="A1750" s="52" t="n"/>
      <c r="B1750" s="53">
        <f>IF(A1750="","",CHOOSE(WEEKDAY(A1750,2),"Пн","Вт","Ср","Чт","Пт","Сб","Вс"))</f>
        <v/>
      </c>
      <c r="C1750" s="53">
        <f>IF(A1750="","",YEAR(A1750))</f>
        <v/>
      </c>
      <c r="D1750" s="54">
        <f>IF(A1750="","",INDEX(lst_months,MONTH(A1750)))</f>
        <v/>
      </c>
      <c r="E1750" s="55" t="n"/>
      <c r="F1750" s="54">
        <f>IF(E1750="","",IFERROR(IF(INDEX(lst_exp_item_cat,MATCH(E1750,lst_exp_items,0))="","❔ Без категории",INDEX(lst_exp_item_cat,MATCH(E1750,lst_exp_items,0))),"❔ Без категории"))</f>
        <v/>
      </c>
      <c r="G1750" s="43" t="n"/>
      <c r="H1750" s="56" t="n"/>
      <c r="I1750" s="43" t="n"/>
      <c r="J1750" s="57">
        <f>IF(OR(A1750="",H1750=""),"",IF(COUNTIFS(exp_year,C1750,exp_month,D1750,exp_item,E1750,exp_status,"&lt;&gt;❌ Отменено")&gt;0,1,0))</f>
        <v/>
      </c>
    </row>
    <row r="1751">
      <c r="A1751" s="52" t="n"/>
      <c r="B1751" s="53">
        <f>IF(A1751="","",CHOOSE(WEEKDAY(A1751,2),"Пн","Вт","Ср","Чт","Пт","Сб","Вс"))</f>
        <v/>
      </c>
      <c r="C1751" s="53">
        <f>IF(A1751="","",YEAR(A1751))</f>
        <v/>
      </c>
      <c r="D1751" s="54">
        <f>IF(A1751="","",INDEX(lst_months,MONTH(A1751)))</f>
        <v/>
      </c>
      <c r="E1751" s="55" t="n"/>
      <c r="F1751" s="54">
        <f>IF(E1751="","",IFERROR(IF(INDEX(lst_exp_item_cat,MATCH(E1751,lst_exp_items,0))="","❔ Без категории",INDEX(lst_exp_item_cat,MATCH(E1751,lst_exp_items,0))),"❔ Без категории"))</f>
        <v/>
      </c>
      <c r="G1751" s="43" t="n"/>
      <c r="H1751" s="56" t="n"/>
      <c r="I1751" s="43" t="n"/>
      <c r="J1751" s="57">
        <f>IF(OR(A1751="",H1751=""),"",IF(COUNTIFS(exp_year,C1751,exp_month,D1751,exp_item,E1751,exp_status,"&lt;&gt;❌ Отменено")&gt;0,1,0))</f>
        <v/>
      </c>
    </row>
    <row r="1752">
      <c r="A1752" s="52" t="n"/>
      <c r="B1752" s="53">
        <f>IF(A1752="","",CHOOSE(WEEKDAY(A1752,2),"Пн","Вт","Ср","Чт","Пт","Сб","Вс"))</f>
        <v/>
      </c>
      <c r="C1752" s="53">
        <f>IF(A1752="","",YEAR(A1752))</f>
        <v/>
      </c>
      <c r="D1752" s="54">
        <f>IF(A1752="","",INDEX(lst_months,MONTH(A1752)))</f>
        <v/>
      </c>
      <c r="E1752" s="55" t="n"/>
      <c r="F1752" s="54">
        <f>IF(E1752="","",IFERROR(IF(INDEX(lst_exp_item_cat,MATCH(E1752,lst_exp_items,0))="","❔ Без категории",INDEX(lst_exp_item_cat,MATCH(E1752,lst_exp_items,0))),"❔ Без категории"))</f>
        <v/>
      </c>
      <c r="G1752" s="43" t="n"/>
      <c r="H1752" s="56" t="n"/>
      <c r="I1752" s="43" t="n"/>
      <c r="J1752" s="57">
        <f>IF(OR(A1752="",H1752=""),"",IF(COUNTIFS(exp_year,C1752,exp_month,D1752,exp_item,E1752,exp_status,"&lt;&gt;❌ Отменено")&gt;0,1,0))</f>
        <v/>
      </c>
    </row>
    <row r="1753">
      <c r="A1753" s="52" t="n"/>
      <c r="B1753" s="53">
        <f>IF(A1753="","",CHOOSE(WEEKDAY(A1753,2),"Пн","Вт","Ср","Чт","Пт","Сб","Вс"))</f>
        <v/>
      </c>
      <c r="C1753" s="53">
        <f>IF(A1753="","",YEAR(A1753))</f>
        <v/>
      </c>
      <c r="D1753" s="54">
        <f>IF(A1753="","",INDEX(lst_months,MONTH(A1753)))</f>
        <v/>
      </c>
      <c r="E1753" s="55" t="n"/>
      <c r="F1753" s="54">
        <f>IF(E1753="","",IFERROR(IF(INDEX(lst_exp_item_cat,MATCH(E1753,lst_exp_items,0))="","❔ Без категории",INDEX(lst_exp_item_cat,MATCH(E1753,lst_exp_items,0))),"❔ Без категории"))</f>
        <v/>
      </c>
      <c r="G1753" s="43" t="n"/>
      <c r="H1753" s="56" t="n"/>
      <c r="I1753" s="43" t="n"/>
      <c r="J1753" s="57">
        <f>IF(OR(A1753="",H1753=""),"",IF(COUNTIFS(exp_year,C1753,exp_month,D1753,exp_item,E1753,exp_status,"&lt;&gt;❌ Отменено")&gt;0,1,0))</f>
        <v/>
      </c>
    </row>
    <row r="1754">
      <c r="A1754" s="52" t="n"/>
      <c r="B1754" s="53">
        <f>IF(A1754="","",CHOOSE(WEEKDAY(A1754,2),"Пн","Вт","Ср","Чт","Пт","Сб","Вс"))</f>
        <v/>
      </c>
      <c r="C1754" s="53">
        <f>IF(A1754="","",YEAR(A1754))</f>
        <v/>
      </c>
      <c r="D1754" s="54">
        <f>IF(A1754="","",INDEX(lst_months,MONTH(A1754)))</f>
        <v/>
      </c>
      <c r="E1754" s="55" t="n"/>
      <c r="F1754" s="54">
        <f>IF(E1754="","",IFERROR(IF(INDEX(lst_exp_item_cat,MATCH(E1754,lst_exp_items,0))="","❔ Без категории",INDEX(lst_exp_item_cat,MATCH(E1754,lst_exp_items,0))),"❔ Без категории"))</f>
        <v/>
      </c>
      <c r="G1754" s="43" t="n"/>
      <c r="H1754" s="56" t="n"/>
      <c r="I1754" s="43" t="n"/>
      <c r="J1754" s="57">
        <f>IF(OR(A1754="",H1754=""),"",IF(COUNTIFS(exp_year,C1754,exp_month,D1754,exp_item,E1754,exp_status,"&lt;&gt;❌ Отменено")&gt;0,1,0))</f>
        <v/>
      </c>
    </row>
    <row r="1755">
      <c r="A1755" s="52" t="n"/>
      <c r="B1755" s="53">
        <f>IF(A1755="","",CHOOSE(WEEKDAY(A1755,2),"Пн","Вт","Ср","Чт","Пт","Сб","Вс"))</f>
        <v/>
      </c>
      <c r="C1755" s="53">
        <f>IF(A1755="","",YEAR(A1755))</f>
        <v/>
      </c>
      <c r="D1755" s="54">
        <f>IF(A1755="","",INDEX(lst_months,MONTH(A1755)))</f>
        <v/>
      </c>
      <c r="E1755" s="55" t="n"/>
      <c r="F1755" s="54">
        <f>IF(E1755="","",IFERROR(IF(INDEX(lst_exp_item_cat,MATCH(E1755,lst_exp_items,0))="","❔ Без категории",INDEX(lst_exp_item_cat,MATCH(E1755,lst_exp_items,0))),"❔ Без категории"))</f>
        <v/>
      </c>
      <c r="G1755" s="43" t="n"/>
      <c r="H1755" s="56" t="n"/>
      <c r="I1755" s="43" t="n"/>
      <c r="J1755" s="57">
        <f>IF(OR(A1755="",H1755=""),"",IF(COUNTIFS(exp_year,C1755,exp_month,D1755,exp_item,E1755,exp_status,"&lt;&gt;❌ Отменено")&gt;0,1,0))</f>
        <v/>
      </c>
    </row>
    <row r="1756">
      <c r="A1756" s="52" t="n"/>
      <c r="B1756" s="53">
        <f>IF(A1756="","",CHOOSE(WEEKDAY(A1756,2),"Пн","Вт","Ср","Чт","Пт","Сб","Вс"))</f>
        <v/>
      </c>
      <c r="C1756" s="53">
        <f>IF(A1756="","",YEAR(A1756))</f>
        <v/>
      </c>
      <c r="D1756" s="54">
        <f>IF(A1756="","",INDEX(lst_months,MONTH(A1756)))</f>
        <v/>
      </c>
      <c r="E1756" s="55" t="n"/>
      <c r="F1756" s="54">
        <f>IF(E1756="","",IFERROR(IF(INDEX(lst_exp_item_cat,MATCH(E1756,lst_exp_items,0))="","❔ Без категории",INDEX(lst_exp_item_cat,MATCH(E1756,lst_exp_items,0))),"❔ Без категории"))</f>
        <v/>
      </c>
      <c r="G1756" s="43" t="n"/>
      <c r="H1756" s="56" t="n"/>
      <c r="I1756" s="43" t="n"/>
      <c r="J1756" s="57">
        <f>IF(OR(A1756="",H1756=""),"",IF(COUNTIFS(exp_year,C1756,exp_month,D1756,exp_item,E1756,exp_status,"&lt;&gt;❌ Отменено")&gt;0,1,0))</f>
        <v/>
      </c>
    </row>
    <row r="1757">
      <c r="A1757" s="52" t="n"/>
      <c r="B1757" s="53">
        <f>IF(A1757="","",CHOOSE(WEEKDAY(A1757,2),"Пн","Вт","Ср","Чт","Пт","Сб","Вс"))</f>
        <v/>
      </c>
      <c r="C1757" s="53">
        <f>IF(A1757="","",YEAR(A1757))</f>
        <v/>
      </c>
      <c r="D1757" s="54">
        <f>IF(A1757="","",INDEX(lst_months,MONTH(A1757)))</f>
        <v/>
      </c>
      <c r="E1757" s="55" t="n"/>
      <c r="F1757" s="54">
        <f>IF(E1757="","",IFERROR(IF(INDEX(lst_exp_item_cat,MATCH(E1757,lst_exp_items,0))="","❔ Без категории",INDEX(lst_exp_item_cat,MATCH(E1757,lst_exp_items,0))),"❔ Без категории"))</f>
        <v/>
      </c>
      <c r="G1757" s="43" t="n"/>
      <c r="H1757" s="56" t="n"/>
      <c r="I1757" s="43" t="n"/>
      <c r="J1757" s="57">
        <f>IF(OR(A1757="",H1757=""),"",IF(COUNTIFS(exp_year,C1757,exp_month,D1757,exp_item,E1757,exp_status,"&lt;&gt;❌ Отменено")&gt;0,1,0))</f>
        <v/>
      </c>
    </row>
    <row r="1758">
      <c r="A1758" s="52" t="n"/>
      <c r="B1758" s="53">
        <f>IF(A1758="","",CHOOSE(WEEKDAY(A1758,2),"Пн","Вт","Ср","Чт","Пт","Сб","Вс"))</f>
        <v/>
      </c>
      <c r="C1758" s="53">
        <f>IF(A1758="","",YEAR(A1758))</f>
        <v/>
      </c>
      <c r="D1758" s="54">
        <f>IF(A1758="","",INDEX(lst_months,MONTH(A1758)))</f>
        <v/>
      </c>
      <c r="E1758" s="55" t="n"/>
      <c r="F1758" s="54">
        <f>IF(E1758="","",IFERROR(IF(INDEX(lst_exp_item_cat,MATCH(E1758,lst_exp_items,0))="","❔ Без категории",INDEX(lst_exp_item_cat,MATCH(E1758,lst_exp_items,0))),"❔ Без категории"))</f>
        <v/>
      </c>
      <c r="G1758" s="43" t="n"/>
      <c r="H1758" s="56" t="n"/>
      <c r="I1758" s="43" t="n"/>
      <c r="J1758" s="57">
        <f>IF(OR(A1758="",H1758=""),"",IF(COUNTIFS(exp_year,C1758,exp_month,D1758,exp_item,E1758,exp_status,"&lt;&gt;❌ Отменено")&gt;0,1,0))</f>
        <v/>
      </c>
    </row>
    <row r="1759">
      <c r="A1759" s="52" t="n"/>
      <c r="B1759" s="53">
        <f>IF(A1759="","",CHOOSE(WEEKDAY(A1759,2),"Пн","Вт","Ср","Чт","Пт","Сб","Вс"))</f>
        <v/>
      </c>
      <c r="C1759" s="53">
        <f>IF(A1759="","",YEAR(A1759))</f>
        <v/>
      </c>
      <c r="D1759" s="54">
        <f>IF(A1759="","",INDEX(lst_months,MONTH(A1759)))</f>
        <v/>
      </c>
      <c r="E1759" s="55" t="n"/>
      <c r="F1759" s="54">
        <f>IF(E1759="","",IFERROR(IF(INDEX(lst_exp_item_cat,MATCH(E1759,lst_exp_items,0))="","❔ Без категории",INDEX(lst_exp_item_cat,MATCH(E1759,lst_exp_items,0))),"❔ Без категории"))</f>
        <v/>
      </c>
      <c r="G1759" s="43" t="n"/>
      <c r="H1759" s="56" t="n"/>
      <c r="I1759" s="43" t="n"/>
      <c r="J1759" s="57">
        <f>IF(OR(A1759="",H1759=""),"",IF(COUNTIFS(exp_year,C1759,exp_month,D1759,exp_item,E1759,exp_status,"&lt;&gt;❌ Отменено")&gt;0,1,0))</f>
        <v/>
      </c>
    </row>
    <row r="1760">
      <c r="A1760" s="52" t="n"/>
      <c r="B1760" s="53">
        <f>IF(A1760="","",CHOOSE(WEEKDAY(A1760,2),"Пн","Вт","Ср","Чт","Пт","Сб","Вс"))</f>
        <v/>
      </c>
      <c r="C1760" s="53">
        <f>IF(A1760="","",YEAR(A1760))</f>
        <v/>
      </c>
      <c r="D1760" s="54">
        <f>IF(A1760="","",INDEX(lst_months,MONTH(A1760)))</f>
        <v/>
      </c>
      <c r="E1760" s="55" t="n"/>
      <c r="F1760" s="54">
        <f>IF(E1760="","",IFERROR(IF(INDEX(lst_exp_item_cat,MATCH(E1760,lst_exp_items,0))="","❔ Без категории",INDEX(lst_exp_item_cat,MATCH(E1760,lst_exp_items,0))),"❔ Без категории"))</f>
        <v/>
      </c>
      <c r="G1760" s="43" t="n"/>
      <c r="H1760" s="56" t="n"/>
      <c r="I1760" s="43" t="n"/>
      <c r="J1760" s="57">
        <f>IF(OR(A1760="",H1760=""),"",IF(COUNTIFS(exp_year,C1760,exp_month,D1760,exp_item,E1760,exp_status,"&lt;&gt;❌ Отменено")&gt;0,1,0))</f>
        <v/>
      </c>
    </row>
    <row r="1761">
      <c r="A1761" s="52" t="n"/>
      <c r="B1761" s="53">
        <f>IF(A1761="","",CHOOSE(WEEKDAY(A1761,2),"Пн","Вт","Ср","Чт","Пт","Сб","Вс"))</f>
        <v/>
      </c>
      <c r="C1761" s="53">
        <f>IF(A1761="","",YEAR(A1761))</f>
        <v/>
      </c>
      <c r="D1761" s="54">
        <f>IF(A1761="","",INDEX(lst_months,MONTH(A1761)))</f>
        <v/>
      </c>
      <c r="E1761" s="55" t="n"/>
      <c r="F1761" s="54">
        <f>IF(E1761="","",IFERROR(IF(INDEX(lst_exp_item_cat,MATCH(E1761,lst_exp_items,0))="","❔ Без категории",INDEX(lst_exp_item_cat,MATCH(E1761,lst_exp_items,0))),"❔ Без категории"))</f>
        <v/>
      </c>
      <c r="G1761" s="43" t="n"/>
      <c r="H1761" s="56" t="n"/>
      <c r="I1761" s="43" t="n"/>
      <c r="J1761" s="57">
        <f>IF(OR(A1761="",H1761=""),"",IF(COUNTIFS(exp_year,C1761,exp_month,D1761,exp_item,E1761,exp_status,"&lt;&gt;❌ Отменено")&gt;0,1,0))</f>
        <v/>
      </c>
    </row>
    <row r="1762">
      <c r="A1762" s="52" t="n"/>
      <c r="B1762" s="53">
        <f>IF(A1762="","",CHOOSE(WEEKDAY(A1762,2),"Пн","Вт","Ср","Чт","Пт","Сб","Вс"))</f>
        <v/>
      </c>
      <c r="C1762" s="53">
        <f>IF(A1762="","",YEAR(A1762))</f>
        <v/>
      </c>
      <c r="D1762" s="54">
        <f>IF(A1762="","",INDEX(lst_months,MONTH(A1762)))</f>
        <v/>
      </c>
      <c r="E1762" s="55" t="n"/>
      <c r="F1762" s="54">
        <f>IF(E1762="","",IFERROR(IF(INDEX(lst_exp_item_cat,MATCH(E1762,lst_exp_items,0))="","❔ Без категории",INDEX(lst_exp_item_cat,MATCH(E1762,lst_exp_items,0))),"❔ Без категории"))</f>
        <v/>
      </c>
      <c r="G1762" s="43" t="n"/>
      <c r="H1762" s="56" t="n"/>
      <c r="I1762" s="43" t="n"/>
      <c r="J1762" s="57">
        <f>IF(OR(A1762="",H1762=""),"",IF(COUNTIFS(exp_year,C1762,exp_month,D1762,exp_item,E1762,exp_status,"&lt;&gt;❌ Отменено")&gt;0,1,0))</f>
        <v/>
      </c>
    </row>
    <row r="1763">
      <c r="A1763" s="52" t="n"/>
      <c r="B1763" s="53">
        <f>IF(A1763="","",CHOOSE(WEEKDAY(A1763,2),"Пн","Вт","Ср","Чт","Пт","Сб","Вс"))</f>
        <v/>
      </c>
      <c r="C1763" s="53">
        <f>IF(A1763="","",YEAR(A1763))</f>
        <v/>
      </c>
      <c r="D1763" s="54">
        <f>IF(A1763="","",INDEX(lst_months,MONTH(A1763)))</f>
        <v/>
      </c>
      <c r="E1763" s="55" t="n"/>
      <c r="F1763" s="54">
        <f>IF(E1763="","",IFERROR(IF(INDEX(lst_exp_item_cat,MATCH(E1763,lst_exp_items,0))="","❔ Без категории",INDEX(lst_exp_item_cat,MATCH(E1763,lst_exp_items,0))),"❔ Без категории"))</f>
        <v/>
      </c>
      <c r="G1763" s="43" t="n"/>
      <c r="H1763" s="56" t="n"/>
      <c r="I1763" s="43" t="n"/>
      <c r="J1763" s="57">
        <f>IF(OR(A1763="",H1763=""),"",IF(COUNTIFS(exp_year,C1763,exp_month,D1763,exp_item,E1763,exp_status,"&lt;&gt;❌ Отменено")&gt;0,1,0))</f>
        <v/>
      </c>
    </row>
    <row r="1764">
      <c r="A1764" s="52" t="n"/>
      <c r="B1764" s="53">
        <f>IF(A1764="","",CHOOSE(WEEKDAY(A1764,2),"Пн","Вт","Ср","Чт","Пт","Сб","Вс"))</f>
        <v/>
      </c>
      <c r="C1764" s="53">
        <f>IF(A1764="","",YEAR(A1764))</f>
        <v/>
      </c>
      <c r="D1764" s="54">
        <f>IF(A1764="","",INDEX(lst_months,MONTH(A1764)))</f>
        <v/>
      </c>
      <c r="E1764" s="55" t="n"/>
      <c r="F1764" s="54">
        <f>IF(E1764="","",IFERROR(IF(INDEX(lst_exp_item_cat,MATCH(E1764,lst_exp_items,0))="","❔ Без категории",INDEX(lst_exp_item_cat,MATCH(E1764,lst_exp_items,0))),"❔ Без категории"))</f>
        <v/>
      </c>
      <c r="G1764" s="43" t="n"/>
      <c r="H1764" s="56" t="n"/>
      <c r="I1764" s="43" t="n"/>
      <c r="J1764" s="57">
        <f>IF(OR(A1764="",H1764=""),"",IF(COUNTIFS(exp_year,C1764,exp_month,D1764,exp_item,E1764,exp_status,"&lt;&gt;❌ Отменено")&gt;0,1,0))</f>
        <v/>
      </c>
    </row>
    <row r="1765">
      <c r="A1765" s="52" t="n"/>
      <c r="B1765" s="53">
        <f>IF(A1765="","",CHOOSE(WEEKDAY(A1765,2),"Пн","Вт","Ср","Чт","Пт","Сб","Вс"))</f>
        <v/>
      </c>
      <c r="C1765" s="53">
        <f>IF(A1765="","",YEAR(A1765))</f>
        <v/>
      </c>
      <c r="D1765" s="54">
        <f>IF(A1765="","",INDEX(lst_months,MONTH(A1765)))</f>
        <v/>
      </c>
      <c r="E1765" s="55" t="n"/>
      <c r="F1765" s="54">
        <f>IF(E1765="","",IFERROR(IF(INDEX(lst_exp_item_cat,MATCH(E1765,lst_exp_items,0))="","❔ Без категории",INDEX(lst_exp_item_cat,MATCH(E1765,lst_exp_items,0))),"❔ Без категории"))</f>
        <v/>
      </c>
      <c r="G1765" s="43" t="n"/>
      <c r="H1765" s="56" t="n"/>
      <c r="I1765" s="43" t="n"/>
      <c r="J1765" s="57">
        <f>IF(OR(A1765="",H1765=""),"",IF(COUNTIFS(exp_year,C1765,exp_month,D1765,exp_item,E1765,exp_status,"&lt;&gt;❌ Отменено")&gt;0,1,0))</f>
        <v/>
      </c>
    </row>
    <row r="1766">
      <c r="A1766" s="52" t="n"/>
      <c r="B1766" s="53">
        <f>IF(A1766="","",CHOOSE(WEEKDAY(A1766,2),"Пн","Вт","Ср","Чт","Пт","Сб","Вс"))</f>
        <v/>
      </c>
      <c r="C1766" s="53">
        <f>IF(A1766="","",YEAR(A1766))</f>
        <v/>
      </c>
      <c r="D1766" s="54">
        <f>IF(A1766="","",INDEX(lst_months,MONTH(A1766)))</f>
        <v/>
      </c>
      <c r="E1766" s="55" t="n"/>
      <c r="F1766" s="54">
        <f>IF(E1766="","",IFERROR(IF(INDEX(lst_exp_item_cat,MATCH(E1766,lst_exp_items,0))="","❔ Без категории",INDEX(lst_exp_item_cat,MATCH(E1766,lst_exp_items,0))),"❔ Без категории"))</f>
        <v/>
      </c>
      <c r="G1766" s="43" t="n"/>
      <c r="H1766" s="56" t="n"/>
      <c r="I1766" s="43" t="n"/>
      <c r="J1766" s="57">
        <f>IF(OR(A1766="",H1766=""),"",IF(COUNTIFS(exp_year,C1766,exp_month,D1766,exp_item,E1766,exp_status,"&lt;&gt;❌ Отменено")&gt;0,1,0))</f>
        <v/>
      </c>
    </row>
    <row r="1767">
      <c r="A1767" s="52" t="n"/>
      <c r="B1767" s="53">
        <f>IF(A1767="","",CHOOSE(WEEKDAY(A1767,2),"Пн","Вт","Ср","Чт","Пт","Сб","Вс"))</f>
        <v/>
      </c>
      <c r="C1767" s="53">
        <f>IF(A1767="","",YEAR(A1767))</f>
        <v/>
      </c>
      <c r="D1767" s="54">
        <f>IF(A1767="","",INDEX(lst_months,MONTH(A1767)))</f>
        <v/>
      </c>
      <c r="E1767" s="55" t="n"/>
      <c r="F1767" s="54">
        <f>IF(E1767="","",IFERROR(IF(INDEX(lst_exp_item_cat,MATCH(E1767,lst_exp_items,0))="","❔ Без категории",INDEX(lst_exp_item_cat,MATCH(E1767,lst_exp_items,0))),"❔ Без категории"))</f>
        <v/>
      </c>
      <c r="G1767" s="43" t="n"/>
      <c r="H1767" s="56" t="n"/>
      <c r="I1767" s="43" t="n"/>
      <c r="J1767" s="57">
        <f>IF(OR(A1767="",H1767=""),"",IF(COUNTIFS(exp_year,C1767,exp_month,D1767,exp_item,E1767,exp_status,"&lt;&gt;❌ Отменено")&gt;0,1,0))</f>
        <v/>
      </c>
    </row>
    <row r="1768">
      <c r="A1768" s="52" t="n"/>
      <c r="B1768" s="53">
        <f>IF(A1768="","",CHOOSE(WEEKDAY(A1768,2),"Пн","Вт","Ср","Чт","Пт","Сб","Вс"))</f>
        <v/>
      </c>
      <c r="C1768" s="53">
        <f>IF(A1768="","",YEAR(A1768))</f>
        <v/>
      </c>
      <c r="D1768" s="54">
        <f>IF(A1768="","",INDEX(lst_months,MONTH(A1768)))</f>
        <v/>
      </c>
      <c r="E1768" s="55" t="n"/>
      <c r="F1768" s="54">
        <f>IF(E1768="","",IFERROR(IF(INDEX(lst_exp_item_cat,MATCH(E1768,lst_exp_items,0))="","❔ Без категории",INDEX(lst_exp_item_cat,MATCH(E1768,lst_exp_items,0))),"❔ Без категории"))</f>
        <v/>
      </c>
      <c r="G1768" s="43" t="n"/>
      <c r="H1768" s="56" t="n"/>
      <c r="I1768" s="43" t="n"/>
      <c r="J1768" s="57">
        <f>IF(OR(A1768="",H1768=""),"",IF(COUNTIFS(exp_year,C1768,exp_month,D1768,exp_item,E1768,exp_status,"&lt;&gt;❌ Отменено")&gt;0,1,0))</f>
        <v/>
      </c>
    </row>
    <row r="1769">
      <c r="A1769" s="52" t="n"/>
      <c r="B1769" s="53">
        <f>IF(A1769="","",CHOOSE(WEEKDAY(A1769,2),"Пн","Вт","Ср","Чт","Пт","Сб","Вс"))</f>
        <v/>
      </c>
      <c r="C1769" s="53">
        <f>IF(A1769="","",YEAR(A1769))</f>
        <v/>
      </c>
      <c r="D1769" s="54">
        <f>IF(A1769="","",INDEX(lst_months,MONTH(A1769)))</f>
        <v/>
      </c>
      <c r="E1769" s="55" t="n"/>
      <c r="F1769" s="54">
        <f>IF(E1769="","",IFERROR(IF(INDEX(lst_exp_item_cat,MATCH(E1769,lst_exp_items,0))="","❔ Без категории",INDEX(lst_exp_item_cat,MATCH(E1769,lst_exp_items,0))),"❔ Без категории"))</f>
        <v/>
      </c>
      <c r="G1769" s="43" t="n"/>
      <c r="H1769" s="56" t="n"/>
      <c r="I1769" s="43" t="n"/>
      <c r="J1769" s="57">
        <f>IF(OR(A1769="",H1769=""),"",IF(COUNTIFS(exp_year,C1769,exp_month,D1769,exp_item,E1769,exp_status,"&lt;&gt;❌ Отменено")&gt;0,1,0))</f>
        <v/>
      </c>
    </row>
    <row r="1770">
      <c r="A1770" s="52" t="n"/>
      <c r="B1770" s="53">
        <f>IF(A1770="","",CHOOSE(WEEKDAY(A1770,2),"Пн","Вт","Ср","Чт","Пт","Сб","Вс"))</f>
        <v/>
      </c>
      <c r="C1770" s="53">
        <f>IF(A1770="","",YEAR(A1770))</f>
        <v/>
      </c>
      <c r="D1770" s="54">
        <f>IF(A1770="","",INDEX(lst_months,MONTH(A1770)))</f>
        <v/>
      </c>
      <c r="E1770" s="55" t="n"/>
      <c r="F1770" s="54">
        <f>IF(E1770="","",IFERROR(IF(INDEX(lst_exp_item_cat,MATCH(E1770,lst_exp_items,0))="","❔ Без категории",INDEX(lst_exp_item_cat,MATCH(E1770,lst_exp_items,0))),"❔ Без категории"))</f>
        <v/>
      </c>
      <c r="G1770" s="43" t="n"/>
      <c r="H1770" s="56" t="n"/>
      <c r="I1770" s="43" t="n"/>
      <c r="J1770" s="57">
        <f>IF(OR(A1770="",H1770=""),"",IF(COUNTIFS(exp_year,C1770,exp_month,D1770,exp_item,E1770,exp_status,"&lt;&gt;❌ Отменено")&gt;0,1,0))</f>
        <v/>
      </c>
    </row>
    <row r="1771">
      <c r="A1771" s="52" t="n"/>
      <c r="B1771" s="53">
        <f>IF(A1771="","",CHOOSE(WEEKDAY(A1771,2),"Пн","Вт","Ср","Чт","Пт","Сб","Вс"))</f>
        <v/>
      </c>
      <c r="C1771" s="53">
        <f>IF(A1771="","",YEAR(A1771))</f>
        <v/>
      </c>
      <c r="D1771" s="54">
        <f>IF(A1771="","",INDEX(lst_months,MONTH(A1771)))</f>
        <v/>
      </c>
      <c r="E1771" s="55" t="n"/>
      <c r="F1771" s="54">
        <f>IF(E1771="","",IFERROR(IF(INDEX(lst_exp_item_cat,MATCH(E1771,lst_exp_items,0))="","❔ Без категории",INDEX(lst_exp_item_cat,MATCH(E1771,lst_exp_items,0))),"❔ Без категории"))</f>
        <v/>
      </c>
      <c r="G1771" s="43" t="n"/>
      <c r="H1771" s="56" t="n"/>
      <c r="I1771" s="43" t="n"/>
      <c r="J1771" s="57">
        <f>IF(OR(A1771="",H1771=""),"",IF(COUNTIFS(exp_year,C1771,exp_month,D1771,exp_item,E1771,exp_status,"&lt;&gt;❌ Отменено")&gt;0,1,0))</f>
        <v/>
      </c>
    </row>
    <row r="1772">
      <c r="A1772" s="52" t="n"/>
      <c r="B1772" s="53">
        <f>IF(A1772="","",CHOOSE(WEEKDAY(A1772,2),"Пн","Вт","Ср","Чт","Пт","Сб","Вс"))</f>
        <v/>
      </c>
      <c r="C1772" s="53">
        <f>IF(A1772="","",YEAR(A1772))</f>
        <v/>
      </c>
      <c r="D1772" s="54">
        <f>IF(A1772="","",INDEX(lst_months,MONTH(A1772)))</f>
        <v/>
      </c>
      <c r="E1772" s="55" t="n"/>
      <c r="F1772" s="54">
        <f>IF(E1772="","",IFERROR(IF(INDEX(lst_exp_item_cat,MATCH(E1772,lst_exp_items,0))="","❔ Без категории",INDEX(lst_exp_item_cat,MATCH(E1772,lst_exp_items,0))),"❔ Без категории"))</f>
        <v/>
      </c>
      <c r="G1772" s="43" t="n"/>
      <c r="H1772" s="56" t="n"/>
      <c r="I1772" s="43" t="n"/>
      <c r="J1772" s="57">
        <f>IF(OR(A1772="",H1772=""),"",IF(COUNTIFS(exp_year,C1772,exp_month,D1772,exp_item,E1772,exp_status,"&lt;&gt;❌ Отменено")&gt;0,1,0))</f>
        <v/>
      </c>
    </row>
    <row r="1773">
      <c r="A1773" s="52" t="n"/>
      <c r="B1773" s="53">
        <f>IF(A1773="","",CHOOSE(WEEKDAY(A1773,2),"Пн","Вт","Ср","Чт","Пт","Сб","Вс"))</f>
        <v/>
      </c>
      <c r="C1773" s="53">
        <f>IF(A1773="","",YEAR(A1773))</f>
        <v/>
      </c>
      <c r="D1773" s="54">
        <f>IF(A1773="","",INDEX(lst_months,MONTH(A1773)))</f>
        <v/>
      </c>
      <c r="E1773" s="55" t="n"/>
      <c r="F1773" s="54">
        <f>IF(E1773="","",IFERROR(IF(INDEX(lst_exp_item_cat,MATCH(E1773,lst_exp_items,0))="","❔ Без категории",INDEX(lst_exp_item_cat,MATCH(E1773,lst_exp_items,0))),"❔ Без категории"))</f>
        <v/>
      </c>
      <c r="G1773" s="43" t="n"/>
      <c r="H1773" s="56" t="n"/>
      <c r="I1773" s="43" t="n"/>
      <c r="J1773" s="57">
        <f>IF(OR(A1773="",H1773=""),"",IF(COUNTIFS(exp_year,C1773,exp_month,D1773,exp_item,E1773,exp_status,"&lt;&gt;❌ Отменено")&gt;0,1,0))</f>
        <v/>
      </c>
    </row>
    <row r="1774">
      <c r="A1774" s="52" t="n"/>
      <c r="B1774" s="53">
        <f>IF(A1774="","",CHOOSE(WEEKDAY(A1774,2),"Пн","Вт","Ср","Чт","Пт","Сб","Вс"))</f>
        <v/>
      </c>
      <c r="C1774" s="53">
        <f>IF(A1774="","",YEAR(A1774))</f>
        <v/>
      </c>
      <c r="D1774" s="54">
        <f>IF(A1774="","",INDEX(lst_months,MONTH(A1774)))</f>
        <v/>
      </c>
      <c r="E1774" s="55" t="n"/>
      <c r="F1774" s="54">
        <f>IF(E1774="","",IFERROR(IF(INDEX(lst_exp_item_cat,MATCH(E1774,lst_exp_items,0))="","❔ Без категории",INDEX(lst_exp_item_cat,MATCH(E1774,lst_exp_items,0))),"❔ Без категории"))</f>
        <v/>
      </c>
      <c r="G1774" s="43" t="n"/>
      <c r="H1774" s="56" t="n"/>
      <c r="I1774" s="43" t="n"/>
      <c r="J1774" s="57">
        <f>IF(OR(A1774="",H1774=""),"",IF(COUNTIFS(exp_year,C1774,exp_month,D1774,exp_item,E1774,exp_status,"&lt;&gt;❌ Отменено")&gt;0,1,0))</f>
        <v/>
      </c>
    </row>
    <row r="1775">
      <c r="A1775" s="52" t="n"/>
      <c r="B1775" s="53">
        <f>IF(A1775="","",CHOOSE(WEEKDAY(A1775,2),"Пн","Вт","Ср","Чт","Пт","Сб","Вс"))</f>
        <v/>
      </c>
      <c r="C1775" s="53">
        <f>IF(A1775="","",YEAR(A1775))</f>
        <v/>
      </c>
      <c r="D1775" s="54">
        <f>IF(A1775="","",INDEX(lst_months,MONTH(A1775)))</f>
        <v/>
      </c>
      <c r="E1775" s="55" t="n"/>
      <c r="F1775" s="54">
        <f>IF(E1775="","",IFERROR(IF(INDEX(lst_exp_item_cat,MATCH(E1775,lst_exp_items,0))="","❔ Без категории",INDEX(lst_exp_item_cat,MATCH(E1775,lst_exp_items,0))),"❔ Без категории"))</f>
        <v/>
      </c>
      <c r="G1775" s="43" t="n"/>
      <c r="H1775" s="56" t="n"/>
      <c r="I1775" s="43" t="n"/>
      <c r="J1775" s="57">
        <f>IF(OR(A1775="",H1775=""),"",IF(COUNTIFS(exp_year,C1775,exp_month,D1775,exp_item,E1775,exp_status,"&lt;&gt;❌ Отменено")&gt;0,1,0))</f>
        <v/>
      </c>
    </row>
    <row r="1776">
      <c r="A1776" s="52" t="n"/>
      <c r="B1776" s="53">
        <f>IF(A1776="","",CHOOSE(WEEKDAY(A1776,2),"Пн","Вт","Ср","Чт","Пт","Сб","Вс"))</f>
        <v/>
      </c>
      <c r="C1776" s="53">
        <f>IF(A1776="","",YEAR(A1776))</f>
        <v/>
      </c>
      <c r="D1776" s="54">
        <f>IF(A1776="","",INDEX(lst_months,MONTH(A1776)))</f>
        <v/>
      </c>
      <c r="E1776" s="55" t="n"/>
      <c r="F1776" s="54">
        <f>IF(E1776="","",IFERROR(IF(INDEX(lst_exp_item_cat,MATCH(E1776,lst_exp_items,0))="","❔ Без категории",INDEX(lst_exp_item_cat,MATCH(E1776,lst_exp_items,0))),"❔ Без категории"))</f>
        <v/>
      </c>
      <c r="G1776" s="43" t="n"/>
      <c r="H1776" s="56" t="n"/>
      <c r="I1776" s="43" t="n"/>
      <c r="J1776" s="57">
        <f>IF(OR(A1776="",H1776=""),"",IF(COUNTIFS(exp_year,C1776,exp_month,D1776,exp_item,E1776,exp_status,"&lt;&gt;❌ Отменено")&gt;0,1,0))</f>
        <v/>
      </c>
    </row>
    <row r="1777">
      <c r="A1777" s="52" t="n"/>
      <c r="B1777" s="53">
        <f>IF(A1777="","",CHOOSE(WEEKDAY(A1777,2),"Пн","Вт","Ср","Чт","Пт","Сб","Вс"))</f>
        <v/>
      </c>
      <c r="C1777" s="53">
        <f>IF(A1777="","",YEAR(A1777))</f>
        <v/>
      </c>
      <c r="D1777" s="54">
        <f>IF(A1777="","",INDEX(lst_months,MONTH(A1777)))</f>
        <v/>
      </c>
      <c r="E1777" s="55" t="n"/>
      <c r="F1777" s="54">
        <f>IF(E1777="","",IFERROR(IF(INDEX(lst_exp_item_cat,MATCH(E1777,lst_exp_items,0))="","❔ Без категории",INDEX(lst_exp_item_cat,MATCH(E1777,lst_exp_items,0))),"❔ Без категории"))</f>
        <v/>
      </c>
      <c r="G1777" s="43" t="n"/>
      <c r="H1777" s="56" t="n"/>
      <c r="I1777" s="43" t="n"/>
      <c r="J1777" s="57">
        <f>IF(OR(A1777="",H1777=""),"",IF(COUNTIFS(exp_year,C1777,exp_month,D1777,exp_item,E1777,exp_status,"&lt;&gt;❌ Отменено")&gt;0,1,0))</f>
        <v/>
      </c>
    </row>
    <row r="1778">
      <c r="A1778" s="52" t="n"/>
      <c r="B1778" s="53">
        <f>IF(A1778="","",CHOOSE(WEEKDAY(A1778,2),"Пн","Вт","Ср","Чт","Пт","Сб","Вс"))</f>
        <v/>
      </c>
      <c r="C1778" s="53">
        <f>IF(A1778="","",YEAR(A1778))</f>
        <v/>
      </c>
      <c r="D1778" s="54">
        <f>IF(A1778="","",INDEX(lst_months,MONTH(A1778)))</f>
        <v/>
      </c>
      <c r="E1778" s="55" t="n"/>
      <c r="F1778" s="54">
        <f>IF(E1778="","",IFERROR(IF(INDEX(lst_exp_item_cat,MATCH(E1778,lst_exp_items,0))="","❔ Без категории",INDEX(lst_exp_item_cat,MATCH(E1778,lst_exp_items,0))),"❔ Без категории"))</f>
        <v/>
      </c>
      <c r="G1778" s="43" t="n"/>
      <c r="H1778" s="56" t="n"/>
      <c r="I1778" s="43" t="n"/>
      <c r="J1778" s="57">
        <f>IF(OR(A1778="",H1778=""),"",IF(COUNTIFS(exp_year,C1778,exp_month,D1778,exp_item,E1778,exp_status,"&lt;&gt;❌ Отменено")&gt;0,1,0))</f>
        <v/>
      </c>
    </row>
    <row r="1779">
      <c r="A1779" s="52" t="n"/>
      <c r="B1779" s="53">
        <f>IF(A1779="","",CHOOSE(WEEKDAY(A1779,2),"Пн","Вт","Ср","Чт","Пт","Сб","Вс"))</f>
        <v/>
      </c>
      <c r="C1779" s="53">
        <f>IF(A1779="","",YEAR(A1779))</f>
        <v/>
      </c>
      <c r="D1779" s="54">
        <f>IF(A1779="","",INDEX(lst_months,MONTH(A1779)))</f>
        <v/>
      </c>
      <c r="E1779" s="55" t="n"/>
      <c r="F1779" s="54">
        <f>IF(E1779="","",IFERROR(IF(INDEX(lst_exp_item_cat,MATCH(E1779,lst_exp_items,0))="","❔ Без категории",INDEX(lst_exp_item_cat,MATCH(E1779,lst_exp_items,0))),"❔ Без категории"))</f>
        <v/>
      </c>
      <c r="G1779" s="43" t="n"/>
      <c r="H1779" s="56" t="n"/>
      <c r="I1779" s="43" t="n"/>
      <c r="J1779" s="57">
        <f>IF(OR(A1779="",H1779=""),"",IF(COUNTIFS(exp_year,C1779,exp_month,D1779,exp_item,E1779,exp_status,"&lt;&gt;❌ Отменено")&gt;0,1,0))</f>
        <v/>
      </c>
    </row>
    <row r="1780">
      <c r="A1780" s="52" t="n"/>
      <c r="B1780" s="53">
        <f>IF(A1780="","",CHOOSE(WEEKDAY(A1780,2),"Пн","Вт","Ср","Чт","Пт","Сб","Вс"))</f>
        <v/>
      </c>
      <c r="C1780" s="53">
        <f>IF(A1780="","",YEAR(A1780))</f>
        <v/>
      </c>
      <c r="D1780" s="54">
        <f>IF(A1780="","",INDEX(lst_months,MONTH(A1780)))</f>
        <v/>
      </c>
      <c r="E1780" s="55" t="n"/>
      <c r="F1780" s="54">
        <f>IF(E1780="","",IFERROR(IF(INDEX(lst_exp_item_cat,MATCH(E1780,lst_exp_items,0))="","❔ Без категории",INDEX(lst_exp_item_cat,MATCH(E1780,lst_exp_items,0))),"❔ Без категории"))</f>
        <v/>
      </c>
      <c r="G1780" s="43" t="n"/>
      <c r="H1780" s="56" t="n"/>
      <c r="I1780" s="43" t="n"/>
      <c r="J1780" s="57">
        <f>IF(OR(A1780="",H1780=""),"",IF(COUNTIFS(exp_year,C1780,exp_month,D1780,exp_item,E1780,exp_status,"&lt;&gt;❌ Отменено")&gt;0,1,0))</f>
        <v/>
      </c>
    </row>
    <row r="1781">
      <c r="A1781" s="52" t="n"/>
      <c r="B1781" s="53">
        <f>IF(A1781="","",CHOOSE(WEEKDAY(A1781,2),"Пн","Вт","Ср","Чт","Пт","Сб","Вс"))</f>
        <v/>
      </c>
      <c r="C1781" s="53">
        <f>IF(A1781="","",YEAR(A1781))</f>
        <v/>
      </c>
      <c r="D1781" s="54">
        <f>IF(A1781="","",INDEX(lst_months,MONTH(A1781)))</f>
        <v/>
      </c>
      <c r="E1781" s="55" t="n"/>
      <c r="F1781" s="54">
        <f>IF(E1781="","",IFERROR(IF(INDEX(lst_exp_item_cat,MATCH(E1781,lst_exp_items,0))="","❔ Без категории",INDEX(lst_exp_item_cat,MATCH(E1781,lst_exp_items,0))),"❔ Без категории"))</f>
        <v/>
      </c>
      <c r="G1781" s="43" t="n"/>
      <c r="H1781" s="56" t="n"/>
      <c r="I1781" s="43" t="n"/>
      <c r="J1781" s="57">
        <f>IF(OR(A1781="",H1781=""),"",IF(COUNTIFS(exp_year,C1781,exp_month,D1781,exp_item,E1781,exp_status,"&lt;&gt;❌ Отменено")&gt;0,1,0))</f>
        <v/>
      </c>
    </row>
    <row r="1782">
      <c r="A1782" s="52" t="n"/>
      <c r="B1782" s="53">
        <f>IF(A1782="","",CHOOSE(WEEKDAY(A1782,2),"Пн","Вт","Ср","Чт","Пт","Сб","Вс"))</f>
        <v/>
      </c>
      <c r="C1782" s="53">
        <f>IF(A1782="","",YEAR(A1782))</f>
        <v/>
      </c>
      <c r="D1782" s="54">
        <f>IF(A1782="","",INDEX(lst_months,MONTH(A1782)))</f>
        <v/>
      </c>
      <c r="E1782" s="55" t="n"/>
      <c r="F1782" s="54">
        <f>IF(E1782="","",IFERROR(IF(INDEX(lst_exp_item_cat,MATCH(E1782,lst_exp_items,0))="","❔ Без категории",INDEX(lst_exp_item_cat,MATCH(E1782,lst_exp_items,0))),"❔ Без категории"))</f>
        <v/>
      </c>
      <c r="G1782" s="43" t="n"/>
      <c r="H1782" s="56" t="n"/>
      <c r="I1782" s="43" t="n"/>
      <c r="J1782" s="57">
        <f>IF(OR(A1782="",H1782=""),"",IF(COUNTIFS(exp_year,C1782,exp_month,D1782,exp_item,E1782,exp_status,"&lt;&gt;❌ Отменено")&gt;0,1,0))</f>
        <v/>
      </c>
    </row>
    <row r="1783">
      <c r="A1783" s="52" t="n"/>
      <c r="B1783" s="53">
        <f>IF(A1783="","",CHOOSE(WEEKDAY(A1783,2),"Пн","Вт","Ср","Чт","Пт","Сб","Вс"))</f>
        <v/>
      </c>
      <c r="C1783" s="53">
        <f>IF(A1783="","",YEAR(A1783))</f>
        <v/>
      </c>
      <c r="D1783" s="54">
        <f>IF(A1783="","",INDEX(lst_months,MONTH(A1783)))</f>
        <v/>
      </c>
      <c r="E1783" s="55" t="n"/>
      <c r="F1783" s="54">
        <f>IF(E1783="","",IFERROR(IF(INDEX(lst_exp_item_cat,MATCH(E1783,lst_exp_items,0))="","❔ Без категории",INDEX(lst_exp_item_cat,MATCH(E1783,lst_exp_items,0))),"❔ Без категории"))</f>
        <v/>
      </c>
      <c r="G1783" s="43" t="n"/>
      <c r="H1783" s="56" t="n"/>
      <c r="I1783" s="43" t="n"/>
      <c r="J1783" s="57">
        <f>IF(OR(A1783="",H1783=""),"",IF(COUNTIFS(exp_year,C1783,exp_month,D1783,exp_item,E1783,exp_status,"&lt;&gt;❌ Отменено")&gt;0,1,0))</f>
        <v/>
      </c>
    </row>
    <row r="1784">
      <c r="A1784" s="52" t="n"/>
      <c r="B1784" s="53">
        <f>IF(A1784="","",CHOOSE(WEEKDAY(A1784,2),"Пн","Вт","Ср","Чт","Пт","Сб","Вс"))</f>
        <v/>
      </c>
      <c r="C1784" s="53">
        <f>IF(A1784="","",YEAR(A1784))</f>
        <v/>
      </c>
      <c r="D1784" s="54">
        <f>IF(A1784="","",INDEX(lst_months,MONTH(A1784)))</f>
        <v/>
      </c>
      <c r="E1784" s="55" t="n"/>
      <c r="F1784" s="54">
        <f>IF(E1784="","",IFERROR(IF(INDEX(lst_exp_item_cat,MATCH(E1784,lst_exp_items,0))="","❔ Без категории",INDEX(lst_exp_item_cat,MATCH(E1784,lst_exp_items,0))),"❔ Без категории"))</f>
        <v/>
      </c>
      <c r="G1784" s="43" t="n"/>
      <c r="H1784" s="56" t="n"/>
      <c r="I1784" s="43" t="n"/>
      <c r="J1784" s="57">
        <f>IF(OR(A1784="",H1784=""),"",IF(COUNTIFS(exp_year,C1784,exp_month,D1784,exp_item,E1784,exp_status,"&lt;&gt;❌ Отменено")&gt;0,1,0))</f>
        <v/>
      </c>
    </row>
    <row r="1785">
      <c r="A1785" s="52" t="n"/>
      <c r="B1785" s="53">
        <f>IF(A1785="","",CHOOSE(WEEKDAY(A1785,2),"Пн","Вт","Ср","Чт","Пт","Сб","Вс"))</f>
        <v/>
      </c>
      <c r="C1785" s="53">
        <f>IF(A1785="","",YEAR(A1785))</f>
        <v/>
      </c>
      <c r="D1785" s="54">
        <f>IF(A1785="","",INDEX(lst_months,MONTH(A1785)))</f>
        <v/>
      </c>
      <c r="E1785" s="55" t="n"/>
      <c r="F1785" s="54">
        <f>IF(E1785="","",IFERROR(IF(INDEX(lst_exp_item_cat,MATCH(E1785,lst_exp_items,0))="","❔ Без категории",INDEX(lst_exp_item_cat,MATCH(E1785,lst_exp_items,0))),"❔ Без категории"))</f>
        <v/>
      </c>
      <c r="G1785" s="43" t="n"/>
      <c r="H1785" s="56" t="n"/>
      <c r="I1785" s="43" t="n"/>
      <c r="J1785" s="57">
        <f>IF(OR(A1785="",H1785=""),"",IF(COUNTIFS(exp_year,C1785,exp_month,D1785,exp_item,E1785,exp_status,"&lt;&gt;❌ Отменено")&gt;0,1,0))</f>
        <v/>
      </c>
    </row>
    <row r="1786">
      <c r="A1786" s="52" t="n"/>
      <c r="B1786" s="53">
        <f>IF(A1786="","",CHOOSE(WEEKDAY(A1786,2),"Пн","Вт","Ср","Чт","Пт","Сб","Вс"))</f>
        <v/>
      </c>
      <c r="C1786" s="53">
        <f>IF(A1786="","",YEAR(A1786))</f>
        <v/>
      </c>
      <c r="D1786" s="54">
        <f>IF(A1786="","",INDEX(lst_months,MONTH(A1786)))</f>
        <v/>
      </c>
      <c r="E1786" s="55" t="n"/>
      <c r="F1786" s="54">
        <f>IF(E1786="","",IFERROR(IF(INDEX(lst_exp_item_cat,MATCH(E1786,lst_exp_items,0))="","❔ Без категории",INDEX(lst_exp_item_cat,MATCH(E1786,lst_exp_items,0))),"❔ Без категории"))</f>
        <v/>
      </c>
      <c r="G1786" s="43" t="n"/>
      <c r="H1786" s="56" t="n"/>
      <c r="I1786" s="43" t="n"/>
      <c r="J1786" s="57">
        <f>IF(OR(A1786="",H1786=""),"",IF(COUNTIFS(exp_year,C1786,exp_month,D1786,exp_item,E1786,exp_status,"&lt;&gt;❌ Отменено")&gt;0,1,0))</f>
        <v/>
      </c>
    </row>
    <row r="1787">
      <c r="A1787" s="52" t="n"/>
      <c r="B1787" s="53">
        <f>IF(A1787="","",CHOOSE(WEEKDAY(A1787,2),"Пн","Вт","Ср","Чт","Пт","Сб","Вс"))</f>
        <v/>
      </c>
      <c r="C1787" s="53">
        <f>IF(A1787="","",YEAR(A1787))</f>
        <v/>
      </c>
      <c r="D1787" s="54">
        <f>IF(A1787="","",INDEX(lst_months,MONTH(A1787)))</f>
        <v/>
      </c>
      <c r="E1787" s="55" t="n"/>
      <c r="F1787" s="54">
        <f>IF(E1787="","",IFERROR(IF(INDEX(lst_exp_item_cat,MATCH(E1787,lst_exp_items,0))="","❔ Без категории",INDEX(lst_exp_item_cat,MATCH(E1787,lst_exp_items,0))),"❔ Без категории"))</f>
        <v/>
      </c>
      <c r="G1787" s="43" t="n"/>
      <c r="H1787" s="56" t="n"/>
      <c r="I1787" s="43" t="n"/>
      <c r="J1787" s="57">
        <f>IF(OR(A1787="",H1787=""),"",IF(COUNTIFS(exp_year,C1787,exp_month,D1787,exp_item,E1787,exp_status,"&lt;&gt;❌ Отменено")&gt;0,1,0))</f>
        <v/>
      </c>
    </row>
    <row r="1788">
      <c r="A1788" s="52" t="n"/>
      <c r="B1788" s="53">
        <f>IF(A1788="","",CHOOSE(WEEKDAY(A1788,2),"Пн","Вт","Ср","Чт","Пт","Сб","Вс"))</f>
        <v/>
      </c>
      <c r="C1788" s="53">
        <f>IF(A1788="","",YEAR(A1788))</f>
        <v/>
      </c>
      <c r="D1788" s="54">
        <f>IF(A1788="","",INDEX(lst_months,MONTH(A1788)))</f>
        <v/>
      </c>
      <c r="E1788" s="55" t="n"/>
      <c r="F1788" s="54">
        <f>IF(E1788="","",IFERROR(IF(INDEX(lst_exp_item_cat,MATCH(E1788,lst_exp_items,0))="","❔ Без категории",INDEX(lst_exp_item_cat,MATCH(E1788,lst_exp_items,0))),"❔ Без категории"))</f>
        <v/>
      </c>
      <c r="G1788" s="43" t="n"/>
      <c r="H1788" s="56" t="n"/>
      <c r="I1788" s="43" t="n"/>
      <c r="J1788" s="57">
        <f>IF(OR(A1788="",H1788=""),"",IF(COUNTIFS(exp_year,C1788,exp_month,D1788,exp_item,E1788,exp_status,"&lt;&gt;❌ Отменено")&gt;0,1,0))</f>
        <v/>
      </c>
    </row>
    <row r="1789">
      <c r="A1789" s="52" t="n"/>
      <c r="B1789" s="53">
        <f>IF(A1789="","",CHOOSE(WEEKDAY(A1789,2),"Пн","Вт","Ср","Чт","Пт","Сб","Вс"))</f>
        <v/>
      </c>
      <c r="C1789" s="53">
        <f>IF(A1789="","",YEAR(A1789))</f>
        <v/>
      </c>
      <c r="D1789" s="54">
        <f>IF(A1789="","",INDEX(lst_months,MONTH(A1789)))</f>
        <v/>
      </c>
      <c r="E1789" s="55" t="n"/>
      <c r="F1789" s="54">
        <f>IF(E1789="","",IFERROR(IF(INDEX(lst_exp_item_cat,MATCH(E1789,lst_exp_items,0))="","❔ Без категории",INDEX(lst_exp_item_cat,MATCH(E1789,lst_exp_items,0))),"❔ Без категории"))</f>
        <v/>
      </c>
      <c r="G1789" s="43" t="n"/>
      <c r="H1789" s="56" t="n"/>
      <c r="I1789" s="43" t="n"/>
      <c r="J1789" s="57">
        <f>IF(OR(A1789="",H1789=""),"",IF(COUNTIFS(exp_year,C1789,exp_month,D1789,exp_item,E1789,exp_status,"&lt;&gt;❌ Отменено")&gt;0,1,0))</f>
        <v/>
      </c>
    </row>
    <row r="1790">
      <c r="A1790" s="52" t="n"/>
      <c r="B1790" s="53">
        <f>IF(A1790="","",CHOOSE(WEEKDAY(A1790,2),"Пн","Вт","Ср","Чт","Пт","Сб","Вс"))</f>
        <v/>
      </c>
      <c r="C1790" s="53">
        <f>IF(A1790="","",YEAR(A1790))</f>
        <v/>
      </c>
      <c r="D1790" s="54">
        <f>IF(A1790="","",INDEX(lst_months,MONTH(A1790)))</f>
        <v/>
      </c>
      <c r="E1790" s="55" t="n"/>
      <c r="F1790" s="54">
        <f>IF(E1790="","",IFERROR(IF(INDEX(lst_exp_item_cat,MATCH(E1790,lst_exp_items,0))="","❔ Без категории",INDEX(lst_exp_item_cat,MATCH(E1790,lst_exp_items,0))),"❔ Без категории"))</f>
        <v/>
      </c>
      <c r="G1790" s="43" t="n"/>
      <c r="H1790" s="56" t="n"/>
      <c r="I1790" s="43" t="n"/>
      <c r="J1790" s="57">
        <f>IF(OR(A1790="",H1790=""),"",IF(COUNTIFS(exp_year,C1790,exp_month,D1790,exp_item,E1790,exp_status,"&lt;&gt;❌ Отменено")&gt;0,1,0))</f>
        <v/>
      </c>
    </row>
    <row r="1791">
      <c r="A1791" s="52" t="n"/>
      <c r="B1791" s="53">
        <f>IF(A1791="","",CHOOSE(WEEKDAY(A1791,2),"Пн","Вт","Ср","Чт","Пт","Сб","Вс"))</f>
        <v/>
      </c>
      <c r="C1791" s="53">
        <f>IF(A1791="","",YEAR(A1791))</f>
        <v/>
      </c>
      <c r="D1791" s="54">
        <f>IF(A1791="","",INDEX(lst_months,MONTH(A1791)))</f>
        <v/>
      </c>
      <c r="E1791" s="55" t="n"/>
      <c r="F1791" s="54">
        <f>IF(E1791="","",IFERROR(IF(INDEX(lst_exp_item_cat,MATCH(E1791,lst_exp_items,0))="","❔ Без категории",INDEX(lst_exp_item_cat,MATCH(E1791,lst_exp_items,0))),"❔ Без категории"))</f>
        <v/>
      </c>
      <c r="G1791" s="43" t="n"/>
      <c r="H1791" s="56" t="n"/>
      <c r="I1791" s="43" t="n"/>
      <c r="J1791" s="57">
        <f>IF(OR(A1791="",H1791=""),"",IF(COUNTIFS(exp_year,C1791,exp_month,D1791,exp_item,E1791,exp_status,"&lt;&gt;❌ Отменено")&gt;0,1,0))</f>
        <v/>
      </c>
    </row>
    <row r="1792">
      <c r="A1792" s="52" t="n"/>
      <c r="B1792" s="53">
        <f>IF(A1792="","",CHOOSE(WEEKDAY(A1792,2),"Пн","Вт","Ср","Чт","Пт","Сб","Вс"))</f>
        <v/>
      </c>
      <c r="C1792" s="53">
        <f>IF(A1792="","",YEAR(A1792))</f>
        <v/>
      </c>
      <c r="D1792" s="54">
        <f>IF(A1792="","",INDEX(lst_months,MONTH(A1792)))</f>
        <v/>
      </c>
      <c r="E1792" s="55" t="n"/>
      <c r="F1792" s="54">
        <f>IF(E1792="","",IFERROR(IF(INDEX(lst_exp_item_cat,MATCH(E1792,lst_exp_items,0))="","❔ Без категории",INDEX(lst_exp_item_cat,MATCH(E1792,lst_exp_items,0))),"❔ Без категории"))</f>
        <v/>
      </c>
      <c r="G1792" s="43" t="n"/>
      <c r="H1792" s="56" t="n"/>
      <c r="I1792" s="43" t="n"/>
      <c r="J1792" s="57">
        <f>IF(OR(A1792="",H1792=""),"",IF(COUNTIFS(exp_year,C1792,exp_month,D1792,exp_item,E1792,exp_status,"&lt;&gt;❌ Отменено")&gt;0,1,0))</f>
        <v/>
      </c>
    </row>
    <row r="1793">
      <c r="A1793" s="52" t="n"/>
      <c r="B1793" s="53">
        <f>IF(A1793="","",CHOOSE(WEEKDAY(A1793,2),"Пн","Вт","Ср","Чт","Пт","Сб","Вс"))</f>
        <v/>
      </c>
      <c r="C1793" s="53">
        <f>IF(A1793="","",YEAR(A1793))</f>
        <v/>
      </c>
      <c r="D1793" s="54">
        <f>IF(A1793="","",INDEX(lst_months,MONTH(A1793)))</f>
        <v/>
      </c>
      <c r="E1793" s="55" t="n"/>
      <c r="F1793" s="54">
        <f>IF(E1793="","",IFERROR(IF(INDEX(lst_exp_item_cat,MATCH(E1793,lst_exp_items,0))="","❔ Без категории",INDEX(lst_exp_item_cat,MATCH(E1793,lst_exp_items,0))),"❔ Без категории"))</f>
        <v/>
      </c>
      <c r="G1793" s="43" t="n"/>
      <c r="H1793" s="56" t="n"/>
      <c r="I1793" s="43" t="n"/>
      <c r="J1793" s="57">
        <f>IF(OR(A1793="",H1793=""),"",IF(COUNTIFS(exp_year,C1793,exp_month,D1793,exp_item,E1793,exp_status,"&lt;&gt;❌ Отменено")&gt;0,1,0))</f>
        <v/>
      </c>
    </row>
    <row r="1794">
      <c r="A1794" s="52" t="n"/>
      <c r="B1794" s="53">
        <f>IF(A1794="","",CHOOSE(WEEKDAY(A1794,2),"Пн","Вт","Ср","Чт","Пт","Сб","Вс"))</f>
        <v/>
      </c>
      <c r="C1794" s="53">
        <f>IF(A1794="","",YEAR(A1794))</f>
        <v/>
      </c>
      <c r="D1794" s="54">
        <f>IF(A1794="","",INDEX(lst_months,MONTH(A1794)))</f>
        <v/>
      </c>
      <c r="E1794" s="55" t="n"/>
      <c r="F1794" s="54">
        <f>IF(E1794="","",IFERROR(IF(INDEX(lst_exp_item_cat,MATCH(E1794,lst_exp_items,0))="","❔ Без категории",INDEX(lst_exp_item_cat,MATCH(E1794,lst_exp_items,0))),"❔ Без категории"))</f>
        <v/>
      </c>
      <c r="G1794" s="43" t="n"/>
      <c r="H1794" s="56" t="n"/>
      <c r="I1794" s="43" t="n"/>
      <c r="J1794" s="57">
        <f>IF(OR(A1794="",H1794=""),"",IF(COUNTIFS(exp_year,C1794,exp_month,D1794,exp_item,E1794,exp_status,"&lt;&gt;❌ Отменено")&gt;0,1,0))</f>
        <v/>
      </c>
    </row>
    <row r="1795">
      <c r="A1795" s="52" t="n"/>
      <c r="B1795" s="53">
        <f>IF(A1795="","",CHOOSE(WEEKDAY(A1795,2),"Пн","Вт","Ср","Чт","Пт","Сб","Вс"))</f>
        <v/>
      </c>
      <c r="C1795" s="53">
        <f>IF(A1795="","",YEAR(A1795))</f>
        <v/>
      </c>
      <c r="D1795" s="54">
        <f>IF(A1795="","",INDEX(lst_months,MONTH(A1795)))</f>
        <v/>
      </c>
      <c r="E1795" s="55" t="n"/>
      <c r="F1795" s="54">
        <f>IF(E1795="","",IFERROR(IF(INDEX(lst_exp_item_cat,MATCH(E1795,lst_exp_items,0))="","❔ Без категории",INDEX(lst_exp_item_cat,MATCH(E1795,lst_exp_items,0))),"❔ Без категории"))</f>
        <v/>
      </c>
      <c r="G1795" s="43" t="n"/>
      <c r="H1795" s="56" t="n"/>
      <c r="I1795" s="43" t="n"/>
      <c r="J1795" s="57">
        <f>IF(OR(A1795="",H1795=""),"",IF(COUNTIFS(exp_year,C1795,exp_month,D1795,exp_item,E1795,exp_status,"&lt;&gt;❌ Отменено")&gt;0,1,0))</f>
        <v/>
      </c>
    </row>
    <row r="1796">
      <c r="A1796" s="52" t="n"/>
      <c r="B1796" s="53">
        <f>IF(A1796="","",CHOOSE(WEEKDAY(A1796,2),"Пн","Вт","Ср","Чт","Пт","Сб","Вс"))</f>
        <v/>
      </c>
      <c r="C1796" s="53">
        <f>IF(A1796="","",YEAR(A1796))</f>
        <v/>
      </c>
      <c r="D1796" s="54">
        <f>IF(A1796="","",INDEX(lst_months,MONTH(A1796)))</f>
        <v/>
      </c>
      <c r="E1796" s="55" t="n"/>
      <c r="F1796" s="54">
        <f>IF(E1796="","",IFERROR(IF(INDEX(lst_exp_item_cat,MATCH(E1796,lst_exp_items,0))="","❔ Без категории",INDEX(lst_exp_item_cat,MATCH(E1796,lst_exp_items,0))),"❔ Без категории"))</f>
        <v/>
      </c>
      <c r="G1796" s="43" t="n"/>
      <c r="H1796" s="56" t="n"/>
      <c r="I1796" s="43" t="n"/>
      <c r="J1796" s="57">
        <f>IF(OR(A1796="",H1796=""),"",IF(COUNTIFS(exp_year,C1796,exp_month,D1796,exp_item,E1796,exp_status,"&lt;&gt;❌ Отменено")&gt;0,1,0))</f>
        <v/>
      </c>
    </row>
    <row r="1797">
      <c r="A1797" s="52" t="n"/>
      <c r="B1797" s="53">
        <f>IF(A1797="","",CHOOSE(WEEKDAY(A1797,2),"Пн","Вт","Ср","Чт","Пт","Сб","Вс"))</f>
        <v/>
      </c>
      <c r="C1797" s="53">
        <f>IF(A1797="","",YEAR(A1797))</f>
        <v/>
      </c>
      <c r="D1797" s="54">
        <f>IF(A1797="","",INDEX(lst_months,MONTH(A1797)))</f>
        <v/>
      </c>
      <c r="E1797" s="55" t="n"/>
      <c r="F1797" s="54">
        <f>IF(E1797="","",IFERROR(IF(INDEX(lst_exp_item_cat,MATCH(E1797,lst_exp_items,0))="","❔ Без категории",INDEX(lst_exp_item_cat,MATCH(E1797,lst_exp_items,0))),"❔ Без категории"))</f>
        <v/>
      </c>
      <c r="G1797" s="43" t="n"/>
      <c r="H1797" s="56" t="n"/>
      <c r="I1797" s="43" t="n"/>
      <c r="J1797" s="57">
        <f>IF(OR(A1797="",H1797=""),"",IF(COUNTIFS(exp_year,C1797,exp_month,D1797,exp_item,E1797,exp_status,"&lt;&gt;❌ Отменено")&gt;0,1,0))</f>
        <v/>
      </c>
    </row>
    <row r="1798">
      <c r="A1798" s="52" t="n"/>
      <c r="B1798" s="53">
        <f>IF(A1798="","",CHOOSE(WEEKDAY(A1798,2),"Пн","Вт","Ср","Чт","Пт","Сб","Вс"))</f>
        <v/>
      </c>
      <c r="C1798" s="53">
        <f>IF(A1798="","",YEAR(A1798))</f>
        <v/>
      </c>
      <c r="D1798" s="54">
        <f>IF(A1798="","",INDEX(lst_months,MONTH(A1798)))</f>
        <v/>
      </c>
      <c r="E1798" s="55" t="n"/>
      <c r="F1798" s="54">
        <f>IF(E1798="","",IFERROR(IF(INDEX(lst_exp_item_cat,MATCH(E1798,lst_exp_items,0))="","❔ Без категории",INDEX(lst_exp_item_cat,MATCH(E1798,lst_exp_items,0))),"❔ Без категории"))</f>
        <v/>
      </c>
      <c r="G1798" s="43" t="n"/>
      <c r="H1798" s="56" t="n"/>
      <c r="I1798" s="43" t="n"/>
      <c r="J1798" s="57">
        <f>IF(OR(A1798="",H1798=""),"",IF(COUNTIFS(exp_year,C1798,exp_month,D1798,exp_item,E1798,exp_status,"&lt;&gt;❌ Отменено")&gt;0,1,0))</f>
        <v/>
      </c>
    </row>
    <row r="1799">
      <c r="A1799" s="52" t="n"/>
      <c r="B1799" s="53">
        <f>IF(A1799="","",CHOOSE(WEEKDAY(A1799,2),"Пн","Вт","Ср","Чт","Пт","Сб","Вс"))</f>
        <v/>
      </c>
      <c r="C1799" s="53">
        <f>IF(A1799="","",YEAR(A1799))</f>
        <v/>
      </c>
      <c r="D1799" s="54">
        <f>IF(A1799="","",INDEX(lst_months,MONTH(A1799)))</f>
        <v/>
      </c>
      <c r="E1799" s="55" t="n"/>
      <c r="F1799" s="54">
        <f>IF(E1799="","",IFERROR(IF(INDEX(lst_exp_item_cat,MATCH(E1799,lst_exp_items,0))="","❔ Без категории",INDEX(lst_exp_item_cat,MATCH(E1799,lst_exp_items,0))),"❔ Без категории"))</f>
        <v/>
      </c>
      <c r="G1799" s="43" t="n"/>
      <c r="H1799" s="56" t="n"/>
      <c r="I1799" s="43" t="n"/>
      <c r="J1799" s="57">
        <f>IF(OR(A1799="",H1799=""),"",IF(COUNTIFS(exp_year,C1799,exp_month,D1799,exp_item,E1799,exp_status,"&lt;&gt;❌ Отменено")&gt;0,1,0))</f>
        <v/>
      </c>
    </row>
    <row r="1800">
      <c r="A1800" s="52" t="n"/>
      <c r="B1800" s="53">
        <f>IF(A1800="","",CHOOSE(WEEKDAY(A1800,2),"Пн","Вт","Ср","Чт","Пт","Сб","Вс"))</f>
        <v/>
      </c>
      <c r="C1800" s="53">
        <f>IF(A1800="","",YEAR(A1800))</f>
        <v/>
      </c>
      <c r="D1800" s="54">
        <f>IF(A1800="","",INDEX(lst_months,MONTH(A1800)))</f>
        <v/>
      </c>
      <c r="E1800" s="55" t="n"/>
      <c r="F1800" s="54">
        <f>IF(E1800="","",IFERROR(IF(INDEX(lst_exp_item_cat,MATCH(E1800,lst_exp_items,0))="","❔ Без категории",INDEX(lst_exp_item_cat,MATCH(E1800,lst_exp_items,0))),"❔ Без категории"))</f>
        <v/>
      </c>
      <c r="G1800" s="43" t="n"/>
      <c r="H1800" s="56" t="n"/>
      <c r="I1800" s="43" t="n"/>
      <c r="J1800" s="57">
        <f>IF(OR(A1800="",H1800=""),"",IF(COUNTIFS(exp_year,C1800,exp_month,D1800,exp_item,E1800,exp_status,"&lt;&gt;❌ Отменено")&gt;0,1,0))</f>
        <v/>
      </c>
    </row>
    <row r="1801">
      <c r="A1801" s="52" t="n"/>
      <c r="B1801" s="53">
        <f>IF(A1801="","",CHOOSE(WEEKDAY(A1801,2),"Пн","Вт","Ср","Чт","Пт","Сб","Вс"))</f>
        <v/>
      </c>
      <c r="C1801" s="53">
        <f>IF(A1801="","",YEAR(A1801))</f>
        <v/>
      </c>
      <c r="D1801" s="54">
        <f>IF(A1801="","",INDEX(lst_months,MONTH(A1801)))</f>
        <v/>
      </c>
      <c r="E1801" s="55" t="n"/>
      <c r="F1801" s="54">
        <f>IF(E1801="","",IFERROR(IF(INDEX(lst_exp_item_cat,MATCH(E1801,lst_exp_items,0))="","❔ Без категории",INDEX(lst_exp_item_cat,MATCH(E1801,lst_exp_items,0))),"❔ Без категории"))</f>
        <v/>
      </c>
      <c r="G1801" s="43" t="n"/>
      <c r="H1801" s="56" t="n"/>
      <c r="I1801" s="43" t="n"/>
      <c r="J1801" s="57">
        <f>IF(OR(A1801="",H1801=""),"",IF(COUNTIFS(exp_year,C1801,exp_month,D1801,exp_item,E1801,exp_status,"&lt;&gt;❌ Отменено")&gt;0,1,0))</f>
        <v/>
      </c>
    </row>
    <row r="1802">
      <c r="A1802" s="52" t="n"/>
      <c r="B1802" s="53">
        <f>IF(A1802="","",CHOOSE(WEEKDAY(A1802,2),"Пн","Вт","Ср","Чт","Пт","Сб","Вс"))</f>
        <v/>
      </c>
      <c r="C1802" s="53">
        <f>IF(A1802="","",YEAR(A1802))</f>
        <v/>
      </c>
      <c r="D1802" s="54">
        <f>IF(A1802="","",INDEX(lst_months,MONTH(A1802)))</f>
        <v/>
      </c>
      <c r="E1802" s="55" t="n"/>
      <c r="F1802" s="54">
        <f>IF(E1802="","",IFERROR(IF(INDEX(lst_exp_item_cat,MATCH(E1802,lst_exp_items,0))="","❔ Без категории",INDEX(lst_exp_item_cat,MATCH(E1802,lst_exp_items,0))),"❔ Без категории"))</f>
        <v/>
      </c>
      <c r="G1802" s="43" t="n"/>
      <c r="H1802" s="56" t="n"/>
      <c r="I1802" s="43" t="n"/>
      <c r="J1802" s="57">
        <f>IF(OR(A1802="",H1802=""),"",IF(COUNTIFS(exp_year,C1802,exp_month,D1802,exp_item,E1802,exp_status,"&lt;&gt;❌ Отменено")&gt;0,1,0))</f>
        <v/>
      </c>
    </row>
    <row r="1803">
      <c r="A1803" s="52" t="n"/>
      <c r="B1803" s="53">
        <f>IF(A1803="","",CHOOSE(WEEKDAY(A1803,2),"Пн","Вт","Ср","Чт","Пт","Сб","Вс"))</f>
        <v/>
      </c>
      <c r="C1803" s="53">
        <f>IF(A1803="","",YEAR(A1803))</f>
        <v/>
      </c>
      <c r="D1803" s="54">
        <f>IF(A1803="","",INDEX(lst_months,MONTH(A1803)))</f>
        <v/>
      </c>
      <c r="E1803" s="55" t="n"/>
      <c r="F1803" s="54">
        <f>IF(E1803="","",IFERROR(IF(INDEX(lst_exp_item_cat,MATCH(E1803,lst_exp_items,0))="","❔ Без категории",INDEX(lst_exp_item_cat,MATCH(E1803,lst_exp_items,0))),"❔ Без категории"))</f>
        <v/>
      </c>
      <c r="G1803" s="43" t="n"/>
      <c r="H1803" s="56" t="n"/>
      <c r="I1803" s="43" t="n"/>
      <c r="J1803" s="57">
        <f>IF(OR(A1803="",H1803=""),"",IF(COUNTIFS(exp_year,C1803,exp_month,D1803,exp_item,E1803,exp_status,"&lt;&gt;❌ Отменено")&gt;0,1,0))</f>
        <v/>
      </c>
    </row>
    <row r="1804">
      <c r="A1804" s="52" t="n"/>
      <c r="B1804" s="53">
        <f>IF(A1804="","",CHOOSE(WEEKDAY(A1804,2),"Пн","Вт","Ср","Чт","Пт","Сб","Вс"))</f>
        <v/>
      </c>
      <c r="C1804" s="53">
        <f>IF(A1804="","",YEAR(A1804))</f>
        <v/>
      </c>
      <c r="D1804" s="54">
        <f>IF(A1804="","",INDEX(lst_months,MONTH(A1804)))</f>
        <v/>
      </c>
      <c r="E1804" s="55" t="n"/>
      <c r="F1804" s="54">
        <f>IF(E1804="","",IFERROR(IF(INDEX(lst_exp_item_cat,MATCH(E1804,lst_exp_items,0))="","❔ Без категории",INDEX(lst_exp_item_cat,MATCH(E1804,lst_exp_items,0))),"❔ Без категории"))</f>
        <v/>
      </c>
      <c r="G1804" s="43" t="n"/>
      <c r="H1804" s="56" t="n"/>
      <c r="I1804" s="43" t="n"/>
      <c r="J1804" s="57">
        <f>IF(OR(A1804="",H1804=""),"",IF(COUNTIFS(exp_year,C1804,exp_month,D1804,exp_item,E1804,exp_status,"&lt;&gt;❌ Отменено")&gt;0,1,0))</f>
        <v/>
      </c>
    </row>
    <row r="1805">
      <c r="A1805" s="52" t="n"/>
      <c r="B1805" s="53">
        <f>IF(A1805="","",CHOOSE(WEEKDAY(A1805,2),"Пн","Вт","Ср","Чт","Пт","Сб","Вс"))</f>
        <v/>
      </c>
      <c r="C1805" s="53">
        <f>IF(A1805="","",YEAR(A1805))</f>
        <v/>
      </c>
      <c r="D1805" s="54">
        <f>IF(A1805="","",INDEX(lst_months,MONTH(A1805)))</f>
        <v/>
      </c>
      <c r="E1805" s="55" t="n"/>
      <c r="F1805" s="54">
        <f>IF(E1805="","",IFERROR(IF(INDEX(lst_exp_item_cat,MATCH(E1805,lst_exp_items,0))="","❔ Без категории",INDEX(lst_exp_item_cat,MATCH(E1805,lst_exp_items,0))),"❔ Без категории"))</f>
        <v/>
      </c>
      <c r="G1805" s="43" t="n"/>
      <c r="H1805" s="56" t="n"/>
      <c r="I1805" s="43" t="n"/>
      <c r="J1805" s="57">
        <f>IF(OR(A1805="",H1805=""),"",IF(COUNTIFS(exp_year,C1805,exp_month,D1805,exp_item,E1805,exp_status,"&lt;&gt;❌ Отменено")&gt;0,1,0))</f>
        <v/>
      </c>
    </row>
    <row r="1806">
      <c r="A1806" s="52" t="n"/>
      <c r="B1806" s="53">
        <f>IF(A1806="","",CHOOSE(WEEKDAY(A1806,2),"Пн","Вт","Ср","Чт","Пт","Сб","Вс"))</f>
        <v/>
      </c>
      <c r="C1806" s="53">
        <f>IF(A1806="","",YEAR(A1806))</f>
        <v/>
      </c>
      <c r="D1806" s="54">
        <f>IF(A1806="","",INDEX(lst_months,MONTH(A1806)))</f>
        <v/>
      </c>
      <c r="E1806" s="55" t="n"/>
      <c r="F1806" s="54">
        <f>IF(E1806="","",IFERROR(IF(INDEX(lst_exp_item_cat,MATCH(E1806,lst_exp_items,0))="","❔ Без категории",INDEX(lst_exp_item_cat,MATCH(E1806,lst_exp_items,0))),"❔ Без категории"))</f>
        <v/>
      </c>
      <c r="G1806" s="43" t="n"/>
      <c r="H1806" s="56" t="n"/>
      <c r="I1806" s="43" t="n"/>
      <c r="J1806" s="57">
        <f>IF(OR(A1806="",H1806=""),"",IF(COUNTIFS(exp_year,C1806,exp_month,D1806,exp_item,E1806,exp_status,"&lt;&gt;❌ Отменено")&gt;0,1,0))</f>
        <v/>
      </c>
    </row>
    <row r="1807">
      <c r="A1807" s="52" t="n"/>
      <c r="B1807" s="53">
        <f>IF(A1807="","",CHOOSE(WEEKDAY(A1807,2),"Пн","Вт","Ср","Чт","Пт","Сб","Вс"))</f>
        <v/>
      </c>
      <c r="C1807" s="53">
        <f>IF(A1807="","",YEAR(A1807))</f>
        <v/>
      </c>
      <c r="D1807" s="54">
        <f>IF(A1807="","",INDEX(lst_months,MONTH(A1807)))</f>
        <v/>
      </c>
      <c r="E1807" s="55" t="n"/>
      <c r="F1807" s="54">
        <f>IF(E1807="","",IFERROR(IF(INDEX(lst_exp_item_cat,MATCH(E1807,lst_exp_items,0))="","❔ Без категории",INDEX(lst_exp_item_cat,MATCH(E1807,lst_exp_items,0))),"❔ Без категории"))</f>
        <v/>
      </c>
      <c r="G1807" s="43" t="n"/>
      <c r="H1807" s="56" t="n"/>
      <c r="I1807" s="43" t="n"/>
      <c r="J1807" s="57">
        <f>IF(OR(A1807="",H1807=""),"",IF(COUNTIFS(exp_year,C1807,exp_month,D1807,exp_item,E1807,exp_status,"&lt;&gt;❌ Отменено")&gt;0,1,0))</f>
        <v/>
      </c>
    </row>
    <row r="1808">
      <c r="A1808" s="52" t="n"/>
      <c r="B1808" s="53">
        <f>IF(A1808="","",CHOOSE(WEEKDAY(A1808,2),"Пн","Вт","Ср","Чт","Пт","Сб","Вс"))</f>
        <v/>
      </c>
      <c r="C1808" s="53">
        <f>IF(A1808="","",YEAR(A1808))</f>
        <v/>
      </c>
      <c r="D1808" s="54">
        <f>IF(A1808="","",INDEX(lst_months,MONTH(A1808)))</f>
        <v/>
      </c>
      <c r="E1808" s="55" t="n"/>
      <c r="F1808" s="54">
        <f>IF(E1808="","",IFERROR(IF(INDEX(lst_exp_item_cat,MATCH(E1808,lst_exp_items,0))="","❔ Без категории",INDEX(lst_exp_item_cat,MATCH(E1808,lst_exp_items,0))),"❔ Без категории"))</f>
        <v/>
      </c>
      <c r="G1808" s="43" t="n"/>
      <c r="H1808" s="56" t="n"/>
      <c r="I1808" s="43" t="n"/>
      <c r="J1808" s="57">
        <f>IF(OR(A1808="",H1808=""),"",IF(COUNTIFS(exp_year,C1808,exp_month,D1808,exp_item,E1808,exp_status,"&lt;&gt;❌ Отменено")&gt;0,1,0))</f>
        <v/>
      </c>
    </row>
    <row r="1809">
      <c r="A1809" s="52" t="n"/>
      <c r="B1809" s="53">
        <f>IF(A1809="","",CHOOSE(WEEKDAY(A1809,2),"Пн","Вт","Ср","Чт","Пт","Сб","Вс"))</f>
        <v/>
      </c>
      <c r="C1809" s="53">
        <f>IF(A1809="","",YEAR(A1809))</f>
        <v/>
      </c>
      <c r="D1809" s="54">
        <f>IF(A1809="","",INDEX(lst_months,MONTH(A1809)))</f>
        <v/>
      </c>
      <c r="E1809" s="55" t="n"/>
      <c r="F1809" s="54">
        <f>IF(E1809="","",IFERROR(IF(INDEX(lst_exp_item_cat,MATCH(E1809,lst_exp_items,0))="","❔ Без категории",INDEX(lst_exp_item_cat,MATCH(E1809,lst_exp_items,0))),"❔ Без категории"))</f>
        <v/>
      </c>
      <c r="G1809" s="43" t="n"/>
      <c r="H1809" s="56" t="n"/>
      <c r="I1809" s="43" t="n"/>
      <c r="J1809" s="57">
        <f>IF(OR(A1809="",H1809=""),"",IF(COUNTIFS(exp_year,C1809,exp_month,D1809,exp_item,E1809,exp_status,"&lt;&gt;❌ Отменено")&gt;0,1,0))</f>
        <v/>
      </c>
    </row>
    <row r="1810">
      <c r="A1810" s="52" t="n"/>
      <c r="B1810" s="53">
        <f>IF(A1810="","",CHOOSE(WEEKDAY(A1810,2),"Пн","Вт","Ср","Чт","Пт","Сб","Вс"))</f>
        <v/>
      </c>
      <c r="C1810" s="53">
        <f>IF(A1810="","",YEAR(A1810))</f>
        <v/>
      </c>
      <c r="D1810" s="54">
        <f>IF(A1810="","",INDEX(lst_months,MONTH(A1810)))</f>
        <v/>
      </c>
      <c r="E1810" s="55" t="n"/>
      <c r="F1810" s="54">
        <f>IF(E1810="","",IFERROR(IF(INDEX(lst_exp_item_cat,MATCH(E1810,lst_exp_items,0))="","❔ Без категории",INDEX(lst_exp_item_cat,MATCH(E1810,lst_exp_items,0))),"❔ Без категории"))</f>
        <v/>
      </c>
      <c r="G1810" s="43" t="n"/>
      <c r="H1810" s="56" t="n"/>
      <c r="I1810" s="43" t="n"/>
      <c r="J1810" s="57">
        <f>IF(OR(A1810="",H1810=""),"",IF(COUNTIFS(exp_year,C1810,exp_month,D1810,exp_item,E1810,exp_status,"&lt;&gt;❌ Отменено")&gt;0,1,0))</f>
        <v/>
      </c>
    </row>
    <row r="1811">
      <c r="A1811" s="52" t="n"/>
      <c r="B1811" s="53">
        <f>IF(A1811="","",CHOOSE(WEEKDAY(A1811,2),"Пн","Вт","Ср","Чт","Пт","Сб","Вс"))</f>
        <v/>
      </c>
      <c r="C1811" s="53">
        <f>IF(A1811="","",YEAR(A1811))</f>
        <v/>
      </c>
      <c r="D1811" s="54">
        <f>IF(A1811="","",INDEX(lst_months,MONTH(A1811)))</f>
        <v/>
      </c>
      <c r="E1811" s="55" t="n"/>
      <c r="F1811" s="54">
        <f>IF(E1811="","",IFERROR(IF(INDEX(lst_exp_item_cat,MATCH(E1811,lst_exp_items,0))="","❔ Без категории",INDEX(lst_exp_item_cat,MATCH(E1811,lst_exp_items,0))),"❔ Без категории"))</f>
        <v/>
      </c>
      <c r="G1811" s="43" t="n"/>
      <c r="H1811" s="56" t="n"/>
      <c r="I1811" s="43" t="n"/>
      <c r="J1811" s="57">
        <f>IF(OR(A1811="",H1811=""),"",IF(COUNTIFS(exp_year,C1811,exp_month,D1811,exp_item,E1811,exp_status,"&lt;&gt;❌ Отменено")&gt;0,1,0))</f>
        <v/>
      </c>
    </row>
    <row r="1812">
      <c r="A1812" s="52" t="n"/>
      <c r="B1812" s="53">
        <f>IF(A1812="","",CHOOSE(WEEKDAY(A1812,2),"Пн","Вт","Ср","Чт","Пт","Сб","Вс"))</f>
        <v/>
      </c>
      <c r="C1812" s="53">
        <f>IF(A1812="","",YEAR(A1812))</f>
        <v/>
      </c>
      <c r="D1812" s="54">
        <f>IF(A1812="","",INDEX(lst_months,MONTH(A1812)))</f>
        <v/>
      </c>
      <c r="E1812" s="55" t="n"/>
      <c r="F1812" s="54">
        <f>IF(E1812="","",IFERROR(IF(INDEX(lst_exp_item_cat,MATCH(E1812,lst_exp_items,0))="","❔ Без категории",INDEX(lst_exp_item_cat,MATCH(E1812,lst_exp_items,0))),"❔ Без категории"))</f>
        <v/>
      </c>
      <c r="G1812" s="43" t="n"/>
      <c r="H1812" s="56" t="n"/>
      <c r="I1812" s="43" t="n"/>
      <c r="J1812" s="57">
        <f>IF(OR(A1812="",H1812=""),"",IF(COUNTIFS(exp_year,C1812,exp_month,D1812,exp_item,E1812,exp_status,"&lt;&gt;❌ Отменено")&gt;0,1,0))</f>
        <v/>
      </c>
    </row>
    <row r="1813">
      <c r="A1813" s="52" t="n"/>
      <c r="B1813" s="53">
        <f>IF(A1813="","",CHOOSE(WEEKDAY(A1813,2),"Пн","Вт","Ср","Чт","Пт","Сб","Вс"))</f>
        <v/>
      </c>
      <c r="C1813" s="53">
        <f>IF(A1813="","",YEAR(A1813))</f>
        <v/>
      </c>
      <c r="D1813" s="54">
        <f>IF(A1813="","",INDEX(lst_months,MONTH(A1813)))</f>
        <v/>
      </c>
      <c r="E1813" s="55" t="n"/>
      <c r="F1813" s="54">
        <f>IF(E1813="","",IFERROR(IF(INDEX(lst_exp_item_cat,MATCH(E1813,lst_exp_items,0))="","❔ Без категории",INDEX(lst_exp_item_cat,MATCH(E1813,lst_exp_items,0))),"❔ Без категории"))</f>
        <v/>
      </c>
      <c r="G1813" s="43" t="n"/>
      <c r="H1813" s="56" t="n"/>
      <c r="I1813" s="43" t="n"/>
      <c r="J1813" s="57">
        <f>IF(OR(A1813="",H1813=""),"",IF(COUNTIFS(exp_year,C1813,exp_month,D1813,exp_item,E1813,exp_status,"&lt;&gt;❌ Отменено")&gt;0,1,0))</f>
        <v/>
      </c>
    </row>
    <row r="1814">
      <c r="A1814" s="52" t="n"/>
      <c r="B1814" s="53">
        <f>IF(A1814="","",CHOOSE(WEEKDAY(A1814,2),"Пн","Вт","Ср","Чт","Пт","Сб","Вс"))</f>
        <v/>
      </c>
      <c r="C1814" s="53">
        <f>IF(A1814="","",YEAR(A1814))</f>
        <v/>
      </c>
      <c r="D1814" s="54">
        <f>IF(A1814="","",INDEX(lst_months,MONTH(A1814)))</f>
        <v/>
      </c>
      <c r="E1814" s="55" t="n"/>
      <c r="F1814" s="54">
        <f>IF(E1814="","",IFERROR(IF(INDEX(lst_exp_item_cat,MATCH(E1814,lst_exp_items,0))="","❔ Без категории",INDEX(lst_exp_item_cat,MATCH(E1814,lst_exp_items,0))),"❔ Без категории"))</f>
        <v/>
      </c>
      <c r="G1814" s="43" t="n"/>
      <c r="H1814" s="56" t="n"/>
      <c r="I1814" s="43" t="n"/>
      <c r="J1814" s="57">
        <f>IF(OR(A1814="",H1814=""),"",IF(COUNTIFS(exp_year,C1814,exp_month,D1814,exp_item,E1814,exp_status,"&lt;&gt;❌ Отменено")&gt;0,1,0))</f>
        <v/>
      </c>
    </row>
    <row r="1815">
      <c r="A1815" s="52" t="n"/>
      <c r="B1815" s="53">
        <f>IF(A1815="","",CHOOSE(WEEKDAY(A1815,2),"Пн","Вт","Ср","Чт","Пт","Сб","Вс"))</f>
        <v/>
      </c>
      <c r="C1815" s="53">
        <f>IF(A1815="","",YEAR(A1815))</f>
        <v/>
      </c>
      <c r="D1815" s="54">
        <f>IF(A1815="","",INDEX(lst_months,MONTH(A1815)))</f>
        <v/>
      </c>
      <c r="E1815" s="55" t="n"/>
      <c r="F1815" s="54">
        <f>IF(E1815="","",IFERROR(IF(INDEX(lst_exp_item_cat,MATCH(E1815,lst_exp_items,0))="","❔ Без категории",INDEX(lst_exp_item_cat,MATCH(E1815,lst_exp_items,0))),"❔ Без категории"))</f>
        <v/>
      </c>
      <c r="G1815" s="43" t="n"/>
      <c r="H1815" s="56" t="n"/>
      <c r="I1815" s="43" t="n"/>
      <c r="J1815" s="57">
        <f>IF(OR(A1815="",H1815=""),"",IF(COUNTIFS(exp_year,C1815,exp_month,D1815,exp_item,E1815,exp_status,"&lt;&gt;❌ Отменено")&gt;0,1,0))</f>
        <v/>
      </c>
    </row>
    <row r="1816">
      <c r="A1816" s="52" t="n"/>
      <c r="B1816" s="53">
        <f>IF(A1816="","",CHOOSE(WEEKDAY(A1816,2),"Пн","Вт","Ср","Чт","Пт","Сб","Вс"))</f>
        <v/>
      </c>
      <c r="C1816" s="53">
        <f>IF(A1816="","",YEAR(A1816))</f>
        <v/>
      </c>
      <c r="D1816" s="54">
        <f>IF(A1816="","",INDEX(lst_months,MONTH(A1816)))</f>
        <v/>
      </c>
      <c r="E1816" s="55" t="n"/>
      <c r="F1816" s="54">
        <f>IF(E1816="","",IFERROR(IF(INDEX(lst_exp_item_cat,MATCH(E1816,lst_exp_items,0))="","❔ Без категории",INDEX(lst_exp_item_cat,MATCH(E1816,lst_exp_items,0))),"❔ Без категории"))</f>
        <v/>
      </c>
      <c r="G1816" s="43" t="n"/>
      <c r="H1816" s="56" t="n"/>
      <c r="I1816" s="43" t="n"/>
      <c r="J1816" s="57">
        <f>IF(OR(A1816="",H1816=""),"",IF(COUNTIFS(exp_year,C1816,exp_month,D1816,exp_item,E1816,exp_status,"&lt;&gt;❌ Отменено")&gt;0,1,0))</f>
        <v/>
      </c>
    </row>
    <row r="1817">
      <c r="A1817" s="52" t="n"/>
      <c r="B1817" s="53">
        <f>IF(A1817="","",CHOOSE(WEEKDAY(A1817,2),"Пн","Вт","Ср","Чт","Пт","Сб","Вс"))</f>
        <v/>
      </c>
      <c r="C1817" s="53">
        <f>IF(A1817="","",YEAR(A1817))</f>
        <v/>
      </c>
      <c r="D1817" s="54">
        <f>IF(A1817="","",INDEX(lst_months,MONTH(A1817)))</f>
        <v/>
      </c>
      <c r="E1817" s="55" t="n"/>
      <c r="F1817" s="54">
        <f>IF(E1817="","",IFERROR(IF(INDEX(lst_exp_item_cat,MATCH(E1817,lst_exp_items,0))="","❔ Без категории",INDEX(lst_exp_item_cat,MATCH(E1817,lst_exp_items,0))),"❔ Без категории"))</f>
        <v/>
      </c>
      <c r="G1817" s="43" t="n"/>
      <c r="H1817" s="56" t="n"/>
      <c r="I1817" s="43" t="n"/>
      <c r="J1817" s="57">
        <f>IF(OR(A1817="",H1817=""),"",IF(COUNTIFS(exp_year,C1817,exp_month,D1817,exp_item,E1817,exp_status,"&lt;&gt;❌ Отменено")&gt;0,1,0))</f>
        <v/>
      </c>
    </row>
    <row r="1818">
      <c r="A1818" s="52" t="n"/>
      <c r="B1818" s="53">
        <f>IF(A1818="","",CHOOSE(WEEKDAY(A1818,2),"Пн","Вт","Ср","Чт","Пт","Сб","Вс"))</f>
        <v/>
      </c>
      <c r="C1818" s="53">
        <f>IF(A1818="","",YEAR(A1818))</f>
        <v/>
      </c>
      <c r="D1818" s="54">
        <f>IF(A1818="","",INDEX(lst_months,MONTH(A1818)))</f>
        <v/>
      </c>
      <c r="E1818" s="55" t="n"/>
      <c r="F1818" s="54">
        <f>IF(E1818="","",IFERROR(IF(INDEX(lst_exp_item_cat,MATCH(E1818,lst_exp_items,0))="","❔ Без категории",INDEX(lst_exp_item_cat,MATCH(E1818,lst_exp_items,0))),"❔ Без категории"))</f>
        <v/>
      </c>
      <c r="G1818" s="43" t="n"/>
      <c r="H1818" s="56" t="n"/>
      <c r="I1818" s="43" t="n"/>
      <c r="J1818" s="57">
        <f>IF(OR(A1818="",H1818=""),"",IF(COUNTIFS(exp_year,C1818,exp_month,D1818,exp_item,E1818,exp_status,"&lt;&gt;❌ Отменено")&gt;0,1,0))</f>
        <v/>
      </c>
    </row>
    <row r="1819">
      <c r="A1819" s="52" t="n"/>
      <c r="B1819" s="53">
        <f>IF(A1819="","",CHOOSE(WEEKDAY(A1819,2),"Пн","Вт","Ср","Чт","Пт","Сб","Вс"))</f>
        <v/>
      </c>
      <c r="C1819" s="53">
        <f>IF(A1819="","",YEAR(A1819))</f>
        <v/>
      </c>
      <c r="D1819" s="54">
        <f>IF(A1819="","",INDEX(lst_months,MONTH(A1819)))</f>
        <v/>
      </c>
      <c r="E1819" s="55" t="n"/>
      <c r="F1819" s="54">
        <f>IF(E1819="","",IFERROR(IF(INDEX(lst_exp_item_cat,MATCH(E1819,lst_exp_items,0))="","❔ Без категории",INDEX(lst_exp_item_cat,MATCH(E1819,lst_exp_items,0))),"❔ Без категории"))</f>
        <v/>
      </c>
      <c r="G1819" s="43" t="n"/>
      <c r="H1819" s="56" t="n"/>
      <c r="I1819" s="43" t="n"/>
      <c r="J1819" s="57">
        <f>IF(OR(A1819="",H1819=""),"",IF(COUNTIFS(exp_year,C1819,exp_month,D1819,exp_item,E1819,exp_status,"&lt;&gt;❌ Отменено")&gt;0,1,0))</f>
        <v/>
      </c>
    </row>
    <row r="1820">
      <c r="A1820" s="52" t="n"/>
      <c r="B1820" s="53">
        <f>IF(A1820="","",CHOOSE(WEEKDAY(A1820,2),"Пн","Вт","Ср","Чт","Пт","Сб","Вс"))</f>
        <v/>
      </c>
      <c r="C1820" s="53">
        <f>IF(A1820="","",YEAR(A1820))</f>
        <v/>
      </c>
      <c r="D1820" s="54">
        <f>IF(A1820="","",INDEX(lst_months,MONTH(A1820)))</f>
        <v/>
      </c>
      <c r="E1820" s="55" t="n"/>
      <c r="F1820" s="54">
        <f>IF(E1820="","",IFERROR(IF(INDEX(lst_exp_item_cat,MATCH(E1820,lst_exp_items,0))="","❔ Без категории",INDEX(lst_exp_item_cat,MATCH(E1820,lst_exp_items,0))),"❔ Без категории"))</f>
        <v/>
      </c>
      <c r="G1820" s="43" t="n"/>
      <c r="H1820" s="56" t="n"/>
      <c r="I1820" s="43" t="n"/>
      <c r="J1820" s="57">
        <f>IF(OR(A1820="",H1820=""),"",IF(COUNTIFS(exp_year,C1820,exp_month,D1820,exp_item,E1820,exp_status,"&lt;&gt;❌ Отменено")&gt;0,1,0))</f>
        <v/>
      </c>
    </row>
    <row r="1821">
      <c r="A1821" s="52" t="n"/>
      <c r="B1821" s="53">
        <f>IF(A1821="","",CHOOSE(WEEKDAY(A1821,2),"Пн","Вт","Ср","Чт","Пт","Сб","Вс"))</f>
        <v/>
      </c>
      <c r="C1821" s="53">
        <f>IF(A1821="","",YEAR(A1821))</f>
        <v/>
      </c>
      <c r="D1821" s="54">
        <f>IF(A1821="","",INDEX(lst_months,MONTH(A1821)))</f>
        <v/>
      </c>
      <c r="E1821" s="55" t="n"/>
      <c r="F1821" s="54">
        <f>IF(E1821="","",IFERROR(IF(INDEX(lst_exp_item_cat,MATCH(E1821,lst_exp_items,0))="","❔ Без категории",INDEX(lst_exp_item_cat,MATCH(E1821,lst_exp_items,0))),"❔ Без категории"))</f>
        <v/>
      </c>
      <c r="G1821" s="43" t="n"/>
      <c r="H1821" s="56" t="n"/>
      <c r="I1821" s="43" t="n"/>
      <c r="J1821" s="57">
        <f>IF(OR(A1821="",H1821=""),"",IF(COUNTIFS(exp_year,C1821,exp_month,D1821,exp_item,E1821,exp_status,"&lt;&gt;❌ Отменено")&gt;0,1,0))</f>
        <v/>
      </c>
    </row>
    <row r="1822">
      <c r="A1822" s="52" t="n"/>
      <c r="B1822" s="53">
        <f>IF(A1822="","",CHOOSE(WEEKDAY(A1822,2),"Пн","Вт","Ср","Чт","Пт","Сб","Вс"))</f>
        <v/>
      </c>
      <c r="C1822" s="53">
        <f>IF(A1822="","",YEAR(A1822))</f>
        <v/>
      </c>
      <c r="D1822" s="54">
        <f>IF(A1822="","",INDEX(lst_months,MONTH(A1822)))</f>
        <v/>
      </c>
      <c r="E1822" s="55" t="n"/>
      <c r="F1822" s="54">
        <f>IF(E1822="","",IFERROR(IF(INDEX(lst_exp_item_cat,MATCH(E1822,lst_exp_items,0))="","❔ Без категории",INDEX(lst_exp_item_cat,MATCH(E1822,lst_exp_items,0))),"❔ Без категории"))</f>
        <v/>
      </c>
      <c r="G1822" s="43" t="n"/>
      <c r="H1822" s="56" t="n"/>
      <c r="I1822" s="43" t="n"/>
      <c r="J1822" s="57">
        <f>IF(OR(A1822="",H1822=""),"",IF(COUNTIFS(exp_year,C1822,exp_month,D1822,exp_item,E1822,exp_status,"&lt;&gt;❌ Отменено")&gt;0,1,0))</f>
        <v/>
      </c>
    </row>
    <row r="1823">
      <c r="A1823" s="52" t="n"/>
      <c r="B1823" s="53">
        <f>IF(A1823="","",CHOOSE(WEEKDAY(A1823,2),"Пн","Вт","Ср","Чт","Пт","Сб","Вс"))</f>
        <v/>
      </c>
      <c r="C1823" s="53">
        <f>IF(A1823="","",YEAR(A1823))</f>
        <v/>
      </c>
      <c r="D1823" s="54">
        <f>IF(A1823="","",INDEX(lst_months,MONTH(A1823)))</f>
        <v/>
      </c>
      <c r="E1823" s="55" t="n"/>
      <c r="F1823" s="54">
        <f>IF(E1823="","",IFERROR(IF(INDEX(lst_exp_item_cat,MATCH(E1823,lst_exp_items,0))="","❔ Без категории",INDEX(lst_exp_item_cat,MATCH(E1823,lst_exp_items,0))),"❔ Без категории"))</f>
        <v/>
      </c>
      <c r="G1823" s="43" t="n"/>
      <c r="H1823" s="56" t="n"/>
      <c r="I1823" s="43" t="n"/>
      <c r="J1823" s="57">
        <f>IF(OR(A1823="",H1823=""),"",IF(COUNTIFS(exp_year,C1823,exp_month,D1823,exp_item,E1823,exp_status,"&lt;&gt;❌ Отменено")&gt;0,1,0))</f>
        <v/>
      </c>
    </row>
    <row r="1824">
      <c r="A1824" s="52" t="n"/>
      <c r="B1824" s="53">
        <f>IF(A1824="","",CHOOSE(WEEKDAY(A1824,2),"Пн","Вт","Ср","Чт","Пт","Сб","Вс"))</f>
        <v/>
      </c>
      <c r="C1824" s="53">
        <f>IF(A1824="","",YEAR(A1824))</f>
        <v/>
      </c>
      <c r="D1824" s="54">
        <f>IF(A1824="","",INDEX(lst_months,MONTH(A1824)))</f>
        <v/>
      </c>
      <c r="E1824" s="55" t="n"/>
      <c r="F1824" s="54">
        <f>IF(E1824="","",IFERROR(IF(INDEX(lst_exp_item_cat,MATCH(E1824,lst_exp_items,0))="","❔ Без категории",INDEX(lst_exp_item_cat,MATCH(E1824,lst_exp_items,0))),"❔ Без категории"))</f>
        <v/>
      </c>
      <c r="G1824" s="43" t="n"/>
      <c r="H1824" s="56" t="n"/>
      <c r="I1824" s="43" t="n"/>
      <c r="J1824" s="57">
        <f>IF(OR(A1824="",H1824=""),"",IF(COUNTIFS(exp_year,C1824,exp_month,D1824,exp_item,E1824,exp_status,"&lt;&gt;❌ Отменено")&gt;0,1,0))</f>
        <v/>
      </c>
    </row>
    <row r="1825">
      <c r="A1825" s="52" t="n"/>
      <c r="B1825" s="53">
        <f>IF(A1825="","",CHOOSE(WEEKDAY(A1825,2),"Пн","Вт","Ср","Чт","Пт","Сб","Вс"))</f>
        <v/>
      </c>
      <c r="C1825" s="53">
        <f>IF(A1825="","",YEAR(A1825))</f>
        <v/>
      </c>
      <c r="D1825" s="54">
        <f>IF(A1825="","",INDEX(lst_months,MONTH(A1825)))</f>
        <v/>
      </c>
      <c r="E1825" s="55" t="n"/>
      <c r="F1825" s="54">
        <f>IF(E1825="","",IFERROR(IF(INDEX(lst_exp_item_cat,MATCH(E1825,lst_exp_items,0))="","❔ Без категории",INDEX(lst_exp_item_cat,MATCH(E1825,lst_exp_items,0))),"❔ Без категории"))</f>
        <v/>
      </c>
      <c r="G1825" s="43" t="n"/>
      <c r="H1825" s="56" t="n"/>
      <c r="I1825" s="43" t="n"/>
      <c r="J1825" s="57">
        <f>IF(OR(A1825="",H1825=""),"",IF(COUNTIFS(exp_year,C1825,exp_month,D1825,exp_item,E1825,exp_status,"&lt;&gt;❌ Отменено")&gt;0,1,0))</f>
        <v/>
      </c>
    </row>
    <row r="1826">
      <c r="A1826" s="52" t="n"/>
      <c r="B1826" s="53">
        <f>IF(A1826="","",CHOOSE(WEEKDAY(A1826,2),"Пн","Вт","Ср","Чт","Пт","Сб","Вс"))</f>
        <v/>
      </c>
      <c r="C1826" s="53">
        <f>IF(A1826="","",YEAR(A1826))</f>
        <v/>
      </c>
      <c r="D1826" s="54">
        <f>IF(A1826="","",INDEX(lst_months,MONTH(A1826)))</f>
        <v/>
      </c>
      <c r="E1826" s="55" t="n"/>
      <c r="F1826" s="54">
        <f>IF(E1826="","",IFERROR(IF(INDEX(lst_exp_item_cat,MATCH(E1826,lst_exp_items,0))="","❔ Без категории",INDEX(lst_exp_item_cat,MATCH(E1826,lst_exp_items,0))),"❔ Без категории"))</f>
        <v/>
      </c>
      <c r="G1826" s="43" t="n"/>
      <c r="H1826" s="56" t="n"/>
      <c r="I1826" s="43" t="n"/>
      <c r="J1826" s="57">
        <f>IF(OR(A1826="",H1826=""),"",IF(COUNTIFS(exp_year,C1826,exp_month,D1826,exp_item,E1826,exp_status,"&lt;&gt;❌ Отменено")&gt;0,1,0))</f>
        <v/>
      </c>
    </row>
    <row r="1827">
      <c r="A1827" s="52" t="n"/>
      <c r="B1827" s="53">
        <f>IF(A1827="","",CHOOSE(WEEKDAY(A1827,2),"Пн","Вт","Ср","Чт","Пт","Сб","Вс"))</f>
        <v/>
      </c>
      <c r="C1827" s="53">
        <f>IF(A1827="","",YEAR(A1827))</f>
        <v/>
      </c>
      <c r="D1827" s="54">
        <f>IF(A1827="","",INDEX(lst_months,MONTH(A1827)))</f>
        <v/>
      </c>
      <c r="E1827" s="55" t="n"/>
      <c r="F1827" s="54">
        <f>IF(E1827="","",IFERROR(IF(INDEX(lst_exp_item_cat,MATCH(E1827,lst_exp_items,0))="","❔ Без категории",INDEX(lst_exp_item_cat,MATCH(E1827,lst_exp_items,0))),"❔ Без категории"))</f>
        <v/>
      </c>
      <c r="G1827" s="43" t="n"/>
      <c r="H1827" s="56" t="n"/>
      <c r="I1827" s="43" t="n"/>
      <c r="J1827" s="57">
        <f>IF(OR(A1827="",H1827=""),"",IF(COUNTIFS(exp_year,C1827,exp_month,D1827,exp_item,E1827,exp_status,"&lt;&gt;❌ Отменено")&gt;0,1,0))</f>
        <v/>
      </c>
    </row>
    <row r="1828">
      <c r="A1828" s="52" t="n"/>
      <c r="B1828" s="53">
        <f>IF(A1828="","",CHOOSE(WEEKDAY(A1828,2),"Пн","Вт","Ср","Чт","Пт","Сб","Вс"))</f>
        <v/>
      </c>
      <c r="C1828" s="53">
        <f>IF(A1828="","",YEAR(A1828))</f>
        <v/>
      </c>
      <c r="D1828" s="54">
        <f>IF(A1828="","",INDEX(lst_months,MONTH(A1828)))</f>
        <v/>
      </c>
      <c r="E1828" s="55" t="n"/>
      <c r="F1828" s="54">
        <f>IF(E1828="","",IFERROR(IF(INDEX(lst_exp_item_cat,MATCH(E1828,lst_exp_items,0))="","❔ Без категории",INDEX(lst_exp_item_cat,MATCH(E1828,lst_exp_items,0))),"❔ Без категории"))</f>
        <v/>
      </c>
      <c r="G1828" s="43" t="n"/>
      <c r="H1828" s="56" t="n"/>
      <c r="I1828" s="43" t="n"/>
      <c r="J1828" s="57">
        <f>IF(OR(A1828="",H1828=""),"",IF(COUNTIFS(exp_year,C1828,exp_month,D1828,exp_item,E1828,exp_status,"&lt;&gt;❌ Отменено")&gt;0,1,0))</f>
        <v/>
      </c>
    </row>
    <row r="1829">
      <c r="A1829" s="52" t="n"/>
      <c r="B1829" s="53">
        <f>IF(A1829="","",CHOOSE(WEEKDAY(A1829,2),"Пн","Вт","Ср","Чт","Пт","Сб","Вс"))</f>
        <v/>
      </c>
      <c r="C1829" s="53">
        <f>IF(A1829="","",YEAR(A1829))</f>
        <v/>
      </c>
      <c r="D1829" s="54">
        <f>IF(A1829="","",INDEX(lst_months,MONTH(A1829)))</f>
        <v/>
      </c>
      <c r="E1829" s="55" t="n"/>
      <c r="F1829" s="54">
        <f>IF(E1829="","",IFERROR(IF(INDEX(lst_exp_item_cat,MATCH(E1829,lst_exp_items,0))="","❔ Без категории",INDEX(lst_exp_item_cat,MATCH(E1829,lst_exp_items,0))),"❔ Без категории"))</f>
        <v/>
      </c>
      <c r="G1829" s="43" t="n"/>
      <c r="H1829" s="56" t="n"/>
      <c r="I1829" s="43" t="n"/>
      <c r="J1829" s="57">
        <f>IF(OR(A1829="",H1829=""),"",IF(COUNTIFS(exp_year,C1829,exp_month,D1829,exp_item,E1829,exp_status,"&lt;&gt;❌ Отменено")&gt;0,1,0))</f>
        <v/>
      </c>
    </row>
    <row r="1830">
      <c r="A1830" s="52" t="n"/>
      <c r="B1830" s="53">
        <f>IF(A1830="","",CHOOSE(WEEKDAY(A1830,2),"Пн","Вт","Ср","Чт","Пт","Сб","Вс"))</f>
        <v/>
      </c>
      <c r="C1830" s="53">
        <f>IF(A1830="","",YEAR(A1830))</f>
        <v/>
      </c>
      <c r="D1830" s="54">
        <f>IF(A1830="","",INDEX(lst_months,MONTH(A1830)))</f>
        <v/>
      </c>
      <c r="E1830" s="55" t="n"/>
      <c r="F1830" s="54">
        <f>IF(E1830="","",IFERROR(IF(INDEX(lst_exp_item_cat,MATCH(E1830,lst_exp_items,0))="","❔ Без категории",INDEX(lst_exp_item_cat,MATCH(E1830,lst_exp_items,0))),"❔ Без категории"))</f>
        <v/>
      </c>
      <c r="G1830" s="43" t="n"/>
      <c r="H1830" s="56" t="n"/>
      <c r="I1830" s="43" t="n"/>
      <c r="J1830" s="57">
        <f>IF(OR(A1830="",H1830=""),"",IF(COUNTIFS(exp_year,C1830,exp_month,D1830,exp_item,E1830,exp_status,"&lt;&gt;❌ Отменено")&gt;0,1,0))</f>
        <v/>
      </c>
    </row>
    <row r="1831">
      <c r="A1831" s="52" t="n"/>
      <c r="B1831" s="53">
        <f>IF(A1831="","",CHOOSE(WEEKDAY(A1831,2),"Пн","Вт","Ср","Чт","Пт","Сб","Вс"))</f>
        <v/>
      </c>
      <c r="C1831" s="53">
        <f>IF(A1831="","",YEAR(A1831))</f>
        <v/>
      </c>
      <c r="D1831" s="54">
        <f>IF(A1831="","",INDEX(lst_months,MONTH(A1831)))</f>
        <v/>
      </c>
      <c r="E1831" s="55" t="n"/>
      <c r="F1831" s="54">
        <f>IF(E1831="","",IFERROR(IF(INDEX(lst_exp_item_cat,MATCH(E1831,lst_exp_items,0))="","❔ Без категории",INDEX(lst_exp_item_cat,MATCH(E1831,lst_exp_items,0))),"❔ Без категории"))</f>
        <v/>
      </c>
      <c r="G1831" s="43" t="n"/>
      <c r="H1831" s="56" t="n"/>
      <c r="I1831" s="43" t="n"/>
      <c r="J1831" s="57">
        <f>IF(OR(A1831="",H1831=""),"",IF(COUNTIFS(exp_year,C1831,exp_month,D1831,exp_item,E1831,exp_status,"&lt;&gt;❌ Отменено")&gt;0,1,0))</f>
        <v/>
      </c>
    </row>
    <row r="1832">
      <c r="A1832" s="52" t="n"/>
      <c r="B1832" s="53">
        <f>IF(A1832="","",CHOOSE(WEEKDAY(A1832,2),"Пн","Вт","Ср","Чт","Пт","Сб","Вс"))</f>
        <v/>
      </c>
      <c r="C1832" s="53">
        <f>IF(A1832="","",YEAR(A1832))</f>
        <v/>
      </c>
      <c r="D1832" s="54">
        <f>IF(A1832="","",INDEX(lst_months,MONTH(A1832)))</f>
        <v/>
      </c>
      <c r="E1832" s="55" t="n"/>
      <c r="F1832" s="54">
        <f>IF(E1832="","",IFERROR(IF(INDEX(lst_exp_item_cat,MATCH(E1832,lst_exp_items,0))="","❔ Без категории",INDEX(lst_exp_item_cat,MATCH(E1832,lst_exp_items,0))),"❔ Без категории"))</f>
        <v/>
      </c>
      <c r="G1832" s="43" t="n"/>
      <c r="H1832" s="56" t="n"/>
      <c r="I1832" s="43" t="n"/>
      <c r="J1832" s="57">
        <f>IF(OR(A1832="",H1832=""),"",IF(COUNTIFS(exp_year,C1832,exp_month,D1832,exp_item,E1832,exp_status,"&lt;&gt;❌ Отменено")&gt;0,1,0))</f>
        <v/>
      </c>
    </row>
    <row r="1833">
      <c r="A1833" s="52" t="n"/>
      <c r="B1833" s="53">
        <f>IF(A1833="","",CHOOSE(WEEKDAY(A1833,2),"Пн","Вт","Ср","Чт","Пт","Сб","Вс"))</f>
        <v/>
      </c>
      <c r="C1833" s="53">
        <f>IF(A1833="","",YEAR(A1833))</f>
        <v/>
      </c>
      <c r="D1833" s="54">
        <f>IF(A1833="","",INDEX(lst_months,MONTH(A1833)))</f>
        <v/>
      </c>
      <c r="E1833" s="55" t="n"/>
      <c r="F1833" s="54">
        <f>IF(E1833="","",IFERROR(IF(INDEX(lst_exp_item_cat,MATCH(E1833,lst_exp_items,0))="","❔ Без категории",INDEX(lst_exp_item_cat,MATCH(E1833,lst_exp_items,0))),"❔ Без категории"))</f>
        <v/>
      </c>
      <c r="G1833" s="43" t="n"/>
      <c r="H1833" s="56" t="n"/>
      <c r="I1833" s="43" t="n"/>
      <c r="J1833" s="57">
        <f>IF(OR(A1833="",H1833=""),"",IF(COUNTIFS(exp_year,C1833,exp_month,D1833,exp_item,E1833,exp_status,"&lt;&gt;❌ Отменено")&gt;0,1,0))</f>
        <v/>
      </c>
    </row>
    <row r="1834">
      <c r="A1834" s="52" t="n"/>
      <c r="B1834" s="53">
        <f>IF(A1834="","",CHOOSE(WEEKDAY(A1834,2),"Пн","Вт","Ср","Чт","Пт","Сб","Вс"))</f>
        <v/>
      </c>
      <c r="C1834" s="53">
        <f>IF(A1834="","",YEAR(A1834))</f>
        <v/>
      </c>
      <c r="D1834" s="54">
        <f>IF(A1834="","",INDEX(lst_months,MONTH(A1834)))</f>
        <v/>
      </c>
      <c r="E1834" s="55" t="n"/>
      <c r="F1834" s="54">
        <f>IF(E1834="","",IFERROR(IF(INDEX(lst_exp_item_cat,MATCH(E1834,lst_exp_items,0))="","❔ Без категории",INDEX(lst_exp_item_cat,MATCH(E1834,lst_exp_items,0))),"❔ Без категории"))</f>
        <v/>
      </c>
      <c r="G1834" s="43" t="n"/>
      <c r="H1834" s="56" t="n"/>
      <c r="I1834" s="43" t="n"/>
      <c r="J1834" s="57">
        <f>IF(OR(A1834="",H1834=""),"",IF(COUNTIFS(exp_year,C1834,exp_month,D1834,exp_item,E1834,exp_status,"&lt;&gt;❌ Отменено")&gt;0,1,0))</f>
        <v/>
      </c>
    </row>
    <row r="1835">
      <c r="A1835" s="52" t="n"/>
      <c r="B1835" s="53">
        <f>IF(A1835="","",CHOOSE(WEEKDAY(A1835,2),"Пн","Вт","Ср","Чт","Пт","Сб","Вс"))</f>
        <v/>
      </c>
      <c r="C1835" s="53">
        <f>IF(A1835="","",YEAR(A1835))</f>
        <v/>
      </c>
      <c r="D1835" s="54">
        <f>IF(A1835="","",INDEX(lst_months,MONTH(A1835)))</f>
        <v/>
      </c>
      <c r="E1835" s="55" t="n"/>
      <c r="F1835" s="54">
        <f>IF(E1835="","",IFERROR(IF(INDEX(lst_exp_item_cat,MATCH(E1835,lst_exp_items,0))="","❔ Без категории",INDEX(lst_exp_item_cat,MATCH(E1835,lst_exp_items,0))),"❔ Без категории"))</f>
        <v/>
      </c>
      <c r="G1835" s="43" t="n"/>
      <c r="H1835" s="56" t="n"/>
      <c r="I1835" s="43" t="n"/>
      <c r="J1835" s="57">
        <f>IF(OR(A1835="",H1835=""),"",IF(COUNTIFS(exp_year,C1835,exp_month,D1835,exp_item,E1835,exp_status,"&lt;&gt;❌ Отменено")&gt;0,1,0))</f>
        <v/>
      </c>
    </row>
    <row r="1836">
      <c r="A1836" s="52" t="n"/>
      <c r="B1836" s="53">
        <f>IF(A1836="","",CHOOSE(WEEKDAY(A1836,2),"Пн","Вт","Ср","Чт","Пт","Сб","Вс"))</f>
        <v/>
      </c>
      <c r="C1836" s="53">
        <f>IF(A1836="","",YEAR(A1836))</f>
        <v/>
      </c>
      <c r="D1836" s="54">
        <f>IF(A1836="","",INDEX(lst_months,MONTH(A1836)))</f>
        <v/>
      </c>
      <c r="E1836" s="55" t="n"/>
      <c r="F1836" s="54">
        <f>IF(E1836="","",IFERROR(IF(INDEX(lst_exp_item_cat,MATCH(E1836,lst_exp_items,0))="","❔ Без категории",INDEX(lst_exp_item_cat,MATCH(E1836,lst_exp_items,0))),"❔ Без категории"))</f>
        <v/>
      </c>
      <c r="G1836" s="43" t="n"/>
      <c r="H1836" s="56" t="n"/>
      <c r="I1836" s="43" t="n"/>
      <c r="J1836" s="57">
        <f>IF(OR(A1836="",H1836=""),"",IF(COUNTIFS(exp_year,C1836,exp_month,D1836,exp_item,E1836,exp_status,"&lt;&gt;❌ Отменено")&gt;0,1,0))</f>
        <v/>
      </c>
    </row>
    <row r="1837">
      <c r="A1837" s="52" t="n"/>
      <c r="B1837" s="53">
        <f>IF(A1837="","",CHOOSE(WEEKDAY(A1837,2),"Пн","Вт","Ср","Чт","Пт","Сб","Вс"))</f>
        <v/>
      </c>
      <c r="C1837" s="53">
        <f>IF(A1837="","",YEAR(A1837))</f>
        <v/>
      </c>
      <c r="D1837" s="54">
        <f>IF(A1837="","",INDEX(lst_months,MONTH(A1837)))</f>
        <v/>
      </c>
      <c r="E1837" s="55" t="n"/>
      <c r="F1837" s="54">
        <f>IF(E1837="","",IFERROR(IF(INDEX(lst_exp_item_cat,MATCH(E1837,lst_exp_items,0))="","❔ Без категории",INDEX(lst_exp_item_cat,MATCH(E1837,lst_exp_items,0))),"❔ Без категории"))</f>
        <v/>
      </c>
      <c r="G1837" s="43" t="n"/>
      <c r="H1837" s="56" t="n"/>
      <c r="I1837" s="43" t="n"/>
      <c r="J1837" s="57">
        <f>IF(OR(A1837="",H1837=""),"",IF(COUNTIFS(exp_year,C1837,exp_month,D1837,exp_item,E1837,exp_status,"&lt;&gt;❌ Отменено")&gt;0,1,0))</f>
        <v/>
      </c>
    </row>
    <row r="1838">
      <c r="A1838" s="52" t="n"/>
      <c r="B1838" s="53">
        <f>IF(A1838="","",CHOOSE(WEEKDAY(A1838,2),"Пн","Вт","Ср","Чт","Пт","Сб","Вс"))</f>
        <v/>
      </c>
      <c r="C1838" s="53">
        <f>IF(A1838="","",YEAR(A1838))</f>
        <v/>
      </c>
      <c r="D1838" s="54">
        <f>IF(A1838="","",INDEX(lst_months,MONTH(A1838)))</f>
        <v/>
      </c>
      <c r="E1838" s="55" t="n"/>
      <c r="F1838" s="54">
        <f>IF(E1838="","",IFERROR(IF(INDEX(lst_exp_item_cat,MATCH(E1838,lst_exp_items,0))="","❔ Без категории",INDEX(lst_exp_item_cat,MATCH(E1838,lst_exp_items,0))),"❔ Без категории"))</f>
        <v/>
      </c>
      <c r="G1838" s="43" t="n"/>
      <c r="H1838" s="56" t="n"/>
      <c r="I1838" s="43" t="n"/>
      <c r="J1838" s="57">
        <f>IF(OR(A1838="",H1838=""),"",IF(COUNTIFS(exp_year,C1838,exp_month,D1838,exp_item,E1838,exp_status,"&lt;&gt;❌ Отменено")&gt;0,1,0))</f>
        <v/>
      </c>
    </row>
    <row r="1839">
      <c r="A1839" s="52" t="n"/>
      <c r="B1839" s="53">
        <f>IF(A1839="","",CHOOSE(WEEKDAY(A1839,2),"Пн","Вт","Ср","Чт","Пт","Сб","Вс"))</f>
        <v/>
      </c>
      <c r="C1839" s="53">
        <f>IF(A1839="","",YEAR(A1839))</f>
        <v/>
      </c>
      <c r="D1839" s="54">
        <f>IF(A1839="","",INDEX(lst_months,MONTH(A1839)))</f>
        <v/>
      </c>
      <c r="E1839" s="55" t="n"/>
      <c r="F1839" s="54">
        <f>IF(E1839="","",IFERROR(IF(INDEX(lst_exp_item_cat,MATCH(E1839,lst_exp_items,0))="","❔ Без категории",INDEX(lst_exp_item_cat,MATCH(E1839,lst_exp_items,0))),"❔ Без категории"))</f>
        <v/>
      </c>
      <c r="G1839" s="43" t="n"/>
      <c r="H1839" s="56" t="n"/>
      <c r="I1839" s="43" t="n"/>
      <c r="J1839" s="57">
        <f>IF(OR(A1839="",H1839=""),"",IF(COUNTIFS(exp_year,C1839,exp_month,D1839,exp_item,E1839,exp_status,"&lt;&gt;❌ Отменено")&gt;0,1,0))</f>
        <v/>
      </c>
    </row>
    <row r="1840">
      <c r="A1840" s="52" t="n"/>
      <c r="B1840" s="53">
        <f>IF(A1840="","",CHOOSE(WEEKDAY(A1840,2),"Пн","Вт","Ср","Чт","Пт","Сб","Вс"))</f>
        <v/>
      </c>
      <c r="C1840" s="53">
        <f>IF(A1840="","",YEAR(A1840))</f>
        <v/>
      </c>
      <c r="D1840" s="54">
        <f>IF(A1840="","",INDEX(lst_months,MONTH(A1840)))</f>
        <v/>
      </c>
      <c r="E1840" s="55" t="n"/>
      <c r="F1840" s="54">
        <f>IF(E1840="","",IFERROR(IF(INDEX(lst_exp_item_cat,MATCH(E1840,lst_exp_items,0))="","❔ Без категории",INDEX(lst_exp_item_cat,MATCH(E1840,lst_exp_items,0))),"❔ Без категории"))</f>
        <v/>
      </c>
      <c r="G1840" s="43" t="n"/>
      <c r="H1840" s="56" t="n"/>
      <c r="I1840" s="43" t="n"/>
      <c r="J1840" s="57">
        <f>IF(OR(A1840="",H1840=""),"",IF(COUNTIFS(exp_year,C1840,exp_month,D1840,exp_item,E1840,exp_status,"&lt;&gt;❌ Отменено")&gt;0,1,0))</f>
        <v/>
      </c>
    </row>
    <row r="1841">
      <c r="A1841" s="52" t="n"/>
      <c r="B1841" s="53">
        <f>IF(A1841="","",CHOOSE(WEEKDAY(A1841,2),"Пн","Вт","Ср","Чт","Пт","Сб","Вс"))</f>
        <v/>
      </c>
      <c r="C1841" s="53">
        <f>IF(A1841="","",YEAR(A1841))</f>
        <v/>
      </c>
      <c r="D1841" s="54">
        <f>IF(A1841="","",INDEX(lst_months,MONTH(A1841)))</f>
        <v/>
      </c>
      <c r="E1841" s="55" t="n"/>
      <c r="F1841" s="54">
        <f>IF(E1841="","",IFERROR(IF(INDEX(lst_exp_item_cat,MATCH(E1841,lst_exp_items,0))="","❔ Без категории",INDEX(lst_exp_item_cat,MATCH(E1841,lst_exp_items,0))),"❔ Без категории"))</f>
        <v/>
      </c>
      <c r="G1841" s="43" t="n"/>
      <c r="H1841" s="56" t="n"/>
      <c r="I1841" s="43" t="n"/>
      <c r="J1841" s="57">
        <f>IF(OR(A1841="",H1841=""),"",IF(COUNTIFS(exp_year,C1841,exp_month,D1841,exp_item,E1841,exp_status,"&lt;&gt;❌ Отменено")&gt;0,1,0))</f>
        <v/>
      </c>
    </row>
    <row r="1842">
      <c r="A1842" s="52" t="n"/>
      <c r="B1842" s="53">
        <f>IF(A1842="","",CHOOSE(WEEKDAY(A1842,2),"Пн","Вт","Ср","Чт","Пт","Сб","Вс"))</f>
        <v/>
      </c>
      <c r="C1842" s="53">
        <f>IF(A1842="","",YEAR(A1842))</f>
        <v/>
      </c>
      <c r="D1842" s="54">
        <f>IF(A1842="","",INDEX(lst_months,MONTH(A1842)))</f>
        <v/>
      </c>
      <c r="E1842" s="55" t="n"/>
      <c r="F1842" s="54">
        <f>IF(E1842="","",IFERROR(IF(INDEX(lst_exp_item_cat,MATCH(E1842,lst_exp_items,0))="","❔ Без категории",INDEX(lst_exp_item_cat,MATCH(E1842,lst_exp_items,0))),"❔ Без категории"))</f>
        <v/>
      </c>
      <c r="G1842" s="43" t="n"/>
      <c r="H1842" s="56" t="n"/>
      <c r="I1842" s="43" t="n"/>
      <c r="J1842" s="57">
        <f>IF(OR(A1842="",H1842=""),"",IF(COUNTIFS(exp_year,C1842,exp_month,D1842,exp_item,E1842,exp_status,"&lt;&gt;❌ Отменено")&gt;0,1,0))</f>
        <v/>
      </c>
    </row>
    <row r="1843">
      <c r="A1843" s="52" t="n"/>
      <c r="B1843" s="53">
        <f>IF(A1843="","",CHOOSE(WEEKDAY(A1843,2),"Пн","Вт","Ср","Чт","Пт","Сб","Вс"))</f>
        <v/>
      </c>
      <c r="C1843" s="53">
        <f>IF(A1843="","",YEAR(A1843))</f>
        <v/>
      </c>
      <c r="D1843" s="54">
        <f>IF(A1843="","",INDEX(lst_months,MONTH(A1843)))</f>
        <v/>
      </c>
      <c r="E1843" s="55" t="n"/>
      <c r="F1843" s="54">
        <f>IF(E1843="","",IFERROR(IF(INDEX(lst_exp_item_cat,MATCH(E1843,lst_exp_items,0))="","❔ Без категории",INDEX(lst_exp_item_cat,MATCH(E1843,lst_exp_items,0))),"❔ Без категории"))</f>
        <v/>
      </c>
      <c r="G1843" s="43" t="n"/>
      <c r="H1843" s="56" t="n"/>
      <c r="I1843" s="43" t="n"/>
      <c r="J1843" s="57">
        <f>IF(OR(A1843="",H1843=""),"",IF(COUNTIFS(exp_year,C1843,exp_month,D1843,exp_item,E1843,exp_status,"&lt;&gt;❌ Отменено")&gt;0,1,0))</f>
        <v/>
      </c>
    </row>
    <row r="1844">
      <c r="A1844" s="52" t="n"/>
      <c r="B1844" s="53">
        <f>IF(A1844="","",CHOOSE(WEEKDAY(A1844,2),"Пн","Вт","Ср","Чт","Пт","Сб","Вс"))</f>
        <v/>
      </c>
      <c r="C1844" s="53">
        <f>IF(A1844="","",YEAR(A1844))</f>
        <v/>
      </c>
      <c r="D1844" s="54">
        <f>IF(A1844="","",INDEX(lst_months,MONTH(A1844)))</f>
        <v/>
      </c>
      <c r="E1844" s="55" t="n"/>
      <c r="F1844" s="54">
        <f>IF(E1844="","",IFERROR(IF(INDEX(lst_exp_item_cat,MATCH(E1844,lst_exp_items,0))="","❔ Без категории",INDEX(lst_exp_item_cat,MATCH(E1844,lst_exp_items,0))),"❔ Без категории"))</f>
        <v/>
      </c>
      <c r="G1844" s="43" t="n"/>
      <c r="H1844" s="56" t="n"/>
      <c r="I1844" s="43" t="n"/>
      <c r="J1844" s="57">
        <f>IF(OR(A1844="",H1844=""),"",IF(COUNTIFS(exp_year,C1844,exp_month,D1844,exp_item,E1844,exp_status,"&lt;&gt;❌ Отменено")&gt;0,1,0))</f>
        <v/>
      </c>
    </row>
    <row r="1845">
      <c r="A1845" s="52" t="n"/>
      <c r="B1845" s="53">
        <f>IF(A1845="","",CHOOSE(WEEKDAY(A1845,2),"Пн","Вт","Ср","Чт","Пт","Сб","Вс"))</f>
        <v/>
      </c>
      <c r="C1845" s="53">
        <f>IF(A1845="","",YEAR(A1845))</f>
        <v/>
      </c>
      <c r="D1845" s="54">
        <f>IF(A1845="","",INDEX(lst_months,MONTH(A1845)))</f>
        <v/>
      </c>
      <c r="E1845" s="55" t="n"/>
      <c r="F1845" s="54">
        <f>IF(E1845="","",IFERROR(IF(INDEX(lst_exp_item_cat,MATCH(E1845,lst_exp_items,0))="","❔ Без категории",INDEX(lst_exp_item_cat,MATCH(E1845,lst_exp_items,0))),"❔ Без категории"))</f>
        <v/>
      </c>
      <c r="G1845" s="43" t="n"/>
      <c r="H1845" s="56" t="n"/>
      <c r="I1845" s="43" t="n"/>
      <c r="J1845" s="57">
        <f>IF(OR(A1845="",H1845=""),"",IF(COUNTIFS(exp_year,C1845,exp_month,D1845,exp_item,E1845,exp_status,"&lt;&gt;❌ Отменено")&gt;0,1,0))</f>
        <v/>
      </c>
    </row>
    <row r="1846">
      <c r="A1846" s="52" t="n"/>
      <c r="B1846" s="53">
        <f>IF(A1846="","",CHOOSE(WEEKDAY(A1846,2),"Пн","Вт","Ср","Чт","Пт","Сб","Вс"))</f>
        <v/>
      </c>
      <c r="C1846" s="53">
        <f>IF(A1846="","",YEAR(A1846))</f>
        <v/>
      </c>
      <c r="D1846" s="54">
        <f>IF(A1846="","",INDEX(lst_months,MONTH(A1846)))</f>
        <v/>
      </c>
      <c r="E1846" s="55" t="n"/>
      <c r="F1846" s="54">
        <f>IF(E1846="","",IFERROR(IF(INDEX(lst_exp_item_cat,MATCH(E1846,lst_exp_items,0))="","❔ Без категории",INDEX(lst_exp_item_cat,MATCH(E1846,lst_exp_items,0))),"❔ Без категории"))</f>
        <v/>
      </c>
      <c r="G1846" s="43" t="n"/>
      <c r="H1846" s="56" t="n"/>
      <c r="I1846" s="43" t="n"/>
      <c r="J1846" s="57">
        <f>IF(OR(A1846="",H1846=""),"",IF(COUNTIFS(exp_year,C1846,exp_month,D1846,exp_item,E1846,exp_status,"&lt;&gt;❌ Отменено")&gt;0,1,0))</f>
        <v/>
      </c>
    </row>
    <row r="1847">
      <c r="A1847" s="52" t="n"/>
      <c r="B1847" s="53">
        <f>IF(A1847="","",CHOOSE(WEEKDAY(A1847,2),"Пн","Вт","Ср","Чт","Пт","Сб","Вс"))</f>
        <v/>
      </c>
      <c r="C1847" s="53">
        <f>IF(A1847="","",YEAR(A1847))</f>
        <v/>
      </c>
      <c r="D1847" s="54">
        <f>IF(A1847="","",INDEX(lst_months,MONTH(A1847)))</f>
        <v/>
      </c>
      <c r="E1847" s="55" t="n"/>
      <c r="F1847" s="54">
        <f>IF(E1847="","",IFERROR(IF(INDEX(lst_exp_item_cat,MATCH(E1847,lst_exp_items,0))="","❔ Без категории",INDEX(lst_exp_item_cat,MATCH(E1847,lst_exp_items,0))),"❔ Без категории"))</f>
        <v/>
      </c>
      <c r="G1847" s="43" t="n"/>
      <c r="H1847" s="56" t="n"/>
      <c r="I1847" s="43" t="n"/>
      <c r="J1847" s="57">
        <f>IF(OR(A1847="",H1847=""),"",IF(COUNTIFS(exp_year,C1847,exp_month,D1847,exp_item,E1847,exp_status,"&lt;&gt;❌ Отменено")&gt;0,1,0))</f>
        <v/>
      </c>
    </row>
    <row r="1848">
      <c r="A1848" s="52" t="n"/>
      <c r="B1848" s="53">
        <f>IF(A1848="","",CHOOSE(WEEKDAY(A1848,2),"Пн","Вт","Ср","Чт","Пт","Сб","Вс"))</f>
        <v/>
      </c>
      <c r="C1848" s="53">
        <f>IF(A1848="","",YEAR(A1848))</f>
        <v/>
      </c>
      <c r="D1848" s="54">
        <f>IF(A1848="","",INDEX(lst_months,MONTH(A1848)))</f>
        <v/>
      </c>
      <c r="E1848" s="55" t="n"/>
      <c r="F1848" s="54">
        <f>IF(E1848="","",IFERROR(IF(INDEX(lst_exp_item_cat,MATCH(E1848,lst_exp_items,0))="","❔ Без категории",INDEX(lst_exp_item_cat,MATCH(E1848,lst_exp_items,0))),"❔ Без категории"))</f>
        <v/>
      </c>
      <c r="G1848" s="43" t="n"/>
      <c r="H1848" s="56" t="n"/>
      <c r="I1848" s="43" t="n"/>
      <c r="J1848" s="57">
        <f>IF(OR(A1848="",H1848=""),"",IF(COUNTIFS(exp_year,C1848,exp_month,D1848,exp_item,E1848,exp_status,"&lt;&gt;❌ Отменено")&gt;0,1,0))</f>
        <v/>
      </c>
    </row>
    <row r="1849">
      <c r="A1849" s="52" t="n"/>
      <c r="B1849" s="53">
        <f>IF(A1849="","",CHOOSE(WEEKDAY(A1849,2),"Пн","Вт","Ср","Чт","Пт","Сб","Вс"))</f>
        <v/>
      </c>
      <c r="C1849" s="53">
        <f>IF(A1849="","",YEAR(A1849))</f>
        <v/>
      </c>
      <c r="D1849" s="54">
        <f>IF(A1849="","",INDEX(lst_months,MONTH(A1849)))</f>
        <v/>
      </c>
      <c r="E1849" s="55" t="n"/>
      <c r="F1849" s="54">
        <f>IF(E1849="","",IFERROR(IF(INDEX(lst_exp_item_cat,MATCH(E1849,lst_exp_items,0))="","❔ Без категории",INDEX(lst_exp_item_cat,MATCH(E1849,lst_exp_items,0))),"❔ Без категории"))</f>
        <v/>
      </c>
      <c r="G1849" s="43" t="n"/>
      <c r="H1849" s="56" t="n"/>
      <c r="I1849" s="43" t="n"/>
      <c r="J1849" s="57">
        <f>IF(OR(A1849="",H1849=""),"",IF(COUNTIFS(exp_year,C1849,exp_month,D1849,exp_item,E1849,exp_status,"&lt;&gt;❌ Отменено")&gt;0,1,0))</f>
        <v/>
      </c>
    </row>
    <row r="1850">
      <c r="A1850" s="52" t="n"/>
      <c r="B1850" s="53">
        <f>IF(A1850="","",CHOOSE(WEEKDAY(A1850,2),"Пн","Вт","Ср","Чт","Пт","Сб","Вс"))</f>
        <v/>
      </c>
      <c r="C1850" s="53">
        <f>IF(A1850="","",YEAR(A1850))</f>
        <v/>
      </c>
      <c r="D1850" s="54">
        <f>IF(A1850="","",INDEX(lst_months,MONTH(A1850)))</f>
        <v/>
      </c>
      <c r="E1850" s="55" t="n"/>
      <c r="F1850" s="54">
        <f>IF(E1850="","",IFERROR(IF(INDEX(lst_exp_item_cat,MATCH(E1850,lst_exp_items,0))="","❔ Без категории",INDEX(lst_exp_item_cat,MATCH(E1850,lst_exp_items,0))),"❔ Без категории"))</f>
        <v/>
      </c>
      <c r="G1850" s="43" t="n"/>
      <c r="H1850" s="56" t="n"/>
      <c r="I1850" s="43" t="n"/>
      <c r="J1850" s="57">
        <f>IF(OR(A1850="",H1850=""),"",IF(COUNTIFS(exp_year,C1850,exp_month,D1850,exp_item,E1850,exp_status,"&lt;&gt;❌ Отменено")&gt;0,1,0))</f>
        <v/>
      </c>
    </row>
    <row r="1851">
      <c r="A1851" s="52" t="n"/>
      <c r="B1851" s="53">
        <f>IF(A1851="","",CHOOSE(WEEKDAY(A1851,2),"Пн","Вт","Ср","Чт","Пт","Сб","Вс"))</f>
        <v/>
      </c>
      <c r="C1851" s="53">
        <f>IF(A1851="","",YEAR(A1851))</f>
        <v/>
      </c>
      <c r="D1851" s="54">
        <f>IF(A1851="","",INDEX(lst_months,MONTH(A1851)))</f>
        <v/>
      </c>
      <c r="E1851" s="55" t="n"/>
      <c r="F1851" s="54">
        <f>IF(E1851="","",IFERROR(IF(INDEX(lst_exp_item_cat,MATCH(E1851,lst_exp_items,0))="","❔ Без категории",INDEX(lst_exp_item_cat,MATCH(E1851,lst_exp_items,0))),"❔ Без категории"))</f>
        <v/>
      </c>
      <c r="G1851" s="43" t="n"/>
      <c r="H1851" s="56" t="n"/>
      <c r="I1851" s="43" t="n"/>
      <c r="J1851" s="57">
        <f>IF(OR(A1851="",H1851=""),"",IF(COUNTIFS(exp_year,C1851,exp_month,D1851,exp_item,E1851,exp_status,"&lt;&gt;❌ Отменено")&gt;0,1,0))</f>
        <v/>
      </c>
    </row>
    <row r="1852">
      <c r="A1852" s="52" t="n"/>
      <c r="B1852" s="53">
        <f>IF(A1852="","",CHOOSE(WEEKDAY(A1852,2),"Пн","Вт","Ср","Чт","Пт","Сб","Вс"))</f>
        <v/>
      </c>
      <c r="C1852" s="53">
        <f>IF(A1852="","",YEAR(A1852))</f>
        <v/>
      </c>
      <c r="D1852" s="54">
        <f>IF(A1852="","",INDEX(lst_months,MONTH(A1852)))</f>
        <v/>
      </c>
      <c r="E1852" s="55" t="n"/>
      <c r="F1852" s="54">
        <f>IF(E1852="","",IFERROR(IF(INDEX(lst_exp_item_cat,MATCH(E1852,lst_exp_items,0))="","❔ Без категории",INDEX(lst_exp_item_cat,MATCH(E1852,lst_exp_items,0))),"❔ Без категории"))</f>
        <v/>
      </c>
      <c r="G1852" s="43" t="n"/>
      <c r="H1852" s="56" t="n"/>
      <c r="I1852" s="43" t="n"/>
      <c r="J1852" s="57">
        <f>IF(OR(A1852="",H1852=""),"",IF(COUNTIFS(exp_year,C1852,exp_month,D1852,exp_item,E1852,exp_status,"&lt;&gt;❌ Отменено")&gt;0,1,0))</f>
        <v/>
      </c>
    </row>
    <row r="1853">
      <c r="A1853" s="52" t="n"/>
      <c r="B1853" s="53">
        <f>IF(A1853="","",CHOOSE(WEEKDAY(A1853,2),"Пн","Вт","Ср","Чт","Пт","Сб","Вс"))</f>
        <v/>
      </c>
      <c r="C1853" s="53">
        <f>IF(A1853="","",YEAR(A1853))</f>
        <v/>
      </c>
      <c r="D1853" s="54">
        <f>IF(A1853="","",INDEX(lst_months,MONTH(A1853)))</f>
        <v/>
      </c>
      <c r="E1853" s="55" t="n"/>
      <c r="F1853" s="54">
        <f>IF(E1853="","",IFERROR(IF(INDEX(lst_exp_item_cat,MATCH(E1853,lst_exp_items,0))="","❔ Без категории",INDEX(lst_exp_item_cat,MATCH(E1853,lst_exp_items,0))),"❔ Без категории"))</f>
        <v/>
      </c>
      <c r="G1853" s="43" t="n"/>
      <c r="H1853" s="56" t="n"/>
      <c r="I1853" s="43" t="n"/>
      <c r="J1853" s="57">
        <f>IF(OR(A1853="",H1853=""),"",IF(COUNTIFS(exp_year,C1853,exp_month,D1853,exp_item,E1853,exp_status,"&lt;&gt;❌ Отменено")&gt;0,1,0))</f>
        <v/>
      </c>
    </row>
    <row r="1854">
      <c r="A1854" s="52" t="n"/>
      <c r="B1854" s="53">
        <f>IF(A1854="","",CHOOSE(WEEKDAY(A1854,2),"Пн","Вт","Ср","Чт","Пт","Сб","Вс"))</f>
        <v/>
      </c>
      <c r="C1854" s="53">
        <f>IF(A1854="","",YEAR(A1854))</f>
        <v/>
      </c>
      <c r="D1854" s="54">
        <f>IF(A1854="","",INDEX(lst_months,MONTH(A1854)))</f>
        <v/>
      </c>
      <c r="E1854" s="55" t="n"/>
      <c r="F1854" s="54">
        <f>IF(E1854="","",IFERROR(IF(INDEX(lst_exp_item_cat,MATCH(E1854,lst_exp_items,0))="","❔ Без категории",INDEX(lst_exp_item_cat,MATCH(E1854,lst_exp_items,0))),"❔ Без категории"))</f>
        <v/>
      </c>
      <c r="G1854" s="43" t="n"/>
      <c r="H1854" s="56" t="n"/>
      <c r="I1854" s="43" t="n"/>
      <c r="J1854" s="57">
        <f>IF(OR(A1854="",H1854=""),"",IF(COUNTIFS(exp_year,C1854,exp_month,D1854,exp_item,E1854,exp_status,"&lt;&gt;❌ Отменено")&gt;0,1,0))</f>
        <v/>
      </c>
    </row>
    <row r="1855">
      <c r="A1855" s="52" t="n"/>
      <c r="B1855" s="53">
        <f>IF(A1855="","",CHOOSE(WEEKDAY(A1855,2),"Пн","Вт","Ср","Чт","Пт","Сб","Вс"))</f>
        <v/>
      </c>
      <c r="C1855" s="53">
        <f>IF(A1855="","",YEAR(A1855))</f>
        <v/>
      </c>
      <c r="D1855" s="54">
        <f>IF(A1855="","",INDEX(lst_months,MONTH(A1855)))</f>
        <v/>
      </c>
      <c r="E1855" s="55" t="n"/>
      <c r="F1855" s="54">
        <f>IF(E1855="","",IFERROR(IF(INDEX(lst_exp_item_cat,MATCH(E1855,lst_exp_items,0))="","❔ Без категории",INDEX(lst_exp_item_cat,MATCH(E1855,lst_exp_items,0))),"❔ Без категории"))</f>
        <v/>
      </c>
      <c r="G1855" s="43" t="n"/>
      <c r="H1855" s="56" t="n"/>
      <c r="I1855" s="43" t="n"/>
      <c r="J1855" s="57">
        <f>IF(OR(A1855="",H1855=""),"",IF(COUNTIFS(exp_year,C1855,exp_month,D1855,exp_item,E1855,exp_status,"&lt;&gt;❌ Отменено")&gt;0,1,0))</f>
        <v/>
      </c>
    </row>
    <row r="1856">
      <c r="A1856" s="52" t="n"/>
      <c r="B1856" s="53">
        <f>IF(A1856="","",CHOOSE(WEEKDAY(A1856,2),"Пн","Вт","Ср","Чт","Пт","Сб","Вс"))</f>
        <v/>
      </c>
      <c r="C1856" s="53">
        <f>IF(A1856="","",YEAR(A1856))</f>
        <v/>
      </c>
      <c r="D1856" s="54">
        <f>IF(A1856="","",INDEX(lst_months,MONTH(A1856)))</f>
        <v/>
      </c>
      <c r="E1856" s="55" t="n"/>
      <c r="F1856" s="54">
        <f>IF(E1856="","",IFERROR(IF(INDEX(lst_exp_item_cat,MATCH(E1856,lst_exp_items,0))="","❔ Без категории",INDEX(lst_exp_item_cat,MATCH(E1856,lst_exp_items,0))),"❔ Без категории"))</f>
        <v/>
      </c>
      <c r="G1856" s="43" t="n"/>
      <c r="H1856" s="56" t="n"/>
      <c r="I1856" s="43" t="n"/>
      <c r="J1856" s="57">
        <f>IF(OR(A1856="",H1856=""),"",IF(COUNTIFS(exp_year,C1856,exp_month,D1856,exp_item,E1856,exp_status,"&lt;&gt;❌ Отменено")&gt;0,1,0))</f>
        <v/>
      </c>
    </row>
    <row r="1857">
      <c r="A1857" s="52" t="n"/>
      <c r="B1857" s="53">
        <f>IF(A1857="","",CHOOSE(WEEKDAY(A1857,2),"Пн","Вт","Ср","Чт","Пт","Сб","Вс"))</f>
        <v/>
      </c>
      <c r="C1857" s="53">
        <f>IF(A1857="","",YEAR(A1857))</f>
        <v/>
      </c>
      <c r="D1857" s="54">
        <f>IF(A1857="","",INDEX(lst_months,MONTH(A1857)))</f>
        <v/>
      </c>
      <c r="E1857" s="55" t="n"/>
      <c r="F1857" s="54">
        <f>IF(E1857="","",IFERROR(IF(INDEX(lst_exp_item_cat,MATCH(E1857,lst_exp_items,0))="","❔ Без категории",INDEX(lst_exp_item_cat,MATCH(E1857,lst_exp_items,0))),"❔ Без категории"))</f>
        <v/>
      </c>
      <c r="G1857" s="43" t="n"/>
      <c r="H1857" s="56" t="n"/>
      <c r="I1857" s="43" t="n"/>
      <c r="J1857" s="57">
        <f>IF(OR(A1857="",H1857=""),"",IF(COUNTIFS(exp_year,C1857,exp_month,D1857,exp_item,E1857,exp_status,"&lt;&gt;❌ Отменено")&gt;0,1,0))</f>
        <v/>
      </c>
    </row>
    <row r="1858">
      <c r="A1858" s="52" t="n"/>
      <c r="B1858" s="53">
        <f>IF(A1858="","",CHOOSE(WEEKDAY(A1858,2),"Пн","Вт","Ср","Чт","Пт","Сб","Вс"))</f>
        <v/>
      </c>
      <c r="C1858" s="53">
        <f>IF(A1858="","",YEAR(A1858))</f>
        <v/>
      </c>
      <c r="D1858" s="54">
        <f>IF(A1858="","",INDEX(lst_months,MONTH(A1858)))</f>
        <v/>
      </c>
      <c r="E1858" s="55" t="n"/>
      <c r="F1858" s="54">
        <f>IF(E1858="","",IFERROR(IF(INDEX(lst_exp_item_cat,MATCH(E1858,lst_exp_items,0))="","❔ Без категории",INDEX(lst_exp_item_cat,MATCH(E1858,lst_exp_items,0))),"❔ Без категории"))</f>
        <v/>
      </c>
      <c r="G1858" s="43" t="n"/>
      <c r="H1858" s="56" t="n"/>
      <c r="I1858" s="43" t="n"/>
      <c r="J1858" s="57">
        <f>IF(OR(A1858="",H1858=""),"",IF(COUNTIFS(exp_year,C1858,exp_month,D1858,exp_item,E1858,exp_status,"&lt;&gt;❌ Отменено")&gt;0,1,0))</f>
        <v/>
      </c>
    </row>
    <row r="1859">
      <c r="A1859" s="52" t="n"/>
      <c r="B1859" s="53">
        <f>IF(A1859="","",CHOOSE(WEEKDAY(A1859,2),"Пн","Вт","Ср","Чт","Пт","Сб","Вс"))</f>
        <v/>
      </c>
      <c r="C1859" s="53">
        <f>IF(A1859="","",YEAR(A1859))</f>
        <v/>
      </c>
      <c r="D1859" s="54">
        <f>IF(A1859="","",INDEX(lst_months,MONTH(A1859)))</f>
        <v/>
      </c>
      <c r="E1859" s="55" t="n"/>
      <c r="F1859" s="54">
        <f>IF(E1859="","",IFERROR(IF(INDEX(lst_exp_item_cat,MATCH(E1859,lst_exp_items,0))="","❔ Без категории",INDEX(lst_exp_item_cat,MATCH(E1859,lst_exp_items,0))),"❔ Без категории"))</f>
        <v/>
      </c>
      <c r="G1859" s="43" t="n"/>
      <c r="H1859" s="56" t="n"/>
      <c r="I1859" s="43" t="n"/>
      <c r="J1859" s="57">
        <f>IF(OR(A1859="",H1859=""),"",IF(COUNTIFS(exp_year,C1859,exp_month,D1859,exp_item,E1859,exp_status,"&lt;&gt;❌ Отменено")&gt;0,1,0))</f>
        <v/>
      </c>
    </row>
    <row r="1860">
      <c r="A1860" s="52" t="n"/>
      <c r="B1860" s="53">
        <f>IF(A1860="","",CHOOSE(WEEKDAY(A1860,2),"Пн","Вт","Ср","Чт","Пт","Сб","Вс"))</f>
        <v/>
      </c>
      <c r="C1860" s="53">
        <f>IF(A1860="","",YEAR(A1860))</f>
        <v/>
      </c>
      <c r="D1860" s="54">
        <f>IF(A1860="","",INDEX(lst_months,MONTH(A1860)))</f>
        <v/>
      </c>
      <c r="E1860" s="55" t="n"/>
      <c r="F1860" s="54">
        <f>IF(E1860="","",IFERROR(IF(INDEX(lst_exp_item_cat,MATCH(E1860,lst_exp_items,0))="","❔ Без категории",INDEX(lst_exp_item_cat,MATCH(E1860,lst_exp_items,0))),"❔ Без категории"))</f>
        <v/>
      </c>
      <c r="G1860" s="43" t="n"/>
      <c r="H1860" s="56" t="n"/>
      <c r="I1860" s="43" t="n"/>
      <c r="J1860" s="57">
        <f>IF(OR(A1860="",H1860=""),"",IF(COUNTIFS(exp_year,C1860,exp_month,D1860,exp_item,E1860,exp_status,"&lt;&gt;❌ Отменено")&gt;0,1,0))</f>
        <v/>
      </c>
    </row>
    <row r="1861">
      <c r="A1861" s="52" t="n"/>
      <c r="B1861" s="53">
        <f>IF(A1861="","",CHOOSE(WEEKDAY(A1861,2),"Пн","Вт","Ср","Чт","Пт","Сб","Вс"))</f>
        <v/>
      </c>
      <c r="C1861" s="53">
        <f>IF(A1861="","",YEAR(A1861))</f>
        <v/>
      </c>
      <c r="D1861" s="54">
        <f>IF(A1861="","",INDEX(lst_months,MONTH(A1861)))</f>
        <v/>
      </c>
      <c r="E1861" s="55" t="n"/>
      <c r="F1861" s="54">
        <f>IF(E1861="","",IFERROR(IF(INDEX(lst_exp_item_cat,MATCH(E1861,lst_exp_items,0))="","❔ Без категории",INDEX(lst_exp_item_cat,MATCH(E1861,lst_exp_items,0))),"❔ Без категории"))</f>
        <v/>
      </c>
      <c r="G1861" s="43" t="n"/>
      <c r="H1861" s="56" t="n"/>
      <c r="I1861" s="43" t="n"/>
      <c r="J1861" s="57">
        <f>IF(OR(A1861="",H1861=""),"",IF(COUNTIFS(exp_year,C1861,exp_month,D1861,exp_item,E1861,exp_status,"&lt;&gt;❌ Отменено")&gt;0,1,0))</f>
        <v/>
      </c>
    </row>
    <row r="1862">
      <c r="A1862" s="52" t="n"/>
      <c r="B1862" s="53">
        <f>IF(A1862="","",CHOOSE(WEEKDAY(A1862,2),"Пн","Вт","Ср","Чт","Пт","Сб","Вс"))</f>
        <v/>
      </c>
      <c r="C1862" s="53">
        <f>IF(A1862="","",YEAR(A1862))</f>
        <v/>
      </c>
      <c r="D1862" s="54">
        <f>IF(A1862="","",INDEX(lst_months,MONTH(A1862)))</f>
        <v/>
      </c>
      <c r="E1862" s="55" t="n"/>
      <c r="F1862" s="54">
        <f>IF(E1862="","",IFERROR(IF(INDEX(lst_exp_item_cat,MATCH(E1862,lst_exp_items,0))="","❔ Без категории",INDEX(lst_exp_item_cat,MATCH(E1862,lst_exp_items,0))),"❔ Без категории"))</f>
        <v/>
      </c>
      <c r="G1862" s="43" t="n"/>
      <c r="H1862" s="56" t="n"/>
      <c r="I1862" s="43" t="n"/>
      <c r="J1862" s="57">
        <f>IF(OR(A1862="",H1862=""),"",IF(COUNTIFS(exp_year,C1862,exp_month,D1862,exp_item,E1862,exp_status,"&lt;&gt;❌ Отменено")&gt;0,1,0))</f>
        <v/>
      </c>
    </row>
    <row r="1863">
      <c r="A1863" s="52" t="n"/>
      <c r="B1863" s="53">
        <f>IF(A1863="","",CHOOSE(WEEKDAY(A1863,2),"Пн","Вт","Ср","Чт","Пт","Сб","Вс"))</f>
        <v/>
      </c>
      <c r="C1863" s="53">
        <f>IF(A1863="","",YEAR(A1863))</f>
        <v/>
      </c>
      <c r="D1863" s="54">
        <f>IF(A1863="","",INDEX(lst_months,MONTH(A1863)))</f>
        <v/>
      </c>
      <c r="E1863" s="55" t="n"/>
      <c r="F1863" s="54">
        <f>IF(E1863="","",IFERROR(IF(INDEX(lst_exp_item_cat,MATCH(E1863,lst_exp_items,0))="","❔ Без категории",INDEX(lst_exp_item_cat,MATCH(E1863,lst_exp_items,0))),"❔ Без категории"))</f>
        <v/>
      </c>
      <c r="G1863" s="43" t="n"/>
      <c r="H1863" s="56" t="n"/>
      <c r="I1863" s="43" t="n"/>
      <c r="J1863" s="57">
        <f>IF(OR(A1863="",H1863=""),"",IF(COUNTIFS(exp_year,C1863,exp_month,D1863,exp_item,E1863,exp_status,"&lt;&gt;❌ Отменено")&gt;0,1,0))</f>
        <v/>
      </c>
    </row>
    <row r="1864">
      <c r="A1864" s="52" t="n"/>
      <c r="B1864" s="53">
        <f>IF(A1864="","",CHOOSE(WEEKDAY(A1864,2),"Пн","Вт","Ср","Чт","Пт","Сб","Вс"))</f>
        <v/>
      </c>
      <c r="C1864" s="53">
        <f>IF(A1864="","",YEAR(A1864))</f>
        <v/>
      </c>
      <c r="D1864" s="54">
        <f>IF(A1864="","",INDEX(lst_months,MONTH(A1864)))</f>
        <v/>
      </c>
      <c r="E1864" s="55" t="n"/>
      <c r="F1864" s="54">
        <f>IF(E1864="","",IFERROR(IF(INDEX(lst_exp_item_cat,MATCH(E1864,lst_exp_items,0))="","❔ Без категории",INDEX(lst_exp_item_cat,MATCH(E1864,lst_exp_items,0))),"❔ Без категории"))</f>
        <v/>
      </c>
      <c r="G1864" s="43" t="n"/>
      <c r="H1864" s="56" t="n"/>
      <c r="I1864" s="43" t="n"/>
      <c r="J1864" s="57">
        <f>IF(OR(A1864="",H1864=""),"",IF(COUNTIFS(exp_year,C1864,exp_month,D1864,exp_item,E1864,exp_status,"&lt;&gt;❌ Отменено")&gt;0,1,0))</f>
        <v/>
      </c>
    </row>
    <row r="1865">
      <c r="A1865" s="52" t="n"/>
      <c r="B1865" s="53">
        <f>IF(A1865="","",CHOOSE(WEEKDAY(A1865,2),"Пн","Вт","Ср","Чт","Пт","Сб","Вс"))</f>
        <v/>
      </c>
      <c r="C1865" s="53">
        <f>IF(A1865="","",YEAR(A1865))</f>
        <v/>
      </c>
      <c r="D1865" s="54">
        <f>IF(A1865="","",INDEX(lst_months,MONTH(A1865)))</f>
        <v/>
      </c>
      <c r="E1865" s="55" t="n"/>
      <c r="F1865" s="54">
        <f>IF(E1865="","",IFERROR(IF(INDEX(lst_exp_item_cat,MATCH(E1865,lst_exp_items,0))="","❔ Без категории",INDEX(lst_exp_item_cat,MATCH(E1865,lst_exp_items,0))),"❔ Без категории"))</f>
        <v/>
      </c>
      <c r="G1865" s="43" t="n"/>
      <c r="H1865" s="56" t="n"/>
      <c r="I1865" s="43" t="n"/>
      <c r="J1865" s="57">
        <f>IF(OR(A1865="",H1865=""),"",IF(COUNTIFS(exp_year,C1865,exp_month,D1865,exp_item,E1865,exp_status,"&lt;&gt;❌ Отменено")&gt;0,1,0))</f>
        <v/>
      </c>
    </row>
    <row r="1866">
      <c r="A1866" s="52" t="n"/>
      <c r="B1866" s="53">
        <f>IF(A1866="","",CHOOSE(WEEKDAY(A1866,2),"Пн","Вт","Ср","Чт","Пт","Сб","Вс"))</f>
        <v/>
      </c>
      <c r="C1866" s="53">
        <f>IF(A1866="","",YEAR(A1866))</f>
        <v/>
      </c>
      <c r="D1866" s="54">
        <f>IF(A1866="","",INDEX(lst_months,MONTH(A1866)))</f>
        <v/>
      </c>
      <c r="E1866" s="55" t="n"/>
      <c r="F1866" s="54">
        <f>IF(E1866="","",IFERROR(IF(INDEX(lst_exp_item_cat,MATCH(E1866,lst_exp_items,0))="","❔ Без категории",INDEX(lst_exp_item_cat,MATCH(E1866,lst_exp_items,0))),"❔ Без категории"))</f>
        <v/>
      </c>
      <c r="G1866" s="43" t="n"/>
      <c r="H1866" s="56" t="n"/>
      <c r="I1866" s="43" t="n"/>
      <c r="J1866" s="57">
        <f>IF(OR(A1866="",H1866=""),"",IF(COUNTIFS(exp_year,C1866,exp_month,D1866,exp_item,E1866,exp_status,"&lt;&gt;❌ Отменено")&gt;0,1,0))</f>
        <v/>
      </c>
    </row>
    <row r="1867">
      <c r="A1867" s="52" t="n"/>
      <c r="B1867" s="53">
        <f>IF(A1867="","",CHOOSE(WEEKDAY(A1867,2),"Пн","Вт","Ср","Чт","Пт","Сб","Вс"))</f>
        <v/>
      </c>
      <c r="C1867" s="53">
        <f>IF(A1867="","",YEAR(A1867))</f>
        <v/>
      </c>
      <c r="D1867" s="54">
        <f>IF(A1867="","",INDEX(lst_months,MONTH(A1867)))</f>
        <v/>
      </c>
      <c r="E1867" s="55" t="n"/>
      <c r="F1867" s="54">
        <f>IF(E1867="","",IFERROR(IF(INDEX(lst_exp_item_cat,MATCH(E1867,lst_exp_items,0))="","❔ Без категории",INDEX(lst_exp_item_cat,MATCH(E1867,lst_exp_items,0))),"❔ Без категории"))</f>
        <v/>
      </c>
      <c r="G1867" s="43" t="n"/>
      <c r="H1867" s="56" t="n"/>
      <c r="I1867" s="43" t="n"/>
      <c r="J1867" s="57">
        <f>IF(OR(A1867="",H1867=""),"",IF(COUNTIFS(exp_year,C1867,exp_month,D1867,exp_item,E1867,exp_status,"&lt;&gt;❌ Отменено")&gt;0,1,0))</f>
        <v/>
      </c>
    </row>
    <row r="1868">
      <c r="A1868" s="52" t="n"/>
      <c r="B1868" s="53">
        <f>IF(A1868="","",CHOOSE(WEEKDAY(A1868,2),"Пн","Вт","Ср","Чт","Пт","Сб","Вс"))</f>
        <v/>
      </c>
      <c r="C1868" s="53">
        <f>IF(A1868="","",YEAR(A1868))</f>
        <v/>
      </c>
      <c r="D1868" s="54">
        <f>IF(A1868="","",INDEX(lst_months,MONTH(A1868)))</f>
        <v/>
      </c>
      <c r="E1868" s="55" t="n"/>
      <c r="F1868" s="54">
        <f>IF(E1868="","",IFERROR(IF(INDEX(lst_exp_item_cat,MATCH(E1868,lst_exp_items,0))="","❔ Без категории",INDEX(lst_exp_item_cat,MATCH(E1868,lst_exp_items,0))),"❔ Без категории"))</f>
        <v/>
      </c>
      <c r="G1868" s="43" t="n"/>
      <c r="H1868" s="56" t="n"/>
      <c r="I1868" s="43" t="n"/>
      <c r="J1868" s="57">
        <f>IF(OR(A1868="",H1868=""),"",IF(COUNTIFS(exp_year,C1868,exp_month,D1868,exp_item,E1868,exp_status,"&lt;&gt;❌ Отменено")&gt;0,1,0))</f>
        <v/>
      </c>
    </row>
    <row r="1869">
      <c r="A1869" s="52" t="n"/>
      <c r="B1869" s="53">
        <f>IF(A1869="","",CHOOSE(WEEKDAY(A1869,2),"Пн","Вт","Ср","Чт","Пт","Сб","Вс"))</f>
        <v/>
      </c>
      <c r="C1869" s="53">
        <f>IF(A1869="","",YEAR(A1869))</f>
        <v/>
      </c>
      <c r="D1869" s="54">
        <f>IF(A1869="","",INDEX(lst_months,MONTH(A1869)))</f>
        <v/>
      </c>
      <c r="E1869" s="55" t="n"/>
      <c r="F1869" s="54">
        <f>IF(E1869="","",IFERROR(IF(INDEX(lst_exp_item_cat,MATCH(E1869,lst_exp_items,0))="","❔ Без категории",INDEX(lst_exp_item_cat,MATCH(E1869,lst_exp_items,0))),"❔ Без категории"))</f>
        <v/>
      </c>
      <c r="G1869" s="43" t="n"/>
      <c r="H1869" s="56" t="n"/>
      <c r="I1869" s="43" t="n"/>
      <c r="J1869" s="57">
        <f>IF(OR(A1869="",H1869=""),"",IF(COUNTIFS(exp_year,C1869,exp_month,D1869,exp_item,E1869,exp_status,"&lt;&gt;❌ Отменено")&gt;0,1,0))</f>
        <v/>
      </c>
    </row>
    <row r="1870">
      <c r="A1870" s="52" t="n"/>
      <c r="B1870" s="53">
        <f>IF(A1870="","",CHOOSE(WEEKDAY(A1870,2),"Пн","Вт","Ср","Чт","Пт","Сб","Вс"))</f>
        <v/>
      </c>
      <c r="C1870" s="53">
        <f>IF(A1870="","",YEAR(A1870))</f>
        <v/>
      </c>
      <c r="D1870" s="54">
        <f>IF(A1870="","",INDEX(lst_months,MONTH(A1870)))</f>
        <v/>
      </c>
      <c r="E1870" s="55" t="n"/>
      <c r="F1870" s="54">
        <f>IF(E1870="","",IFERROR(IF(INDEX(lst_exp_item_cat,MATCH(E1870,lst_exp_items,0))="","❔ Без категории",INDEX(lst_exp_item_cat,MATCH(E1870,lst_exp_items,0))),"❔ Без категории"))</f>
        <v/>
      </c>
      <c r="G1870" s="43" t="n"/>
      <c r="H1870" s="56" t="n"/>
      <c r="I1870" s="43" t="n"/>
      <c r="J1870" s="57">
        <f>IF(OR(A1870="",H1870=""),"",IF(COUNTIFS(exp_year,C1870,exp_month,D1870,exp_item,E1870,exp_status,"&lt;&gt;❌ Отменено")&gt;0,1,0))</f>
        <v/>
      </c>
    </row>
    <row r="1871">
      <c r="A1871" s="52" t="n"/>
      <c r="B1871" s="53">
        <f>IF(A1871="","",CHOOSE(WEEKDAY(A1871,2),"Пн","Вт","Ср","Чт","Пт","Сб","Вс"))</f>
        <v/>
      </c>
      <c r="C1871" s="53">
        <f>IF(A1871="","",YEAR(A1871))</f>
        <v/>
      </c>
      <c r="D1871" s="54">
        <f>IF(A1871="","",INDEX(lst_months,MONTH(A1871)))</f>
        <v/>
      </c>
      <c r="E1871" s="55" t="n"/>
      <c r="F1871" s="54">
        <f>IF(E1871="","",IFERROR(IF(INDEX(lst_exp_item_cat,MATCH(E1871,lst_exp_items,0))="","❔ Без категории",INDEX(lst_exp_item_cat,MATCH(E1871,lst_exp_items,0))),"❔ Без категории"))</f>
        <v/>
      </c>
      <c r="G1871" s="43" t="n"/>
      <c r="H1871" s="56" t="n"/>
      <c r="I1871" s="43" t="n"/>
      <c r="J1871" s="57">
        <f>IF(OR(A1871="",H1871=""),"",IF(COUNTIFS(exp_year,C1871,exp_month,D1871,exp_item,E1871,exp_status,"&lt;&gt;❌ Отменено")&gt;0,1,0))</f>
        <v/>
      </c>
    </row>
    <row r="1872">
      <c r="A1872" s="52" t="n"/>
      <c r="B1872" s="53">
        <f>IF(A1872="","",CHOOSE(WEEKDAY(A1872,2),"Пн","Вт","Ср","Чт","Пт","Сб","Вс"))</f>
        <v/>
      </c>
      <c r="C1872" s="53">
        <f>IF(A1872="","",YEAR(A1872))</f>
        <v/>
      </c>
      <c r="D1872" s="54">
        <f>IF(A1872="","",INDEX(lst_months,MONTH(A1872)))</f>
        <v/>
      </c>
      <c r="E1872" s="55" t="n"/>
      <c r="F1872" s="54">
        <f>IF(E1872="","",IFERROR(IF(INDEX(lst_exp_item_cat,MATCH(E1872,lst_exp_items,0))="","❔ Без категории",INDEX(lst_exp_item_cat,MATCH(E1872,lst_exp_items,0))),"❔ Без категории"))</f>
        <v/>
      </c>
      <c r="G1872" s="43" t="n"/>
      <c r="H1872" s="56" t="n"/>
      <c r="I1872" s="43" t="n"/>
      <c r="J1872" s="57">
        <f>IF(OR(A1872="",H1872=""),"",IF(COUNTIFS(exp_year,C1872,exp_month,D1872,exp_item,E1872,exp_status,"&lt;&gt;❌ Отменено")&gt;0,1,0))</f>
        <v/>
      </c>
    </row>
    <row r="1873">
      <c r="A1873" s="52" t="n"/>
      <c r="B1873" s="53">
        <f>IF(A1873="","",CHOOSE(WEEKDAY(A1873,2),"Пн","Вт","Ср","Чт","Пт","Сб","Вс"))</f>
        <v/>
      </c>
      <c r="C1873" s="53">
        <f>IF(A1873="","",YEAR(A1873))</f>
        <v/>
      </c>
      <c r="D1873" s="54">
        <f>IF(A1873="","",INDEX(lst_months,MONTH(A1873)))</f>
        <v/>
      </c>
      <c r="E1873" s="55" t="n"/>
      <c r="F1873" s="54">
        <f>IF(E1873="","",IFERROR(IF(INDEX(lst_exp_item_cat,MATCH(E1873,lst_exp_items,0))="","❔ Без категории",INDEX(lst_exp_item_cat,MATCH(E1873,lst_exp_items,0))),"❔ Без категории"))</f>
        <v/>
      </c>
      <c r="G1873" s="43" t="n"/>
      <c r="H1873" s="56" t="n"/>
      <c r="I1873" s="43" t="n"/>
      <c r="J1873" s="57">
        <f>IF(OR(A1873="",H1873=""),"",IF(COUNTIFS(exp_year,C1873,exp_month,D1873,exp_item,E1873,exp_status,"&lt;&gt;❌ Отменено")&gt;0,1,0))</f>
        <v/>
      </c>
    </row>
    <row r="1874">
      <c r="A1874" s="52" t="n"/>
      <c r="B1874" s="53">
        <f>IF(A1874="","",CHOOSE(WEEKDAY(A1874,2),"Пн","Вт","Ср","Чт","Пт","Сб","Вс"))</f>
        <v/>
      </c>
      <c r="C1874" s="53">
        <f>IF(A1874="","",YEAR(A1874))</f>
        <v/>
      </c>
      <c r="D1874" s="54">
        <f>IF(A1874="","",INDEX(lst_months,MONTH(A1874)))</f>
        <v/>
      </c>
      <c r="E1874" s="55" t="n"/>
      <c r="F1874" s="54">
        <f>IF(E1874="","",IFERROR(IF(INDEX(lst_exp_item_cat,MATCH(E1874,lst_exp_items,0))="","❔ Без категории",INDEX(lst_exp_item_cat,MATCH(E1874,lst_exp_items,0))),"❔ Без категории"))</f>
        <v/>
      </c>
      <c r="G1874" s="43" t="n"/>
      <c r="H1874" s="56" t="n"/>
      <c r="I1874" s="43" t="n"/>
      <c r="J1874" s="57">
        <f>IF(OR(A1874="",H1874=""),"",IF(COUNTIFS(exp_year,C1874,exp_month,D1874,exp_item,E1874,exp_status,"&lt;&gt;❌ Отменено")&gt;0,1,0))</f>
        <v/>
      </c>
    </row>
    <row r="1875">
      <c r="A1875" s="52" t="n"/>
      <c r="B1875" s="53">
        <f>IF(A1875="","",CHOOSE(WEEKDAY(A1875,2),"Пн","Вт","Ср","Чт","Пт","Сб","Вс"))</f>
        <v/>
      </c>
      <c r="C1875" s="53">
        <f>IF(A1875="","",YEAR(A1875))</f>
        <v/>
      </c>
      <c r="D1875" s="54">
        <f>IF(A1875="","",INDEX(lst_months,MONTH(A1875)))</f>
        <v/>
      </c>
      <c r="E1875" s="55" t="n"/>
      <c r="F1875" s="54">
        <f>IF(E1875="","",IFERROR(IF(INDEX(lst_exp_item_cat,MATCH(E1875,lst_exp_items,0))="","❔ Без категории",INDEX(lst_exp_item_cat,MATCH(E1875,lst_exp_items,0))),"❔ Без категории"))</f>
        <v/>
      </c>
      <c r="G1875" s="43" t="n"/>
      <c r="H1875" s="56" t="n"/>
      <c r="I1875" s="43" t="n"/>
      <c r="J1875" s="57">
        <f>IF(OR(A1875="",H1875=""),"",IF(COUNTIFS(exp_year,C1875,exp_month,D1875,exp_item,E1875,exp_status,"&lt;&gt;❌ Отменено")&gt;0,1,0))</f>
        <v/>
      </c>
    </row>
    <row r="1876">
      <c r="A1876" s="52" t="n"/>
      <c r="B1876" s="53">
        <f>IF(A1876="","",CHOOSE(WEEKDAY(A1876,2),"Пн","Вт","Ср","Чт","Пт","Сб","Вс"))</f>
        <v/>
      </c>
      <c r="C1876" s="53">
        <f>IF(A1876="","",YEAR(A1876))</f>
        <v/>
      </c>
      <c r="D1876" s="54">
        <f>IF(A1876="","",INDEX(lst_months,MONTH(A1876)))</f>
        <v/>
      </c>
      <c r="E1876" s="55" t="n"/>
      <c r="F1876" s="54">
        <f>IF(E1876="","",IFERROR(IF(INDEX(lst_exp_item_cat,MATCH(E1876,lst_exp_items,0))="","❔ Без категории",INDEX(lst_exp_item_cat,MATCH(E1876,lst_exp_items,0))),"❔ Без категории"))</f>
        <v/>
      </c>
      <c r="G1876" s="43" t="n"/>
      <c r="H1876" s="56" t="n"/>
      <c r="I1876" s="43" t="n"/>
      <c r="J1876" s="57">
        <f>IF(OR(A1876="",H1876=""),"",IF(COUNTIFS(exp_year,C1876,exp_month,D1876,exp_item,E1876,exp_status,"&lt;&gt;❌ Отменено")&gt;0,1,0))</f>
        <v/>
      </c>
    </row>
    <row r="1877">
      <c r="A1877" s="52" t="n"/>
      <c r="B1877" s="53">
        <f>IF(A1877="","",CHOOSE(WEEKDAY(A1877,2),"Пн","Вт","Ср","Чт","Пт","Сб","Вс"))</f>
        <v/>
      </c>
      <c r="C1877" s="53">
        <f>IF(A1877="","",YEAR(A1877))</f>
        <v/>
      </c>
      <c r="D1877" s="54">
        <f>IF(A1877="","",INDEX(lst_months,MONTH(A1877)))</f>
        <v/>
      </c>
      <c r="E1877" s="55" t="n"/>
      <c r="F1877" s="54">
        <f>IF(E1877="","",IFERROR(IF(INDEX(lst_exp_item_cat,MATCH(E1877,lst_exp_items,0))="","❔ Без категории",INDEX(lst_exp_item_cat,MATCH(E1877,lst_exp_items,0))),"❔ Без категории"))</f>
        <v/>
      </c>
      <c r="G1877" s="43" t="n"/>
      <c r="H1877" s="56" t="n"/>
      <c r="I1877" s="43" t="n"/>
      <c r="J1877" s="57">
        <f>IF(OR(A1877="",H1877=""),"",IF(COUNTIFS(exp_year,C1877,exp_month,D1877,exp_item,E1877,exp_status,"&lt;&gt;❌ Отменено")&gt;0,1,0))</f>
        <v/>
      </c>
    </row>
    <row r="1878">
      <c r="A1878" s="52" t="n"/>
      <c r="B1878" s="53">
        <f>IF(A1878="","",CHOOSE(WEEKDAY(A1878,2),"Пн","Вт","Ср","Чт","Пт","Сб","Вс"))</f>
        <v/>
      </c>
      <c r="C1878" s="53">
        <f>IF(A1878="","",YEAR(A1878))</f>
        <v/>
      </c>
      <c r="D1878" s="54">
        <f>IF(A1878="","",INDEX(lst_months,MONTH(A1878)))</f>
        <v/>
      </c>
      <c r="E1878" s="55" t="n"/>
      <c r="F1878" s="54">
        <f>IF(E1878="","",IFERROR(IF(INDEX(lst_exp_item_cat,MATCH(E1878,lst_exp_items,0))="","❔ Без категории",INDEX(lst_exp_item_cat,MATCH(E1878,lst_exp_items,0))),"❔ Без категории"))</f>
        <v/>
      </c>
      <c r="G1878" s="43" t="n"/>
      <c r="H1878" s="56" t="n"/>
      <c r="I1878" s="43" t="n"/>
      <c r="J1878" s="57">
        <f>IF(OR(A1878="",H1878=""),"",IF(COUNTIFS(exp_year,C1878,exp_month,D1878,exp_item,E1878,exp_status,"&lt;&gt;❌ Отменено")&gt;0,1,0))</f>
        <v/>
      </c>
    </row>
    <row r="1879">
      <c r="A1879" s="52" t="n"/>
      <c r="B1879" s="53">
        <f>IF(A1879="","",CHOOSE(WEEKDAY(A1879,2),"Пн","Вт","Ср","Чт","Пт","Сб","Вс"))</f>
        <v/>
      </c>
      <c r="C1879" s="53">
        <f>IF(A1879="","",YEAR(A1879))</f>
        <v/>
      </c>
      <c r="D1879" s="54">
        <f>IF(A1879="","",INDEX(lst_months,MONTH(A1879)))</f>
        <v/>
      </c>
      <c r="E1879" s="55" t="n"/>
      <c r="F1879" s="54">
        <f>IF(E1879="","",IFERROR(IF(INDEX(lst_exp_item_cat,MATCH(E1879,lst_exp_items,0))="","❔ Без категории",INDEX(lst_exp_item_cat,MATCH(E1879,lst_exp_items,0))),"❔ Без категории"))</f>
        <v/>
      </c>
      <c r="G1879" s="43" t="n"/>
      <c r="H1879" s="56" t="n"/>
      <c r="I1879" s="43" t="n"/>
      <c r="J1879" s="57">
        <f>IF(OR(A1879="",H1879=""),"",IF(COUNTIFS(exp_year,C1879,exp_month,D1879,exp_item,E1879,exp_status,"&lt;&gt;❌ Отменено")&gt;0,1,0))</f>
        <v/>
      </c>
    </row>
    <row r="1880">
      <c r="A1880" s="52" t="n"/>
      <c r="B1880" s="53">
        <f>IF(A1880="","",CHOOSE(WEEKDAY(A1880,2),"Пн","Вт","Ср","Чт","Пт","Сб","Вс"))</f>
        <v/>
      </c>
      <c r="C1880" s="53">
        <f>IF(A1880="","",YEAR(A1880))</f>
        <v/>
      </c>
      <c r="D1880" s="54">
        <f>IF(A1880="","",INDEX(lst_months,MONTH(A1880)))</f>
        <v/>
      </c>
      <c r="E1880" s="55" t="n"/>
      <c r="F1880" s="54">
        <f>IF(E1880="","",IFERROR(IF(INDEX(lst_exp_item_cat,MATCH(E1880,lst_exp_items,0))="","❔ Без категории",INDEX(lst_exp_item_cat,MATCH(E1880,lst_exp_items,0))),"❔ Без категории"))</f>
        <v/>
      </c>
      <c r="G1880" s="43" t="n"/>
      <c r="H1880" s="56" t="n"/>
      <c r="I1880" s="43" t="n"/>
      <c r="J1880" s="57">
        <f>IF(OR(A1880="",H1880=""),"",IF(COUNTIFS(exp_year,C1880,exp_month,D1880,exp_item,E1880,exp_status,"&lt;&gt;❌ Отменено")&gt;0,1,0))</f>
        <v/>
      </c>
    </row>
    <row r="1881">
      <c r="A1881" s="52" t="n"/>
      <c r="B1881" s="53">
        <f>IF(A1881="","",CHOOSE(WEEKDAY(A1881,2),"Пн","Вт","Ср","Чт","Пт","Сб","Вс"))</f>
        <v/>
      </c>
      <c r="C1881" s="53">
        <f>IF(A1881="","",YEAR(A1881))</f>
        <v/>
      </c>
      <c r="D1881" s="54">
        <f>IF(A1881="","",INDEX(lst_months,MONTH(A1881)))</f>
        <v/>
      </c>
      <c r="E1881" s="55" t="n"/>
      <c r="F1881" s="54">
        <f>IF(E1881="","",IFERROR(IF(INDEX(lst_exp_item_cat,MATCH(E1881,lst_exp_items,0))="","❔ Без категории",INDEX(lst_exp_item_cat,MATCH(E1881,lst_exp_items,0))),"❔ Без категории"))</f>
        <v/>
      </c>
      <c r="G1881" s="43" t="n"/>
      <c r="H1881" s="56" t="n"/>
      <c r="I1881" s="43" t="n"/>
      <c r="J1881" s="57">
        <f>IF(OR(A1881="",H1881=""),"",IF(COUNTIFS(exp_year,C1881,exp_month,D1881,exp_item,E1881,exp_status,"&lt;&gt;❌ Отменено")&gt;0,1,0))</f>
        <v/>
      </c>
    </row>
    <row r="1882">
      <c r="A1882" s="52" t="n"/>
      <c r="B1882" s="53">
        <f>IF(A1882="","",CHOOSE(WEEKDAY(A1882,2),"Пн","Вт","Ср","Чт","Пт","Сб","Вс"))</f>
        <v/>
      </c>
      <c r="C1882" s="53">
        <f>IF(A1882="","",YEAR(A1882))</f>
        <v/>
      </c>
      <c r="D1882" s="54">
        <f>IF(A1882="","",INDEX(lst_months,MONTH(A1882)))</f>
        <v/>
      </c>
      <c r="E1882" s="55" t="n"/>
      <c r="F1882" s="54">
        <f>IF(E1882="","",IFERROR(IF(INDEX(lst_exp_item_cat,MATCH(E1882,lst_exp_items,0))="","❔ Без категории",INDEX(lst_exp_item_cat,MATCH(E1882,lst_exp_items,0))),"❔ Без категории"))</f>
        <v/>
      </c>
      <c r="G1882" s="43" t="n"/>
      <c r="H1882" s="56" t="n"/>
      <c r="I1882" s="43" t="n"/>
      <c r="J1882" s="57">
        <f>IF(OR(A1882="",H1882=""),"",IF(COUNTIFS(exp_year,C1882,exp_month,D1882,exp_item,E1882,exp_status,"&lt;&gt;❌ Отменено")&gt;0,1,0))</f>
        <v/>
      </c>
    </row>
    <row r="1883">
      <c r="A1883" s="52" t="n"/>
      <c r="B1883" s="53">
        <f>IF(A1883="","",CHOOSE(WEEKDAY(A1883,2),"Пн","Вт","Ср","Чт","Пт","Сб","Вс"))</f>
        <v/>
      </c>
      <c r="C1883" s="53">
        <f>IF(A1883="","",YEAR(A1883))</f>
        <v/>
      </c>
      <c r="D1883" s="54">
        <f>IF(A1883="","",INDEX(lst_months,MONTH(A1883)))</f>
        <v/>
      </c>
      <c r="E1883" s="55" t="n"/>
      <c r="F1883" s="54">
        <f>IF(E1883="","",IFERROR(IF(INDEX(lst_exp_item_cat,MATCH(E1883,lst_exp_items,0))="","❔ Без категории",INDEX(lst_exp_item_cat,MATCH(E1883,lst_exp_items,0))),"❔ Без категории"))</f>
        <v/>
      </c>
      <c r="G1883" s="43" t="n"/>
      <c r="H1883" s="56" t="n"/>
      <c r="I1883" s="43" t="n"/>
      <c r="J1883" s="57">
        <f>IF(OR(A1883="",H1883=""),"",IF(COUNTIFS(exp_year,C1883,exp_month,D1883,exp_item,E1883,exp_status,"&lt;&gt;❌ Отменено")&gt;0,1,0))</f>
        <v/>
      </c>
    </row>
    <row r="1884">
      <c r="A1884" s="52" t="n"/>
      <c r="B1884" s="53">
        <f>IF(A1884="","",CHOOSE(WEEKDAY(A1884,2),"Пн","Вт","Ср","Чт","Пт","Сб","Вс"))</f>
        <v/>
      </c>
      <c r="C1884" s="53">
        <f>IF(A1884="","",YEAR(A1884))</f>
        <v/>
      </c>
      <c r="D1884" s="54">
        <f>IF(A1884="","",INDEX(lst_months,MONTH(A1884)))</f>
        <v/>
      </c>
      <c r="E1884" s="55" t="n"/>
      <c r="F1884" s="54">
        <f>IF(E1884="","",IFERROR(IF(INDEX(lst_exp_item_cat,MATCH(E1884,lst_exp_items,0))="","❔ Без категории",INDEX(lst_exp_item_cat,MATCH(E1884,lst_exp_items,0))),"❔ Без категории"))</f>
        <v/>
      </c>
      <c r="G1884" s="43" t="n"/>
      <c r="H1884" s="56" t="n"/>
      <c r="I1884" s="43" t="n"/>
      <c r="J1884" s="57">
        <f>IF(OR(A1884="",H1884=""),"",IF(COUNTIFS(exp_year,C1884,exp_month,D1884,exp_item,E1884,exp_status,"&lt;&gt;❌ Отменено")&gt;0,1,0))</f>
        <v/>
      </c>
    </row>
    <row r="1885">
      <c r="A1885" s="52" t="n"/>
      <c r="B1885" s="53">
        <f>IF(A1885="","",CHOOSE(WEEKDAY(A1885,2),"Пн","Вт","Ср","Чт","Пт","Сб","Вс"))</f>
        <v/>
      </c>
      <c r="C1885" s="53">
        <f>IF(A1885="","",YEAR(A1885))</f>
        <v/>
      </c>
      <c r="D1885" s="54">
        <f>IF(A1885="","",INDEX(lst_months,MONTH(A1885)))</f>
        <v/>
      </c>
      <c r="E1885" s="55" t="n"/>
      <c r="F1885" s="54">
        <f>IF(E1885="","",IFERROR(IF(INDEX(lst_exp_item_cat,MATCH(E1885,lst_exp_items,0))="","❔ Без категории",INDEX(lst_exp_item_cat,MATCH(E1885,lst_exp_items,0))),"❔ Без категории"))</f>
        <v/>
      </c>
      <c r="G1885" s="43" t="n"/>
      <c r="H1885" s="56" t="n"/>
      <c r="I1885" s="43" t="n"/>
      <c r="J1885" s="57">
        <f>IF(OR(A1885="",H1885=""),"",IF(COUNTIFS(exp_year,C1885,exp_month,D1885,exp_item,E1885,exp_status,"&lt;&gt;❌ Отменено")&gt;0,1,0))</f>
        <v/>
      </c>
    </row>
    <row r="1886">
      <c r="A1886" s="52" t="n"/>
      <c r="B1886" s="53">
        <f>IF(A1886="","",CHOOSE(WEEKDAY(A1886,2),"Пн","Вт","Ср","Чт","Пт","Сб","Вс"))</f>
        <v/>
      </c>
      <c r="C1886" s="53">
        <f>IF(A1886="","",YEAR(A1886))</f>
        <v/>
      </c>
      <c r="D1886" s="54">
        <f>IF(A1886="","",INDEX(lst_months,MONTH(A1886)))</f>
        <v/>
      </c>
      <c r="E1886" s="55" t="n"/>
      <c r="F1886" s="54">
        <f>IF(E1886="","",IFERROR(IF(INDEX(lst_exp_item_cat,MATCH(E1886,lst_exp_items,0))="","❔ Без категории",INDEX(lst_exp_item_cat,MATCH(E1886,lst_exp_items,0))),"❔ Без категории"))</f>
        <v/>
      </c>
      <c r="G1886" s="43" t="n"/>
      <c r="H1886" s="56" t="n"/>
      <c r="I1886" s="43" t="n"/>
      <c r="J1886" s="57">
        <f>IF(OR(A1886="",H1886=""),"",IF(COUNTIFS(exp_year,C1886,exp_month,D1886,exp_item,E1886,exp_status,"&lt;&gt;❌ Отменено")&gt;0,1,0))</f>
        <v/>
      </c>
    </row>
    <row r="1887">
      <c r="A1887" s="52" t="n"/>
      <c r="B1887" s="53">
        <f>IF(A1887="","",CHOOSE(WEEKDAY(A1887,2),"Пн","Вт","Ср","Чт","Пт","Сб","Вс"))</f>
        <v/>
      </c>
      <c r="C1887" s="53">
        <f>IF(A1887="","",YEAR(A1887))</f>
        <v/>
      </c>
      <c r="D1887" s="54">
        <f>IF(A1887="","",INDEX(lst_months,MONTH(A1887)))</f>
        <v/>
      </c>
      <c r="E1887" s="55" t="n"/>
      <c r="F1887" s="54">
        <f>IF(E1887="","",IFERROR(IF(INDEX(lst_exp_item_cat,MATCH(E1887,lst_exp_items,0))="","❔ Без категории",INDEX(lst_exp_item_cat,MATCH(E1887,lst_exp_items,0))),"❔ Без категории"))</f>
        <v/>
      </c>
      <c r="G1887" s="43" t="n"/>
      <c r="H1887" s="56" t="n"/>
      <c r="I1887" s="43" t="n"/>
      <c r="J1887" s="57">
        <f>IF(OR(A1887="",H1887=""),"",IF(COUNTIFS(exp_year,C1887,exp_month,D1887,exp_item,E1887,exp_status,"&lt;&gt;❌ Отменено")&gt;0,1,0))</f>
        <v/>
      </c>
    </row>
    <row r="1888">
      <c r="A1888" s="52" t="n"/>
      <c r="B1888" s="53">
        <f>IF(A1888="","",CHOOSE(WEEKDAY(A1888,2),"Пн","Вт","Ср","Чт","Пт","Сб","Вс"))</f>
        <v/>
      </c>
      <c r="C1888" s="53">
        <f>IF(A1888="","",YEAR(A1888))</f>
        <v/>
      </c>
      <c r="D1888" s="54">
        <f>IF(A1888="","",INDEX(lst_months,MONTH(A1888)))</f>
        <v/>
      </c>
      <c r="E1888" s="55" t="n"/>
      <c r="F1888" s="54">
        <f>IF(E1888="","",IFERROR(IF(INDEX(lst_exp_item_cat,MATCH(E1888,lst_exp_items,0))="","❔ Без категории",INDEX(lst_exp_item_cat,MATCH(E1888,lst_exp_items,0))),"❔ Без категории"))</f>
        <v/>
      </c>
      <c r="G1888" s="43" t="n"/>
      <c r="H1888" s="56" t="n"/>
      <c r="I1888" s="43" t="n"/>
      <c r="J1888" s="57">
        <f>IF(OR(A1888="",H1888=""),"",IF(COUNTIFS(exp_year,C1888,exp_month,D1888,exp_item,E1888,exp_status,"&lt;&gt;❌ Отменено")&gt;0,1,0))</f>
        <v/>
      </c>
    </row>
    <row r="1889">
      <c r="A1889" s="52" t="n"/>
      <c r="B1889" s="53">
        <f>IF(A1889="","",CHOOSE(WEEKDAY(A1889,2),"Пн","Вт","Ср","Чт","Пт","Сб","Вс"))</f>
        <v/>
      </c>
      <c r="C1889" s="53">
        <f>IF(A1889="","",YEAR(A1889))</f>
        <v/>
      </c>
      <c r="D1889" s="54">
        <f>IF(A1889="","",INDEX(lst_months,MONTH(A1889)))</f>
        <v/>
      </c>
      <c r="E1889" s="55" t="n"/>
      <c r="F1889" s="54">
        <f>IF(E1889="","",IFERROR(IF(INDEX(lst_exp_item_cat,MATCH(E1889,lst_exp_items,0))="","❔ Без категории",INDEX(lst_exp_item_cat,MATCH(E1889,lst_exp_items,0))),"❔ Без категории"))</f>
        <v/>
      </c>
      <c r="G1889" s="43" t="n"/>
      <c r="H1889" s="56" t="n"/>
      <c r="I1889" s="43" t="n"/>
      <c r="J1889" s="57">
        <f>IF(OR(A1889="",H1889=""),"",IF(COUNTIFS(exp_year,C1889,exp_month,D1889,exp_item,E1889,exp_status,"&lt;&gt;❌ Отменено")&gt;0,1,0))</f>
        <v/>
      </c>
    </row>
    <row r="1890">
      <c r="A1890" s="52" t="n"/>
      <c r="B1890" s="53">
        <f>IF(A1890="","",CHOOSE(WEEKDAY(A1890,2),"Пн","Вт","Ср","Чт","Пт","Сб","Вс"))</f>
        <v/>
      </c>
      <c r="C1890" s="53">
        <f>IF(A1890="","",YEAR(A1890))</f>
        <v/>
      </c>
      <c r="D1890" s="54">
        <f>IF(A1890="","",INDEX(lst_months,MONTH(A1890)))</f>
        <v/>
      </c>
      <c r="E1890" s="55" t="n"/>
      <c r="F1890" s="54">
        <f>IF(E1890="","",IFERROR(IF(INDEX(lst_exp_item_cat,MATCH(E1890,lst_exp_items,0))="","❔ Без категории",INDEX(lst_exp_item_cat,MATCH(E1890,lst_exp_items,0))),"❔ Без категории"))</f>
        <v/>
      </c>
      <c r="G1890" s="43" t="n"/>
      <c r="H1890" s="56" t="n"/>
      <c r="I1890" s="43" t="n"/>
      <c r="J1890" s="57">
        <f>IF(OR(A1890="",H1890=""),"",IF(COUNTIFS(exp_year,C1890,exp_month,D1890,exp_item,E1890,exp_status,"&lt;&gt;❌ Отменено")&gt;0,1,0))</f>
        <v/>
      </c>
    </row>
    <row r="1891">
      <c r="A1891" s="52" t="n"/>
      <c r="B1891" s="53">
        <f>IF(A1891="","",CHOOSE(WEEKDAY(A1891,2),"Пн","Вт","Ср","Чт","Пт","Сб","Вс"))</f>
        <v/>
      </c>
      <c r="C1891" s="53">
        <f>IF(A1891="","",YEAR(A1891))</f>
        <v/>
      </c>
      <c r="D1891" s="54">
        <f>IF(A1891="","",INDEX(lst_months,MONTH(A1891)))</f>
        <v/>
      </c>
      <c r="E1891" s="55" t="n"/>
      <c r="F1891" s="54">
        <f>IF(E1891="","",IFERROR(IF(INDEX(lst_exp_item_cat,MATCH(E1891,lst_exp_items,0))="","❔ Без категории",INDEX(lst_exp_item_cat,MATCH(E1891,lst_exp_items,0))),"❔ Без категории"))</f>
        <v/>
      </c>
      <c r="G1891" s="43" t="n"/>
      <c r="H1891" s="56" t="n"/>
      <c r="I1891" s="43" t="n"/>
      <c r="J1891" s="57">
        <f>IF(OR(A1891="",H1891=""),"",IF(COUNTIFS(exp_year,C1891,exp_month,D1891,exp_item,E1891,exp_status,"&lt;&gt;❌ Отменено")&gt;0,1,0))</f>
        <v/>
      </c>
    </row>
    <row r="1892">
      <c r="A1892" s="52" t="n"/>
      <c r="B1892" s="53">
        <f>IF(A1892="","",CHOOSE(WEEKDAY(A1892,2),"Пн","Вт","Ср","Чт","Пт","Сб","Вс"))</f>
        <v/>
      </c>
      <c r="C1892" s="53">
        <f>IF(A1892="","",YEAR(A1892))</f>
        <v/>
      </c>
      <c r="D1892" s="54">
        <f>IF(A1892="","",INDEX(lst_months,MONTH(A1892)))</f>
        <v/>
      </c>
      <c r="E1892" s="55" t="n"/>
      <c r="F1892" s="54">
        <f>IF(E1892="","",IFERROR(IF(INDEX(lst_exp_item_cat,MATCH(E1892,lst_exp_items,0))="","❔ Без категории",INDEX(lst_exp_item_cat,MATCH(E1892,lst_exp_items,0))),"❔ Без категории"))</f>
        <v/>
      </c>
      <c r="G1892" s="43" t="n"/>
      <c r="H1892" s="56" t="n"/>
      <c r="I1892" s="43" t="n"/>
      <c r="J1892" s="57">
        <f>IF(OR(A1892="",H1892=""),"",IF(COUNTIFS(exp_year,C1892,exp_month,D1892,exp_item,E1892,exp_status,"&lt;&gt;❌ Отменено")&gt;0,1,0))</f>
        <v/>
      </c>
    </row>
    <row r="1893">
      <c r="A1893" s="52" t="n"/>
      <c r="B1893" s="53">
        <f>IF(A1893="","",CHOOSE(WEEKDAY(A1893,2),"Пн","Вт","Ср","Чт","Пт","Сб","Вс"))</f>
        <v/>
      </c>
      <c r="C1893" s="53">
        <f>IF(A1893="","",YEAR(A1893))</f>
        <v/>
      </c>
      <c r="D1893" s="54">
        <f>IF(A1893="","",INDEX(lst_months,MONTH(A1893)))</f>
        <v/>
      </c>
      <c r="E1893" s="55" t="n"/>
      <c r="F1893" s="54">
        <f>IF(E1893="","",IFERROR(IF(INDEX(lst_exp_item_cat,MATCH(E1893,lst_exp_items,0))="","❔ Без категории",INDEX(lst_exp_item_cat,MATCH(E1893,lst_exp_items,0))),"❔ Без категории"))</f>
        <v/>
      </c>
      <c r="G1893" s="43" t="n"/>
      <c r="H1893" s="56" t="n"/>
      <c r="I1893" s="43" t="n"/>
      <c r="J1893" s="57">
        <f>IF(OR(A1893="",H1893=""),"",IF(COUNTIFS(exp_year,C1893,exp_month,D1893,exp_item,E1893,exp_status,"&lt;&gt;❌ Отменено")&gt;0,1,0))</f>
        <v/>
      </c>
    </row>
    <row r="1894">
      <c r="A1894" s="52" t="n"/>
      <c r="B1894" s="53">
        <f>IF(A1894="","",CHOOSE(WEEKDAY(A1894,2),"Пн","Вт","Ср","Чт","Пт","Сб","Вс"))</f>
        <v/>
      </c>
      <c r="C1894" s="53">
        <f>IF(A1894="","",YEAR(A1894))</f>
        <v/>
      </c>
      <c r="D1894" s="54">
        <f>IF(A1894="","",INDEX(lst_months,MONTH(A1894)))</f>
        <v/>
      </c>
      <c r="E1894" s="55" t="n"/>
      <c r="F1894" s="54">
        <f>IF(E1894="","",IFERROR(IF(INDEX(lst_exp_item_cat,MATCH(E1894,lst_exp_items,0))="","❔ Без категории",INDEX(lst_exp_item_cat,MATCH(E1894,lst_exp_items,0))),"❔ Без категории"))</f>
        <v/>
      </c>
      <c r="G1894" s="43" t="n"/>
      <c r="H1894" s="56" t="n"/>
      <c r="I1894" s="43" t="n"/>
      <c r="J1894" s="57">
        <f>IF(OR(A1894="",H1894=""),"",IF(COUNTIFS(exp_year,C1894,exp_month,D1894,exp_item,E1894,exp_status,"&lt;&gt;❌ Отменено")&gt;0,1,0))</f>
        <v/>
      </c>
    </row>
    <row r="1895">
      <c r="A1895" s="52" t="n"/>
      <c r="B1895" s="53">
        <f>IF(A1895="","",CHOOSE(WEEKDAY(A1895,2),"Пн","Вт","Ср","Чт","Пт","Сб","Вс"))</f>
        <v/>
      </c>
      <c r="C1895" s="53">
        <f>IF(A1895="","",YEAR(A1895))</f>
        <v/>
      </c>
      <c r="D1895" s="54">
        <f>IF(A1895="","",INDEX(lst_months,MONTH(A1895)))</f>
        <v/>
      </c>
      <c r="E1895" s="55" t="n"/>
      <c r="F1895" s="54">
        <f>IF(E1895="","",IFERROR(IF(INDEX(lst_exp_item_cat,MATCH(E1895,lst_exp_items,0))="","❔ Без категории",INDEX(lst_exp_item_cat,MATCH(E1895,lst_exp_items,0))),"❔ Без категории"))</f>
        <v/>
      </c>
      <c r="G1895" s="43" t="n"/>
      <c r="H1895" s="56" t="n"/>
      <c r="I1895" s="43" t="n"/>
      <c r="J1895" s="57">
        <f>IF(OR(A1895="",H1895=""),"",IF(COUNTIFS(exp_year,C1895,exp_month,D1895,exp_item,E1895,exp_status,"&lt;&gt;❌ Отменено")&gt;0,1,0))</f>
        <v/>
      </c>
    </row>
    <row r="1896">
      <c r="A1896" s="52" t="n"/>
      <c r="B1896" s="53">
        <f>IF(A1896="","",CHOOSE(WEEKDAY(A1896,2),"Пн","Вт","Ср","Чт","Пт","Сб","Вс"))</f>
        <v/>
      </c>
      <c r="C1896" s="53">
        <f>IF(A1896="","",YEAR(A1896))</f>
        <v/>
      </c>
      <c r="D1896" s="54">
        <f>IF(A1896="","",INDEX(lst_months,MONTH(A1896)))</f>
        <v/>
      </c>
      <c r="E1896" s="55" t="n"/>
      <c r="F1896" s="54">
        <f>IF(E1896="","",IFERROR(IF(INDEX(lst_exp_item_cat,MATCH(E1896,lst_exp_items,0))="","❔ Без категории",INDEX(lst_exp_item_cat,MATCH(E1896,lst_exp_items,0))),"❔ Без категории"))</f>
        <v/>
      </c>
      <c r="G1896" s="43" t="n"/>
      <c r="H1896" s="56" t="n"/>
      <c r="I1896" s="43" t="n"/>
      <c r="J1896" s="57">
        <f>IF(OR(A1896="",H1896=""),"",IF(COUNTIFS(exp_year,C1896,exp_month,D1896,exp_item,E1896,exp_status,"&lt;&gt;❌ Отменено")&gt;0,1,0))</f>
        <v/>
      </c>
    </row>
    <row r="1897">
      <c r="A1897" s="52" t="n"/>
      <c r="B1897" s="53">
        <f>IF(A1897="","",CHOOSE(WEEKDAY(A1897,2),"Пн","Вт","Ср","Чт","Пт","Сб","Вс"))</f>
        <v/>
      </c>
      <c r="C1897" s="53">
        <f>IF(A1897="","",YEAR(A1897))</f>
        <v/>
      </c>
      <c r="D1897" s="54">
        <f>IF(A1897="","",INDEX(lst_months,MONTH(A1897)))</f>
        <v/>
      </c>
      <c r="E1897" s="55" t="n"/>
      <c r="F1897" s="54">
        <f>IF(E1897="","",IFERROR(IF(INDEX(lst_exp_item_cat,MATCH(E1897,lst_exp_items,0))="","❔ Без категории",INDEX(lst_exp_item_cat,MATCH(E1897,lst_exp_items,0))),"❔ Без категории"))</f>
        <v/>
      </c>
      <c r="G1897" s="43" t="n"/>
      <c r="H1897" s="56" t="n"/>
      <c r="I1897" s="43" t="n"/>
      <c r="J1897" s="57">
        <f>IF(OR(A1897="",H1897=""),"",IF(COUNTIFS(exp_year,C1897,exp_month,D1897,exp_item,E1897,exp_status,"&lt;&gt;❌ Отменено")&gt;0,1,0))</f>
        <v/>
      </c>
    </row>
    <row r="1898">
      <c r="A1898" s="52" t="n"/>
      <c r="B1898" s="53">
        <f>IF(A1898="","",CHOOSE(WEEKDAY(A1898,2),"Пн","Вт","Ср","Чт","Пт","Сб","Вс"))</f>
        <v/>
      </c>
      <c r="C1898" s="53">
        <f>IF(A1898="","",YEAR(A1898))</f>
        <v/>
      </c>
      <c r="D1898" s="54">
        <f>IF(A1898="","",INDEX(lst_months,MONTH(A1898)))</f>
        <v/>
      </c>
      <c r="E1898" s="55" t="n"/>
      <c r="F1898" s="54">
        <f>IF(E1898="","",IFERROR(IF(INDEX(lst_exp_item_cat,MATCH(E1898,lst_exp_items,0))="","❔ Без категории",INDEX(lst_exp_item_cat,MATCH(E1898,lst_exp_items,0))),"❔ Без категории"))</f>
        <v/>
      </c>
      <c r="G1898" s="43" t="n"/>
      <c r="H1898" s="56" t="n"/>
      <c r="I1898" s="43" t="n"/>
      <c r="J1898" s="57">
        <f>IF(OR(A1898="",H1898=""),"",IF(COUNTIFS(exp_year,C1898,exp_month,D1898,exp_item,E1898,exp_status,"&lt;&gt;❌ Отменено")&gt;0,1,0))</f>
        <v/>
      </c>
    </row>
    <row r="1899">
      <c r="A1899" s="52" t="n"/>
      <c r="B1899" s="53">
        <f>IF(A1899="","",CHOOSE(WEEKDAY(A1899,2),"Пн","Вт","Ср","Чт","Пт","Сб","Вс"))</f>
        <v/>
      </c>
      <c r="C1899" s="53">
        <f>IF(A1899="","",YEAR(A1899))</f>
        <v/>
      </c>
      <c r="D1899" s="54">
        <f>IF(A1899="","",INDEX(lst_months,MONTH(A1899)))</f>
        <v/>
      </c>
      <c r="E1899" s="55" t="n"/>
      <c r="F1899" s="54">
        <f>IF(E1899="","",IFERROR(IF(INDEX(lst_exp_item_cat,MATCH(E1899,lst_exp_items,0))="","❔ Без категории",INDEX(lst_exp_item_cat,MATCH(E1899,lst_exp_items,0))),"❔ Без категории"))</f>
        <v/>
      </c>
      <c r="G1899" s="43" t="n"/>
      <c r="H1899" s="56" t="n"/>
      <c r="I1899" s="43" t="n"/>
      <c r="J1899" s="57">
        <f>IF(OR(A1899="",H1899=""),"",IF(COUNTIFS(exp_year,C1899,exp_month,D1899,exp_item,E1899,exp_status,"&lt;&gt;❌ Отменено")&gt;0,1,0))</f>
        <v/>
      </c>
    </row>
    <row r="1900">
      <c r="A1900" s="52" t="n"/>
      <c r="B1900" s="53">
        <f>IF(A1900="","",CHOOSE(WEEKDAY(A1900,2),"Пн","Вт","Ср","Чт","Пт","Сб","Вс"))</f>
        <v/>
      </c>
      <c r="C1900" s="53">
        <f>IF(A1900="","",YEAR(A1900))</f>
        <v/>
      </c>
      <c r="D1900" s="54">
        <f>IF(A1900="","",INDEX(lst_months,MONTH(A1900)))</f>
        <v/>
      </c>
      <c r="E1900" s="55" t="n"/>
      <c r="F1900" s="54">
        <f>IF(E1900="","",IFERROR(IF(INDEX(lst_exp_item_cat,MATCH(E1900,lst_exp_items,0))="","❔ Без категории",INDEX(lst_exp_item_cat,MATCH(E1900,lst_exp_items,0))),"❔ Без категории"))</f>
        <v/>
      </c>
      <c r="G1900" s="43" t="n"/>
      <c r="H1900" s="56" t="n"/>
      <c r="I1900" s="43" t="n"/>
      <c r="J1900" s="57">
        <f>IF(OR(A1900="",H1900=""),"",IF(COUNTIFS(exp_year,C1900,exp_month,D1900,exp_item,E1900,exp_status,"&lt;&gt;❌ Отменено")&gt;0,1,0))</f>
        <v/>
      </c>
    </row>
    <row r="1901">
      <c r="A1901" s="52" t="n"/>
      <c r="B1901" s="53">
        <f>IF(A1901="","",CHOOSE(WEEKDAY(A1901,2),"Пн","Вт","Ср","Чт","Пт","Сб","Вс"))</f>
        <v/>
      </c>
      <c r="C1901" s="53">
        <f>IF(A1901="","",YEAR(A1901))</f>
        <v/>
      </c>
      <c r="D1901" s="54">
        <f>IF(A1901="","",INDEX(lst_months,MONTH(A1901)))</f>
        <v/>
      </c>
      <c r="E1901" s="55" t="n"/>
      <c r="F1901" s="54">
        <f>IF(E1901="","",IFERROR(IF(INDEX(lst_exp_item_cat,MATCH(E1901,lst_exp_items,0))="","❔ Без категории",INDEX(lst_exp_item_cat,MATCH(E1901,lst_exp_items,0))),"❔ Без категории"))</f>
        <v/>
      </c>
      <c r="G1901" s="43" t="n"/>
      <c r="H1901" s="56" t="n"/>
      <c r="I1901" s="43" t="n"/>
      <c r="J1901" s="57">
        <f>IF(OR(A1901="",H1901=""),"",IF(COUNTIFS(exp_year,C1901,exp_month,D1901,exp_item,E1901,exp_status,"&lt;&gt;❌ Отменено")&gt;0,1,0))</f>
        <v/>
      </c>
    </row>
    <row r="1902">
      <c r="A1902" s="52" t="n"/>
      <c r="B1902" s="53">
        <f>IF(A1902="","",CHOOSE(WEEKDAY(A1902,2),"Пн","Вт","Ср","Чт","Пт","Сб","Вс"))</f>
        <v/>
      </c>
      <c r="C1902" s="53">
        <f>IF(A1902="","",YEAR(A1902))</f>
        <v/>
      </c>
      <c r="D1902" s="54">
        <f>IF(A1902="","",INDEX(lst_months,MONTH(A1902)))</f>
        <v/>
      </c>
      <c r="E1902" s="55" t="n"/>
      <c r="F1902" s="54">
        <f>IF(E1902="","",IFERROR(IF(INDEX(lst_exp_item_cat,MATCH(E1902,lst_exp_items,0))="","❔ Без категории",INDEX(lst_exp_item_cat,MATCH(E1902,lst_exp_items,0))),"❔ Без категории"))</f>
        <v/>
      </c>
      <c r="G1902" s="43" t="n"/>
      <c r="H1902" s="56" t="n"/>
      <c r="I1902" s="43" t="n"/>
      <c r="J1902" s="57">
        <f>IF(OR(A1902="",H1902=""),"",IF(COUNTIFS(exp_year,C1902,exp_month,D1902,exp_item,E1902,exp_status,"&lt;&gt;❌ Отменено")&gt;0,1,0))</f>
        <v/>
      </c>
    </row>
    <row r="1903">
      <c r="A1903" s="52" t="n"/>
      <c r="B1903" s="53">
        <f>IF(A1903="","",CHOOSE(WEEKDAY(A1903,2),"Пн","Вт","Ср","Чт","Пт","Сб","Вс"))</f>
        <v/>
      </c>
      <c r="C1903" s="53">
        <f>IF(A1903="","",YEAR(A1903))</f>
        <v/>
      </c>
      <c r="D1903" s="54">
        <f>IF(A1903="","",INDEX(lst_months,MONTH(A1903)))</f>
        <v/>
      </c>
      <c r="E1903" s="55" t="n"/>
      <c r="F1903" s="54">
        <f>IF(E1903="","",IFERROR(IF(INDEX(lst_exp_item_cat,MATCH(E1903,lst_exp_items,0))="","❔ Без категории",INDEX(lst_exp_item_cat,MATCH(E1903,lst_exp_items,0))),"❔ Без категории"))</f>
        <v/>
      </c>
      <c r="G1903" s="43" t="n"/>
      <c r="H1903" s="56" t="n"/>
      <c r="I1903" s="43" t="n"/>
      <c r="J1903" s="57">
        <f>IF(OR(A1903="",H1903=""),"",IF(COUNTIFS(exp_year,C1903,exp_month,D1903,exp_item,E1903,exp_status,"&lt;&gt;❌ Отменено")&gt;0,1,0))</f>
        <v/>
      </c>
    </row>
    <row r="1904">
      <c r="A1904" s="52" t="n"/>
      <c r="B1904" s="53">
        <f>IF(A1904="","",CHOOSE(WEEKDAY(A1904,2),"Пн","Вт","Ср","Чт","Пт","Сб","Вс"))</f>
        <v/>
      </c>
      <c r="C1904" s="53">
        <f>IF(A1904="","",YEAR(A1904))</f>
        <v/>
      </c>
      <c r="D1904" s="54">
        <f>IF(A1904="","",INDEX(lst_months,MONTH(A1904)))</f>
        <v/>
      </c>
      <c r="E1904" s="55" t="n"/>
      <c r="F1904" s="54">
        <f>IF(E1904="","",IFERROR(IF(INDEX(lst_exp_item_cat,MATCH(E1904,lst_exp_items,0))="","❔ Без категории",INDEX(lst_exp_item_cat,MATCH(E1904,lst_exp_items,0))),"❔ Без категории"))</f>
        <v/>
      </c>
      <c r="G1904" s="43" t="n"/>
      <c r="H1904" s="56" t="n"/>
      <c r="I1904" s="43" t="n"/>
      <c r="J1904" s="57">
        <f>IF(OR(A1904="",H1904=""),"",IF(COUNTIFS(exp_year,C1904,exp_month,D1904,exp_item,E1904,exp_status,"&lt;&gt;❌ Отменено")&gt;0,1,0))</f>
        <v/>
      </c>
    </row>
    <row r="1905">
      <c r="A1905" s="52" t="n"/>
      <c r="B1905" s="53">
        <f>IF(A1905="","",CHOOSE(WEEKDAY(A1905,2),"Пн","Вт","Ср","Чт","Пт","Сб","Вс"))</f>
        <v/>
      </c>
      <c r="C1905" s="53">
        <f>IF(A1905="","",YEAR(A1905))</f>
        <v/>
      </c>
      <c r="D1905" s="54">
        <f>IF(A1905="","",INDEX(lst_months,MONTH(A1905)))</f>
        <v/>
      </c>
      <c r="E1905" s="55" t="n"/>
      <c r="F1905" s="54">
        <f>IF(E1905="","",IFERROR(IF(INDEX(lst_exp_item_cat,MATCH(E1905,lst_exp_items,0))="","❔ Без категории",INDEX(lst_exp_item_cat,MATCH(E1905,lst_exp_items,0))),"❔ Без категории"))</f>
        <v/>
      </c>
      <c r="G1905" s="43" t="n"/>
      <c r="H1905" s="56" t="n"/>
      <c r="I1905" s="43" t="n"/>
      <c r="J1905" s="57">
        <f>IF(OR(A1905="",H1905=""),"",IF(COUNTIFS(exp_year,C1905,exp_month,D1905,exp_item,E1905,exp_status,"&lt;&gt;❌ Отменено")&gt;0,1,0))</f>
        <v/>
      </c>
    </row>
    <row r="1906">
      <c r="A1906" s="52" t="n"/>
      <c r="B1906" s="53">
        <f>IF(A1906="","",CHOOSE(WEEKDAY(A1906,2),"Пн","Вт","Ср","Чт","Пт","Сб","Вс"))</f>
        <v/>
      </c>
      <c r="C1906" s="53">
        <f>IF(A1906="","",YEAR(A1906))</f>
        <v/>
      </c>
      <c r="D1906" s="54">
        <f>IF(A1906="","",INDEX(lst_months,MONTH(A1906)))</f>
        <v/>
      </c>
      <c r="E1906" s="55" t="n"/>
      <c r="F1906" s="54">
        <f>IF(E1906="","",IFERROR(IF(INDEX(lst_exp_item_cat,MATCH(E1906,lst_exp_items,0))="","❔ Без категории",INDEX(lst_exp_item_cat,MATCH(E1906,lst_exp_items,0))),"❔ Без категории"))</f>
        <v/>
      </c>
      <c r="G1906" s="43" t="n"/>
      <c r="H1906" s="56" t="n"/>
      <c r="I1906" s="43" t="n"/>
      <c r="J1906" s="57">
        <f>IF(OR(A1906="",H1906=""),"",IF(COUNTIFS(exp_year,C1906,exp_month,D1906,exp_item,E1906,exp_status,"&lt;&gt;❌ Отменено")&gt;0,1,0))</f>
        <v/>
      </c>
    </row>
    <row r="1907">
      <c r="A1907" s="52" t="n"/>
      <c r="B1907" s="53">
        <f>IF(A1907="","",CHOOSE(WEEKDAY(A1907,2),"Пн","Вт","Ср","Чт","Пт","Сб","Вс"))</f>
        <v/>
      </c>
      <c r="C1907" s="53">
        <f>IF(A1907="","",YEAR(A1907))</f>
        <v/>
      </c>
      <c r="D1907" s="54">
        <f>IF(A1907="","",INDEX(lst_months,MONTH(A1907)))</f>
        <v/>
      </c>
      <c r="E1907" s="55" t="n"/>
      <c r="F1907" s="54">
        <f>IF(E1907="","",IFERROR(IF(INDEX(lst_exp_item_cat,MATCH(E1907,lst_exp_items,0))="","❔ Без категории",INDEX(lst_exp_item_cat,MATCH(E1907,lst_exp_items,0))),"❔ Без категории"))</f>
        <v/>
      </c>
      <c r="G1907" s="43" t="n"/>
      <c r="H1907" s="56" t="n"/>
      <c r="I1907" s="43" t="n"/>
      <c r="J1907" s="57">
        <f>IF(OR(A1907="",H1907=""),"",IF(COUNTIFS(exp_year,C1907,exp_month,D1907,exp_item,E1907,exp_status,"&lt;&gt;❌ Отменено")&gt;0,1,0))</f>
        <v/>
      </c>
    </row>
    <row r="1908">
      <c r="A1908" s="52" t="n"/>
      <c r="B1908" s="53">
        <f>IF(A1908="","",CHOOSE(WEEKDAY(A1908,2),"Пн","Вт","Ср","Чт","Пт","Сб","Вс"))</f>
        <v/>
      </c>
      <c r="C1908" s="53">
        <f>IF(A1908="","",YEAR(A1908))</f>
        <v/>
      </c>
      <c r="D1908" s="54">
        <f>IF(A1908="","",INDEX(lst_months,MONTH(A1908)))</f>
        <v/>
      </c>
      <c r="E1908" s="55" t="n"/>
      <c r="F1908" s="54">
        <f>IF(E1908="","",IFERROR(IF(INDEX(lst_exp_item_cat,MATCH(E1908,lst_exp_items,0))="","❔ Без категории",INDEX(lst_exp_item_cat,MATCH(E1908,lst_exp_items,0))),"❔ Без категории"))</f>
        <v/>
      </c>
      <c r="G1908" s="43" t="n"/>
      <c r="H1908" s="56" t="n"/>
      <c r="I1908" s="43" t="n"/>
      <c r="J1908" s="57">
        <f>IF(OR(A1908="",H1908=""),"",IF(COUNTIFS(exp_year,C1908,exp_month,D1908,exp_item,E1908,exp_status,"&lt;&gt;❌ Отменено")&gt;0,1,0))</f>
        <v/>
      </c>
    </row>
    <row r="1909">
      <c r="A1909" s="52" t="n"/>
      <c r="B1909" s="53">
        <f>IF(A1909="","",CHOOSE(WEEKDAY(A1909,2),"Пн","Вт","Ср","Чт","Пт","Сб","Вс"))</f>
        <v/>
      </c>
      <c r="C1909" s="53">
        <f>IF(A1909="","",YEAR(A1909))</f>
        <v/>
      </c>
      <c r="D1909" s="54">
        <f>IF(A1909="","",INDEX(lst_months,MONTH(A1909)))</f>
        <v/>
      </c>
      <c r="E1909" s="55" t="n"/>
      <c r="F1909" s="54">
        <f>IF(E1909="","",IFERROR(IF(INDEX(lst_exp_item_cat,MATCH(E1909,lst_exp_items,0))="","❔ Без категории",INDEX(lst_exp_item_cat,MATCH(E1909,lst_exp_items,0))),"❔ Без категории"))</f>
        <v/>
      </c>
      <c r="G1909" s="43" t="n"/>
      <c r="H1909" s="56" t="n"/>
      <c r="I1909" s="43" t="n"/>
      <c r="J1909" s="57">
        <f>IF(OR(A1909="",H1909=""),"",IF(COUNTIFS(exp_year,C1909,exp_month,D1909,exp_item,E1909,exp_status,"&lt;&gt;❌ Отменено")&gt;0,1,0))</f>
        <v/>
      </c>
    </row>
    <row r="1910">
      <c r="A1910" s="52" t="n"/>
      <c r="B1910" s="53">
        <f>IF(A1910="","",CHOOSE(WEEKDAY(A1910,2),"Пн","Вт","Ср","Чт","Пт","Сб","Вс"))</f>
        <v/>
      </c>
      <c r="C1910" s="53">
        <f>IF(A1910="","",YEAR(A1910))</f>
        <v/>
      </c>
      <c r="D1910" s="54">
        <f>IF(A1910="","",INDEX(lst_months,MONTH(A1910)))</f>
        <v/>
      </c>
      <c r="E1910" s="55" t="n"/>
      <c r="F1910" s="54">
        <f>IF(E1910="","",IFERROR(IF(INDEX(lst_exp_item_cat,MATCH(E1910,lst_exp_items,0))="","❔ Без категории",INDEX(lst_exp_item_cat,MATCH(E1910,lst_exp_items,0))),"❔ Без категории"))</f>
        <v/>
      </c>
      <c r="G1910" s="43" t="n"/>
      <c r="H1910" s="56" t="n"/>
      <c r="I1910" s="43" t="n"/>
      <c r="J1910" s="57">
        <f>IF(OR(A1910="",H1910=""),"",IF(COUNTIFS(exp_year,C1910,exp_month,D1910,exp_item,E1910,exp_status,"&lt;&gt;❌ Отменено")&gt;0,1,0))</f>
        <v/>
      </c>
    </row>
    <row r="1911">
      <c r="A1911" s="52" t="n"/>
      <c r="B1911" s="53">
        <f>IF(A1911="","",CHOOSE(WEEKDAY(A1911,2),"Пн","Вт","Ср","Чт","Пт","Сб","Вс"))</f>
        <v/>
      </c>
      <c r="C1911" s="53">
        <f>IF(A1911="","",YEAR(A1911))</f>
        <v/>
      </c>
      <c r="D1911" s="54">
        <f>IF(A1911="","",INDEX(lst_months,MONTH(A1911)))</f>
        <v/>
      </c>
      <c r="E1911" s="55" t="n"/>
      <c r="F1911" s="54">
        <f>IF(E1911="","",IFERROR(IF(INDEX(lst_exp_item_cat,MATCH(E1911,lst_exp_items,0))="","❔ Без категории",INDEX(lst_exp_item_cat,MATCH(E1911,lst_exp_items,0))),"❔ Без категории"))</f>
        <v/>
      </c>
      <c r="G1911" s="43" t="n"/>
      <c r="H1911" s="56" t="n"/>
      <c r="I1911" s="43" t="n"/>
      <c r="J1911" s="57">
        <f>IF(OR(A1911="",H1911=""),"",IF(COUNTIFS(exp_year,C1911,exp_month,D1911,exp_item,E1911,exp_status,"&lt;&gt;❌ Отменено")&gt;0,1,0))</f>
        <v/>
      </c>
    </row>
    <row r="1912">
      <c r="A1912" s="52" t="n"/>
      <c r="B1912" s="53">
        <f>IF(A1912="","",CHOOSE(WEEKDAY(A1912,2),"Пн","Вт","Ср","Чт","Пт","Сб","Вс"))</f>
        <v/>
      </c>
      <c r="C1912" s="53">
        <f>IF(A1912="","",YEAR(A1912))</f>
        <v/>
      </c>
      <c r="D1912" s="54">
        <f>IF(A1912="","",INDEX(lst_months,MONTH(A1912)))</f>
        <v/>
      </c>
      <c r="E1912" s="55" t="n"/>
      <c r="F1912" s="54">
        <f>IF(E1912="","",IFERROR(IF(INDEX(lst_exp_item_cat,MATCH(E1912,lst_exp_items,0))="","❔ Без категории",INDEX(lst_exp_item_cat,MATCH(E1912,lst_exp_items,0))),"❔ Без категории"))</f>
        <v/>
      </c>
      <c r="G1912" s="43" t="n"/>
      <c r="H1912" s="56" t="n"/>
      <c r="I1912" s="43" t="n"/>
      <c r="J1912" s="57">
        <f>IF(OR(A1912="",H1912=""),"",IF(COUNTIFS(exp_year,C1912,exp_month,D1912,exp_item,E1912,exp_status,"&lt;&gt;❌ Отменено")&gt;0,1,0))</f>
        <v/>
      </c>
    </row>
    <row r="1913">
      <c r="A1913" s="52" t="n"/>
      <c r="B1913" s="53">
        <f>IF(A1913="","",CHOOSE(WEEKDAY(A1913,2),"Пн","Вт","Ср","Чт","Пт","Сб","Вс"))</f>
        <v/>
      </c>
      <c r="C1913" s="53">
        <f>IF(A1913="","",YEAR(A1913))</f>
        <v/>
      </c>
      <c r="D1913" s="54">
        <f>IF(A1913="","",INDEX(lst_months,MONTH(A1913)))</f>
        <v/>
      </c>
      <c r="E1913" s="55" t="n"/>
      <c r="F1913" s="54">
        <f>IF(E1913="","",IFERROR(IF(INDEX(lst_exp_item_cat,MATCH(E1913,lst_exp_items,0))="","❔ Без категории",INDEX(lst_exp_item_cat,MATCH(E1913,lst_exp_items,0))),"❔ Без категории"))</f>
        <v/>
      </c>
      <c r="G1913" s="43" t="n"/>
      <c r="H1913" s="56" t="n"/>
      <c r="I1913" s="43" t="n"/>
      <c r="J1913" s="57">
        <f>IF(OR(A1913="",H1913=""),"",IF(COUNTIFS(exp_year,C1913,exp_month,D1913,exp_item,E1913,exp_status,"&lt;&gt;❌ Отменено")&gt;0,1,0))</f>
        <v/>
      </c>
    </row>
    <row r="1914">
      <c r="A1914" s="52" t="n"/>
      <c r="B1914" s="53">
        <f>IF(A1914="","",CHOOSE(WEEKDAY(A1914,2),"Пн","Вт","Ср","Чт","Пт","Сб","Вс"))</f>
        <v/>
      </c>
      <c r="C1914" s="53">
        <f>IF(A1914="","",YEAR(A1914))</f>
        <v/>
      </c>
      <c r="D1914" s="54">
        <f>IF(A1914="","",INDEX(lst_months,MONTH(A1914)))</f>
        <v/>
      </c>
      <c r="E1914" s="55" t="n"/>
      <c r="F1914" s="54">
        <f>IF(E1914="","",IFERROR(IF(INDEX(lst_exp_item_cat,MATCH(E1914,lst_exp_items,0))="","❔ Без категории",INDEX(lst_exp_item_cat,MATCH(E1914,lst_exp_items,0))),"❔ Без категории"))</f>
        <v/>
      </c>
      <c r="G1914" s="43" t="n"/>
      <c r="H1914" s="56" t="n"/>
      <c r="I1914" s="43" t="n"/>
      <c r="J1914" s="57">
        <f>IF(OR(A1914="",H1914=""),"",IF(COUNTIFS(exp_year,C1914,exp_month,D1914,exp_item,E1914,exp_status,"&lt;&gt;❌ Отменено")&gt;0,1,0))</f>
        <v/>
      </c>
    </row>
    <row r="1915">
      <c r="A1915" s="52" t="n"/>
      <c r="B1915" s="53">
        <f>IF(A1915="","",CHOOSE(WEEKDAY(A1915,2),"Пн","Вт","Ср","Чт","Пт","Сб","Вс"))</f>
        <v/>
      </c>
      <c r="C1915" s="53">
        <f>IF(A1915="","",YEAR(A1915))</f>
        <v/>
      </c>
      <c r="D1915" s="54">
        <f>IF(A1915="","",INDEX(lst_months,MONTH(A1915)))</f>
        <v/>
      </c>
      <c r="E1915" s="55" t="n"/>
      <c r="F1915" s="54">
        <f>IF(E1915="","",IFERROR(IF(INDEX(lst_exp_item_cat,MATCH(E1915,lst_exp_items,0))="","❔ Без категории",INDEX(lst_exp_item_cat,MATCH(E1915,lst_exp_items,0))),"❔ Без категории"))</f>
        <v/>
      </c>
      <c r="G1915" s="43" t="n"/>
      <c r="H1915" s="56" t="n"/>
      <c r="I1915" s="43" t="n"/>
      <c r="J1915" s="57">
        <f>IF(OR(A1915="",H1915=""),"",IF(COUNTIFS(exp_year,C1915,exp_month,D1915,exp_item,E1915,exp_status,"&lt;&gt;❌ Отменено")&gt;0,1,0))</f>
        <v/>
      </c>
    </row>
    <row r="1916">
      <c r="A1916" s="52" t="n"/>
      <c r="B1916" s="53">
        <f>IF(A1916="","",CHOOSE(WEEKDAY(A1916,2),"Пн","Вт","Ср","Чт","Пт","Сб","Вс"))</f>
        <v/>
      </c>
      <c r="C1916" s="53">
        <f>IF(A1916="","",YEAR(A1916))</f>
        <v/>
      </c>
      <c r="D1916" s="54">
        <f>IF(A1916="","",INDEX(lst_months,MONTH(A1916)))</f>
        <v/>
      </c>
      <c r="E1916" s="55" t="n"/>
      <c r="F1916" s="54">
        <f>IF(E1916="","",IFERROR(IF(INDEX(lst_exp_item_cat,MATCH(E1916,lst_exp_items,0))="","❔ Без категории",INDEX(lst_exp_item_cat,MATCH(E1916,lst_exp_items,0))),"❔ Без категории"))</f>
        <v/>
      </c>
      <c r="G1916" s="43" t="n"/>
      <c r="H1916" s="56" t="n"/>
      <c r="I1916" s="43" t="n"/>
      <c r="J1916" s="57">
        <f>IF(OR(A1916="",H1916=""),"",IF(COUNTIFS(exp_year,C1916,exp_month,D1916,exp_item,E1916,exp_status,"&lt;&gt;❌ Отменено")&gt;0,1,0))</f>
        <v/>
      </c>
    </row>
    <row r="1917">
      <c r="A1917" s="52" t="n"/>
      <c r="B1917" s="53">
        <f>IF(A1917="","",CHOOSE(WEEKDAY(A1917,2),"Пн","Вт","Ср","Чт","Пт","Сб","Вс"))</f>
        <v/>
      </c>
      <c r="C1917" s="53">
        <f>IF(A1917="","",YEAR(A1917))</f>
        <v/>
      </c>
      <c r="D1917" s="54">
        <f>IF(A1917="","",INDEX(lst_months,MONTH(A1917)))</f>
        <v/>
      </c>
      <c r="E1917" s="55" t="n"/>
      <c r="F1917" s="54">
        <f>IF(E1917="","",IFERROR(IF(INDEX(lst_exp_item_cat,MATCH(E1917,lst_exp_items,0))="","❔ Без категории",INDEX(lst_exp_item_cat,MATCH(E1917,lst_exp_items,0))),"❔ Без категории"))</f>
        <v/>
      </c>
      <c r="G1917" s="43" t="n"/>
      <c r="H1917" s="56" t="n"/>
      <c r="I1917" s="43" t="n"/>
      <c r="J1917" s="57">
        <f>IF(OR(A1917="",H1917=""),"",IF(COUNTIFS(exp_year,C1917,exp_month,D1917,exp_item,E1917,exp_status,"&lt;&gt;❌ Отменено")&gt;0,1,0))</f>
        <v/>
      </c>
    </row>
    <row r="1918">
      <c r="A1918" s="52" t="n"/>
      <c r="B1918" s="53">
        <f>IF(A1918="","",CHOOSE(WEEKDAY(A1918,2),"Пн","Вт","Ср","Чт","Пт","Сб","Вс"))</f>
        <v/>
      </c>
      <c r="C1918" s="53">
        <f>IF(A1918="","",YEAR(A1918))</f>
        <v/>
      </c>
      <c r="D1918" s="54">
        <f>IF(A1918="","",INDEX(lst_months,MONTH(A1918)))</f>
        <v/>
      </c>
      <c r="E1918" s="55" t="n"/>
      <c r="F1918" s="54">
        <f>IF(E1918="","",IFERROR(IF(INDEX(lst_exp_item_cat,MATCH(E1918,lst_exp_items,0))="","❔ Без категории",INDEX(lst_exp_item_cat,MATCH(E1918,lst_exp_items,0))),"❔ Без категории"))</f>
        <v/>
      </c>
      <c r="G1918" s="43" t="n"/>
      <c r="H1918" s="56" t="n"/>
      <c r="I1918" s="43" t="n"/>
      <c r="J1918" s="57">
        <f>IF(OR(A1918="",H1918=""),"",IF(COUNTIFS(exp_year,C1918,exp_month,D1918,exp_item,E1918,exp_status,"&lt;&gt;❌ Отменено")&gt;0,1,0))</f>
        <v/>
      </c>
    </row>
    <row r="1919">
      <c r="A1919" s="52" t="n"/>
      <c r="B1919" s="53">
        <f>IF(A1919="","",CHOOSE(WEEKDAY(A1919,2),"Пн","Вт","Ср","Чт","Пт","Сб","Вс"))</f>
        <v/>
      </c>
      <c r="C1919" s="53">
        <f>IF(A1919="","",YEAR(A1919))</f>
        <v/>
      </c>
      <c r="D1919" s="54">
        <f>IF(A1919="","",INDEX(lst_months,MONTH(A1919)))</f>
        <v/>
      </c>
      <c r="E1919" s="55" t="n"/>
      <c r="F1919" s="54">
        <f>IF(E1919="","",IFERROR(IF(INDEX(lst_exp_item_cat,MATCH(E1919,lst_exp_items,0))="","❔ Без категории",INDEX(lst_exp_item_cat,MATCH(E1919,lst_exp_items,0))),"❔ Без категории"))</f>
        <v/>
      </c>
      <c r="G1919" s="43" t="n"/>
      <c r="H1919" s="56" t="n"/>
      <c r="I1919" s="43" t="n"/>
      <c r="J1919" s="57">
        <f>IF(OR(A1919="",H1919=""),"",IF(COUNTIFS(exp_year,C1919,exp_month,D1919,exp_item,E1919,exp_status,"&lt;&gt;❌ Отменено")&gt;0,1,0))</f>
        <v/>
      </c>
    </row>
    <row r="1920">
      <c r="A1920" s="52" t="n"/>
      <c r="B1920" s="53">
        <f>IF(A1920="","",CHOOSE(WEEKDAY(A1920,2),"Пн","Вт","Ср","Чт","Пт","Сб","Вс"))</f>
        <v/>
      </c>
      <c r="C1920" s="53">
        <f>IF(A1920="","",YEAR(A1920))</f>
        <v/>
      </c>
      <c r="D1920" s="54">
        <f>IF(A1920="","",INDEX(lst_months,MONTH(A1920)))</f>
        <v/>
      </c>
      <c r="E1920" s="55" t="n"/>
      <c r="F1920" s="54">
        <f>IF(E1920="","",IFERROR(IF(INDEX(lst_exp_item_cat,MATCH(E1920,lst_exp_items,0))="","❔ Без категории",INDEX(lst_exp_item_cat,MATCH(E1920,lst_exp_items,0))),"❔ Без категории"))</f>
        <v/>
      </c>
      <c r="G1920" s="43" t="n"/>
      <c r="H1920" s="56" t="n"/>
      <c r="I1920" s="43" t="n"/>
      <c r="J1920" s="57">
        <f>IF(OR(A1920="",H1920=""),"",IF(COUNTIFS(exp_year,C1920,exp_month,D1920,exp_item,E1920,exp_status,"&lt;&gt;❌ Отменено")&gt;0,1,0))</f>
        <v/>
      </c>
    </row>
    <row r="1921">
      <c r="A1921" s="52" t="n"/>
      <c r="B1921" s="53">
        <f>IF(A1921="","",CHOOSE(WEEKDAY(A1921,2),"Пн","Вт","Ср","Чт","Пт","Сб","Вс"))</f>
        <v/>
      </c>
      <c r="C1921" s="53">
        <f>IF(A1921="","",YEAR(A1921))</f>
        <v/>
      </c>
      <c r="D1921" s="54">
        <f>IF(A1921="","",INDEX(lst_months,MONTH(A1921)))</f>
        <v/>
      </c>
      <c r="E1921" s="55" t="n"/>
      <c r="F1921" s="54">
        <f>IF(E1921="","",IFERROR(IF(INDEX(lst_exp_item_cat,MATCH(E1921,lst_exp_items,0))="","❔ Без категории",INDEX(lst_exp_item_cat,MATCH(E1921,lst_exp_items,0))),"❔ Без категории"))</f>
        <v/>
      </c>
      <c r="G1921" s="43" t="n"/>
      <c r="H1921" s="56" t="n"/>
      <c r="I1921" s="43" t="n"/>
      <c r="J1921" s="57">
        <f>IF(OR(A1921="",H1921=""),"",IF(COUNTIFS(exp_year,C1921,exp_month,D1921,exp_item,E1921,exp_status,"&lt;&gt;❌ Отменено")&gt;0,1,0))</f>
        <v/>
      </c>
    </row>
    <row r="1922">
      <c r="A1922" s="52" t="n"/>
      <c r="B1922" s="53">
        <f>IF(A1922="","",CHOOSE(WEEKDAY(A1922,2),"Пн","Вт","Ср","Чт","Пт","Сб","Вс"))</f>
        <v/>
      </c>
      <c r="C1922" s="53">
        <f>IF(A1922="","",YEAR(A1922))</f>
        <v/>
      </c>
      <c r="D1922" s="54">
        <f>IF(A1922="","",INDEX(lst_months,MONTH(A1922)))</f>
        <v/>
      </c>
      <c r="E1922" s="55" t="n"/>
      <c r="F1922" s="54">
        <f>IF(E1922="","",IFERROR(IF(INDEX(lst_exp_item_cat,MATCH(E1922,lst_exp_items,0))="","❔ Без категории",INDEX(lst_exp_item_cat,MATCH(E1922,lst_exp_items,0))),"❔ Без категории"))</f>
        <v/>
      </c>
      <c r="G1922" s="43" t="n"/>
      <c r="H1922" s="56" t="n"/>
      <c r="I1922" s="43" t="n"/>
      <c r="J1922" s="57">
        <f>IF(OR(A1922="",H1922=""),"",IF(COUNTIFS(exp_year,C1922,exp_month,D1922,exp_item,E1922,exp_status,"&lt;&gt;❌ Отменено")&gt;0,1,0))</f>
        <v/>
      </c>
    </row>
    <row r="1923">
      <c r="A1923" s="52" t="n"/>
      <c r="B1923" s="53">
        <f>IF(A1923="","",CHOOSE(WEEKDAY(A1923,2),"Пн","Вт","Ср","Чт","Пт","Сб","Вс"))</f>
        <v/>
      </c>
      <c r="C1923" s="53">
        <f>IF(A1923="","",YEAR(A1923))</f>
        <v/>
      </c>
      <c r="D1923" s="54">
        <f>IF(A1923="","",INDEX(lst_months,MONTH(A1923)))</f>
        <v/>
      </c>
      <c r="E1923" s="55" t="n"/>
      <c r="F1923" s="54">
        <f>IF(E1923="","",IFERROR(IF(INDEX(lst_exp_item_cat,MATCH(E1923,lst_exp_items,0))="","❔ Без категории",INDEX(lst_exp_item_cat,MATCH(E1923,lst_exp_items,0))),"❔ Без категории"))</f>
        <v/>
      </c>
      <c r="G1923" s="43" t="n"/>
      <c r="H1923" s="56" t="n"/>
      <c r="I1923" s="43" t="n"/>
      <c r="J1923" s="57">
        <f>IF(OR(A1923="",H1923=""),"",IF(COUNTIFS(exp_year,C1923,exp_month,D1923,exp_item,E1923,exp_status,"&lt;&gt;❌ Отменено")&gt;0,1,0))</f>
        <v/>
      </c>
    </row>
    <row r="1924">
      <c r="A1924" s="52" t="n"/>
      <c r="B1924" s="53">
        <f>IF(A1924="","",CHOOSE(WEEKDAY(A1924,2),"Пн","Вт","Ср","Чт","Пт","Сб","Вс"))</f>
        <v/>
      </c>
      <c r="C1924" s="53">
        <f>IF(A1924="","",YEAR(A1924))</f>
        <v/>
      </c>
      <c r="D1924" s="54">
        <f>IF(A1924="","",INDEX(lst_months,MONTH(A1924)))</f>
        <v/>
      </c>
      <c r="E1924" s="55" t="n"/>
      <c r="F1924" s="54">
        <f>IF(E1924="","",IFERROR(IF(INDEX(lst_exp_item_cat,MATCH(E1924,lst_exp_items,0))="","❔ Без категории",INDEX(lst_exp_item_cat,MATCH(E1924,lst_exp_items,0))),"❔ Без категории"))</f>
        <v/>
      </c>
      <c r="G1924" s="43" t="n"/>
      <c r="H1924" s="56" t="n"/>
      <c r="I1924" s="43" t="n"/>
      <c r="J1924" s="57">
        <f>IF(OR(A1924="",H1924=""),"",IF(COUNTIFS(exp_year,C1924,exp_month,D1924,exp_item,E1924,exp_status,"&lt;&gt;❌ Отменено")&gt;0,1,0))</f>
        <v/>
      </c>
    </row>
    <row r="1925">
      <c r="A1925" s="52" t="n"/>
      <c r="B1925" s="53">
        <f>IF(A1925="","",CHOOSE(WEEKDAY(A1925,2),"Пн","Вт","Ср","Чт","Пт","Сб","Вс"))</f>
        <v/>
      </c>
      <c r="C1925" s="53">
        <f>IF(A1925="","",YEAR(A1925))</f>
        <v/>
      </c>
      <c r="D1925" s="54">
        <f>IF(A1925="","",INDEX(lst_months,MONTH(A1925)))</f>
        <v/>
      </c>
      <c r="E1925" s="55" t="n"/>
      <c r="F1925" s="54">
        <f>IF(E1925="","",IFERROR(IF(INDEX(lst_exp_item_cat,MATCH(E1925,lst_exp_items,0))="","❔ Без категории",INDEX(lst_exp_item_cat,MATCH(E1925,lst_exp_items,0))),"❔ Без категории"))</f>
        <v/>
      </c>
      <c r="G1925" s="43" t="n"/>
      <c r="H1925" s="56" t="n"/>
      <c r="I1925" s="43" t="n"/>
      <c r="J1925" s="57">
        <f>IF(OR(A1925="",H1925=""),"",IF(COUNTIFS(exp_year,C1925,exp_month,D1925,exp_item,E1925,exp_status,"&lt;&gt;❌ Отменено")&gt;0,1,0))</f>
        <v/>
      </c>
    </row>
    <row r="1926">
      <c r="A1926" s="52" t="n"/>
      <c r="B1926" s="53">
        <f>IF(A1926="","",CHOOSE(WEEKDAY(A1926,2),"Пн","Вт","Ср","Чт","Пт","Сб","Вс"))</f>
        <v/>
      </c>
      <c r="C1926" s="53">
        <f>IF(A1926="","",YEAR(A1926))</f>
        <v/>
      </c>
      <c r="D1926" s="54">
        <f>IF(A1926="","",INDEX(lst_months,MONTH(A1926)))</f>
        <v/>
      </c>
      <c r="E1926" s="55" t="n"/>
      <c r="F1926" s="54">
        <f>IF(E1926="","",IFERROR(IF(INDEX(lst_exp_item_cat,MATCH(E1926,lst_exp_items,0))="","❔ Без категории",INDEX(lst_exp_item_cat,MATCH(E1926,lst_exp_items,0))),"❔ Без категории"))</f>
        <v/>
      </c>
      <c r="G1926" s="43" t="n"/>
      <c r="H1926" s="56" t="n"/>
      <c r="I1926" s="43" t="n"/>
      <c r="J1926" s="57">
        <f>IF(OR(A1926="",H1926=""),"",IF(COUNTIFS(exp_year,C1926,exp_month,D1926,exp_item,E1926,exp_status,"&lt;&gt;❌ Отменено")&gt;0,1,0))</f>
        <v/>
      </c>
    </row>
    <row r="1927">
      <c r="A1927" s="52" t="n"/>
      <c r="B1927" s="53">
        <f>IF(A1927="","",CHOOSE(WEEKDAY(A1927,2),"Пн","Вт","Ср","Чт","Пт","Сб","Вс"))</f>
        <v/>
      </c>
      <c r="C1927" s="53">
        <f>IF(A1927="","",YEAR(A1927))</f>
        <v/>
      </c>
      <c r="D1927" s="54">
        <f>IF(A1927="","",INDEX(lst_months,MONTH(A1927)))</f>
        <v/>
      </c>
      <c r="E1927" s="55" t="n"/>
      <c r="F1927" s="54">
        <f>IF(E1927="","",IFERROR(IF(INDEX(lst_exp_item_cat,MATCH(E1927,lst_exp_items,0))="","❔ Без категории",INDEX(lst_exp_item_cat,MATCH(E1927,lst_exp_items,0))),"❔ Без категории"))</f>
        <v/>
      </c>
      <c r="G1927" s="43" t="n"/>
      <c r="H1927" s="56" t="n"/>
      <c r="I1927" s="43" t="n"/>
      <c r="J1927" s="57">
        <f>IF(OR(A1927="",H1927=""),"",IF(COUNTIFS(exp_year,C1927,exp_month,D1927,exp_item,E1927,exp_status,"&lt;&gt;❌ Отменено")&gt;0,1,0))</f>
        <v/>
      </c>
    </row>
    <row r="1928">
      <c r="A1928" s="52" t="n"/>
      <c r="B1928" s="53">
        <f>IF(A1928="","",CHOOSE(WEEKDAY(A1928,2),"Пн","Вт","Ср","Чт","Пт","Сб","Вс"))</f>
        <v/>
      </c>
      <c r="C1928" s="53">
        <f>IF(A1928="","",YEAR(A1928))</f>
        <v/>
      </c>
      <c r="D1928" s="54">
        <f>IF(A1928="","",INDEX(lst_months,MONTH(A1928)))</f>
        <v/>
      </c>
      <c r="E1928" s="55" t="n"/>
      <c r="F1928" s="54">
        <f>IF(E1928="","",IFERROR(IF(INDEX(lst_exp_item_cat,MATCH(E1928,lst_exp_items,0))="","❔ Без категории",INDEX(lst_exp_item_cat,MATCH(E1928,lst_exp_items,0))),"❔ Без категории"))</f>
        <v/>
      </c>
      <c r="G1928" s="43" t="n"/>
      <c r="H1928" s="56" t="n"/>
      <c r="I1928" s="43" t="n"/>
      <c r="J1928" s="57">
        <f>IF(OR(A1928="",H1928=""),"",IF(COUNTIFS(exp_year,C1928,exp_month,D1928,exp_item,E1928,exp_status,"&lt;&gt;❌ Отменено")&gt;0,1,0))</f>
        <v/>
      </c>
    </row>
    <row r="1929">
      <c r="A1929" s="52" t="n"/>
      <c r="B1929" s="53">
        <f>IF(A1929="","",CHOOSE(WEEKDAY(A1929,2),"Пн","Вт","Ср","Чт","Пт","Сб","Вс"))</f>
        <v/>
      </c>
      <c r="C1929" s="53">
        <f>IF(A1929="","",YEAR(A1929))</f>
        <v/>
      </c>
      <c r="D1929" s="54">
        <f>IF(A1929="","",INDEX(lst_months,MONTH(A1929)))</f>
        <v/>
      </c>
      <c r="E1929" s="55" t="n"/>
      <c r="F1929" s="54">
        <f>IF(E1929="","",IFERROR(IF(INDEX(lst_exp_item_cat,MATCH(E1929,lst_exp_items,0))="","❔ Без категории",INDEX(lst_exp_item_cat,MATCH(E1929,lst_exp_items,0))),"❔ Без категории"))</f>
        <v/>
      </c>
      <c r="G1929" s="43" t="n"/>
      <c r="H1929" s="56" t="n"/>
      <c r="I1929" s="43" t="n"/>
      <c r="J1929" s="57">
        <f>IF(OR(A1929="",H1929=""),"",IF(COUNTIFS(exp_year,C1929,exp_month,D1929,exp_item,E1929,exp_status,"&lt;&gt;❌ Отменено")&gt;0,1,0))</f>
        <v/>
      </c>
    </row>
    <row r="1930">
      <c r="A1930" s="52" t="n"/>
      <c r="B1930" s="53">
        <f>IF(A1930="","",CHOOSE(WEEKDAY(A1930,2),"Пн","Вт","Ср","Чт","Пт","Сб","Вс"))</f>
        <v/>
      </c>
      <c r="C1930" s="53">
        <f>IF(A1930="","",YEAR(A1930))</f>
        <v/>
      </c>
      <c r="D1930" s="54">
        <f>IF(A1930="","",INDEX(lst_months,MONTH(A1930)))</f>
        <v/>
      </c>
      <c r="E1930" s="55" t="n"/>
      <c r="F1930" s="54">
        <f>IF(E1930="","",IFERROR(IF(INDEX(lst_exp_item_cat,MATCH(E1930,lst_exp_items,0))="","❔ Без категории",INDEX(lst_exp_item_cat,MATCH(E1930,lst_exp_items,0))),"❔ Без категории"))</f>
        <v/>
      </c>
      <c r="G1930" s="43" t="n"/>
      <c r="H1930" s="56" t="n"/>
      <c r="I1930" s="43" t="n"/>
      <c r="J1930" s="57">
        <f>IF(OR(A1930="",H1930=""),"",IF(COUNTIFS(exp_year,C1930,exp_month,D1930,exp_item,E1930,exp_status,"&lt;&gt;❌ Отменено")&gt;0,1,0))</f>
        <v/>
      </c>
    </row>
    <row r="1931">
      <c r="A1931" s="52" t="n"/>
      <c r="B1931" s="53">
        <f>IF(A1931="","",CHOOSE(WEEKDAY(A1931,2),"Пн","Вт","Ср","Чт","Пт","Сб","Вс"))</f>
        <v/>
      </c>
      <c r="C1931" s="53">
        <f>IF(A1931="","",YEAR(A1931))</f>
        <v/>
      </c>
      <c r="D1931" s="54">
        <f>IF(A1931="","",INDEX(lst_months,MONTH(A1931)))</f>
        <v/>
      </c>
      <c r="E1931" s="55" t="n"/>
      <c r="F1931" s="54">
        <f>IF(E1931="","",IFERROR(IF(INDEX(lst_exp_item_cat,MATCH(E1931,lst_exp_items,0))="","❔ Без категории",INDEX(lst_exp_item_cat,MATCH(E1931,lst_exp_items,0))),"❔ Без категории"))</f>
        <v/>
      </c>
      <c r="G1931" s="43" t="n"/>
      <c r="H1931" s="56" t="n"/>
      <c r="I1931" s="43" t="n"/>
      <c r="J1931" s="57">
        <f>IF(OR(A1931="",H1931=""),"",IF(COUNTIFS(exp_year,C1931,exp_month,D1931,exp_item,E1931,exp_status,"&lt;&gt;❌ Отменено")&gt;0,1,0))</f>
        <v/>
      </c>
    </row>
    <row r="1932">
      <c r="A1932" s="52" t="n"/>
      <c r="B1932" s="53">
        <f>IF(A1932="","",CHOOSE(WEEKDAY(A1932,2),"Пн","Вт","Ср","Чт","Пт","Сб","Вс"))</f>
        <v/>
      </c>
      <c r="C1932" s="53">
        <f>IF(A1932="","",YEAR(A1932))</f>
        <v/>
      </c>
      <c r="D1932" s="54">
        <f>IF(A1932="","",INDEX(lst_months,MONTH(A1932)))</f>
        <v/>
      </c>
      <c r="E1932" s="55" t="n"/>
      <c r="F1932" s="54">
        <f>IF(E1932="","",IFERROR(IF(INDEX(lst_exp_item_cat,MATCH(E1932,lst_exp_items,0))="","❔ Без категории",INDEX(lst_exp_item_cat,MATCH(E1932,lst_exp_items,0))),"❔ Без категории"))</f>
        <v/>
      </c>
      <c r="G1932" s="43" t="n"/>
      <c r="H1932" s="56" t="n"/>
      <c r="I1932" s="43" t="n"/>
      <c r="J1932" s="57">
        <f>IF(OR(A1932="",H1932=""),"",IF(COUNTIFS(exp_year,C1932,exp_month,D1932,exp_item,E1932,exp_status,"&lt;&gt;❌ Отменено")&gt;0,1,0))</f>
        <v/>
      </c>
    </row>
    <row r="1933">
      <c r="A1933" s="52" t="n"/>
      <c r="B1933" s="53">
        <f>IF(A1933="","",CHOOSE(WEEKDAY(A1933,2),"Пн","Вт","Ср","Чт","Пт","Сб","Вс"))</f>
        <v/>
      </c>
      <c r="C1933" s="53">
        <f>IF(A1933="","",YEAR(A1933))</f>
        <v/>
      </c>
      <c r="D1933" s="54">
        <f>IF(A1933="","",INDEX(lst_months,MONTH(A1933)))</f>
        <v/>
      </c>
      <c r="E1933" s="55" t="n"/>
      <c r="F1933" s="54">
        <f>IF(E1933="","",IFERROR(IF(INDEX(lst_exp_item_cat,MATCH(E1933,lst_exp_items,0))="","❔ Без категории",INDEX(lst_exp_item_cat,MATCH(E1933,lst_exp_items,0))),"❔ Без категории"))</f>
        <v/>
      </c>
      <c r="G1933" s="43" t="n"/>
      <c r="H1933" s="56" t="n"/>
      <c r="I1933" s="43" t="n"/>
      <c r="J1933" s="57">
        <f>IF(OR(A1933="",H1933=""),"",IF(COUNTIFS(exp_year,C1933,exp_month,D1933,exp_item,E1933,exp_status,"&lt;&gt;❌ Отменено")&gt;0,1,0))</f>
        <v/>
      </c>
    </row>
    <row r="1934">
      <c r="A1934" s="52" t="n"/>
      <c r="B1934" s="53">
        <f>IF(A1934="","",CHOOSE(WEEKDAY(A1934,2),"Пн","Вт","Ср","Чт","Пт","Сб","Вс"))</f>
        <v/>
      </c>
      <c r="C1934" s="53">
        <f>IF(A1934="","",YEAR(A1934))</f>
        <v/>
      </c>
      <c r="D1934" s="54">
        <f>IF(A1934="","",INDEX(lst_months,MONTH(A1934)))</f>
        <v/>
      </c>
      <c r="E1934" s="55" t="n"/>
      <c r="F1934" s="54">
        <f>IF(E1934="","",IFERROR(IF(INDEX(lst_exp_item_cat,MATCH(E1934,lst_exp_items,0))="","❔ Без категории",INDEX(lst_exp_item_cat,MATCH(E1934,lst_exp_items,0))),"❔ Без категории"))</f>
        <v/>
      </c>
      <c r="G1934" s="43" t="n"/>
      <c r="H1934" s="56" t="n"/>
      <c r="I1934" s="43" t="n"/>
      <c r="J1934" s="57">
        <f>IF(OR(A1934="",H1934=""),"",IF(COUNTIFS(exp_year,C1934,exp_month,D1934,exp_item,E1934,exp_status,"&lt;&gt;❌ Отменено")&gt;0,1,0))</f>
        <v/>
      </c>
    </row>
    <row r="1935">
      <c r="A1935" s="52" t="n"/>
      <c r="B1935" s="53">
        <f>IF(A1935="","",CHOOSE(WEEKDAY(A1935,2),"Пн","Вт","Ср","Чт","Пт","Сб","Вс"))</f>
        <v/>
      </c>
      <c r="C1935" s="53">
        <f>IF(A1935="","",YEAR(A1935))</f>
        <v/>
      </c>
      <c r="D1935" s="54">
        <f>IF(A1935="","",INDEX(lst_months,MONTH(A1935)))</f>
        <v/>
      </c>
      <c r="E1935" s="55" t="n"/>
      <c r="F1935" s="54">
        <f>IF(E1935="","",IFERROR(IF(INDEX(lst_exp_item_cat,MATCH(E1935,lst_exp_items,0))="","❔ Без категории",INDEX(lst_exp_item_cat,MATCH(E1935,lst_exp_items,0))),"❔ Без категории"))</f>
        <v/>
      </c>
      <c r="G1935" s="43" t="n"/>
      <c r="H1935" s="56" t="n"/>
      <c r="I1935" s="43" t="n"/>
      <c r="J1935" s="57">
        <f>IF(OR(A1935="",H1935=""),"",IF(COUNTIFS(exp_year,C1935,exp_month,D1935,exp_item,E1935,exp_status,"&lt;&gt;❌ Отменено")&gt;0,1,0))</f>
        <v/>
      </c>
    </row>
    <row r="1936">
      <c r="A1936" s="52" t="n"/>
      <c r="B1936" s="53">
        <f>IF(A1936="","",CHOOSE(WEEKDAY(A1936,2),"Пн","Вт","Ср","Чт","Пт","Сб","Вс"))</f>
        <v/>
      </c>
      <c r="C1936" s="53">
        <f>IF(A1936="","",YEAR(A1936))</f>
        <v/>
      </c>
      <c r="D1936" s="54">
        <f>IF(A1936="","",INDEX(lst_months,MONTH(A1936)))</f>
        <v/>
      </c>
      <c r="E1936" s="55" t="n"/>
      <c r="F1936" s="54">
        <f>IF(E1936="","",IFERROR(IF(INDEX(lst_exp_item_cat,MATCH(E1936,lst_exp_items,0))="","❔ Без категории",INDEX(lst_exp_item_cat,MATCH(E1936,lst_exp_items,0))),"❔ Без категории"))</f>
        <v/>
      </c>
      <c r="G1936" s="43" t="n"/>
      <c r="H1936" s="56" t="n"/>
      <c r="I1936" s="43" t="n"/>
      <c r="J1936" s="57">
        <f>IF(OR(A1936="",H1936=""),"",IF(COUNTIFS(exp_year,C1936,exp_month,D1936,exp_item,E1936,exp_status,"&lt;&gt;❌ Отменено")&gt;0,1,0))</f>
        <v/>
      </c>
    </row>
    <row r="1937">
      <c r="A1937" s="52" t="n"/>
      <c r="B1937" s="53">
        <f>IF(A1937="","",CHOOSE(WEEKDAY(A1937,2),"Пн","Вт","Ср","Чт","Пт","Сб","Вс"))</f>
        <v/>
      </c>
      <c r="C1937" s="53">
        <f>IF(A1937="","",YEAR(A1937))</f>
        <v/>
      </c>
      <c r="D1937" s="54">
        <f>IF(A1937="","",INDEX(lst_months,MONTH(A1937)))</f>
        <v/>
      </c>
      <c r="E1937" s="55" t="n"/>
      <c r="F1937" s="54">
        <f>IF(E1937="","",IFERROR(IF(INDEX(lst_exp_item_cat,MATCH(E1937,lst_exp_items,0))="","❔ Без категории",INDEX(lst_exp_item_cat,MATCH(E1937,lst_exp_items,0))),"❔ Без категории"))</f>
        <v/>
      </c>
      <c r="G1937" s="43" t="n"/>
      <c r="H1937" s="56" t="n"/>
      <c r="I1937" s="43" t="n"/>
      <c r="J1937" s="57">
        <f>IF(OR(A1937="",H1937=""),"",IF(COUNTIFS(exp_year,C1937,exp_month,D1937,exp_item,E1937,exp_status,"&lt;&gt;❌ Отменено")&gt;0,1,0))</f>
        <v/>
      </c>
    </row>
    <row r="1938">
      <c r="A1938" s="52" t="n"/>
      <c r="B1938" s="53">
        <f>IF(A1938="","",CHOOSE(WEEKDAY(A1938,2),"Пн","Вт","Ср","Чт","Пт","Сб","Вс"))</f>
        <v/>
      </c>
      <c r="C1938" s="53">
        <f>IF(A1938="","",YEAR(A1938))</f>
        <v/>
      </c>
      <c r="D1938" s="54">
        <f>IF(A1938="","",INDEX(lst_months,MONTH(A1938)))</f>
        <v/>
      </c>
      <c r="E1938" s="55" t="n"/>
      <c r="F1938" s="54">
        <f>IF(E1938="","",IFERROR(IF(INDEX(lst_exp_item_cat,MATCH(E1938,lst_exp_items,0))="","❔ Без категории",INDEX(lst_exp_item_cat,MATCH(E1938,lst_exp_items,0))),"❔ Без категории"))</f>
        <v/>
      </c>
      <c r="G1938" s="43" t="n"/>
      <c r="H1938" s="56" t="n"/>
      <c r="I1938" s="43" t="n"/>
      <c r="J1938" s="57">
        <f>IF(OR(A1938="",H1938=""),"",IF(COUNTIFS(exp_year,C1938,exp_month,D1938,exp_item,E1938,exp_status,"&lt;&gt;❌ Отменено")&gt;0,1,0))</f>
        <v/>
      </c>
    </row>
    <row r="1939">
      <c r="A1939" s="52" t="n"/>
      <c r="B1939" s="53">
        <f>IF(A1939="","",CHOOSE(WEEKDAY(A1939,2),"Пн","Вт","Ср","Чт","Пт","Сб","Вс"))</f>
        <v/>
      </c>
      <c r="C1939" s="53">
        <f>IF(A1939="","",YEAR(A1939))</f>
        <v/>
      </c>
      <c r="D1939" s="54">
        <f>IF(A1939="","",INDEX(lst_months,MONTH(A1939)))</f>
        <v/>
      </c>
      <c r="E1939" s="55" t="n"/>
      <c r="F1939" s="54">
        <f>IF(E1939="","",IFERROR(IF(INDEX(lst_exp_item_cat,MATCH(E1939,lst_exp_items,0))="","❔ Без категории",INDEX(lst_exp_item_cat,MATCH(E1939,lst_exp_items,0))),"❔ Без категории"))</f>
        <v/>
      </c>
      <c r="G1939" s="43" t="n"/>
      <c r="H1939" s="56" t="n"/>
      <c r="I1939" s="43" t="n"/>
      <c r="J1939" s="57">
        <f>IF(OR(A1939="",H1939=""),"",IF(COUNTIFS(exp_year,C1939,exp_month,D1939,exp_item,E1939,exp_status,"&lt;&gt;❌ Отменено")&gt;0,1,0))</f>
        <v/>
      </c>
    </row>
    <row r="1940">
      <c r="A1940" s="52" t="n"/>
      <c r="B1940" s="53">
        <f>IF(A1940="","",CHOOSE(WEEKDAY(A1940,2),"Пн","Вт","Ср","Чт","Пт","Сб","Вс"))</f>
        <v/>
      </c>
      <c r="C1940" s="53">
        <f>IF(A1940="","",YEAR(A1940))</f>
        <v/>
      </c>
      <c r="D1940" s="54">
        <f>IF(A1940="","",INDEX(lst_months,MONTH(A1940)))</f>
        <v/>
      </c>
      <c r="E1940" s="55" t="n"/>
      <c r="F1940" s="54">
        <f>IF(E1940="","",IFERROR(IF(INDEX(lst_exp_item_cat,MATCH(E1940,lst_exp_items,0))="","❔ Без категории",INDEX(lst_exp_item_cat,MATCH(E1940,lst_exp_items,0))),"❔ Без категории"))</f>
        <v/>
      </c>
      <c r="G1940" s="43" t="n"/>
      <c r="H1940" s="56" t="n"/>
      <c r="I1940" s="43" t="n"/>
      <c r="J1940" s="57">
        <f>IF(OR(A1940="",H1940=""),"",IF(COUNTIFS(exp_year,C1940,exp_month,D1940,exp_item,E1940,exp_status,"&lt;&gt;❌ Отменено")&gt;0,1,0))</f>
        <v/>
      </c>
    </row>
    <row r="1941">
      <c r="A1941" s="52" t="n"/>
      <c r="B1941" s="53">
        <f>IF(A1941="","",CHOOSE(WEEKDAY(A1941,2),"Пн","Вт","Ср","Чт","Пт","Сб","Вс"))</f>
        <v/>
      </c>
      <c r="C1941" s="53">
        <f>IF(A1941="","",YEAR(A1941))</f>
        <v/>
      </c>
      <c r="D1941" s="54">
        <f>IF(A1941="","",INDEX(lst_months,MONTH(A1941)))</f>
        <v/>
      </c>
      <c r="E1941" s="55" t="n"/>
      <c r="F1941" s="54">
        <f>IF(E1941="","",IFERROR(IF(INDEX(lst_exp_item_cat,MATCH(E1941,lst_exp_items,0))="","❔ Без категории",INDEX(lst_exp_item_cat,MATCH(E1941,lst_exp_items,0))),"❔ Без категории"))</f>
        <v/>
      </c>
      <c r="G1941" s="43" t="n"/>
      <c r="H1941" s="56" t="n"/>
      <c r="I1941" s="43" t="n"/>
      <c r="J1941" s="57">
        <f>IF(OR(A1941="",H1941=""),"",IF(COUNTIFS(exp_year,C1941,exp_month,D1941,exp_item,E1941,exp_status,"&lt;&gt;❌ Отменено")&gt;0,1,0))</f>
        <v/>
      </c>
    </row>
    <row r="1942">
      <c r="A1942" s="52" t="n"/>
      <c r="B1942" s="53">
        <f>IF(A1942="","",CHOOSE(WEEKDAY(A1942,2),"Пн","Вт","Ср","Чт","Пт","Сб","Вс"))</f>
        <v/>
      </c>
      <c r="C1942" s="53">
        <f>IF(A1942="","",YEAR(A1942))</f>
        <v/>
      </c>
      <c r="D1942" s="54">
        <f>IF(A1942="","",INDEX(lst_months,MONTH(A1942)))</f>
        <v/>
      </c>
      <c r="E1942" s="55" t="n"/>
      <c r="F1942" s="54">
        <f>IF(E1942="","",IFERROR(IF(INDEX(lst_exp_item_cat,MATCH(E1942,lst_exp_items,0))="","❔ Без категории",INDEX(lst_exp_item_cat,MATCH(E1942,lst_exp_items,0))),"❔ Без категории"))</f>
        <v/>
      </c>
      <c r="G1942" s="43" t="n"/>
      <c r="H1942" s="56" t="n"/>
      <c r="I1942" s="43" t="n"/>
      <c r="J1942" s="57">
        <f>IF(OR(A1942="",H1942=""),"",IF(COUNTIFS(exp_year,C1942,exp_month,D1942,exp_item,E1942,exp_status,"&lt;&gt;❌ Отменено")&gt;0,1,0))</f>
        <v/>
      </c>
    </row>
    <row r="1943">
      <c r="A1943" s="52" t="n"/>
      <c r="B1943" s="53">
        <f>IF(A1943="","",CHOOSE(WEEKDAY(A1943,2),"Пн","Вт","Ср","Чт","Пт","Сб","Вс"))</f>
        <v/>
      </c>
      <c r="C1943" s="53">
        <f>IF(A1943="","",YEAR(A1943))</f>
        <v/>
      </c>
      <c r="D1943" s="54">
        <f>IF(A1943="","",INDEX(lst_months,MONTH(A1943)))</f>
        <v/>
      </c>
      <c r="E1943" s="55" t="n"/>
      <c r="F1943" s="54">
        <f>IF(E1943="","",IFERROR(IF(INDEX(lst_exp_item_cat,MATCH(E1943,lst_exp_items,0))="","❔ Без категории",INDEX(lst_exp_item_cat,MATCH(E1943,lst_exp_items,0))),"❔ Без категории"))</f>
        <v/>
      </c>
      <c r="G1943" s="43" t="n"/>
      <c r="H1943" s="56" t="n"/>
      <c r="I1943" s="43" t="n"/>
      <c r="J1943" s="57">
        <f>IF(OR(A1943="",H1943=""),"",IF(COUNTIFS(exp_year,C1943,exp_month,D1943,exp_item,E1943,exp_status,"&lt;&gt;❌ Отменено")&gt;0,1,0))</f>
        <v/>
      </c>
    </row>
    <row r="1944">
      <c r="A1944" s="52" t="n"/>
      <c r="B1944" s="53">
        <f>IF(A1944="","",CHOOSE(WEEKDAY(A1944,2),"Пн","Вт","Ср","Чт","Пт","Сб","Вс"))</f>
        <v/>
      </c>
      <c r="C1944" s="53">
        <f>IF(A1944="","",YEAR(A1944))</f>
        <v/>
      </c>
      <c r="D1944" s="54">
        <f>IF(A1944="","",INDEX(lst_months,MONTH(A1944)))</f>
        <v/>
      </c>
      <c r="E1944" s="55" t="n"/>
      <c r="F1944" s="54">
        <f>IF(E1944="","",IFERROR(IF(INDEX(lst_exp_item_cat,MATCH(E1944,lst_exp_items,0))="","❔ Без категории",INDEX(lst_exp_item_cat,MATCH(E1944,lst_exp_items,0))),"❔ Без категории"))</f>
        <v/>
      </c>
      <c r="G1944" s="43" t="n"/>
      <c r="H1944" s="56" t="n"/>
      <c r="I1944" s="43" t="n"/>
      <c r="J1944" s="57">
        <f>IF(OR(A1944="",H1944=""),"",IF(COUNTIFS(exp_year,C1944,exp_month,D1944,exp_item,E1944,exp_status,"&lt;&gt;❌ Отменено")&gt;0,1,0))</f>
        <v/>
      </c>
    </row>
    <row r="1945">
      <c r="A1945" s="52" t="n"/>
      <c r="B1945" s="53">
        <f>IF(A1945="","",CHOOSE(WEEKDAY(A1945,2),"Пн","Вт","Ср","Чт","Пт","Сб","Вс"))</f>
        <v/>
      </c>
      <c r="C1945" s="53">
        <f>IF(A1945="","",YEAR(A1945))</f>
        <v/>
      </c>
      <c r="D1945" s="54">
        <f>IF(A1945="","",INDEX(lst_months,MONTH(A1945)))</f>
        <v/>
      </c>
      <c r="E1945" s="55" t="n"/>
      <c r="F1945" s="54">
        <f>IF(E1945="","",IFERROR(IF(INDEX(lst_exp_item_cat,MATCH(E1945,lst_exp_items,0))="","❔ Без категории",INDEX(lst_exp_item_cat,MATCH(E1945,lst_exp_items,0))),"❔ Без категории"))</f>
        <v/>
      </c>
      <c r="G1945" s="43" t="n"/>
      <c r="H1945" s="56" t="n"/>
      <c r="I1945" s="43" t="n"/>
      <c r="J1945" s="57">
        <f>IF(OR(A1945="",H1945=""),"",IF(COUNTIFS(exp_year,C1945,exp_month,D1945,exp_item,E1945,exp_status,"&lt;&gt;❌ Отменено")&gt;0,1,0))</f>
        <v/>
      </c>
    </row>
    <row r="1946">
      <c r="A1946" s="52" t="n"/>
      <c r="B1946" s="53">
        <f>IF(A1946="","",CHOOSE(WEEKDAY(A1946,2),"Пн","Вт","Ср","Чт","Пт","Сб","Вс"))</f>
        <v/>
      </c>
      <c r="C1946" s="53">
        <f>IF(A1946="","",YEAR(A1946))</f>
        <v/>
      </c>
      <c r="D1946" s="54">
        <f>IF(A1946="","",INDEX(lst_months,MONTH(A1946)))</f>
        <v/>
      </c>
      <c r="E1946" s="55" t="n"/>
      <c r="F1946" s="54">
        <f>IF(E1946="","",IFERROR(IF(INDEX(lst_exp_item_cat,MATCH(E1946,lst_exp_items,0))="","❔ Без категории",INDEX(lst_exp_item_cat,MATCH(E1946,lst_exp_items,0))),"❔ Без категории"))</f>
        <v/>
      </c>
      <c r="G1946" s="43" t="n"/>
      <c r="H1946" s="56" t="n"/>
      <c r="I1946" s="43" t="n"/>
      <c r="J1946" s="57">
        <f>IF(OR(A1946="",H1946=""),"",IF(COUNTIFS(exp_year,C1946,exp_month,D1946,exp_item,E1946,exp_status,"&lt;&gt;❌ Отменено")&gt;0,1,0))</f>
        <v/>
      </c>
    </row>
    <row r="1947">
      <c r="A1947" s="52" t="n"/>
      <c r="B1947" s="53">
        <f>IF(A1947="","",CHOOSE(WEEKDAY(A1947,2),"Пн","Вт","Ср","Чт","Пт","Сб","Вс"))</f>
        <v/>
      </c>
      <c r="C1947" s="53">
        <f>IF(A1947="","",YEAR(A1947))</f>
        <v/>
      </c>
      <c r="D1947" s="54">
        <f>IF(A1947="","",INDEX(lst_months,MONTH(A1947)))</f>
        <v/>
      </c>
      <c r="E1947" s="55" t="n"/>
      <c r="F1947" s="54">
        <f>IF(E1947="","",IFERROR(IF(INDEX(lst_exp_item_cat,MATCH(E1947,lst_exp_items,0))="","❔ Без категории",INDEX(lst_exp_item_cat,MATCH(E1947,lst_exp_items,0))),"❔ Без категории"))</f>
        <v/>
      </c>
      <c r="G1947" s="43" t="n"/>
      <c r="H1947" s="56" t="n"/>
      <c r="I1947" s="43" t="n"/>
      <c r="J1947" s="57">
        <f>IF(OR(A1947="",H1947=""),"",IF(COUNTIFS(exp_year,C1947,exp_month,D1947,exp_item,E1947,exp_status,"&lt;&gt;❌ Отменено")&gt;0,1,0))</f>
        <v/>
      </c>
    </row>
    <row r="1948">
      <c r="A1948" s="52" t="n"/>
      <c r="B1948" s="53">
        <f>IF(A1948="","",CHOOSE(WEEKDAY(A1948,2),"Пн","Вт","Ср","Чт","Пт","Сб","Вс"))</f>
        <v/>
      </c>
      <c r="C1948" s="53">
        <f>IF(A1948="","",YEAR(A1948))</f>
        <v/>
      </c>
      <c r="D1948" s="54">
        <f>IF(A1948="","",INDEX(lst_months,MONTH(A1948)))</f>
        <v/>
      </c>
      <c r="E1948" s="55" t="n"/>
      <c r="F1948" s="54">
        <f>IF(E1948="","",IFERROR(IF(INDEX(lst_exp_item_cat,MATCH(E1948,lst_exp_items,0))="","❔ Без категории",INDEX(lst_exp_item_cat,MATCH(E1948,lst_exp_items,0))),"❔ Без категории"))</f>
        <v/>
      </c>
      <c r="G1948" s="43" t="n"/>
      <c r="H1948" s="56" t="n"/>
      <c r="I1948" s="43" t="n"/>
      <c r="J1948" s="57">
        <f>IF(OR(A1948="",H1948=""),"",IF(COUNTIFS(exp_year,C1948,exp_month,D1948,exp_item,E1948,exp_status,"&lt;&gt;❌ Отменено")&gt;0,1,0))</f>
        <v/>
      </c>
    </row>
    <row r="1949">
      <c r="A1949" s="52" t="n"/>
      <c r="B1949" s="53">
        <f>IF(A1949="","",CHOOSE(WEEKDAY(A1949,2),"Пн","Вт","Ср","Чт","Пт","Сб","Вс"))</f>
        <v/>
      </c>
      <c r="C1949" s="53">
        <f>IF(A1949="","",YEAR(A1949))</f>
        <v/>
      </c>
      <c r="D1949" s="54">
        <f>IF(A1949="","",INDEX(lst_months,MONTH(A1949)))</f>
        <v/>
      </c>
      <c r="E1949" s="55" t="n"/>
      <c r="F1949" s="54">
        <f>IF(E1949="","",IFERROR(IF(INDEX(lst_exp_item_cat,MATCH(E1949,lst_exp_items,0))="","❔ Без категории",INDEX(lst_exp_item_cat,MATCH(E1949,lst_exp_items,0))),"❔ Без категории"))</f>
        <v/>
      </c>
      <c r="G1949" s="43" t="n"/>
      <c r="H1949" s="56" t="n"/>
      <c r="I1949" s="43" t="n"/>
      <c r="J1949" s="57">
        <f>IF(OR(A1949="",H1949=""),"",IF(COUNTIFS(exp_year,C1949,exp_month,D1949,exp_item,E1949,exp_status,"&lt;&gt;❌ Отменено")&gt;0,1,0))</f>
        <v/>
      </c>
    </row>
    <row r="1950">
      <c r="A1950" s="52" t="n"/>
      <c r="B1950" s="53">
        <f>IF(A1950="","",CHOOSE(WEEKDAY(A1950,2),"Пн","Вт","Ср","Чт","Пт","Сб","Вс"))</f>
        <v/>
      </c>
      <c r="C1950" s="53">
        <f>IF(A1950="","",YEAR(A1950))</f>
        <v/>
      </c>
      <c r="D1950" s="54">
        <f>IF(A1950="","",INDEX(lst_months,MONTH(A1950)))</f>
        <v/>
      </c>
      <c r="E1950" s="55" t="n"/>
      <c r="F1950" s="54">
        <f>IF(E1950="","",IFERROR(IF(INDEX(lst_exp_item_cat,MATCH(E1950,lst_exp_items,0))="","❔ Без категории",INDEX(lst_exp_item_cat,MATCH(E1950,lst_exp_items,0))),"❔ Без категории"))</f>
        <v/>
      </c>
      <c r="G1950" s="43" t="n"/>
      <c r="H1950" s="56" t="n"/>
      <c r="I1950" s="43" t="n"/>
      <c r="J1950" s="57">
        <f>IF(OR(A1950="",H1950=""),"",IF(COUNTIFS(exp_year,C1950,exp_month,D1950,exp_item,E1950,exp_status,"&lt;&gt;❌ Отменено")&gt;0,1,0))</f>
        <v/>
      </c>
    </row>
    <row r="1951">
      <c r="A1951" s="52" t="n"/>
      <c r="B1951" s="53">
        <f>IF(A1951="","",CHOOSE(WEEKDAY(A1951,2),"Пн","Вт","Ср","Чт","Пт","Сб","Вс"))</f>
        <v/>
      </c>
      <c r="C1951" s="53">
        <f>IF(A1951="","",YEAR(A1951))</f>
        <v/>
      </c>
      <c r="D1951" s="54">
        <f>IF(A1951="","",INDEX(lst_months,MONTH(A1951)))</f>
        <v/>
      </c>
      <c r="E1951" s="55" t="n"/>
      <c r="F1951" s="54">
        <f>IF(E1951="","",IFERROR(IF(INDEX(lst_exp_item_cat,MATCH(E1951,lst_exp_items,0))="","❔ Без категории",INDEX(lst_exp_item_cat,MATCH(E1951,lst_exp_items,0))),"❔ Без категории"))</f>
        <v/>
      </c>
      <c r="G1951" s="43" t="n"/>
      <c r="H1951" s="56" t="n"/>
      <c r="I1951" s="43" t="n"/>
      <c r="J1951" s="57">
        <f>IF(OR(A1951="",H1951=""),"",IF(COUNTIFS(exp_year,C1951,exp_month,D1951,exp_item,E1951,exp_status,"&lt;&gt;❌ Отменено")&gt;0,1,0))</f>
        <v/>
      </c>
    </row>
    <row r="1952">
      <c r="A1952" s="52" t="n"/>
      <c r="B1952" s="53">
        <f>IF(A1952="","",CHOOSE(WEEKDAY(A1952,2),"Пн","Вт","Ср","Чт","Пт","Сб","Вс"))</f>
        <v/>
      </c>
      <c r="C1952" s="53">
        <f>IF(A1952="","",YEAR(A1952))</f>
        <v/>
      </c>
      <c r="D1952" s="54">
        <f>IF(A1952="","",INDEX(lst_months,MONTH(A1952)))</f>
        <v/>
      </c>
      <c r="E1952" s="55" t="n"/>
      <c r="F1952" s="54">
        <f>IF(E1952="","",IFERROR(IF(INDEX(lst_exp_item_cat,MATCH(E1952,lst_exp_items,0))="","❔ Без категории",INDEX(lst_exp_item_cat,MATCH(E1952,lst_exp_items,0))),"❔ Без категории"))</f>
        <v/>
      </c>
      <c r="G1952" s="43" t="n"/>
      <c r="H1952" s="56" t="n"/>
      <c r="I1952" s="43" t="n"/>
      <c r="J1952" s="57">
        <f>IF(OR(A1952="",H1952=""),"",IF(COUNTIFS(exp_year,C1952,exp_month,D1952,exp_item,E1952,exp_status,"&lt;&gt;❌ Отменено")&gt;0,1,0))</f>
        <v/>
      </c>
    </row>
    <row r="1953">
      <c r="A1953" s="52" t="n"/>
      <c r="B1953" s="53">
        <f>IF(A1953="","",CHOOSE(WEEKDAY(A1953,2),"Пн","Вт","Ср","Чт","Пт","Сб","Вс"))</f>
        <v/>
      </c>
      <c r="C1953" s="53">
        <f>IF(A1953="","",YEAR(A1953))</f>
        <v/>
      </c>
      <c r="D1953" s="54">
        <f>IF(A1953="","",INDEX(lst_months,MONTH(A1953)))</f>
        <v/>
      </c>
      <c r="E1953" s="55" t="n"/>
      <c r="F1953" s="54">
        <f>IF(E1953="","",IFERROR(IF(INDEX(lst_exp_item_cat,MATCH(E1953,lst_exp_items,0))="","❔ Без категории",INDEX(lst_exp_item_cat,MATCH(E1953,lst_exp_items,0))),"❔ Без категории"))</f>
        <v/>
      </c>
      <c r="G1953" s="43" t="n"/>
      <c r="H1953" s="56" t="n"/>
      <c r="I1953" s="43" t="n"/>
      <c r="J1953" s="57">
        <f>IF(OR(A1953="",H1953=""),"",IF(COUNTIFS(exp_year,C1953,exp_month,D1953,exp_item,E1953,exp_status,"&lt;&gt;❌ Отменено")&gt;0,1,0))</f>
        <v/>
      </c>
    </row>
    <row r="1954">
      <c r="A1954" s="52" t="n"/>
      <c r="B1954" s="53">
        <f>IF(A1954="","",CHOOSE(WEEKDAY(A1954,2),"Пн","Вт","Ср","Чт","Пт","Сб","Вс"))</f>
        <v/>
      </c>
      <c r="C1954" s="53">
        <f>IF(A1954="","",YEAR(A1954))</f>
        <v/>
      </c>
      <c r="D1954" s="54">
        <f>IF(A1954="","",INDEX(lst_months,MONTH(A1954)))</f>
        <v/>
      </c>
      <c r="E1954" s="55" t="n"/>
      <c r="F1954" s="54">
        <f>IF(E1954="","",IFERROR(IF(INDEX(lst_exp_item_cat,MATCH(E1954,lst_exp_items,0))="","❔ Без категории",INDEX(lst_exp_item_cat,MATCH(E1954,lst_exp_items,0))),"❔ Без категории"))</f>
        <v/>
      </c>
      <c r="G1954" s="43" t="n"/>
      <c r="H1954" s="56" t="n"/>
      <c r="I1954" s="43" t="n"/>
      <c r="J1954" s="57">
        <f>IF(OR(A1954="",H1954=""),"",IF(COUNTIFS(exp_year,C1954,exp_month,D1954,exp_item,E1954,exp_status,"&lt;&gt;❌ Отменено")&gt;0,1,0))</f>
        <v/>
      </c>
    </row>
    <row r="1955">
      <c r="A1955" s="52" t="n"/>
      <c r="B1955" s="53">
        <f>IF(A1955="","",CHOOSE(WEEKDAY(A1955,2),"Пн","Вт","Ср","Чт","Пт","Сб","Вс"))</f>
        <v/>
      </c>
      <c r="C1955" s="53">
        <f>IF(A1955="","",YEAR(A1955))</f>
        <v/>
      </c>
      <c r="D1955" s="54">
        <f>IF(A1955="","",INDEX(lst_months,MONTH(A1955)))</f>
        <v/>
      </c>
      <c r="E1955" s="55" t="n"/>
      <c r="F1955" s="54">
        <f>IF(E1955="","",IFERROR(IF(INDEX(lst_exp_item_cat,MATCH(E1955,lst_exp_items,0))="","❔ Без категории",INDEX(lst_exp_item_cat,MATCH(E1955,lst_exp_items,0))),"❔ Без категории"))</f>
        <v/>
      </c>
      <c r="G1955" s="43" t="n"/>
      <c r="H1955" s="56" t="n"/>
      <c r="I1955" s="43" t="n"/>
      <c r="J1955" s="57">
        <f>IF(OR(A1955="",H1955=""),"",IF(COUNTIFS(exp_year,C1955,exp_month,D1955,exp_item,E1955,exp_status,"&lt;&gt;❌ Отменено")&gt;0,1,0))</f>
        <v/>
      </c>
    </row>
    <row r="1956">
      <c r="A1956" s="52" t="n"/>
      <c r="B1956" s="53">
        <f>IF(A1956="","",CHOOSE(WEEKDAY(A1956,2),"Пн","Вт","Ср","Чт","Пт","Сб","Вс"))</f>
        <v/>
      </c>
      <c r="C1956" s="53">
        <f>IF(A1956="","",YEAR(A1956))</f>
        <v/>
      </c>
      <c r="D1956" s="54">
        <f>IF(A1956="","",INDEX(lst_months,MONTH(A1956)))</f>
        <v/>
      </c>
      <c r="E1956" s="55" t="n"/>
      <c r="F1956" s="54">
        <f>IF(E1956="","",IFERROR(IF(INDEX(lst_exp_item_cat,MATCH(E1956,lst_exp_items,0))="","❔ Без категории",INDEX(lst_exp_item_cat,MATCH(E1956,lst_exp_items,0))),"❔ Без категории"))</f>
        <v/>
      </c>
      <c r="G1956" s="43" t="n"/>
      <c r="H1956" s="56" t="n"/>
      <c r="I1956" s="43" t="n"/>
      <c r="J1956" s="57">
        <f>IF(OR(A1956="",H1956=""),"",IF(COUNTIFS(exp_year,C1956,exp_month,D1956,exp_item,E1956,exp_status,"&lt;&gt;❌ Отменено")&gt;0,1,0))</f>
        <v/>
      </c>
    </row>
    <row r="1957">
      <c r="A1957" s="52" t="n"/>
      <c r="B1957" s="53">
        <f>IF(A1957="","",CHOOSE(WEEKDAY(A1957,2),"Пн","Вт","Ср","Чт","Пт","Сб","Вс"))</f>
        <v/>
      </c>
      <c r="C1957" s="53">
        <f>IF(A1957="","",YEAR(A1957))</f>
        <v/>
      </c>
      <c r="D1957" s="54">
        <f>IF(A1957="","",INDEX(lst_months,MONTH(A1957)))</f>
        <v/>
      </c>
      <c r="E1957" s="55" t="n"/>
      <c r="F1957" s="54">
        <f>IF(E1957="","",IFERROR(IF(INDEX(lst_exp_item_cat,MATCH(E1957,lst_exp_items,0))="","❔ Без категории",INDEX(lst_exp_item_cat,MATCH(E1957,lst_exp_items,0))),"❔ Без категории"))</f>
        <v/>
      </c>
      <c r="G1957" s="43" t="n"/>
      <c r="H1957" s="56" t="n"/>
      <c r="I1957" s="43" t="n"/>
      <c r="J1957" s="57">
        <f>IF(OR(A1957="",H1957=""),"",IF(COUNTIFS(exp_year,C1957,exp_month,D1957,exp_item,E1957,exp_status,"&lt;&gt;❌ Отменено")&gt;0,1,0))</f>
        <v/>
      </c>
    </row>
    <row r="1958">
      <c r="A1958" s="52" t="n"/>
      <c r="B1958" s="53">
        <f>IF(A1958="","",CHOOSE(WEEKDAY(A1958,2),"Пн","Вт","Ср","Чт","Пт","Сб","Вс"))</f>
        <v/>
      </c>
      <c r="C1958" s="53">
        <f>IF(A1958="","",YEAR(A1958))</f>
        <v/>
      </c>
      <c r="D1958" s="54">
        <f>IF(A1958="","",INDEX(lst_months,MONTH(A1958)))</f>
        <v/>
      </c>
      <c r="E1958" s="55" t="n"/>
      <c r="F1958" s="54">
        <f>IF(E1958="","",IFERROR(IF(INDEX(lst_exp_item_cat,MATCH(E1958,lst_exp_items,0))="","❔ Без категории",INDEX(lst_exp_item_cat,MATCH(E1958,lst_exp_items,0))),"❔ Без категории"))</f>
        <v/>
      </c>
      <c r="G1958" s="43" t="n"/>
      <c r="H1958" s="56" t="n"/>
      <c r="I1958" s="43" t="n"/>
      <c r="J1958" s="57">
        <f>IF(OR(A1958="",H1958=""),"",IF(COUNTIFS(exp_year,C1958,exp_month,D1958,exp_item,E1958,exp_status,"&lt;&gt;❌ Отменено")&gt;0,1,0))</f>
        <v/>
      </c>
    </row>
    <row r="1959">
      <c r="A1959" s="52" t="n"/>
      <c r="B1959" s="53">
        <f>IF(A1959="","",CHOOSE(WEEKDAY(A1959,2),"Пн","Вт","Ср","Чт","Пт","Сб","Вс"))</f>
        <v/>
      </c>
      <c r="C1959" s="53">
        <f>IF(A1959="","",YEAR(A1959))</f>
        <v/>
      </c>
      <c r="D1959" s="54">
        <f>IF(A1959="","",INDEX(lst_months,MONTH(A1959)))</f>
        <v/>
      </c>
      <c r="E1959" s="55" t="n"/>
      <c r="F1959" s="54">
        <f>IF(E1959="","",IFERROR(IF(INDEX(lst_exp_item_cat,MATCH(E1959,lst_exp_items,0))="","❔ Без категории",INDEX(lst_exp_item_cat,MATCH(E1959,lst_exp_items,0))),"❔ Без категории"))</f>
        <v/>
      </c>
      <c r="G1959" s="43" t="n"/>
      <c r="H1959" s="56" t="n"/>
      <c r="I1959" s="43" t="n"/>
      <c r="J1959" s="57">
        <f>IF(OR(A1959="",H1959=""),"",IF(COUNTIFS(exp_year,C1959,exp_month,D1959,exp_item,E1959,exp_status,"&lt;&gt;❌ Отменено")&gt;0,1,0))</f>
        <v/>
      </c>
    </row>
    <row r="1960">
      <c r="A1960" s="52" t="n"/>
      <c r="B1960" s="53">
        <f>IF(A1960="","",CHOOSE(WEEKDAY(A1960,2),"Пн","Вт","Ср","Чт","Пт","Сб","Вс"))</f>
        <v/>
      </c>
      <c r="C1960" s="53">
        <f>IF(A1960="","",YEAR(A1960))</f>
        <v/>
      </c>
      <c r="D1960" s="54">
        <f>IF(A1960="","",INDEX(lst_months,MONTH(A1960)))</f>
        <v/>
      </c>
      <c r="E1960" s="55" t="n"/>
      <c r="F1960" s="54">
        <f>IF(E1960="","",IFERROR(IF(INDEX(lst_exp_item_cat,MATCH(E1960,lst_exp_items,0))="","❔ Без категории",INDEX(lst_exp_item_cat,MATCH(E1960,lst_exp_items,0))),"❔ Без категории"))</f>
        <v/>
      </c>
      <c r="G1960" s="43" t="n"/>
      <c r="H1960" s="56" t="n"/>
      <c r="I1960" s="43" t="n"/>
      <c r="J1960" s="57">
        <f>IF(OR(A1960="",H1960=""),"",IF(COUNTIFS(exp_year,C1960,exp_month,D1960,exp_item,E1960,exp_status,"&lt;&gt;❌ Отменено")&gt;0,1,0))</f>
        <v/>
      </c>
    </row>
    <row r="1961">
      <c r="A1961" s="52" t="n"/>
      <c r="B1961" s="53">
        <f>IF(A1961="","",CHOOSE(WEEKDAY(A1961,2),"Пн","Вт","Ср","Чт","Пт","Сб","Вс"))</f>
        <v/>
      </c>
      <c r="C1961" s="53">
        <f>IF(A1961="","",YEAR(A1961))</f>
        <v/>
      </c>
      <c r="D1961" s="54">
        <f>IF(A1961="","",INDEX(lst_months,MONTH(A1961)))</f>
        <v/>
      </c>
      <c r="E1961" s="55" t="n"/>
      <c r="F1961" s="54">
        <f>IF(E1961="","",IFERROR(IF(INDEX(lst_exp_item_cat,MATCH(E1961,lst_exp_items,0))="","❔ Без категории",INDEX(lst_exp_item_cat,MATCH(E1961,lst_exp_items,0))),"❔ Без категории"))</f>
        <v/>
      </c>
      <c r="G1961" s="43" t="n"/>
      <c r="H1961" s="56" t="n"/>
      <c r="I1961" s="43" t="n"/>
      <c r="J1961" s="57">
        <f>IF(OR(A1961="",H1961=""),"",IF(COUNTIFS(exp_year,C1961,exp_month,D1961,exp_item,E1961,exp_status,"&lt;&gt;❌ Отменено")&gt;0,1,0))</f>
        <v/>
      </c>
    </row>
    <row r="1962">
      <c r="A1962" s="52" t="n"/>
      <c r="B1962" s="53">
        <f>IF(A1962="","",CHOOSE(WEEKDAY(A1962,2),"Пн","Вт","Ср","Чт","Пт","Сб","Вс"))</f>
        <v/>
      </c>
      <c r="C1962" s="53">
        <f>IF(A1962="","",YEAR(A1962))</f>
        <v/>
      </c>
      <c r="D1962" s="54">
        <f>IF(A1962="","",INDEX(lst_months,MONTH(A1962)))</f>
        <v/>
      </c>
      <c r="E1962" s="55" t="n"/>
      <c r="F1962" s="54">
        <f>IF(E1962="","",IFERROR(IF(INDEX(lst_exp_item_cat,MATCH(E1962,lst_exp_items,0))="","❔ Без категории",INDEX(lst_exp_item_cat,MATCH(E1962,lst_exp_items,0))),"❔ Без категории"))</f>
        <v/>
      </c>
      <c r="G1962" s="43" t="n"/>
      <c r="H1962" s="56" t="n"/>
      <c r="I1962" s="43" t="n"/>
      <c r="J1962" s="57">
        <f>IF(OR(A1962="",H1962=""),"",IF(COUNTIFS(exp_year,C1962,exp_month,D1962,exp_item,E1962,exp_status,"&lt;&gt;❌ Отменено")&gt;0,1,0))</f>
        <v/>
      </c>
    </row>
    <row r="1963">
      <c r="A1963" s="52" t="n"/>
      <c r="B1963" s="53">
        <f>IF(A1963="","",CHOOSE(WEEKDAY(A1963,2),"Пн","Вт","Ср","Чт","Пт","Сб","Вс"))</f>
        <v/>
      </c>
      <c r="C1963" s="53">
        <f>IF(A1963="","",YEAR(A1963))</f>
        <v/>
      </c>
      <c r="D1963" s="54">
        <f>IF(A1963="","",INDEX(lst_months,MONTH(A1963)))</f>
        <v/>
      </c>
      <c r="E1963" s="55" t="n"/>
      <c r="F1963" s="54">
        <f>IF(E1963="","",IFERROR(IF(INDEX(lst_exp_item_cat,MATCH(E1963,lst_exp_items,0))="","❔ Без категории",INDEX(lst_exp_item_cat,MATCH(E1963,lst_exp_items,0))),"❔ Без категории"))</f>
        <v/>
      </c>
      <c r="G1963" s="43" t="n"/>
      <c r="H1963" s="56" t="n"/>
      <c r="I1963" s="43" t="n"/>
      <c r="J1963" s="57">
        <f>IF(OR(A1963="",H1963=""),"",IF(COUNTIFS(exp_year,C1963,exp_month,D1963,exp_item,E1963,exp_status,"&lt;&gt;❌ Отменено")&gt;0,1,0))</f>
        <v/>
      </c>
    </row>
    <row r="1964">
      <c r="A1964" s="52" t="n"/>
      <c r="B1964" s="53">
        <f>IF(A1964="","",CHOOSE(WEEKDAY(A1964,2),"Пн","Вт","Ср","Чт","Пт","Сб","Вс"))</f>
        <v/>
      </c>
      <c r="C1964" s="53">
        <f>IF(A1964="","",YEAR(A1964))</f>
        <v/>
      </c>
      <c r="D1964" s="54">
        <f>IF(A1964="","",INDEX(lst_months,MONTH(A1964)))</f>
        <v/>
      </c>
      <c r="E1964" s="55" t="n"/>
      <c r="F1964" s="54">
        <f>IF(E1964="","",IFERROR(IF(INDEX(lst_exp_item_cat,MATCH(E1964,lst_exp_items,0))="","❔ Без категории",INDEX(lst_exp_item_cat,MATCH(E1964,lst_exp_items,0))),"❔ Без категории"))</f>
        <v/>
      </c>
      <c r="G1964" s="43" t="n"/>
      <c r="H1964" s="56" t="n"/>
      <c r="I1964" s="43" t="n"/>
      <c r="J1964" s="57">
        <f>IF(OR(A1964="",H1964=""),"",IF(COUNTIFS(exp_year,C1964,exp_month,D1964,exp_item,E1964,exp_status,"&lt;&gt;❌ Отменено")&gt;0,1,0))</f>
        <v/>
      </c>
    </row>
    <row r="1965">
      <c r="A1965" s="52" t="n"/>
      <c r="B1965" s="53">
        <f>IF(A1965="","",CHOOSE(WEEKDAY(A1965,2),"Пн","Вт","Ср","Чт","Пт","Сб","Вс"))</f>
        <v/>
      </c>
      <c r="C1965" s="53">
        <f>IF(A1965="","",YEAR(A1965))</f>
        <v/>
      </c>
      <c r="D1965" s="54">
        <f>IF(A1965="","",INDEX(lst_months,MONTH(A1965)))</f>
        <v/>
      </c>
      <c r="E1965" s="55" t="n"/>
      <c r="F1965" s="54">
        <f>IF(E1965="","",IFERROR(IF(INDEX(lst_exp_item_cat,MATCH(E1965,lst_exp_items,0))="","❔ Без категории",INDEX(lst_exp_item_cat,MATCH(E1965,lst_exp_items,0))),"❔ Без категории"))</f>
        <v/>
      </c>
      <c r="G1965" s="43" t="n"/>
      <c r="H1965" s="56" t="n"/>
      <c r="I1965" s="43" t="n"/>
      <c r="J1965" s="57">
        <f>IF(OR(A1965="",H1965=""),"",IF(COUNTIFS(exp_year,C1965,exp_month,D1965,exp_item,E1965,exp_status,"&lt;&gt;❌ Отменено")&gt;0,1,0))</f>
        <v/>
      </c>
    </row>
    <row r="1966">
      <c r="A1966" s="52" t="n"/>
      <c r="B1966" s="53">
        <f>IF(A1966="","",CHOOSE(WEEKDAY(A1966,2),"Пн","Вт","Ср","Чт","Пт","Сб","Вс"))</f>
        <v/>
      </c>
      <c r="C1966" s="53">
        <f>IF(A1966="","",YEAR(A1966))</f>
        <v/>
      </c>
      <c r="D1966" s="54">
        <f>IF(A1966="","",INDEX(lst_months,MONTH(A1966)))</f>
        <v/>
      </c>
      <c r="E1966" s="55" t="n"/>
      <c r="F1966" s="54">
        <f>IF(E1966="","",IFERROR(IF(INDEX(lst_exp_item_cat,MATCH(E1966,lst_exp_items,0))="","❔ Без категории",INDEX(lst_exp_item_cat,MATCH(E1966,lst_exp_items,0))),"❔ Без категории"))</f>
        <v/>
      </c>
      <c r="G1966" s="43" t="n"/>
      <c r="H1966" s="56" t="n"/>
      <c r="I1966" s="43" t="n"/>
      <c r="J1966" s="57">
        <f>IF(OR(A1966="",H1966=""),"",IF(COUNTIFS(exp_year,C1966,exp_month,D1966,exp_item,E1966,exp_status,"&lt;&gt;❌ Отменено")&gt;0,1,0))</f>
        <v/>
      </c>
    </row>
    <row r="1967">
      <c r="A1967" s="52" t="n"/>
      <c r="B1967" s="53">
        <f>IF(A1967="","",CHOOSE(WEEKDAY(A1967,2),"Пн","Вт","Ср","Чт","Пт","Сб","Вс"))</f>
        <v/>
      </c>
      <c r="C1967" s="53">
        <f>IF(A1967="","",YEAR(A1967))</f>
        <v/>
      </c>
      <c r="D1967" s="54">
        <f>IF(A1967="","",INDEX(lst_months,MONTH(A1967)))</f>
        <v/>
      </c>
      <c r="E1967" s="55" t="n"/>
      <c r="F1967" s="54">
        <f>IF(E1967="","",IFERROR(IF(INDEX(lst_exp_item_cat,MATCH(E1967,lst_exp_items,0))="","❔ Без категории",INDEX(lst_exp_item_cat,MATCH(E1967,lst_exp_items,0))),"❔ Без категории"))</f>
        <v/>
      </c>
      <c r="G1967" s="43" t="n"/>
      <c r="H1967" s="56" t="n"/>
      <c r="I1967" s="43" t="n"/>
      <c r="J1967" s="57">
        <f>IF(OR(A1967="",H1967=""),"",IF(COUNTIFS(exp_year,C1967,exp_month,D1967,exp_item,E1967,exp_status,"&lt;&gt;❌ Отменено")&gt;0,1,0))</f>
        <v/>
      </c>
    </row>
    <row r="1968">
      <c r="A1968" s="52" t="n"/>
      <c r="B1968" s="53">
        <f>IF(A1968="","",CHOOSE(WEEKDAY(A1968,2),"Пн","Вт","Ср","Чт","Пт","Сб","Вс"))</f>
        <v/>
      </c>
      <c r="C1968" s="53">
        <f>IF(A1968="","",YEAR(A1968))</f>
        <v/>
      </c>
      <c r="D1968" s="54">
        <f>IF(A1968="","",INDEX(lst_months,MONTH(A1968)))</f>
        <v/>
      </c>
      <c r="E1968" s="55" t="n"/>
      <c r="F1968" s="54">
        <f>IF(E1968="","",IFERROR(IF(INDEX(lst_exp_item_cat,MATCH(E1968,lst_exp_items,0))="","❔ Без категории",INDEX(lst_exp_item_cat,MATCH(E1968,lst_exp_items,0))),"❔ Без категории"))</f>
        <v/>
      </c>
      <c r="G1968" s="43" t="n"/>
      <c r="H1968" s="56" t="n"/>
      <c r="I1968" s="43" t="n"/>
      <c r="J1968" s="57">
        <f>IF(OR(A1968="",H1968=""),"",IF(COUNTIFS(exp_year,C1968,exp_month,D1968,exp_item,E1968,exp_status,"&lt;&gt;❌ Отменено")&gt;0,1,0))</f>
        <v/>
      </c>
    </row>
    <row r="1969">
      <c r="A1969" s="52" t="n"/>
      <c r="B1969" s="53">
        <f>IF(A1969="","",CHOOSE(WEEKDAY(A1969,2),"Пн","Вт","Ср","Чт","Пт","Сб","Вс"))</f>
        <v/>
      </c>
      <c r="C1969" s="53">
        <f>IF(A1969="","",YEAR(A1969))</f>
        <v/>
      </c>
      <c r="D1969" s="54">
        <f>IF(A1969="","",INDEX(lst_months,MONTH(A1969)))</f>
        <v/>
      </c>
      <c r="E1969" s="55" t="n"/>
      <c r="F1969" s="54">
        <f>IF(E1969="","",IFERROR(IF(INDEX(lst_exp_item_cat,MATCH(E1969,lst_exp_items,0))="","❔ Без категории",INDEX(lst_exp_item_cat,MATCH(E1969,lst_exp_items,0))),"❔ Без категории"))</f>
        <v/>
      </c>
      <c r="G1969" s="43" t="n"/>
      <c r="H1969" s="56" t="n"/>
      <c r="I1969" s="43" t="n"/>
      <c r="J1969" s="57">
        <f>IF(OR(A1969="",H1969=""),"",IF(COUNTIFS(exp_year,C1969,exp_month,D1969,exp_item,E1969,exp_status,"&lt;&gt;❌ Отменено")&gt;0,1,0))</f>
        <v/>
      </c>
    </row>
    <row r="1970">
      <c r="A1970" s="52" t="n"/>
      <c r="B1970" s="53">
        <f>IF(A1970="","",CHOOSE(WEEKDAY(A1970,2),"Пн","Вт","Ср","Чт","Пт","Сб","Вс"))</f>
        <v/>
      </c>
      <c r="C1970" s="53">
        <f>IF(A1970="","",YEAR(A1970))</f>
        <v/>
      </c>
      <c r="D1970" s="54">
        <f>IF(A1970="","",INDEX(lst_months,MONTH(A1970)))</f>
        <v/>
      </c>
      <c r="E1970" s="55" t="n"/>
      <c r="F1970" s="54">
        <f>IF(E1970="","",IFERROR(IF(INDEX(lst_exp_item_cat,MATCH(E1970,lst_exp_items,0))="","❔ Без категории",INDEX(lst_exp_item_cat,MATCH(E1970,lst_exp_items,0))),"❔ Без категории"))</f>
        <v/>
      </c>
      <c r="G1970" s="43" t="n"/>
      <c r="H1970" s="56" t="n"/>
      <c r="I1970" s="43" t="n"/>
      <c r="J1970" s="57">
        <f>IF(OR(A1970="",H1970=""),"",IF(COUNTIFS(exp_year,C1970,exp_month,D1970,exp_item,E1970,exp_status,"&lt;&gt;❌ Отменено")&gt;0,1,0))</f>
        <v/>
      </c>
    </row>
    <row r="1971">
      <c r="A1971" s="52" t="n"/>
      <c r="B1971" s="53">
        <f>IF(A1971="","",CHOOSE(WEEKDAY(A1971,2),"Пн","Вт","Ср","Чт","Пт","Сб","Вс"))</f>
        <v/>
      </c>
      <c r="C1971" s="53">
        <f>IF(A1971="","",YEAR(A1971))</f>
        <v/>
      </c>
      <c r="D1971" s="54">
        <f>IF(A1971="","",INDEX(lst_months,MONTH(A1971)))</f>
        <v/>
      </c>
      <c r="E1971" s="55" t="n"/>
      <c r="F1971" s="54">
        <f>IF(E1971="","",IFERROR(IF(INDEX(lst_exp_item_cat,MATCH(E1971,lst_exp_items,0))="","❔ Без категории",INDEX(lst_exp_item_cat,MATCH(E1971,lst_exp_items,0))),"❔ Без категории"))</f>
        <v/>
      </c>
      <c r="G1971" s="43" t="n"/>
      <c r="H1971" s="56" t="n"/>
      <c r="I1971" s="43" t="n"/>
      <c r="J1971" s="57">
        <f>IF(OR(A1971="",H1971=""),"",IF(COUNTIFS(exp_year,C1971,exp_month,D1971,exp_item,E1971,exp_status,"&lt;&gt;❌ Отменено")&gt;0,1,0))</f>
        <v/>
      </c>
    </row>
    <row r="1972">
      <c r="A1972" s="52" t="n"/>
      <c r="B1972" s="53">
        <f>IF(A1972="","",CHOOSE(WEEKDAY(A1972,2),"Пн","Вт","Ср","Чт","Пт","Сб","Вс"))</f>
        <v/>
      </c>
      <c r="C1972" s="53">
        <f>IF(A1972="","",YEAR(A1972))</f>
        <v/>
      </c>
      <c r="D1972" s="54">
        <f>IF(A1972="","",INDEX(lst_months,MONTH(A1972)))</f>
        <v/>
      </c>
      <c r="E1972" s="55" t="n"/>
      <c r="F1972" s="54">
        <f>IF(E1972="","",IFERROR(IF(INDEX(lst_exp_item_cat,MATCH(E1972,lst_exp_items,0))="","❔ Без категории",INDEX(lst_exp_item_cat,MATCH(E1972,lst_exp_items,0))),"❔ Без категории"))</f>
        <v/>
      </c>
      <c r="G1972" s="43" t="n"/>
      <c r="H1972" s="56" t="n"/>
      <c r="I1972" s="43" t="n"/>
      <c r="J1972" s="57">
        <f>IF(OR(A1972="",H1972=""),"",IF(COUNTIFS(exp_year,C1972,exp_month,D1972,exp_item,E1972,exp_status,"&lt;&gt;❌ Отменено")&gt;0,1,0))</f>
        <v/>
      </c>
    </row>
    <row r="1973">
      <c r="A1973" s="52" t="n"/>
      <c r="B1973" s="53">
        <f>IF(A1973="","",CHOOSE(WEEKDAY(A1973,2),"Пн","Вт","Ср","Чт","Пт","Сб","Вс"))</f>
        <v/>
      </c>
      <c r="C1973" s="53">
        <f>IF(A1973="","",YEAR(A1973))</f>
        <v/>
      </c>
      <c r="D1973" s="54">
        <f>IF(A1973="","",INDEX(lst_months,MONTH(A1973)))</f>
        <v/>
      </c>
      <c r="E1973" s="55" t="n"/>
      <c r="F1973" s="54">
        <f>IF(E1973="","",IFERROR(IF(INDEX(lst_exp_item_cat,MATCH(E1973,lst_exp_items,0))="","❔ Без категории",INDEX(lst_exp_item_cat,MATCH(E1973,lst_exp_items,0))),"❔ Без категории"))</f>
        <v/>
      </c>
      <c r="G1973" s="43" t="n"/>
      <c r="H1973" s="56" t="n"/>
      <c r="I1973" s="43" t="n"/>
      <c r="J1973" s="57">
        <f>IF(OR(A1973="",H1973=""),"",IF(COUNTIFS(exp_year,C1973,exp_month,D1973,exp_item,E1973,exp_status,"&lt;&gt;❌ Отменено")&gt;0,1,0))</f>
        <v/>
      </c>
    </row>
    <row r="1974">
      <c r="A1974" s="52" t="n"/>
      <c r="B1974" s="53">
        <f>IF(A1974="","",CHOOSE(WEEKDAY(A1974,2),"Пн","Вт","Ср","Чт","Пт","Сб","Вс"))</f>
        <v/>
      </c>
      <c r="C1974" s="53">
        <f>IF(A1974="","",YEAR(A1974))</f>
        <v/>
      </c>
      <c r="D1974" s="54">
        <f>IF(A1974="","",INDEX(lst_months,MONTH(A1974)))</f>
        <v/>
      </c>
      <c r="E1974" s="55" t="n"/>
      <c r="F1974" s="54">
        <f>IF(E1974="","",IFERROR(IF(INDEX(lst_exp_item_cat,MATCH(E1974,lst_exp_items,0))="","❔ Без категории",INDEX(lst_exp_item_cat,MATCH(E1974,lst_exp_items,0))),"❔ Без категории"))</f>
        <v/>
      </c>
      <c r="G1974" s="43" t="n"/>
      <c r="H1974" s="56" t="n"/>
      <c r="I1974" s="43" t="n"/>
      <c r="J1974" s="57">
        <f>IF(OR(A1974="",H1974=""),"",IF(COUNTIFS(exp_year,C1974,exp_month,D1974,exp_item,E1974,exp_status,"&lt;&gt;❌ Отменено")&gt;0,1,0))</f>
        <v/>
      </c>
    </row>
    <row r="1975">
      <c r="A1975" s="52" t="n"/>
      <c r="B1975" s="53">
        <f>IF(A1975="","",CHOOSE(WEEKDAY(A1975,2),"Пн","Вт","Ср","Чт","Пт","Сб","Вс"))</f>
        <v/>
      </c>
      <c r="C1975" s="53">
        <f>IF(A1975="","",YEAR(A1975))</f>
        <v/>
      </c>
      <c r="D1975" s="54">
        <f>IF(A1975="","",INDEX(lst_months,MONTH(A1975)))</f>
        <v/>
      </c>
      <c r="E1975" s="55" t="n"/>
      <c r="F1975" s="54">
        <f>IF(E1975="","",IFERROR(IF(INDEX(lst_exp_item_cat,MATCH(E1975,lst_exp_items,0))="","❔ Без категории",INDEX(lst_exp_item_cat,MATCH(E1975,lst_exp_items,0))),"❔ Без категории"))</f>
        <v/>
      </c>
      <c r="G1975" s="43" t="n"/>
      <c r="H1975" s="56" t="n"/>
      <c r="I1975" s="43" t="n"/>
      <c r="J1975" s="57">
        <f>IF(OR(A1975="",H1975=""),"",IF(COUNTIFS(exp_year,C1975,exp_month,D1975,exp_item,E1975,exp_status,"&lt;&gt;❌ Отменено")&gt;0,1,0))</f>
        <v/>
      </c>
    </row>
    <row r="1976">
      <c r="A1976" s="52" t="n"/>
      <c r="B1976" s="53">
        <f>IF(A1976="","",CHOOSE(WEEKDAY(A1976,2),"Пн","Вт","Ср","Чт","Пт","Сб","Вс"))</f>
        <v/>
      </c>
      <c r="C1976" s="53">
        <f>IF(A1976="","",YEAR(A1976))</f>
        <v/>
      </c>
      <c r="D1976" s="54">
        <f>IF(A1976="","",INDEX(lst_months,MONTH(A1976)))</f>
        <v/>
      </c>
      <c r="E1976" s="55" t="n"/>
      <c r="F1976" s="54">
        <f>IF(E1976="","",IFERROR(IF(INDEX(lst_exp_item_cat,MATCH(E1976,lst_exp_items,0))="","❔ Без категории",INDEX(lst_exp_item_cat,MATCH(E1976,lst_exp_items,0))),"❔ Без категории"))</f>
        <v/>
      </c>
      <c r="G1976" s="43" t="n"/>
      <c r="H1976" s="56" t="n"/>
      <c r="I1976" s="43" t="n"/>
      <c r="J1976" s="57">
        <f>IF(OR(A1976="",H1976=""),"",IF(COUNTIFS(exp_year,C1976,exp_month,D1976,exp_item,E1976,exp_status,"&lt;&gt;❌ Отменено")&gt;0,1,0))</f>
        <v/>
      </c>
    </row>
    <row r="1977">
      <c r="A1977" s="52" t="n"/>
      <c r="B1977" s="53">
        <f>IF(A1977="","",CHOOSE(WEEKDAY(A1977,2),"Пн","Вт","Ср","Чт","Пт","Сб","Вс"))</f>
        <v/>
      </c>
      <c r="C1977" s="53">
        <f>IF(A1977="","",YEAR(A1977))</f>
        <v/>
      </c>
      <c r="D1977" s="54">
        <f>IF(A1977="","",INDEX(lst_months,MONTH(A1977)))</f>
        <v/>
      </c>
      <c r="E1977" s="55" t="n"/>
      <c r="F1977" s="54">
        <f>IF(E1977="","",IFERROR(IF(INDEX(lst_exp_item_cat,MATCH(E1977,lst_exp_items,0))="","❔ Без категории",INDEX(lst_exp_item_cat,MATCH(E1977,lst_exp_items,0))),"❔ Без категории"))</f>
        <v/>
      </c>
      <c r="G1977" s="43" t="n"/>
      <c r="H1977" s="56" t="n"/>
      <c r="I1977" s="43" t="n"/>
      <c r="J1977" s="57">
        <f>IF(OR(A1977="",H1977=""),"",IF(COUNTIFS(exp_year,C1977,exp_month,D1977,exp_item,E1977,exp_status,"&lt;&gt;❌ Отменено")&gt;0,1,0))</f>
        <v/>
      </c>
    </row>
    <row r="1978">
      <c r="A1978" s="52" t="n"/>
      <c r="B1978" s="53">
        <f>IF(A1978="","",CHOOSE(WEEKDAY(A1978,2),"Пн","Вт","Ср","Чт","Пт","Сб","Вс"))</f>
        <v/>
      </c>
      <c r="C1978" s="53">
        <f>IF(A1978="","",YEAR(A1978))</f>
        <v/>
      </c>
      <c r="D1978" s="54">
        <f>IF(A1978="","",INDEX(lst_months,MONTH(A1978)))</f>
        <v/>
      </c>
      <c r="E1978" s="55" t="n"/>
      <c r="F1978" s="54">
        <f>IF(E1978="","",IFERROR(IF(INDEX(lst_exp_item_cat,MATCH(E1978,lst_exp_items,0))="","❔ Без категории",INDEX(lst_exp_item_cat,MATCH(E1978,lst_exp_items,0))),"❔ Без категории"))</f>
        <v/>
      </c>
      <c r="G1978" s="43" t="n"/>
      <c r="H1978" s="56" t="n"/>
      <c r="I1978" s="43" t="n"/>
      <c r="J1978" s="57">
        <f>IF(OR(A1978="",H1978=""),"",IF(COUNTIFS(exp_year,C1978,exp_month,D1978,exp_item,E1978,exp_status,"&lt;&gt;❌ Отменено")&gt;0,1,0))</f>
        <v/>
      </c>
    </row>
    <row r="1979">
      <c r="A1979" s="52" t="n"/>
      <c r="B1979" s="53">
        <f>IF(A1979="","",CHOOSE(WEEKDAY(A1979,2),"Пн","Вт","Ср","Чт","Пт","Сб","Вс"))</f>
        <v/>
      </c>
      <c r="C1979" s="53">
        <f>IF(A1979="","",YEAR(A1979))</f>
        <v/>
      </c>
      <c r="D1979" s="54">
        <f>IF(A1979="","",INDEX(lst_months,MONTH(A1979)))</f>
        <v/>
      </c>
      <c r="E1979" s="55" t="n"/>
      <c r="F1979" s="54">
        <f>IF(E1979="","",IFERROR(IF(INDEX(lst_exp_item_cat,MATCH(E1979,lst_exp_items,0))="","❔ Без категории",INDEX(lst_exp_item_cat,MATCH(E1979,lst_exp_items,0))),"❔ Без категории"))</f>
        <v/>
      </c>
      <c r="G1979" s="43" t="n"/>
      <c r="H1979" s="56" t="n"/>
      <c r="I1979" s="43" t="n"/>
      <c r="J1979" s="57">
        <f>IF(OR(A1979="",H1979=""),"",IF(COUNTIFS(exp_year,C1979,exp_month,D1979,exp_item,E1979,exp_status,"&lt;&gt;❌ Отменено")&gt;0,1,0))</f>
        <v/>
      </c>
    </row>
    <row r="1980">
      <c r="A1980" s="52" t="n"/>
      <c r="B1980" s="53">
        <f>IF(A1980="","",CHOOSE(WEEKDAY(A1980,2),"Пн","Вт","Ср","Чт","Пт","Сб","Вс"))</f>
        <v/>
      </c>
      <c r="C1980" s="53">
        <f>IF(A1980="","",YEAR(A1980))</f>
        <v/>
      </c>
      <c r="D1980" s="54">
        <f>IF(A1980="","",INDEX(lst_months,MONTH(A1980)))</f>
        <v/>
      </c>
      <c r="E1980" s="55" t="n"/>
      <c r="F1980" s="54">
        <f>IF(E1980="","",IFERROR(IF(INDEX(lst_exp_item_cat,MATCH(E1980,lst_exp_items,0))="","❔ Без категории",INDEX(lst_exp_item_cat,MATCH(E1980,lst_exp_items,0))),"❔ Без категории"))</f>
        <v/>
      </c>
      <c r="G1980" s="43" t="n"/>
      <c r="H1980" s="56" t="n"/>
      <c r="I1980" s="43" t="n"/>
      <c r="J1980" s="57">
        <f>IF(OR(A1980="",H1980=""),"",IF(COUNTIFS(exp_year,C1980,exp_month,D1980,exp_item,E1980,exp_status,"&lt;&gt;❌ Отменено")&gt;0,1,0))</f>
        <v/>
      </c>
    </row>
    <row r="1981">
      <c r="A1981" s="52" t="n"/>
      <c r="B1981" s="53">
        <f>IF(A1981="","",CHOOSE(WEEKDAY(A1981,2),"Пн","Вт","Ср","Чт","Пт","Сб","Вс"))</f>
        <v/>
      </c>
      <c r="C1981" s="53">
        <f>IF(A1981="","",YEAR(A1981))</f>
        <v/>
      </c>
      <c r="D1981" s="54">
        <f>IF(A1981="","",INDEX(lst_months,MONTH(A1981)))</f>
        <v/>
      </c>
      <c r="E1981" s="55" t="n"/>
      <c r="F1981" s="54">
        <f>IF(E1981="","",IFERROR(IF(INDEX(lst_exp_item_cat,MATCH(E1981,lst_exp_items,0))="","❔ Без категории",INDEX(lst_exp_item_cat,MATCH(E1981,lst_exp_items,0))),"❔ Без категории"))</f>
        <v/>
      </c>
      <c r="G1981" s="43" t="n"/>
      <c r="H1981" s="56" t="n"/>
      <c r="I1981" s="43" t="n"/>
      <c r="J1981" s="57">
        <f>IF(OR(A1981="",H1981=""),"",IF(COUNTIFS(exp_year,C1981,exp_month,D1981,exp_item,E1981,exp_status,"&lt;&gt;❌ Отменено")&gt;0,1,0))</f>
        <v/>
      </c>
    </row>
    <row r="1982">
      <c r="A1982" s="52" t="n"/>
      <c r="B1982" s="53">
        <f>IF(A1982="","",CHOOSE(WEEKDAY(A1982,2),"Пн","Вт","Ср","Чт","Пт","Сб","Вс"))</f>
        <v/>
      </c>
      <c r="C1982" s="53">
        <f>IF(A1982="","",YEAR(A1982))</f>
        <v/>
      </c>
      <c r="D1982" s="54">
        <f>IF(A1982="","",INDEX(lst_months,MONTH(A1982)))</f>
        <v/>
      </c>
      <c r="E1982" s="55" t="n"/>
      <c r="F1982" s="54">
        <f>IF(E1982="","",IFERROR(IF(INDEX(lst_exp_item_cat,MATCH(E1982,lst_exp_items,0))="","❔ Без категории",INDEX(lst_exp_item_cat,MATCH(E1982,lst_exp_items,0))),"❔ Без категории"))</f>
        <v/>
      </c>
      <c r="G1982" s="43" t="n"/>
      <c r="H1982" s="56" t="n"/>
      <c r="I1982" s="43" t="n"/>
      <c r="J1982" s="57">
        <f>IF(OR(A1982="",H1982=""),"",IF(COUNTIFS(exp_year,C1982,exp_month,D1982,exp_item,E1982,exp_status,"&lt;&gt;❌ Отменено")&gt;0,1,0))</f>
        <v/>
      </c>
    </row>
    <row r="1983">
      <c r="A1983" s="52" t="n"/>
      <c r="B1983" s="53">
        <f>IF(A1983="","",CHOOSE(WEEKDAY(A1983,2),"Пн","Вт","Ср","Чт","Пт","Сб","Вс"))</f>
        <v/>
      </c>
      <c r="C1983" s="53">
        <f>IF(A1983="","",YEAR(A1983))</f>
        <v/>
      </c>
      <c r="D1983" s="54">
        <f>IF(A1983="","",INDEX(lst_months,MONTH(A1983)))</f>
        <v/>
      </c>
      <c r="E1983" s="55" t="n"/>
      <c r="F1983" s="54">
        <f>IF(E1983="","",IFERROR(IF(INDEX(lst_exp_item_cat,MATCH(E1983,lst_exp_items,0))="","❔ Без категории",INDEX(lst_exp_item_cat,MATCH(E1983,lst_exp_items,0))),"❔ Без категории"))</f>
        <v/>
      </c>
      <c r="G1983" s="43" t="n"/>
      <c r="H1983" s="56" t="n"/>
      <c r="I1983" s="43" t="n"/>
      <c r="J1983" s="57">
        <f>IF(OR(A1983="",H1983=""),"",IF(COUNTIFS(exp_year,C1983,exp_month,D1983,exp_item,E1983,exp_status,"&lt;&gt;❌ Отменено")&gt;0,1,0))</f>
        <v/>
      </c>
    </row>
    <row r="1984">
      <c r="A1984" s="52" t="n"/>
      <c r="B1984" s="53">
        <f>IF(A1984="","",CHOOSE(WEEKDAY(A1984,2),"Пн","Вт","Ср","Чт","Пт","Сб","Вс"))</f>
        <v/>
      </c>
      <c r="C1984" s="53">
        <f>IF(A1984="","",YEAR(A1984))</f>
        <v/>
      </c>
      <c r="D1984" s="54">
        <f>IF(A1984="","",INDEX(lst_months,MONTH(A1984)))</f>
        <v/>
      </c>
      <c r="E1984" s="55" t="n"/>
      <c r="F1984" s="54">
        <f>IF(E1984="","",IFERROR(IF(INDEX(lst_exp_item_cat,MATCH(E1984,lst_exp_items,0))="","❔ Без категории",INDEX(lst_exp_item_cat,MATCH(E1984,lst_exp_items,0))),"❔ Без категории"))</f>
        <v/>
      </c>
      <c r="G1984" s="43" t="n"/>
      <c r="H1984" s="56" t="n"/>
      <c r="I1984" s="43" t="n"/>
      <c r="J1984" s="57">
        <f>IF(OR(A1984="",H1984=""),"",IF(COUNTIFS(exp_year,C1984,exp_month,D1984,exp_item,E1984,exp_status,"&lt;&gt;❌ Отменено")&gt;0,1,0))</f>
        <v/>
      </c>
    </row>
    <row r="1985">
      <c r="A1985" s="52" t="n"/>
      <c r="B1985" s="53">
        <f>IF(A1985="","",CHOOSE(WEEKDAY(A1985,2),"Пн","Вт","Ср","Чт","Пт","Сб","Вс"))</f>
        <v/>
      </c>
      <c r="C1985" s="53">
        <f>IF(A1985="","",YEAR(A1985))</f>
        <v/>
      </c>
      <c r="D1985" s="54">
        <f>IF(A1985="","",INDEX(lst_months,MONTH(A1985)))</f>
        <v/>
      </c>
      <c r="E1985" s="55" t="n"/>
      <c r="F1985" s="54">
        <f>IF(E1985="","",IFERROR(IF(INDEX(lst_exp_item_cat,MATCH(E1985,lst_exp_items,0))="","❔ Без категории",INDEX(lst_exp_item_cat,MATCH(E1985,lst_exp_items,0))),"❔ Без категории"))</f>
        <v/>
      </c>
      <c r="G1985" s="43" t="n"/>
      <c r="H1985" s="56" t="n"/>
      <c r="I1985" s="43" t="n"/>
      <c r="J1985" s="57">
        <f>IF(OR(A1985="",H1985=""),"",IF(COUNTIFS(exp_year,C1985,exp_month,D1985,exp_item,E1985,exp_status,"&lt;&gt;❌ Отменено")&gt;0,1,0))</f>
        <v/>
      </c>
    </row>
    <row r="1986">
      <c r="A1986" s="52" t="n"/>
      <c r="B1986" s="53">
        <f>IF(A1986="","",CHOOSE(WEEKDAY(A1986,2),"Пн","Вт","Ср","Чт","Пт","Сб","Вс"))</f>
        <v/>
      </c>
      <c r="C1986" s="53">
        <f>IF(A1986="","",YEAR(A1986))</f>
        <v/>
      </c>
      <c r="D1986" s="54">
        <f>IF(A1986="","",INDEX(lst_months,MONTH(A1986)))</f>
        <v/>
      </c>
      <c r="E1986" s="55" t="n"/>
      <c r="F1986" s="54">
        <f>IF(E1986="","",IFERROR(IF(INDEX(lst_exp_item_cat,MATCH(E1986,lst_exp_items,0))="","❔ Без категории",INDEX(lst_exp_item_cat,MATCH(E1986,lst_exp_items,0))),"❔ Без категории"))</f>
        <v/>
      </c>
      <c r="G1986" s="43" t="n"/>
      <c r="H1986" s="56" t="n"/>
      <c r="I1986" s="43" t="n"/>
      <c r="J1986" s="57">
        <f>IF(OR(A1986="",H1986=""),"",IF(COUNTIFS(exp_year,C1986,exp_month,D1986,exp_item,E1986,exp_status,"&lt;&gt;❌ Отменено")&gt;0,1,0))</f>
        <v/>
      </c>
    </row>
    <row r="1987">
      <c r="A1987" s="52" t="n"/>
      <c r="B1987" s="53">
        <f>IF(A1987="","",CHOOSE(WEEKDAY(A1987,2),"Пн","Вт","Ср","Чт","Пт","Сб","Вс"))</f>
        <v/>
      </c>
      <c r="C1987" s="53">
        <f>IF(A1987="","",YEAR(A1987))</f>
        <v/>
      </c>
      <c r="D1987" s="54">
        <f>IF(A1987="","",INDEX(lst_months,MONTH(A1987)))</f>
        <v/>
      </c>
      <c r="E1987" s="55" t="n"/>
      <c r="F1987" s="54">
        <f>IF(E1987="","",IFERROR(IF(INDEX(lst_exp_item_cat,MATCH(E1987,lst_exp_items,0))="","❔ Без категории",INDEX(lst_exp_item_cat,MATCH(E1987,lst_exp_items,0))),"❔ Без категории"))</f>
        <v/>
      </c>
      <c r="G1987" s="43" t="n"/>
      <c r="H1987" s="56" t="n"/>
      <c r="I1987" s="43" t="n"/>
      <c r="J1987" s="57">
        <f>IF(OR(A1987="",H1987=""),"",IF(COUNTIFS(exp_year,C1987,exp_month,D1987,exp_item,E1987,exp_status,"&lt;&gt;❌ Отменено")&gt;0,1,0))</f>
        <v/>
      </c>
    </row>
    <row r="1988">
      <c r="A1988" s="52" t="n"/>
      <c r="B1988" s="53">
        <f>IF(A1988="","",CHOOSE(WEEKDAY(A1988,2),"Пн","Вт","Ср","Чт","Пт","Сб","Вс"))</f>
        <v/>
      </c>
      <c r="C1988" s="53">
        <f>IF(A1988="","",YEAR(A1988))</f>
        <v/>
      </c>
      <c r="D1988" s="54">
        <f>IF(A1988="","",INDEX(lst_months,MONTH(A1988)))</f>
        <v/>
      </c>
      <c r="E1988" s="55" t="n"/>
      <c r="F1988" s="54">
        <f>IF(E1988="","",IFERROR(IF(INDEX(lst_exp_item_cat,MATCH(E1988,lst_exp_items,0))="","❔ Без категории",INDEX(lst_exp_item_cat,MATCH(E1988,lst_exp_items,0))),"❔ Без категории"))</f>
        <v/>
      </c>
      <c r="G1988" s="43" t="n"/>
      <c r="H1988" s="56" t="n"/>
      <c r="I1988" s="43" t="n"/>
      <c r="J1988" s="57">
        <f>IF(OR(A1988="",H1988=""),"",IF(COUNTIFS(exp_year,C1988,exp_month,D1988,exp_item,E1988,exp_status,"&lt;&gt;❌ Отменено")&gt;0,1,0))</f>
        <v/>
      </c>
    </row>
    <row r="1989">
      <c r="A1989" s="52" t="n"/>
      <c r="B1989" s="53">
        <f>IF(A1989="","",CHOOSE(WEEKDAY(A1989,2),"Пн","Вт","Ср","Чт","Пт","Сб","Вс"))</f>
        <v/>
      </c>
      <c r="C1989" s="53">
        <f>IF(A1989="","",YEAR(A1989))</f>
        <v/>
      </c>
      <c r="D1989" s="54">
        <f>IF(A1989="","",INDEX(lst_months,MONTH(A1989)))</f>
        <v/>
      </c>
      <c r="E1989" s="55" t="n"/>
      <c r="F1989" s="54">
        <f>IF(E1989="","",IFERROR(IF(INDEX(lst_exp_item_cat,MATCH(E1989,lst_exp_items,0))="","❔ Без категории",INDEX(lst_exp_item_cat,MATCH(E1989,lst_exp_items,0))),"❔ Без категории"))</f>
        <v/>
      </c>
      <c r="G1989" s="43" t="n"/>
      <c r="H1989" s="56" t="n"/>
      <c r="I1989" s="43" t="n"/>
      <c r="J1989" s="57">
        <f>IF(OR(A1989="",H1989=""),"",IF(COUNTIFS(exp_year,C1989,exp_month,D1989,exp_item,E1989,exp_status,"&lt;&gt;❌ Отменено")&gt;0,1,0))</f>
        <v/>
      </c>
    </row>
    <row r="1990">
      <c r="A1990" s="52" t="n"/>
      <c r="B1990" s="53">
        <f>IF(A1990="","",CHOOSE(WEEKDAY(A1990,2),"Пн","Вт","Ср","Чт","Пт","Сб","Вс"))</f>
        <v/>
      </c>
      <c r="C1990" s="53">
        <f>IF(A1990="","",YEAR(A1990))</f>
        <v/>
      </c>
      <c r="D1990" s="54">
        <f>IF(A1990="","",INDEX(lst_months,MONTH(A1990)))</f>
        <v/>
      </c>
      <c r="E1990" s="55" t="n"/>
      <c r="F1990" s="54">
        <f>IF(E1990="","",IFERROR(IF(INDEX(lst_exp_item_cat,MATCH(E1990,lst_exp_items,0))="","❔ Без категории",INDEX(lst_exp_item_cat,MATCH(E1990,lst_exp_items,0))),"❔ Без категории"))</f>
        <v/>
      </c>
      <c r="G1990" s="43" t="n"/>
      <c r="H1990" s="56" t="n"/>
      <c r="I1990" s="43" t="n"/>
      <c r="J1990" s="57">
        <f>IF(OR(A1990="",H1990=""),"",IF(COUNTIFS(exp_year,C1990,exp_month,D1990,exp_item,E1990,exp_status,"&lt;&gt;❌ Отменено")&gt;0,1,0))</f>
        <v/>
      </c>
    </row>
    <row r="1991">
      <c r="A1991" s="52" t="n"/>
      <c r="B1991" s="53">
        <f>IF(A1991="","",CHOOSE(WEEKDAY(A1991,2),"Пн","Вт","Ср","Чт","Пт","Сб","Вс"))</f>
        <v/>
      </c>
      <c r="C1991" s="53">
        <f>IF(A1991="","",YEAR(A1991))</f>
        <v/>
      </c>
      <c r="D1991" s="54">
        <f>IF(A1991="","",INDEX(lst_months,MONTH(A1991)))</f>
        <v/>
      </c>
      <c r="E1991" s="55" t="n"/>
      <c r="F1991" s="54">
        <f>IF(E1991="","",IFERROR(IF(INDEX(lst_exp_item_cat,MATCH(E1991,lst_exp_items,0))="","❔ Без категории",INDEX(lst_exp_item_cat,MATCH(E1991,lst_exp_items,0))),"❔ Без категории"))</f>
        <v/>
      </c>
      <c r="G1991" s="43" t="n"/>
      <c r="H1991" s="56" t="n"/>
      <c r="I1991" s="43" t="n"/>
      <c r="J1991" s="57">
        <f>IF(OR(A1991="",H1991=""),"",IF(COUNTIFS(exp_year,C1991,exp_month,D1991,exp_item,E1991,exp_status,"&lt;&gt;❌ Отменено")&gt;0,1,0))</f>
        <v/>
      </c>
    </row>
    <row r="1992">
      <c r="A1992" s="52" t="n"/>
      <c r="B1992" s="53">
        <f>IF(A1992="","",CHOOSE(WEEKDAY(A1992,2),"Пн","Вт","Ср","Чт","Пт","Сб","Вс"))</f>
        <v/>
      </c>
      <c r="C1992" s="53">
        <f>IF(A1992="","",YEAR(A1992))</f>
        <v/>
      </c>
      <c r="D1992" s="54">
        <f>IF(A1992="","",INDEX(lst_months,MONTH(A1992)))</f>
        <v/>
      </c>
      <c r="E1992" s="55" t="n"/>
      <c r="F1992" s="54">
        <f>IF(E1992="","",IFERROR(IF(INDEX(lst_exp_item_cat,MATCH(E1992,lst_exp_items,0))="","❔ Без категории",INDEX(lst_exp_item_cat,MATCH(E1992,lst_exp_items,0))),"❔ Без категории"))</f>
        <v/>
      </c>
      <c r="G1992" s="43" t="n"/>
      <c r="H1992" s="56" t="n"/>
      <c r="I1992" s="43" t="n"/>
      <c r="J1992" s="57">
        <f>IF(OR(A1992="",H1992=""),"",IF(COUNTIFS(exp_year,C1992,exp_month,D1992,exp_item,E1992,exp_status,"&lt;&gt;❌ Отменено")&gt;0,1,0))</f>
        <v/>
      </c>
    </row>
    <row r="1993">
      <c r="A1993" s="52" t="n"/>
      <c r="B1993" s="53">
        <f>IF(A1993="","",CHOOSE(WEEKDAY(A1993,2),"Пн","Вт","Ср","Чт","Пт","Сб","Вс"))</f>
        <v/>
      </c>
      <c r="C1993" s="53">
        <f>IF(A1993="","",YEAR(A1993))</f>
        <v/>
      </c>
      <c r="D1993" s="54">
        <f>IF(A1993="","",INDEX(lst_months,MONTH(A1993)))</f>
        <v/>
      </c>
      <c r="E1993" s="55" t="n"/>
      <c r="F1993" s="54">
        <f>IF(E1993="","",IFERROR(IF(INDEX(lst_exp_item_cat,MATCH(E1993,lst_exp_items,0))="","❔ Без категории",INDEX(lst_exp_item_cat,MATCH(E1993,lst_exp_items,0))),"❔ Без категории"))</f>
        <v/>
      </c>
      <c r="G1993" s="43" t="n"/>
      <c r="H1993" s="56" t="n"/>
      <c r="I1993" s="43" t="n"/>
      <c r="J1993" s="57">
        <f>IF(OR(A1993="",H1993=""),"",IF(COUNTIFS(exp_year,C1993,exp_month,D1993,exp_item,E1993,exp_status,"&lt;&gt;❌ Отменено")&gt;0,1,0))</f>
        <v/>
      </c>
    </row>
    <row r="1994">
      <c r="A1994" s="52" t="n"/>
      <c r="B1994" s="53">
        <f>IF(A1994="","",CHOOSE(WEEKDAY(A1994,2),"Пн","Вт","Ср","Чт","Пт","Сб","Вс"))</f>
        <v/>
      </c>
      <c r="C1994" s="53">
        <f>IF(A1994="","",YEAR(A1994))</f>
        <v/>
      </c>
      <c r="D1994" s="54">
        <f>IF(A1994="","",INDEX(lst_months,MONTH(A1994)))</f>
        <v/>
      </c>
      <c r="E1994" s="55" t="n"/>
      <c r="F1994" s="54">
        <f>IF(E1994="","",IFERROR(IF(INDEX(lst_exp_item_cat,MATCH(E1994,lst_exp_items,0))="","❔ Без категории",INDEX(lst_exp_item_cat,MATCH(E1994,lst_exp_items,0))),"❔ Без категории"))</f>
        <v/>
      </c>
      <c r="G1994" s="43" t="n"/>
      <c r="H1994" s="56" t="n"/>
      <c r="I1994" s="43" t="n"/>
      <c r="J1994" s="57">
        <f>IF(OR(A1994="",H1994=""),"",IF(COUNTIFS(exp_year,C1994,exp_month,D1994,exp_item,E1994,exp_status,"&lt;&gt;❌ Отменено")&gt;0,1,0))</f>
        <v/>
      </c>
    </row>
    <row r="1995">
      <c r="A1995" s="52" t="n"/>
      <c r="B1995" s="53">
        <f>IF(A1995="","",CHOOSE(WEEKDAY(A1995,2),"Пн","Вт","Ср","Чт","Пт","Сб","Вс"))</f>
        <v/>
      </c>
      <c r="C1995" s="53">
        <f>IF(A1995="","",YEAR(A1995))</f>
        <v/>
      </c>
      <c r="D1995" s="54">
        <f>IF(A1995="","",INDEX(lst_months,MONTH(A1995)))</f>
        <v/>
      </c>
      <c r="E1995" s="55" t="n"/>
      <c r="F1995" s="54">
        <f>IF(E1995="","",IFERROR(IF(INDEX(lst_exp_item_cat,MATCH(E1995,lst_exp_items,0))="","❔ Без категории",INDEX(lst_exp_item_cat,MATCH(E1995,lst_exp_items,0))),"❔ Без категории"))</f>
        <v/>
      </c>
      <c r="G1995" s="43" t="n"/>
      <c r="H1995" s="56" t="n"/>
      <c r="I1995" s="43" t="n"/>
      <c r="J1995" s="57">
        <f>IF(OR(A1995="",H1995=""),"",IF(COUNTIFS(exp_year,C1995,exp_month,D1995,exp_item,E1995,exp_status,"&lt;&gt;❌ Отменено")&gt;0,1,0))</f>
        <v/>
      </c>
    </row>
    <row r="1996">
      <c r="A1996" s="52" t="n"/>
      <c r="B1996" s="53">
        <f>IF(A1996="","",CHOOSE(WEEKDAY(A1996,2),"Пн","Вт","Ср","Чт","Пт","Сб","Вс"))</f>
        <v/>
      </c>
      <c r="C1996" s="53">
        <f>IF(A1996="","",YEAR(A1996))</f>
        <v/>
      </c>
      <c r="D1996" s="54">
        <f>IF(A1996="","",INDEX(lst_months,MONTH(A1996)))</f>
        <v/>
      </c>
      <c r="E1996" s="55" t="n"/>
      <c r="F1996" s="54">
        <f>IF(E1996="","",IFERROR(IF(INDEX(lst_exp_item_cat,MATCH(E1996,lst_exp_items,0))="","❔ Без категории",INDEX(lst_exp_item_cat,MATCH(E1996,lst_exp_items,0))),"❔ Без категории"))</f>
        <v/>
      </c>
      <c r="G1996" s="43" t="n"/>
      <c r="H1996" s="56" t="n"/>
      <c r="I1996" s="43" t="n"/>
      <c r="J1996" s="57">
        <f>IF(OR(A1996="",H1996=""),"",IF(COUNTIFS(exp_year,C1996,exp_month,D1996,exp_item,E1996,exp_status,"&lt;&gt;❌ Отменено")&gt;0,1,0))</f>
        <v/>
      </c>
    </row>
    <row r="1997">
      <c r="A1997" s="52" t="n"/>
      <c r="B1997" s="53">
        <f>IF(A1997="","",CHOOSE(WEEKDAY(A1997,2),"Пн","Вт","Ср","Чт","Пт","Сб","Вс"))</f>
        <v/>
      </c>
      <c r="C1997" s="53">
        <f>IF(A1997="","",YEAR(A1997))</f>
        <v/>
      </c>
      <c r="D1997" s="54">
        <f>IF(A1997="","",INDEX(lst_months,MONTH(A1997)))</f>
        <v/>
      </c>
      <c r="E1997" s="55" t="n"/>
      <c r="F1997" s="54">
        <f>IF(E1997="","",IFERROR(IF(INDEX(lst_exp_item_cat,MATCH(E1997,lst_exp_items,0))="","❔ Без категории",INDEX(lst_exp_item_cat,MATCH(E1997,lst_exp_items,0))),"❔ Без категории"))</f>
        <v/>
      </c>
      <c r="G1997" s="43" t="n"/>
      <c r="H1997" s="56" t="n"/>
      <c r="I1997" s="43" t="n"/>
      <c r="J1997" s="57">
        <f>IF(OR(A1997="",H1997=""),"",IF(COUNTIFS(exp_year,C1997,exp_month,D1997,exp_item,E1997,exp_status,"&lt;&gt;❌ Отменено")&gt;0,1,0))</f>
        <v/>
      </c>
    </row>
    <row r="1998">
      <c r="A1998" s="52" t="n"/>
      <c r="B1998" s="53">
        <f>IF(A1998="","",CHOOSE(WEEKDAY(A1998,2),"Пн","Вт","Ср","Чт","Пт","Сб","Вс"))</f>
        <v/>
      </c>
      <c r="C1998" s="53">
        <f>IF(A1998="","",YEAR(A1998))</f>
        <v/>
      </c>
      <c r="D1998" s="54">
        <f>IF(A1998="","",INDEX(lst_months,MONTH(A1998)))</f>
        <v/>
      </c>
      <c r="E1998" s="55" t="n"/>
      <c r="F1998" s="54">
        <f>IF(E1998="","",IFERROR(IF(INDEX(lst_exp_item_cat,MATCH(E1998,lst_exp_items,0))="","❔ Без категории",INDEX(lst_exp_item_cat,MATCH(E1998,lst_exp_items,0))),"❔ Без категории"))</f>
        <v/>
      </c>
      <c r="G1998" s="43" t="n"/>
      <c r="H1998" s="56" t="n"/>
      <c r="I1998" s="43" t="n"/>
      <c r="J1998" s="57">
        <f>IF(OR(A1998="",H1998=""),"",IF(COUNTIFS(exp_year,C1998,exp_month,D1998,exp_item,E1998,exp_status,"&lt;&gt;❌ Отменено")&gt;0,1,0))</f>
        <v/>
      </c>
    </row>
    <row r="1999">
      <c r="A1999" s="52" t="n"/>
      <c r="B1999" s="53">
        <f>IF(A1999="","",CHOOSE(WEEKDAY(A1999,2),"Пн","Вт","Ср","Чт","Пт","Сб","Вс"))</f>
        <v/>
      </c>
      <c r="C1999" s="53">
        <f>IF(A1999="","",YEAR(A1999))</f>
        <v/>
      </c>
      <c r="D1999" s="54">
        <f>IF(A1999="","",INDEX(lst_months,MONTH(A1999)))</f>
        <v/>
      </c>
      <c r="E1999" s="55" t="n"/>
      <c r="F1999" s="54">
        <f>IF(E1999="","",IFERROR(IF(INDEX(lst_exp_item_cat,MATCH(E1999,lst_exp_items,0))="","❔ Без категории",INDEX(lst_exp_item_cat,MATCH(E1999,lst_exp_items,0))),"❔ Без категории"))</f>
        <v/>
      </c>
      <c r="G1999" s="43" t="n"/>
      <c r="H1999" s="56" t="n"/>
      <c r="I1999" s="43" t="n"/>
      <c r="J1999" s="57">
        <f>IF(OR(A1999="",H1999=""),"",IF(COUNTIFS(exp_year,C1999,exp_month,D1999,exp_item,E1999,exp_status,"&lt;&gt;❌ Отменено")&gt;0,1,0))</f>
        <v/>
      </c>
    </row>
    <row r="2000">
      <c r="A2000" s="52" t="n"/>
      <c r="B2000" s="53">
        <f>IF(A2000="","",CHOOSE(WEEKDAY(A2000,2),"Пн","Вт","Ср","Чт","Пт","Сб","Вс"))</f>
        <v/>
      </c>
      <c r="C2000" s="53">
        <f>IF(A2000="","",YEAR(A2000))</f>
        <v/>
      </c>
      <c r="D2000" s="54">
        <f>IF(A2000="","",INDEX(lst_months,MONTH(A2000)))</f>
        <v/>
      </c>
      <c r="E2000" s="55" t="n"/>
      <c r="F2000" s="54">
        <f>IF(E2000="","",IFERROR(IF(INDEX(lst_exp_item_cat,MATCH(E2000,lst_exp_items,0))="","❔ Без категории",INDEX(lst_exp_item_cat,MATCH(E2000,lst_exp_items,0))),"❔ Без категории"))</f>
        <v/>
      </c>
      <c r="G2000" s="43" t="n"/>
      <c r="H2000" s="56" t="n"/>
      <c r="I2000" s="43" t="n"/>
      <c r="J2000" s="57">
        <f>IF(OR(A2000="",H2000=""),"",IF(COUNTIFS(exp_year,C2000,exp_month,D2000,exp_item,E2000,exp_status,"&lt;&gt;❌ Отменено")&gt;0,1,0))</f>
        <v/>
      </c>
    </row>
    <row r="2001">
      <c r="A2001" s="52" t="n"/>
      <c r="B2001" s="53">
        <f>IF(A2001="","",CHOOSE(WEEKDAY(A2001,2),"Пн","Вт","Ср","Чт","Пт","Сб","Вс"))</f>
        <v/>
      </c>
      <c r="C2001" s="53">
        <f>IF(A2001="","",YEAR(A2001))</f>
        <v/>
      </c>
      <c r="D2001" s="54">
        <f>IF(A2001="","",INDEX(lst_months,MONTH(A2001)))</f>
        <v/>
      </c>
      <c r="E2001" s="55" t="n"/>
      <c r="F2001" s="54">
        <f>IF(E2001="","",IFERROR(IF(INDEX(lst_exp_item_cat,MATCH(E2001,lst_exp_items,0))="","❔ Без категории",INDEX(lst_exp_item_cat,MATCH(E2001,lst_exp_items,0))),"❔ Без категории"))</f>
        <v/>
      </c>
      <c r="G2001" s="43" t="n"/>
      <c r="H2001" s="56" t="n"/>
      <c r="I2001" s="43" t="n"/>
      <c r="J2001" s="57">
        <f>IF(OR(A2001="",H2001=""),"",IF(COUNTIFS(exp_year,C2001,exp_month,D2001,exp_item,E2001,exp_status,"&lt;&gt;❌ Отменено")&gt;0,1,0))</f>
        <v/>
      </c>
    </row>
    <row r="2002">
      <c r="A2002" s="52" t="n"/>
      <c r="B2002" s="53">
        <f>IF(A2002="","",CHOOSE(WEEKDAY(A2002,2),"Пн","Вт","Ср","Чт","Пт","Сб","Вс"))</f>
        <v/>
      </c>
      <c r="C2002" s="53">
        <f>IF(A2002="","",YEAR(A2002))</f>
        <v/>
      </c>
      <c r="D2002" s="54">
        <f>IF(A2002="","",INDEX(lst_months,MONTH(A2002)))</f>
        <v/>
      </c>
      <c r="E2002" s="55" t="n"/>
      <c r="F2002" s="54">
        <f>IF(E2002="","",IFERROR(IF(INDEX(lst_exp_item_cat,MATCH(E2002,lst_exp_items,0))="","❔ Без категории",INDEX(lst_exp_item_cat,MATCH(E2002,lst_exp_items,0))),"❔ Без категории"))</f>
        <v/>
      </c>
      <c r="G2002" s="43" t="n"/>
      <c r="H2002" s="56" t="n"/>
      <c r="I2002" s="43" t="n"/>
      <c r="J2002" s="57">
        <f>IF(OR(A2002="",H2002=""),"",IF(COUNTIFS(exp_year,C2002,exp_month,D2002,exp_item,E2002,exp_status,"&lt;&gt;❌ Отменено")&gt;0,1,0))</f>
        <v/>
      </c>
    </row>
    <row r="2003">
      <c r="A2003" s="52" t="n"/>
      <c r="B2003" s="53">
        <f>IF(A2003="","",CHOOSE(WEEKDAY(A2003,2),"Пн","Вт","Ср","Чт","Пт","Сб","Вс"))</f>
        <v/>
      </c>
      <c r="C2003" s="53">
        <f>IF(A2003="","",YEAR(A2003))</f>
        <v/>
      </c>
      <c r="D2003" s="54">
        <f>IF(A2003="","",INDEX(lst_months,MONTH(A2003)))</f>
        <v/>
      </c>
      <c r="E2003" s="55" t="n"/>
      <c r="F2003" s="54">
        <f>IF(E2003="","",IFERROR(IF(INDEX(lst_exp_item_cat,MATCH(E2003,lst_exp_items,0))="","❔ Без категории",INDEX(lst_exp_item_cat,MATCH(E2003,lst_exp_items,0))),"❔ Без категории"))</f>
        <v/>
      </c>
      <c r="G2003" s="43" t="n"/>
      <c r="H2003" s="56" t="n"/>
      <c r="I2003" s="43" t="n"/>
      <c r="J2003" s="57">
        <f>IF(OR(A2003="",H2003=""),"",IF(COUNTIFS(exp_year,C2003,exp_month,D2003,exp_item,E2003,exp_status,"&lt;&gt;❌ Отменено")&gt;0,1,0))</f>
        <v/>
      </c>
    </row>
    <row r="2004">
      <c r="A2004" s="52" t="n"/>
      <c r="B2004" s="53">
        <f>IF(A2004="","",CHOOSE(WEEKDAY(A2004,2),"Пн","Вт","Ср","Чт","Пт","Сб","Вс"))</f>
        <v/>
      </c>
      <c r="C2004" s="53">
        <f>IF(A2004="","",YEAR(A2004))</f>
        <v/>
      </c>
      <c r="D2004" s="54">
        <f>IF(A2004="","",INDEX(lst_months,MONTH(A2004)))</f>
        <v/>
      </c>
      <c r="E2004" s="55" t="n"/>
      <c r="F2004" s="54">
        <f>IF(E2004="","",IFERROR(IF(INDEX(lst_exp_item_cat,MATCH(E2004,lst_exp_items,0))="","❔ Без категории",INDEX(lst_exp_item_cat,MATCH(E2004,lst_exp_items,0))),"❔ Без категории"))</f>
        <v/>
      </c>
      <c r="G2004" s="43" t="n"/>
      <c r="H2004" s="56" t="n"/>
      <c r="I2004" s="43" t="n"/>
      <c r="J2004" s="57">
        <f>IF(OR(A2004="",H2004=""),"",IF(COUNTIFS(exp_year,C2004,exp_month,D2004,exp_item,E2004,exp_status,"&lt;&gt;❌ Отменено")&gt;0,1,0))</f>
        <v/>
      </c>
    </row>
    <row r="2005">
      <c r="A2005" s="52" t="n"/>
      <c r="B2005" s="53">
        <f>IF(A2005="","",CHOOSE(WEEKDAY(A2005,2),"Пн","Вт","Ср","Чт","Пт","Сб","Вс"))</f>
        <v/>
      </c>
      <c r="C2005" s="53">
        <f>IF(A2005="","",YEAR(A2005))</f>
        <v/>
      </c>
      <c r="D2005" s="54">
        <f>IF(A2005="","",INDEX(lst_months,MONTH(A2005)))</f>
        <v/>
      </c>
      <c r="E2005" s="55" t="n"/>
      <c r="F2005" s="54">
        <f>IF(E2005="","",IFERROR(IF(INDEX(lst_exp_item_cat,MATCH(E2005,lst_exp_items,0))="","❔ Без категории",INDEX(lst_exp_item_cat,MATCH(E2005,lst_exp_items,0))),"❔ Без категории"))</f>
        <v/>
      </c>
      <c r="G2005" s="43" t="n"/>
      <c r="H2005" s="56" t="n"/>
      <c r="I2005" s="43" t="n"/>
      <c r="J2005" s="57">
        <f>IF(OR(A2005="",H2005=""),"",IF(COUNTIFS(exp_year,C2005,exp_month,D2005,exp_item,E2005,exp_status,"&lt;&gt;❌ Отменено")&gt;0,1,0))</f>
        <v/>
      </c>
    </row>
    <row r="2006">
      <c r="A2006" s="52" t="n"/>
      <c r="B2006" s="53">
        <f>IF(A2006="","",CHOOSE(WEEKDAY(A2006,2),"Пн","Вт","Ср","Чт","Пт","Сб","Вс"))</f>
        <v/>
      </c>
      <c r="C2006" s="53">
        <f>IF(A2006="","",YEAR(A2006))</f>
        <v/>
      </c>
      <c r="D2006" s="54">
        <f>IF(A2006="","",INDEX(lst_months,MONTH(A2006)))</f>
        <v/>
      </c>
      <c r="E2006" s="55" t="n"/>
      <c r="F2006" s="54">
        <f>IF(E2006="","",IFERROR(IF(INDEX(lst_exp_item_cat,MATCH(E2006,lst_exp_items,0))="","❔ Без категории",INDEX(lst_exp_item_cat,MATCH(E2006,lst_exp_items,0))),"❔ Без категории"))</f>
        <v/>
      </c>
      <c r="G2006" s="43" t="n"/>
      <c r="H2006" s="56" t="n"/>
      <c r="I2006" s="43" t="n"/>
      <c r="J2006" s="57">
        <f>IF(OR(A2006="",H2006=""),"",IF(COUNTIFS(exp_year,C2006,exp_month,D2006,exp_item,E2006,exp_status,"&lt;&gt;❌ Отменено")&gt;0,1,0))</f>
        <v/>
      </c>
    </row>
    <row r="2007">
      <c r="A2007" s="52" t="n"/>
      <c r="B2007" s="53">
        <f>IF(A2007="","",CHOOSE(WEEKDAY(A2007,2),"Пн","Вт","Ср","Чт","Пт","Сб","Вс"))</f>
        <v/>
      </c>
      <c r="C2007" s="53">
        <f>IF(A2007="","",YEAR(A2007))</f>
        <v/>
      </c>
      <c r="D2007" s="54">
        <f>IF(A2007="","",INDEX(lst_months,MONTH(A2007)))</f>
        <v/>
      </c>
      <c r="E2007" s="55" t="n"/>
      <c r="F2007" s="54">
        <f>IF(E2007="","",IFERROR(IF(INDEX(lst_exp_item_cat,MATCH(E2007,lst_exp_items,0))="","❔ Без категории",INDEX(lst_exp_item_cat,MATCH(E2007,lst_exp_items,0))),"❔ Без категории"))</f>
        <v/>
      </c>
      <c r="G2007" s="43" t="n"/>
      <c r="H2007" s="56" t="n"/>
      <c r="I2007" s="43" t="n"/>
      <c r="J2007" s="57">
        <f>IF(OR(A2007="",H2007=""),"",IF(COUNTIFS(exp_year,C2007,exp_month,D2007,exp_item,E2007,exp_status,"&lt;&gt;❌ Отменено")&gt;0,1,0))</f>
        <v/>
      </c>
    </row>
    <row r="2008">
      <c r="A2008" s="52" t="n"/>
      <c r="B2008" s="53">
        <f>IF(A2008="","",CHOOSE(WEEKDAY(A2008,2),"Пн","Вт","Ср","Чт","Пт","Сб","Вс"))</f>
        <v/>
      </c>
      <c r="C2008" s="53">
        <f>IF(A2008="","",YEAR(A2008))</f>
        <v/>
      </c>
      <c r="D2008" s="54">
        <f>IF(A2008="","",INDEX(lst_months,MONTH(A2008)))</f>
        <v/>
      </c>
      <c r="E2008" s="55" t="n"/>
      <c r="F2008" s="54">
        <f>IF(E2008="","",IFERROR(IF(INDEX(lst_exp_item_cat,MATCH(E2008,lst_exp_items,0))="","❔ Без категории",INDEX(lst_exp_item_cat,MATCH(E2008,lst_exp_items,0))),"❔ Без категории"))</f>
        <v/>
      </c>
      <c r="G2008" s="43" t="n"/>
      <c r="H2008" s="56" t="n"/>
      <c r="I2008" s="43" t="n"/>
      <c r="J2008" s="57">
        <f>IF(OR(A2008="",H2008=""),"",IF(COUNTIFS(exp_year,C2008,exp_month,D2008,exp_item,E2008,exp_status,"&lt;&gt;❌ Отменено")&gt;0,1,0))</f>
        <v/>
      </c>
    </row>
    <row r="2009">
      <c r="A2009" s="52" t="n"/>
      <c r="B2009" s="53">
        <f>IF(A2009="","",CHOOSE(WEEKDAY(A2009,2),"Пн","Вт","Ср","Чт","Пт","Сб","Вс"))</f>
        <v/>
      </c>
      <c r="C2009" s="53">
        <f>IF(A2009="","",YEAR(A2009))</f>
        <v/>
      </c>
      <c r="D2009" s="54">
        <f>IF(A2009="","",INDEX(lst_months,MONTH(A2009)))</f>
        <v/>
      </c>
      <c r="E2009" s="55" t="n"/>
      <c r="F2009" s="54">
        <f>IF(E2009="","",IFERROR(IF(INDEX(lst_exp_item_cat,MATCH(E2009,lst_exp_items,0))="","❔ Без категории",INDEX(lst_exp_item_cat,MATCH(E2009,lst_exp_items,0))),"❔ Без категории"))</f>
        <v/>
      </c>
      <c r="G2009" s="43" t="n"/>
      <c r="H2009" s="56" t="n"/>
      <c r="I2009" s="43" t="n"/>
      <c r="J2009" s="57">
        <f>IF(OR(A2009="",H2009=""),"",IF(COUNTIFS(exp_year,C2009,exp_month,D2009,exp_item,E2009,exp_status,"&lt;&gt;❌ Отменено")&gt;0,1,0))</f>
        <v/>
      </c>
    </row>
    <row r="2010">
      <c r="A2010" s="52" t="n"/>
      <c r="B2010" s="53">
        <f>IF(A2010="","",CHOOSE(WEEKDAY(A2010,2),"Пн","Вт","Ср","Чт","Пт","Сб","Вс"))</f>
        <v/>
      </c>
      <c r="C2010" s="53">
        <f>IF(A2010="","",YEAR(A2010))</f>
        <v/>
      </c>
      <c r="D2010" s="54">
        <f>IF(A2010="","",INDEX(lst_months,MONTH(A2010)))</f>
        <v/>
      </c>
      <c r="E2010" s="55" t="n"/>
      <c r="F2010" s="54">
        <f>IF(E2010="","",IFERROR(IF(INDEX(lst_exp_item_cat,MATCH(E2010,lst_exp_items,0))="","❔ Без категории",INDEX(lst_exp_item_cat,MATCH(E2010,lst_exp_items,0))),"❔ Без категории"))</f>
        <v/>
      </c>
      <c r="G2010" s="43" t="n"/>
      <c r="H2010" s="56" t="n"/>
      <c r="I2010" s="43" t="n"/>
      <c r="J2010" s="57">
        <f>IF(OR(A2010="",H2010=""),"",IF(COUNTIFS(exp_year,C2010,exp_month,D2010,exp_item,E2010,exp_status,"&lt;&gt;❌ Отменено")&gt;0,1,0))</f>
        <v/>
      </c>
    </row>
    <row r="2011">
      <c r="A2011" s="52" t="n"/>
      <c r="B2011" s="53">
        <f>IF(A2011="","",CHOOSE(WEEKDAY(A2011,2),"Пн","Вт","Ср","Чт","Пт","Сб","Вс"))</f>
        <v/>
      </c>
      <c r="C2011" s="53">
        <f>IF(A2011="","",YEAR(A2011))</f>
        <v/>
      </c>
      <c r="D2011" s="54">
        <f>IF(A2011="","",INDEX(lst_months,MONTH(A2011)))</f>
        <v/>
      </c>
      <c r="E2011" s="55" t="n"/>
      <c r="F2011" s="54">
        <f>IF(E2011="","",IFERROR(IF(INDEX(lst_exp_item_cat,MATCH(E2011,lst_exp_items,0))="","❔ Без категории",INDEX(lst_exp_item_cat,MATCH(E2011,lst_exp_items,0))),"❔ Без категории"))</f>
        <v/>
      </c>
      <c r="G2011" s="43" t="n"/>
      <c r="H2011" s="56" t="n"/>
      <c r="I2011" s="43" t="n"/>
      <c r="J2011" s="57">
        <f>IF(OR(A2011="",H2011=""),"",IF(COUNTIFS(exp_year,C2011,exp_month,D2011,exp_item,E2011,exp_status,"&lt;&gt;❌ Отменено")&gt;0,1,0))</f>
        <v/>
      </c>
    </row>
    <row r="2012">
      <c r="A2012" s="52" t="n"/>
      <c r="B2012" s="53">
        <f>IF(A2012="","",CHOOSE(WEEKDAY(A2012,2),"Пн","Вт","Ср","Чт","Пт","Сб","Вс"))</f>
        <v/>
      </c>
      <c r="C2012" s="53">
        <f>IF(A2012="","",YEAR(A2012))</f>
        <v/>
      </c>
      <c r="D2012" s="54">
        <f>IF(A2012="","",INDEX(lst_months,MONTH(A2012)))</f>
        <v/>
      </c>
      <c r="E2012" s="55" t="n"/>
      <c r="F2012" s="54">
        <f>IF(E2012="","",IFERROR(IF(INDEX(lst_exp_item_cat,MATCH(E2012,lst_exp_items,0))="","❔ Без категории",INDEX(lst_exp_item_cat,MATCH(E2012,lst_exp_items,0))),"❔ Без категории"))</f>
        <v/>
      </c>
      <c r="G2012" s="43" t="n"/>
      <c r="H2012" s="56" t="n"/>
      <c r="I2012" s="43" t="n"/>
      <c r="J2012" s="57">
        <f>IF(OR(A2012="",H2012=""),"",IF(COUNTIFS(exp_year,C2012,exp_month,D2012,exp_item,E2012,exp_status,"&lt;&gt;❌ Отменено")&gt;0,1,0))</f>
        <v/>
      </c>
    </row>
    <row r="2013">
      <c r="A2013" s="52" t="n"/>
      <c r="B2013" s="53">
        <f>IF(A2013="","",CHOOSE(WEEKDAY(A2013,2),"Пн","Вт","Ср","Чт","Пт","Сб","Вс"))</f>
        <v/>
      </c>
      <c r="C2013" s="53">
        <f>IF(A2013="","",YEAR(A2013))</f>
        <v/>
      </c>
      <c r="D2013" s="54">
        <f>IF(A2013="","",INDEX(lst_months,MONTH(A2013)))</f>
        <v/>
      </c>
      <c r="E2013" s="55" t="n"/>
      <c r="F2013" s="54">
        <f>IF(E2013="","",IFERROR(IF(INDEX(lst_exp_item_cat,MATCH(E2013,lst_exp_items,0))="","❔ Без категории",INDEX(lst_exp_item_cat,MATCH(E2013,lst_exp_items,0))),"❔ Без категории"))</f>
        <v/>
      </c>
      <c r="G2013" s="43" t="n"/>
      <c r="H2013" s="56" t="n"/>
      <c r="I2013" s="43" t="n"/>
      <c r="J2013" s="57">
        <f>IF(OR(A2013="",H2013=""),"",IF(COUNTIFS(exp_year,C2013,exp_month,D2013,exp_item,E2013,exp_status,"&lt;&gt;❌ Отменено")&gt;0,1,0))</f>
        <v/>
      </c>
    </row>
    <row r="2014">
      <c r="A2014" s="52" t="n"/>
      <c r="B2014" s="53">
        <f>IF(A2014="","",CHOOSE(WEEKDAY(A2014,2),"Пн","Вт","Ср","Чт","Пт","Сб","Вс"))</f>
        <v/>
      </c>
      <c r="C2014" s="53">
        <f>IF(A2014="","",YEAR(A2014))</f>
        <v/>
      </c>
      <c r="D2014" s="54">
        <f>IF(A2014="","",INDEX(lst_months,MONTH(A2014)))</f>
        <v/>
      </c>
      <c r="E2014" s="55" t="n"/>
      <c r="F2014" s="54">
        <f>IF(E2014="","",IFERROR(IF(INDEX(lst_exp_item_cat,MATCH(E2014,lst_exp_items,0))="","❔ Без категории",INDEX(lst_exp_item_cat,MATCH(E2014,lst_exp_items,0))),"❔ Без категории"))</f>
        <v/>
      </c>
      <c r="G2014" s="43" t="n"/>
      <c r="H2014" s="56" t="n"/>
      <c r="I2014" s="43" t="n"/>
      <c r="J2014" s="57">
        <f>IF(OR(A2014="",H2014=""),"",IF(COUNTIFS(exp_year,C2014,exp_month,D2014,exp_item,E2014,exp_status,"&lt;&gt;❌ Отменено")&gt;0,1,0))</f>
        <v/>
      </c>
    </row>
    <row r="2015">
      <c r="A2015" s="52" t="n"/>
      <c r="B2015" s="53">
        <f>IF(A2015="","",CHOOSE(WEEKDAY(A2015,2),"Пн","Вт","Ср","Чт","Пт","Сб","Вс"))</f>
        <v/>
      </c>
      <c r="C2015" s="53">
        <f>IF(A2015="","",YEAR(A2015))</f>
        <v/>
      </c>
      <c r="D2015" s="54">
        <f>IF(A2015="","",INDEX(lst_months,MONTH(A2015)))</f>
        <v/>
      </c>
      <c r="E2015" s="55" t="n"/>
      <c r="F2015" s="54">
        <f>IF(E2015="","",IFERROR(IF(INDEX(lst_exp_item_cat,MATCH(E2015,lst_exp_items,0))="","❔ Без категории",INDEX(lst_exp_item_cat,MATCH(E2015,lst_exp_items,0))),"❔ Без категории"))</f>
        <v/>
      </c>
      <c r="G2015" s="43" t="n"/>
      <c r="H2015" s="56" t="n"/>
      <c r="I2015" s="43" t="n"/>
      <c r="J2015" s="57">
        <f>IF(OR(A2015="",H2015=""),"",IF(COUNTIFS(exp_year,C2015,exp_month,D2015,exp_item,E2015,exp_status,"&lt;&gt;❌ Отменено")&gt;0,1,0))</f>
        <v/>
      </c>
    </row>
    <row r="2016">
      <c r="A2016" s="52" t="n"/>
      <c r="B2016" s="53">
        <f>IF(A2016="","",CHOOSE(WEEKDAY(A2016,2),"Пн","Вт","Ср","Чт","Пт","Сб","Вс"))</f>
        <v/>
      </c>
      <c r="C2016" s="53">
        <f>IF(A2016="","",YEAR(A2016))</f>
        <v/>
      </c>
      <c r="D2016" s="54">
        <f>IF(A2016="","",INDEX(lst_months,MONTH(A2016)))</f>
        <v/>
      </c>
      <c r="E2016" s="55" t="n"/>
      <c r="F2016" s="54">
        <f>IF(E2016="","",IFERROR(IF(INDEX(lst_exp_item_cat,MATCH(E2016,lst_exp_items,0))="","❔ Без категории",INDEX(lst_exp_item_cat,MATCH(E2016,lst_exp_items,0))),"❔ Без категории"))</f>
        <v/>
      </c>
      <c r="G2016" s="43" t="n"/>
      <c r="H2016" s="56" t="n"/>
      <c r="I2016" s="43" t="n"/>
      <c r="J2016" s="57">
        <f>IF(OR(A2016="",H2016=""),"",IF(COUNTIFS(exp_year,C2016,exp_month,D2016,exp_item,E2016,exp_status,"&lt;&gt;❌ Отменено")&gt;0,1,0))</f>
        <v/>
      </c>
    </row>
    <row r="2017">
      <c r="A2017" s="52" t="n"/>
      <c r="B2017" s="53">
        <f>IF(A2017="","",CHOOSE(WEEKDAY(A2017,2),"Пн","Вт","Ср","Чт","Пт","Сб","Вс"))</f>
        <v/>
      </c>
      <c r="C2017" s="53">
        <f>IF(A2017="","",YEAR(A2017))</f>
        <v/>
      </c>
      <c r="D2017" s="54">
        <f>IF(A2017="","",INDEX(lst_months,MONTH(A2017)))</f>
        <v/>
      </c>
      <c r="E2017" s="55" t="n"/>
      <c r="F2017" s="54">
        <f>IF(E2017="","",IFERROR(IF(INDEX(lst_exp_item_cat,MATCH(E2017,lst_exp_items,0))="","❔ Без категории",INDEX(lst_exp_item_cat,MATCH(E2017,lst_exp_items,0))),"❔ Без категории"))</f>
        <v/>
      </c>
      <c r="G2017" s="43" t="n"/>
      <c r="H2017" s="56" t="n"/>
      <c r="I2017" s="43" t="n"/>
      <c r="J2017" s="57">
        <f>IF(OR(A2017="",H2017=""),"",IF(COUNTIFS(exp_year,C2017,exp_month,D2017,exp_item,E2017,exp_status,"&lt;&gt;❌ Отменено")&gt;0,1,0))</f>
        <v/>
      </c>
    </row>
    <row r="2018">
      <c r="A2018" s="52" t="n"/>
      <c r="B2018" s="53">
        <f>IF(A2018="","",CHOOSE(WEEKDAY(A2018,2),"Пн","Вт","Ср","Чт","Пт","Сб","Вс"))</f>
        <v/>
      </c>
      <c r="C2018" s="53">
        <f>IF(A2018="","",YEAR(A2018))</f>
        <v/>
      </c>
      <c r="D2018" s="54">
        <f>IF(A2018="","",INDEX(lst_months,MONTH(A2018)))</f>
        <v/>
      </c>
      <c r="E2018" s="55" t="n"/>
      <c r="F2018" s="54">
        <f>IF(E2018="","",IFERROR(IF(INDEX(lst_exp_item_cat,MATCH(E2018,lst_exp_items,0))="","❔ Без категории",INDEX(lst_exp_item_cat,MATCH(E2018,lst_exp_items,0))),"❔ Без категории"))</f>
        <v/>
      </c>
      <c r="G2018" s="43" t="n"/>
      <c r="H2018" s="56" t="n"/>
      <c r="I2018" s="43" t="n"/>
      <c r="J2018" s="57">
        <f>IF(OR(A2018="",H2018=""),"",IF(COUNTIFS(exp_year,C2018,exp_month,D2018,exp_item,E2018,exp_status,"&lt;&gt;❌ Отменено")&gt;0,1,0))</f>
        <v/>
      </c>
    </row>
    <row r="2019">
      <c r="A2019" s="52" t="n"/>
      <c r="B2019" s="53">
        <f>IF(A2019="","",CHOOSE(WEEKDAY(A2019,2),"Пн","Вт","Ср","Чт","Пт","Сб","Вс"))</f>
        <v/>
      </c>
      <c r="C2019" s="53">
        <f>IF(A2019="","",YEAR(A2019))</f>
        <v/>
      </c>
      <c r="D2019" s="54">
        <f>IF(A2019="","",INDEX(lst_months,MONTH(A2019)))</f>
        <v/>
      </c>
      <c r="E2019" s="55" t="n"/>
      <c r="F2019" s="54">
        <f>IF(E2019="","",IFERROR(IF(INDEX(lst_exp_item_cat,MATCH(E2019,lst_exp_items,0))="","❔ Без категории",INDEX(lst_exp_item_cat,MATCH(E2019,lst_exp_items,0))),"❔ Без категории"))</f>
        <v/>
      </c>
      <c r="G2019" s="43" t="n"/>
      <c r="H2019" s="56" t="n"/>
      <c r="I2019" s="43" t="n"/>
      <c r="J2019" s="57">
        <f>IF(OR(A2019="",H2019=""),"",IF(COUNTIFS(exp_year,C2019,exp_month,D2019,exp_item,E2019,exp_status,"&lt;&gt;❌ Отменено")&gt;0,1,0))</f>
        <v/>
      </c>
    </row>
    <row r="2020">
      <c r="A2020" s="52" t="n"/>
      <c r="B2020" s="53">
        <f>IF(A2020="","",CHOOSE(WEEKDAY(A2020,2),"Пн","Вт","Ср","Чт","Пт","Сб","Вс"))</f>
        <v/>
      </c>
      <c r="C2020" s="53">
        <f>IF(A2020="","",YEAR(A2020))</f>
        <v/>
      </c>
      <c r="D2020" s="54">
        <f>IF(A2020="","",INDEX(lst_months,MONTH(A2020)))</f>
        <v/>
      </c>
      <c r="E2020" s="55" t="n"/>
      <c r="F2020" s="54">
        <f>IF(E2020="","",IFERROR(IF(INDEX(lst_exp_item_cat,MATCH(E2020,lst_exp_items,0))="","❔ Без категории",INDEX(lst_exp_item_cat,MATCH(E2020,lst_exp_items,0))),"❔ Без категории"))</f>
        <v/>
      </c>
      <c r="G2020" s="43" t="n"/>
      <c r="H2020" s="56" t="n"/>
      <c r="I2020" s="43" t="n"/>
      <c r="J2020" s="57">
        <f>IF(OR(A2020="",H2020=""),"",IF(COUNTIFS(exp_year,C2020,exp_month,D2020,exp_item,E2020,exp_status,"&lt;&gt;❌ Отменено")&gt;0,1,0))</f>
        <v/>
      </c>
    </row>
    <row r="2021">
      <c r="A2021" s="52" t="n"/>
      <c r="B2021" s="53">
        <f>IF(A2021="","",CHOOSE(WEEKDAY(A2021,2),"Пн","Вт","Ср","Чт","Пт","Сб","Вс"))</f>
        <v/>
      </c>
      <c r="C2021" s="53">
        <f>IF(A2021="","",YEAR(A2021))</f>
        <v/>
      </c>
      <c r="D2021" s="54">
        <f>IF(A2021="","",INDEX(lst_months,MONTH(A2021)))</f>
        <v/>
      </c>
      <c r="E2021" s="55" t="n"/>
      <c r="F2021" s="54">
        <f>IF(E2021="","",IFERROR(IF(INDEX(lst_exp_item_cat,MATCH(E2021,lst_exp_items,0))="","❔ Без категории",INDEX(lst_exp_item_cat,MATCH(E2021,lst_exp_items,0))),"❔ Без категории"))</f>
        <v/>
      </c>
      <c r="G2021" s="43" t="n"/>
      <c r="H2021" s="56" t="n"/>
      <c r="I2021" s="43" t="n"/>
      <c r="J2021" s="57">
        <f>IF(OR(A2021="",H2021=""),"",IF(COUNTIFS(exp_year,C2021,exp_month,D2021,exp_item,E2021,exp_status,"&lt;&gt;❌ Отменено")&gt;0,1,0))</f>
        <v/>
      </c>
    </row>
    <row r="2022">
      <c r="A2022" s="52" t="n"/>
      <c r="B2022" s="53">
        <f>IF(A2022="","",CHOOSE(WEEKDAY(A2022,2),"Пн","Вт","Ср","Чт","Пт","Сб","Вс"))</f>
        <v/>
      </c>
      <c r="C2022" s="53">
        <f>IF(A2022="","",YEAR(A2022))</f>
        <v/>
      </c>
      <c r="D2022" s="54">
        <f>IF(A2022="","",INDEX(lst_months,MONTH(A2022)))</f>
        <v/>
      </c>
      <c r="E2022" s="55" t="n"/>
      <c r="F2022" s="54">
        <f>IF(E2022="","",IFERROR(IF(INDEX(lst_exp_item_cat,MATCH(E2022,lst_exp_items,0))="","❔ Без категории",INDEX(lst_exp_item_cat,MATCH(E2022,lst_exp_items,0))),"❔ Без категории"))</f>
        <v/>
      </c>
      <c r="G2022" s="43" t="n"/>
      <c r="H2022" s="56" t="n"/>
      <c r="I2022" s="43" t="n"/>
      <c r="J2022" s="57">
        <f>IF(OR(A2022="",H2022=""),"",IF(COUNTIFS(exp_year,C2022,exp_month,D2022,exp_item,E2022,exp_status,"&lt;&gt;❌ Отменено")&gt;0,1,0))</f>
        <v/>
      </c>
    </row>
    <row r="2023">
      <c r="A2023" s="52" t="n"/>
      <c r="B2023" s="53">
        <f>IF(A2023="","",CHOOSE(WEEKDAY(A2023,2),"Пн","Вт","Ср","Чт","Пт","Сб","Вс"))</f>
        <v/>
      </c>
      <c r="C2023" s="53">
        <f>IF(A2023="","",YEAR(A2023))</f>
        <v/>
      </c>
      <c r="D2023" s="54">
        <f>IF(A2023="","",INDEX(lst_months,MONTH(A2023)))</f>
        <v/>
      </c>
      <c r="E2023" s="55" t="n"/>
      <c r="F2023" s="54">
        <f>IF(E2023="","",IFERROR(IF(INDEX(lst_exp_item_cat,MATCH(E2023,lst_exp_items,0))="","❔ Без категории",INDEX(lst_exp_item_cat,MATCH(E2023,lst_exp_items,0))),"❔ Без категории"))</f>
        <v/>
      </c>
      <c r="G2023" s="43" t="n"/>
      <c r="H2023" s="56" t="n"/>
      <c r="I2023" s="43" t="n"/>
      <c r="J2023" s="57">
        <f>IF(OR(A2023="",H2023=""),"",IF(COUNTIFS(exp_year,C2023,exp_month,D2023,exp_item,E2023,exp_status,"&lt;&gt;❌ Отменено")&gt;0,1,0))</f>
        <v/>
      </c>
    </row>
    <row r="2024">
      <c r="A2024" s="52" t="n"/>
      <c r="B2024" s="53">
        <f>IF(A2024="","",CHOOSE(WEEKDAY(A2024,2),"Пн","Вт","Ср","Чт","Пт","Сб","Вс"))</f>
        <v/>
      </c>
      <c r="C2024" s="53">
        <f>IF(A2024="","",YEAR(A2024))</f>
        <v/>
      </c>
      <c r="D2024" s="54">
        <f>IF(A2024="","",INDEX(lst_months,MONTH(A2024)))</f>
        <v/>
      </c>
      <c r="E2024" s="55" t="n"/>
      <c r="F2024" s="54">
        <f>IF(E2024="","",IFERROR(IF(INDEX(lst_exp_item_cat,MATCH(E2024,lst_exp_items,0))="","❔ Без категории",INDEX(lst_exp_item_cat,MATCH(E2024,lst_exp_items,0))),"❔ Без категории"))</f>
        <v/>
      </c>
      <c r="G2024" s="43" t="n"/>
      <c r="H2024" s="56" t="n"/>
      <c r="I2024" s="43" t="n"/>
      <c r="J2024" s="57">
        <f>IF(OR(A2024="",H2024=""),"",IF(COUNTIFS(exp_year,C2024,exp_month,D2024,exp_item,E2024,exp_status,"&lt;&gt;❌ Отменено")&gt;0,1,0))</f>
        <v/>
      </c>
    </row>
    <row r="2025">
      <c r="A2025" s="52" t="n"/>
      <c r="B2025" s="53">
        <f>IF(A2025="","",CHOOSE(WEEKDAY(A2025,2),"Пн","Вт","Ср","Чт","Пт","Сб","Вс"))</f>
        <v/>
      </c>
      <c r="C2025" s="53">
        <f>IF(A2025="","",YEAR(A2025))</f>
        <v/>
      </c>
      <c r="D2025" s="54">
        <f>IF(A2025="","",INDEX(lst_months,MONTH(A2025)))</f>
        <v/>
      </c>
      <c r="E2025" s="55" t="n"/>
      <c r="F2025" s="54">
        <f>IF(E2025="","",IFERROR(IF(INDEX(lst_exp_item_cat,MATCH(E2025,lst_exp_items,0))="","❔ Без категории",INDEX(lst_exp_item_cat,MATCH(E2025,lst_exp_items,0))),"❔ Без категории"))</f>
        <v/>
      </c>
      <c r="G2025" s="43" t="n"/>
      <c r="H2025" s="56" t="n"/>
      <c r="I2025" s="43" t="n"/>
      <c r="J2025" s="57">
        <f>IF(OR(A2025="",H2025=""),"",IF(COUNTIFS(exp_year,C2025,exp_month,D2025,exp_item,E2025,exp_status,"&lt;&gt;❌ Отменено")&gt;0,1,0))</f>
        <v/>
      </c>
    </row>
    <row r="2026">
      <c r="A2026" s="52" t="n"/>
      <c r="B2026" s="53">
        <f>IF(A2026="","",CHOOSE(WEEKDAY(A2026,2),"Пн","Вт","Ср","Чт","Пт","Сб","Вс"))</f>
        <v/>
      </c>
      <c r="C2026" s="53">
        <f>IF(A2026="","",YEAR(A2026))</f>
        <v/>
      </c>
      <c r="D2026" s="54">
        <f>IF(A2026="","",INDEX(lst_months,MONTH(A2026)))</f>
        <v/>
      </c>
      <c r="E2026" s="55" t="n"/>
      <c r="F2026" s="54">
        <f>IF(E2026="","",IFERROR(IF(INDEX(lst_exp_item_cat,MATCH(E2026,lst_exp_items,0))="","❔ Без категории",INDEX(lst_exp_item_cat,MATCH(E2026,lst_exp_items,0))),"❔ Без категории"))</f>
        <v/>
      </c>
      <c r="G2026" s="43" t="n"/>
      <c r="H2026" s="56" t="n"/>
      <c r="I2026" s="43" t="n"/>
      <c r="J2026" s="57">
        <f>IF(OR(A2026="",H2026=""),"",IF(COUNTIFS(exp_year,C2026,exp_month,D2026,exp_item,E2026,exp_status,"&lt;&gt;❌ Отменено")&gt;0,1,0))</f>
        <v/>
      </c>
    </row>
    <row r="2027">
      <c r="A2027" s="52" t="n"/>
      <c r="B2027" s="53">
        <f>IF(A2027="","",CHOOSE(WEEKDAY(A2027,2),"Пн","Вт","Ср","Чт","Пт","Сб","Вс"))</f>
        <v/>
      </c>
      <c r="C2027" s="53">
        <f>IF(A2027="","",YEAR(A2027))</f>
        <v/>
      </c>
      <c r="D2027" s="54">
        <f>IF(A2027="","",INDEX(lst_months,MONTH(A2027)))</f>
        <v/>
      </c>
      <c r="E2027" s="55" t="n"/>
      <c r="F2027" s="54">
        <f>IF(E2027="","",IFERROR(IF(INDEX(lst_exp_item_cat,MATCH(E2027,lst_exp_items,0))="","❔ Без категории",INDEX(lst_exp_item_cat,MATCH(E2027,lst_exp_items,0))),"❔ Без категории"))</f>
        <v/>
      </c>
      <c r="G2027" s="43" t="n"/>
      <c r="H2027" s="56" t="n"/>
      <c r="I2027" s="43" t="n"/>
      <c r="J2027" s="57">
        <f>IF(OR(A2027="",H2027=""),"",IF(COUNTIFS(exp_year,C2027,exp_month,D2027,exp_item,E2027,exp_status,"&lt;&gt;❌ Отменено")&gt;0,1,0))</f>
        <v/>
      </c>
    </row>
    <row r="2028">
      <c r="A2028" s="52" t="n"/>
      <c r="B2028" s="53">
        <f>IF(A2028="","",CHOOSE(WEEKDAY(A2028,2),"Пн","Вт","Ср","Чт","Пт","Сб","Вс"))</f>
        <v/>
      </c>
      <c r="C2028" s="53">
        <f>IF(A2028="","",YEAR(A2028))</f>
        <v/>
      </c>
      <c r="D2028" s="54">
        <f>IF(A2028="","",INDEX(lst_months,MONTH(A2028)))</f>
        <v/>
      </c>
      <c r="E2028" s="55" t="n"/>
      <c r="F2028" s="54">
        <f>IF(E2028="","",IFERROR(IF(INDEX(lst_exp_item_cat,MATCH(E2028,lst_exp_items,0))="","❔ Без категории",INDEX(lst_exp_item_cat,MATCH(E2028,lst_exp_items,0))),"❔ Без категории"))</f>
        <v/>
      </c>
      <c r="G2028" s="43" t="n"/>
      <c r="H2028" s="56" t="n"/>
      <c r="I2028" s="43" t="n"/>
      <c r="J2028" s="57">
        <f>IF(OR(A2028="",H2028=""),"",IF(COUNTIFS(exp_year,C2028,exp_month,D2028,exp_item,E2028,exp_status,"&lt;&gt;❌ Отменено")&gt;0,1,0))</f>
        <v/>
      </c>
    </row>
    <row r="2029">
      <c r="A2029" s="52" t="n"/>
      <c r="B2029" s="53">
        <f>IF(A2029="","",CHOOSE(WEEKDAY(A2029,2),"Пн","Вт","Ср","Чт","Пт","Сб","Вс"))</f>
        <v/>
      </c>
      <c r="C2029" s="53">
        <f>IF(A2029="","",YEAR(A2029))</f>
        <v/>
      </c>
      <c r="D2029" s="54">
        <f>IF(A2029="","",INDEX(lst_months,MONTH(A2029)))</f>
        <v/>
      </c>
      <c r="E2029" s="55" t="n"/>
      <c r="F2029" s="54">
        <f>IF(E2029="","",IFERROR(IF(INDEX(lst_exp_item_cat,MATCH(E2029,lst_exp_items,0))="","❔ Без категории",INDEX(lst_exp_item_cat,MATCH(E2029,lst_exp_items,0))),"❔ Без категории"))</f>
        <v/>
      </c>
      <c r="G2029" s="43" t="n"/>
      <c r="H2029" s="56" t="n"/>
      <c r="I2029" s="43" t="n"/>
      <c r="J2029" s="57">
        <f>IF(OR(A2029="",H2029=""),"",IF(COUNTIFS(exp_year,C2029,exp_month,D2029,exp_item,E2029,exp_status,"&lt;&gt;❌ Отменено")&gt;0,1,0))</f>
        <v/>
      </c>
    </row>
    <row r="2030">
      <c r="A2030" s="52" t="n"/>
      <c r="B2030" s="53">
        <f>IF(A2030="","",CHOOSE(WEEKDAY(A2030,2),"Пн","Вт","Ср","Чт","Пт","Сб","Вс"))</f>
        <v/>
      </c>
      <c r="C2030" s="53">
        <f>IF(A2030="","",YEAR(A2030))</f>
        <v/>
      </c>
      <c r="D2030" s="54">
        <f>IF(A2030="","",INDEX(lst_months,MONTH(A2030)))</f>
        <v/>
      </c>
      <c r="E2030" s="55" t="n"/>
      <c r="F2030" s="54">
        <f>IF(E2030="","",IFERROR(IF(INDEX(lst_exp_item_cat,MATCH(E2030,lst_exp_items,0))="","❔ Без категории",INDEX(lst_exp_item_cat,MATCH(E2030,lst_exp_items,0))),"❔ Без категории"))</f>
        <v/>
      </c>
      <c r="G2030" s="43" t="n"/>
      <c r="H2030" s="56" t="n"/>
      <c r="I2030" s="43" t="n"/>
      <c r="J2030" s="57">
        <f>IF(OR(A2030="",H2030=""),"",IF(COUNTIFS(exp_year,C2030,exp_month,D2030,exp_item,E2030,exp_status,"&lt;&gt;❌ Отменено")&gt;0,1,0))</f>
        <v/>
      </c>
    </row>
    <row r="2031">
      <c r="A2031" s="52" t="n"/>
      <c r="B2031" s="53">
        <f>IF(A2031="","",CHOOSE(WEEKDAY(A2031,2),"Пн","Вт","Ср","Чт","Пт","Сб","Вс"))</f>
        <v/>
      </c>
      <c r="C2031" s="53">
        <f>IF(A2031="","",YEAR(A2031))</f>
        <v/>
      </c>
      <c r="D2031" s="54">
        <f>IF(A2031="","",INDEX(lst_months,MONTH(A2031)))</f>
        <v/>
      </c>
      <c r="E2031" s="55" t="n"/>
      <c r="F2031" s="54">
        <f>IF(E2031="","",IFERROR(IF(INDEX(lst_exp_item_cat,MATCH(E2031,lst_exp_items,0))="","❔ Без категории",INDEX(lst_exp_item_cat,MATCH(E2031,lst_exp_items,0))),"❔ Без категории"))</f>
        <v/>
      </c>
      <c r="G2031" s="43" t="n"/>
      <c r="H2031" s="56" t="n"/>
      <c r="I2031" s="43" t="n"/>
      <c r="J2031" s="57">
        <f>IF(OR(A2031="",H2031=""),"",IF(COUNTIFS(exp_year,C2031,exp_month,D2031,exp_item,E2031,exp_status,"&lt;&gt;❌ Отменено")&gt;0,1,0))</f>
        <v/>
      </c>
    </row>
    <row r="2032">
      <c r="A2032" s="52" t="n"/>
      <c r="B2032" s="53">
        <f>IF(A2032="","",CHOOSE(WEEKDAY(A2032,2),"Пн","Вт","Ср","Чт","Пт","Сб","Вс"))</f>
        <v/>
      </c>
      <c r="C2032" s="53">
        <f>IF(A2032="","",YEAR(A2032))</f>
        <v/>
      </c>
      <c r="D2032" s="54">
        <f>IF(A2032="","",INDEX(lst_months,MONTH(A2032)))</f>
        <v/>
      </c>
      <c r="E2032" s="55" t="n"/>
      <c r="F2032" s="54">
        <f>IF(E2032="","",IFERROR(IF(INDEX(lst_exp_item_cat,MATCH(E2032,lst_exp_items,0))="","❔ Без категории",INDEX(lst_exp_item_cat,MATCH(E2032,lst_exp_items,0))),"❔ Без категории"))</f>
        <v/>
      </c>
      <c r="G2032" s="43" t="n"/>
      <c r="H2032" s="56" t="n"/>
      <c r="I2032" s="43" t="n"/>
      <c r="J2032" s="57">
        <f>IF(OR(A2032="",H2032=""),"",IF(COUNTIFS(exp_year,C2032,exp_month,D2032,exp_item,E2032,exp_status,"&lt;&gt;❌ Отменено")&gt;0,1,0))</f>
        <v/>
      </c>
    </row>
    <row r="2033">
      <c r="A2033" s="52" t="n"/>
      <c r="B2033" s="53">
        <f>IF(A2033="","",CHOOSE(WEEKDAY(A2033,2),"Пн","Вт","Ср","Чт","Пт","Сб","Вс"))</f>
        <v/>
      </c>
      <c r="C2033" s="53">
        <f>IF(A2033="","",YEAR(A2033))</f>
        <v/>
      </c>
      <c r="D2033" s="54">
        <f>IF(A2033="","",INDEX(lst_months,MONTH(A2033)))</f>
        <v/>
      </c>
      <c r="E2033" s="55" t="n"/>
      <c r="F2033" s="54">
        <f>IF(E2033="","",IFERROR(IF(INDEX(lst_exp_item_cat,MATCH(E2033,lst_exp_items,0))="","❔ Без категории",INDEX(lst_exp_item_cat,MATCH(E2033,lst_exp_items,0))),"❔ Без категории"))</f>
        <v/>
      </c>
      <c r="G2033" s="43" t="n"/>
      <c r="H2033" s="56" t="n"/>
      <c r="I2033" s="43" t="n"/>
      <c r="J2033" s="57">
        <f>IF(OR(A2033="",H2033=""),"",IF(COUNTIFS(exp_year,C2033,exp_month,D2033,exp_item,E2033,exp_status,"&lt;&gt;❌ Отменено")&gt;0,1,0))</f>
        <v/>
      </c>
    </row>
    <row r="2034">
      <c r="A2034" s="52" t="n"/>
      <c r="B2034" s="53">
        <f>IF(A2034="","",CHOOSE(WEEKDAY(A2034,2),"Пн","Вт","Ср","Чт","Пт","Сб","Вс"))</f>
        <v/>
      </c>
      <c r="C2034" s="53">
        <f>IF(A2034="","",YEAR(A2034))</f>
        <v/>
      </c>
      <c r="D2034" s="54">
        <f>IF(A2034="","",INDEX(lst_months,MONTH(A2034)))</f>
        <v/>
      </c>
      <c r="E2034" s="55" t="n"/>
      <c r="F2034" s="54">
        <f>IF(E2034="","",IFERROR(IF(INDEX(lst_exp_item_cat,MATCH(E2034,lst_exp_items,0))="","❔ Без категории",INDEX(lst_exp_item_cat,MATCH(E2034,lst_exp_items,0))),"❔ Без категории"))</f>
        <v/>
      </c>
      <c r="G2034" s="43" t="n"/>
      <c r="H2034" s="56" t="n"/>
      <c r="I2034" s="43" t="n"/>
      <c r="J2034" s="57">
        <f>IF(OR(A2034="",H2034=""),"",IF(COUNTIFS(exp_year,C2034,exp_month,D2034,exp_item,E2034,exp_status,"&lt;&gt;❌ Отменено")&gt;0,1,0))</f>
        <v/>
      </c>
    </row>
    <row r="2035">
      <c r="A2035" s="52" t="n"/>
      <c r="B2035" s="53">
        <f>IF(A2035="","",CHOOSE(WEEKDAY(A2035,2),"Пн","Вт","Ср","Чт","Пт","Сб","Вс"))</f>
        <v/>
      </c>
      <c r="C2035" s="53">
        <f>IF(A2035="","",YEAR(A2035))</f>
        <v/>
      </c>
      <c r="D2035" s="54">
        <f>IF(A2035="","",INDEX(lst_months,MONTH(A2035)))</f>
        <v/>
      </c>
      <c r="E2035" s="55" t="n"/>
      <c r="F2035" s="54">
        <f>IF(E2035="","",IFERROR(IF(INDEX(lst_exp_item_cat,MATCH(E2035,lst_exp_items,0))="","❔ Без категории",INDEX(lst_exp_item_cat,MATCH(E2035,lst_exp_items,0))),"❔ Без категории"))</f>
        <v/>
      </c>
      <c r="G2035" s="43" t="n"/>
      <c r="H2035" s="56" t="n"/>
      <c r="I2035" s="43" t="n"/>
      <c r="J2035" s="57">
        <f>IF(OR(A2035="",H2035=""),"",IF(COUNTIFS(exp_year,C2035,exp_month,D2035,exp_item,E2035,exp_status,"&lt;&gt;❌ Отменено")&gt;0,1,0))</f>
        <v/>
      </c>
    </row>
    <row r="2036">
      <c r="A2036" s="52" t="n"/>
      <c r="B2036" s="53">
        <f>IF(A2036="","",CHOOSE(WEEKDAY(A2036,2),"Пн","Вт","Ср","Чт","Пт","Сб","Вс"))</f>
        <v/>
      </c>
      <c r="C2036" s="53">
        <f>IF(A2036="","",YEAR(A2036))</f>
        <v/>
      </c>
      <c r="D2036" s="54">
        <f>IF(A2036="","",INDEX(lst_months,MONTH(A2036)))</f>
        <v/>
      </c>
      <c r="E2036" s="55" t="n"/>
      <c r="F2036" s="54">
        <f>IF(E2036="","",IFERROR(IF(INDEX(lst_exp_item_cat,MATCH(E2036,lst_exp_items,0))="","❔ Без категории",INDEX(lst_exp_item_cat,MATCH(E2036,lst_exp_items,0))),"❔ Без категории"))</f>
        <v/>
      </c>
      <c r="G2036" s="43" t="n"/>
      <c r="H2036" s="56" t="n"/>
      <c r="I2036" s="43" t="n"/>
      <c r="J2036" s="57">
        <f>IF(OR(A2036="",H2036=""),"",IF(COUNTIFS(exp_year,C2036,exp_month,D2036,exp_item,E2036,exp_status,"&lt;&gt;❌ Отменено")&gt;0,1,0))</f>
        <v/>
      </c>
    </row>
    <row r="2037">
      <c r="A2037" s="52" t="n"/>
      <c r="B2037" s="53">
        <f>IF(A2037="","",CHOOSE(WEEKDAY(A2037,2),"Пн","Вт","Ср","Чт","Пт","Сб","Вс"))</f>
        <v/>
      </c>
      <c r="C2037" s="53">
        <f>IF(A2037="","",YEAR(A2037))</f>
        <v/>
      </c>
      <c r="D2037" s="54">
        <f>IF(A2037="","",INDEX(lst_months,MONTH(A2037)))</f>
        <v/>
      </c>
      <c r="E2037" s="55" t="n"/>
      <c r="F2037" s="54">
        <f>IF(E2037="","",IFERROR(IF(INDEX(lst_exp_item_cat,MATCH(E2037,lst_exp_items,0))="","❔ Без категории",INDEX(lst_exp_item_cat,MATCH(E2037,lst_exp_items,0))),"❔ Без категории"))</f>
        <v/>
      </c>
      <c r="G2037" s="43" t="n"/>
      <c r="H2037" s="56" t="n"/>
      <c r="I2037" s="43" t="n"/>
      <c r="J2037" s="57">
        <f>IF(OR(A2037="",H2037=""),"",IF(COUNTIFS(exp_year,C2037,exp_month,D2037,exp_item,E2037,exp_status,"&lt;&gt;❌ Отменено")&gt;0,1,0))</f>
        <v/>
      </c>
    </row>
    <row r="2038">
      <c r="A2038" s="52" t="n"/>
      <c r="B2038" s="53">
        <f>IF(A2038="","",CHOOSE(WEEKDAY(A2038,2),"Пн","Вт","Ср","Чт","Пт","Сб","Вс"))</f>
        <v/>
      </c>
      <c r="C2038" s="53">
        <f>IF(A2038="","",YEAR(A2038))</f>
        <v/>
      </c>
      <c r="D2038" s="54">
        <f>IF(A2038="","",INDEX(lst_months,MONTH(A2038)))</f>
        <v/>
      </c>
      <c r="E2038" s="55" t="n"/>
      <c r="F2038" s="54">
        <f>IF(E2038="","",IFERROR(IF(INDEX(lst_exp_item_cat,MATCH(E2038,lst_exp_items,0))="","❔ Без категории",INDEX(lst_exp_item_cat,MATCH(E2038,lst_exp_items,0))),"❔ Без категории"))</f>
        <v/>
      </c>
      <c r="G2038" s="43" t="n"/>
      <c r="H2038" s="56" t="n"/>
      <c r="I2038" s="43" t="n"/>
      <c r="J2038" s="57">
        <f>IF(OR(A2038="",H2038=""),"",IF(COUNTIFS(exp_year,C2038,exp_month,D2038,exp_item,E2038,exp_status,"&lt;&gt;❌ Отменено")&gt;0,1,0))</f>
        <v/>
      </c>
    </row>
    <row r="2039">
      <c r="A2039" s="52" t="n"/>
      <c r="B2039" s="53">
        <f>IF(A2039="","",CHOOSE(WEEKDAY(A2039,2),"Пн","Вт","Ср","Чт","Пт","Сб","Вс"))</f>
        <v/>
      </c>
      <c r="C2039" s="53">
        <f>IF(A2039="","",YEAR(A2039))</f>
        <v/>
      </c>
      <c r="D2039" s="54">
        <f>IF(A2039="","",INDEX(lst_months,MONTH(A2039)))</f>
        <v/>
      </c>
      <c r="E2039" s="55" t="n"/>
      <c r="F2039" s="54">
        <f>IF(E2039="","",IFERROR(IF(INDEX(lst_exp_item_cat,MATCH(E2039,lst_exp_items,0))="","❔ Без категории",INDEX(lst_exp_item_cat,MATCH(E2039,lst_exp_items,0))),"❔ Без категории"))</f>
        <v/>
      </c>
      <c r="G2039" s="43" t="n"/>
      <c r="H2039" s="56" t="n"/>
      <c r="I2039" s="43" t="n"/>
      <c r="J2039" s="57">
        <f>IF(OR(A2039="",H2039=""),"",IF(COUNTIFS(exp_year,C2039,exp_month,D2039,exp_item,E2039,exp_status,"&lt;&gt;❌ Отменено")&gt;0,1,0))</f>
        <v/>
      </c>
    </row>
    <row r="2040">
      <c r="A2040" s="52" t="n"/>
      <c r="B2040" s="53">
        <f>IF(A2040="","",CHOOSE(WEEKDAY(A2040,2),"Пн","Вт","Ср","Чт","Пт","Сб","Вс"))</f>
        <v/>
      </c>
      <c r="C2040" s="53">
        <f>IF(A2040="","",YEAR(A2040))</f>
        <v/>
      </c>
      <c r="D2040" s="54">
        <f>IF(A2040="","",INDEX(lst_months,MONTH(A2040)))</f>
        <v/>
      </c>
      <c r="E2040" s="55" t="n"/>
      <c r="F2040" s="54">
        <f>IF(E2040="","",IFERROR(IF(INDEX(lst_exp_item_cat,MATCH(E2040,lst_exp_items,0))="","❔ Без категории",INDEX(lst_exp_item_cat,MATCH(E2040,lst_exp_items,0))),"❔ Без категории"))</f>
        <v/>
      </c>
      <c r="G2040" s="43" t="n"/>
      <c r="H2040" s="56" t="n"/>
      <c r="I2040" s="43" t="n"/>
      <c r="J2040" s="57">
        <f>IF(OR(A2040="",H2040=""),"",IF(COUNTIFS(exp_year,C2040,exp_month,D2040,exp_item,E2040,exp_status,"&lt;&gt;❌ Отменено")&gt;0,1,0))</f>
        <v/>
      </c>
    </row>
    <row r="2041">
      <c r="A2041" s="52" t="n"/>
      <c r="B2041" s="53">
        <f>IF(A2041="","",CHOOSE(WEEKDAY(A2041,2),"Пн","Вт","Ср","Чт","Пт","Сб","Вс"))</f>
        <v/>
      </c>
      <c r="C2041" s="53">
        <f>IF(A2041="","",YEAR(A2041))</f>
        <v/>
      </c>
      <c r="D2041" s="54">
        <f>IF(A2041="","",INDEX(lst_months,MONTH(A2041)))</f>
        <v/>
      </c>
      <c r="E2041" s="55" t="n"/>
      <c r="F2041" s="54">
        <f>IF(E2041="","",IFERROR(IF(INDEX(lst_exp_item_cat,MATCH(E2041,lst_exp_items,0))="","❔ Без категории",INDEX(lst_exp_item_cat,MATCH(E2041,lst_exp_items,0))),"❔ Без категории"))</f>
        <v/>
      </c>
      <c r="G2041" s="43" t="n"/>
      <c r="H2041" s="56" t="n"/>
      <c r="I2041" s="43" t="n"/>
      <c r="J2041" s="57">
        <f>IF(OR(A2041="",H2041=""),"",IF(COUNTIFS(exp_year,C2041,exp_month,D2041,exp_item,E2041,exp_status,"&lt;&gt;❌ Отменено")&gt;0,1,0))</f>
        <v/>
      </c>
    </row>
    <row r="2042">
      <c r="A2042" s="52" t="n"/>
      <c r="B2042" s="53">
        <f>IF(A2042="","",CHOOSE(WEEKDAY(A2042,2),"Пн","Вт","Ср","Чт","Пт","Сб","Вс"))</f>
        <v/>
      </c>
      <c r="C2042" s="53">
        <f>IF(A2042="","",YEAR(A2042))</f>
        <v/>
      </c>
      <c r="D2042" s="54">
        <f>IF(A2042="","",INDEX(lst_months,MONTH(A2042)))</f>
        <v/>
      </c>
      <c r="E2042" s="55" t="n"/>
      <c r="F2042" s="54">
        <f>IF(E2042="","",IFERROR(IF(INDEX(lst_exp_item_cat,MATCH(E2042,lst_exp_items,0))="","❔ Без категории",INDEX(lst_exp_item_cat,MATCH(E2042,lst_exp_items,0))),"❔ Без категории"))</f>
        <v/>
      </c>
      <c r="G2042" s="43" t="n"/>
      <c r="H2042" s="56" t="n"/>
      <c r="I2042" s="43" t="n"/>
      <c r="J2042" s="57">
        <f>IF(OR(A2042="",H2042=""),"",IF(COUNTIFS(exp_year,C2042,exp_month,D2042,exp_item,E2042,exp_status,"&lt;&gt;❌ Отменено")&gt;0,1,0))</f>
        <v/>
      </c>
    </row>
    <row r="2043">
      <c r="A2043" s="52" t="n"/>
      <c r="B2043" s="53">
        <f>IF(A2043="","",CHOOSE(WEEKDAY(A2043,2),"Пн","Вт","Ср","Чт","Пт","Сб","Вс"))</f>
        <v/>
      </c>
      <c r="C2043" s="53">
        <f>IF(A2043="","",YEAR(A2043))</f>
        <v/>
      </c>
      <c r="D2043" s="54">
        <f>IF(A2043="","",INDEX(lst_months,MONTH(A2043)))</f>
        <v/>
      </c>
      <c r="E2043" s="55" t="n"/>
      <c r="F2043" s="54">
        <f>IF(E2043="","",IFERROR(IF(INDEX(lst_exp_item_cat,MATCH(E2043,lst_exp_items,0))="","❔ Без категории",INDEX(lst_exp_item_cat,MATCH(E2043,lst_exp_items,0))),"❔ Без категории"))</f>
        <v/>
      </c>
      <c r="G2043" s="43" t="n"/>
      <c r="H2043" s="56" t="n"/>
      <c r="I2043" s="43" t="n"/>
      <c r="J2043" s="57">
        <f>IF(OR(A2043="",H2043=""),"",IF(COUNTIFS(exp_year,C2043,exp_month,D2043,exp_item,E2043,exp_status,"&lt;&gt;❌ Отменено")&gt;0,1,0))</f>
        <v/>
      </c>
    </row>
    <row r="2044">
      <c r="A2044" s="52" t="n"/>
      <c r="B2044" s="53">
        <f>IF(A2044="","",CHOOSE(WEEKDAY(A2044,2),"Пн","Вт","Ср","Чт","Пт","Сб","Вс"))</f>
        <v/>
      </c>
      <c r="C2044" s="53">
        <f>IF(A2044="","",YEAR(A2044))</f>
        <v/>
      </c>
      <c r="D2044" s="54">
        <f>IF(A2044="","",INDEX(lst_months,MONTH(A2044)))</f>
        <v/>
      </c>
      <c r="E2044" s="55" t="n"/>
      <c r="F2044" s="54">
        <f>IF(E2044="","",IFERROR(IF(INDEX(lst_exp_item_cat,MATCH(E2044,lst_exp_items,0))="","❔ Без категории",INDEX(lst_exp_item_cat,MATCH(E2044,lst_exp_items,0))),"❔ Без категории"))</f>
        <v/>
      </c>
      <c r="G2044" s="43" t="n"/>
      <c r="H2044" s="56" t="n"/>
      <c r="I2044" s="43" t="n"/>
      <c r="J2044" s="57">
        <f>IF(OR(A2044="",H2044=""),"",IF(COUNTIFS(exp_year,C2044,exp_month,D2044,exp_item,E2044,exp_status,"&lt;&gt;❌ Отменено")&gt;0,1,0))</f>
        <v/>
      </c>
    </row>
    <row r="2045">
      <c r="A2045" s="52" t="n"/>
      <c r="B2045" s="53">
        <f>IF(A2045="","",CHOOSE(WEEKDAY(A2045,2),"Пн","Вт","Ср","Чт","Пт","Сб","Вс"))</f>
        <v/>
      </c>
      <c r="C2045" s="53">
        <f>IF(A2045="","",YEAR(A2045))</f>
        <v/>
      </c>
      <c r="D2045" s="54">
        <f>IF(A2045="","",INDEX(lst_months,MONTH(A2045)))</f>
        <v/>
      </c>
      <c r="E2045" s="55" t="n"/>
      <c r="F2045" s="54">
        <f>IF(E2045="","",IFERROR(IF(INDEX(lst_exp_item_cat,MATCH(E2045,lst_exp_items,0))="","❔ Без категории",INDEX(lst_exp_item_cat,MATCH(E2045,lst_exp_items,0))),"❔ Без категории"))</f>
        <v/>
      </c>
      <c r="G2045" s="43" t="n"/>
      <c r="H2045" s="56" t="n"/>
      <c r="I2045" s="43" t="n"/>
      <c r="J2045" s="57">
        <f>IF(OR(A2045="",H2045=""),"",IF(COUNTIFS(exp_year,C2045,exp_month,D2045,exp_item,E2045,exp_status,"&lt;&gt;❌ Отменено")&gt;0,1,0))</f>
        <v/>
      </c>
    </row>
    <row r="2046">
      <c r="A2046" s="52" t="n"/>
      <c r="B2046" s="53">
        <f>IF(A2046="","",CHOOSE(WEEKDAY(A2046,2),"Пн","Вт","Ср","Чт","Пт","Сб","Вс"))</f>
        <v/>
      </c>
      <c r="C2046" s="53">
        <f>IF(A2046="","",YEAR(A2046))</f>
        <v/>
      </c>
      <c r="D2046" s="54">
        <f>IF(A2046="","",INDEX(lst_months,MONTH(A2046)))</f>
        <v/>
      </c>
      <c r="E2046" s="55" t="n"/>
      <c r="F2046" s="54">
        <f>IF(E2046="","",IFERROR(IF(INDEX(lst_exp_item_cat,MATCH(E2046,lst_exp_items,0))="","❔ Без категории",INDEX(lst_exp_item_cat,MATCH(E2046,lst_exp_items,0))),"❔ Без категории"))</f>
        <v/>
      </c>
      <c r="G2046" s="43" t="n"/>
      <c r="H2046" s="56" t="n"/>
      <c r="I2046" s="43" t="n"/>
      <c r="J2046" s="57">
        <f>IF(OR(A2046="",H2046=""),"",IF(COUNTIFS(exp_year,C2046,exp_month,D2046,exp_item,E2046,exp_status,"&lt;&gt;❌ Отменено")&gt;0,1,0))</f>
        <v/>
      </c>
    </row>
    <row r="2047">
      <c r="A2047" s="52" t="n"/>
      <c r="B2047" s="53">
        <f>IF(A2047="","",CHOOSE(WEEKDAY(A2047,2),"Пн","Вт","Ср","Чт","Пт","Сб","Вс"))</f>
        <v/>
      </c>
      <c r="C2047" s="53">
        <f>IF(A2047="","",YEAR(A2047))</f>
        <v/>
      </c>
      <c r="D2047" s="54">
        <f>IF(A2047="","",INDEX(lst_months,MONTH(A2047)))</f>
        <v/>
      </c>
      <c r="E2047" s="55" t="n"/>
      <c r="F2047" s="54">
        <f>IF(E2047="","",IFERROR(IF(INDEX(lst_exp_item_cat,MATCH(E2047,lst_exp_items,0))="","❔ Без категории",INDEX(lst_exp_item_cat,MATCH(E2047,lst_exp_items,0))),"❔ Без категории"))</f>
        <v/>
      </c>
      <c r="G2047" s="43" t="n"/>
      <c r="H2047" s="56" t="n"/>
      <c r="I2047" s="43" t="n"/>
      <c r="J2047" s="57">
        <f>IF(OR(A2047="",H2047=""),"",IF(COUNTIFS(exp_year,C2047,exp_month,D2047,exp_item,E2047,exp_status,"&lt;&gt;❌ Отменено")&gt;0,1,0))</f>
        <v/>
      </c>
    </row>
    <row r="2048">
      <c r="A2048" s="52" t="n"/>
      <c r="B2048" s="53">
        <f>IF(A2048="","",CHOOSE(WEEKDAY(A2048,2),"Пн","Вт","Ср","Чт","Пт","Сб","Вс"))</f>
        <v/>
      </c>
      <c r="C2048" s="53">
        <f>IF(A2048="","",YEAR(A2048))</f>
        <v/>
      </c>
      <c r="D2048" s="54">
        <f>IF(A2048="","",INDEX(lst_months,MONTH(A2048)))</f>
        <v/>
      </c>
      <c r="E2048" s="55" t="n"/>
      <c r="F2048" s="54">
        <f>IF(E2048="","",IFERROR(IF(INDEX(lst_exp_item_cat,MATCH(E2048,lst_exp_items,0))="","❔ Без категории",INDEX(lst_exp_item_cat,MATCH(E2048,lst_exp_items,0))),"❔ Без категории"))</f>
        <v/>
      </c>
      <c r="G2048" s="43" t="n"/>
      <c r="H2048" s="56" t="n"/>
      <c r="I2048" s="43" t="n"/>
      <c r="J2048" s="57">
        <f>IF(OR(A2048="",H2048=""),"",IF(COUNTIFS(exp_year,C2048,exp_month,D2048,exp_item,E2048,exp_status,"&lt;&gt;❌ Отменено")&gt;0,1,0))</f>
        <v/>
      </c>
    </row>
    <row r="2049">
      <c r="A2049" s="52" t="n"/>
      <c r="B2049" s="53">
        <f>IF(A2049="","",CHOOSE(WEEKDAY(A2049,2),"Пн","Вт","Ср","Чт","Пт","Сб","Вс"))</f>
        <v/>
      </c>
      <c r="C2049" s="53">
        <f>IF(A2049="","",YEAR(A2049))</f>
        <v/>
      </c>
      <c r="D2049" s="54">
        <f>IF(A2049="","",INDEX(lst_months,MONTH(A2049)))</f>
        <v/>
      </c>
      <c r="E2049" s="55" t="n"/>
      <c r="F2049" s="54">
        <f>IF(E2049="","",IFERROR(IF(INDEX(lst_exp_item_cat,MATCH(E2049,lst_exp_items,0))="","❔ Без категории",INDEX(lst_exp_item_cat,MATCH(E2049,lst_exp_items,0))),"❔ Без категории"))</f>
        <v/>
      </c>
      <c r="G2049" s="43" t="n"/>
      <c r="H2049" s="56" t="n"/>
      <c r="I2049" s="43" t="n"/>
      <c r="J2049" s="57">
        <f>IF(OR(A2049="",H2049=""),"",IF(COUNTIFS(exp_year,C2049,exp_month,D2049,exp_item,E2049,exp_status,"&lt;&gt;❌ Отменено")&gt;0,1,0))</f>
        <v/>
      </c>
    </row>
    <row r="2050">
      <c r="A2050" s="52" t="n"/>
      <c r="B2050" s="53">
        <f>IF(A2050="","",CHOOSE(WEEKDAY(A2050,2),"Пн","Вт","Ср","Чт","Пт","Сб","Вс"))</f>
        <v/>
      </c>
      <c r="C2050" s="53">
        <f>IF(A2050="","",YEAR(A2050))</f>
        <v/>
      </c>
      <c r="D2050" s="54">
        <f>IF(A2050="","",INDEX(lst_months,MONTH(A2050)))</f>
        <v/>
      </c>
      <c r="E2050" s="55" t="n"/>
      <c r="F2050" s="54">
        <f>IF(E2050="","",IFERROR(IF(INDEX(lst_exp_item_cat,MATCH(E2050,lst_exp_items,0))="","❔ Без категории",INDEX(lst_exp_item_cat,MATCH(E2050,lst_exp_items,0))),"❔ Без категории"))</f>
        <v/>
      </c>
      <c r="G2050" s="43" t="n"/>
      <c r="H2050" s="56" t="n"/>
      <c r="I2050" s="43" t="n"/>
      <c r="J2050" s="57">
        <f>IF(OR(A2050="",H2050=""),"",IF(COUNTIFS(exp_year,C2050,exp_month,D2050,exp_item,E2050,exp_status,"&lt;&gt;❌ Отменено")&gt;0,1,0))</f>
        <v/>
      </c>
    </row>
    <row r="2051">
      <c r="A2051" s="52" t="n"/>
      <c r="B2051" s="53">
        <f>IF(A2051="","",CHOOSE(WEEKDAY(A2051,2),"Пн","Вт","Ср","Чт","Пт","Сб","Вс"))</f>
        <v/>
      </c>
      <c r="C2051" s="53">
        <f>IF(A2051="","",YEAR(A2051))</f>
        <v/>
      </c>
      <c r="D2051" s="54">
        <f>IF(A2051="","",INDEX(lst_months,MONTH(A2051)))</f>
        <v/>
      </c>
      <c r="E2051" s="55" t="n"/>
      <c r="F2051" s="54">
        <f>IF(E2051="","",IFERROR(IF(INDEX(lst_exp_item_cat,MATCH(E2051,lst_exp_items,0))="","❔ Без категории",INDEX(lst_exp_item_cat,MATCH(E2051,lst_exp_items,0))),"❔ Без категории"))</f>
        <v/>
      </c>
      <c r="G2051" s="43" t="n"/>
      <c r="H2051" s="56" t="n"/>
      <c r="I2051" s="43" t="n"/>
      <c r="J2051" s="57">
        <f>IF(OR(A2051="",H2051=""),"",IF(COUNTIFS(exp_year,C2051,exp_month,D2051,exp_item,E2051,exp_status,"&lt;&gt;❌ Отменено")&gt;0,1,0))</f>
        <v/>
      </c>
    </row>
    <row r="2052">
      <c r="A2052" s="52" t="n"/>
      <c r="B2052" s="53">
        <f>IF(A2052="","",CHOOSE(WEEKDAY(A2052,2),"Пн","Вт","Ср","Чт","Пт","Сб","Вс"))</f>
        <v/>
      </c>
      <c r="C2052" s="53">
        <f>IF(A2052="","",YEAR(A2052))</f>
        <v/>
      </c>
      <c r="D2052" s="54">
        <f>IF(A2052="","",INDEX(lst_months,MONTH(A2052)))</f>
        <v/>
      </c>
      <c r="E2052" s="55" t="n"/>
      <c r="F2052" s="54">
        <f>IF(E2052="","",IFERROR(IF(INDEX(lst_exp_item_cat,MATCH(E2052,lst_exp_items,0))="","❔ Без категории",INDEX(lst_exp_item_cat,MATCH(E2052,lst_exp_items,0))),"❔ Без категории"))</f>
        <v/>
      </c>
      <c r="G2052" s="43" t="n"/>
      <c r="H2052" s="56" t="n"/>
      <c r="I2052" s="43" t="n"/>
      <c r="J2052" s="57">
        <f>IF(OR(A2052="",H2052=""),"",IF(COUNTIFS(exp_year,C2052,exp_month,D2052,exp_item,E2052,exp_status,"&lt;&gt;❌ Отменено")&gt;0,1,0))</f>
        <v/>
      </c>
    </row>
    <row r="2053">
      <c r="A2053" s="52" t="n"/>
      <c r="B2053" s="53">
        <f>IF(A2053="","",CHOOSE(WEEKDAY(A2053,2),"Пн","Вт","Ср","Чт","Пт","Сб","Вс"))</f>
        <v/>
      </c>
      <c r="C2053" s="53">
        <f>IF(A2053="","",YEAR(A2053))</f>
        <v/>
      </c>
      <c r="D2053" s="54">
        <f>IF(A2053="","",INDEX(lst_months,MONTH(A2053)))</f>
        <v/>
      </c>
      <c r="E2053" s="55" t="n"/>
      <c r="F2053" s="54">
        <f>IF(E2053="","",IFERROR(IF(INDEX(lst_exp_item_cat,MATCH(E2053,lst_exp_items,0))="","❔ Без категории",INDEX(lst_exp_item_cat,MATCH(E2053,lst_exp_items,0))),"❔ Без категории"))</f>
        <v/>
      </c>
      <c r="G2053" s="43" t="n"/>
      <c r="H2053" s="56" t="n"/>
      <c r="I2053" s="43" t="n"/>
      <c r="J2053" s="57">
        <f>IF(OR(A2053="",H2053=""),"",IF(COUNTIFS(exp_year,C2053,exp_month,D2053,exp_item,E2053,exp_status,"&lt;&gt;❌ Отменено")&gt;0,1,0))</f>
        <v/>
      </c>
    </row>
    <row r="2054">
      <c r="A2054" s="52" t="n"/>
      <c r="B2054" s="53">
        <f>IF(A2054="","",CHOOSE(WEEKDAY(A2054,2),"Пн","Вт","Ср","Чт","Пт","Сб","Вс"))</f>
        <v/>
      </c>
      <c r="C2054" s="53">
        <f>IF(A2054="","",YEAR(A2054))</f>
        <v/>
      </c>
      <c r="D2054" s="54">
        <f>IF(A2054="","",INDEX(lst_months,MONTH(A2054)))</f>
        <v/>
      </c>
      <c r="E2054" s="55" t="n"/>
      <c r="F2054" s="54">
        <f>IF(E2054="","",IFERROR(IF(INDEX(lst_exp_item_cat,MATCH(E2054,lst_exp_items,0))="","❔ Без категории",INDEX(lst_exp_item_cat,MATCH(E2054,lst_exp_items,0))),"❔ Без категории"))</f>
        <v/>
      </c>
      <c r="G2054" s="43" t="n"/>
      <c r="H2054" s="56" t="n"/>
      <c r="I2054" s="43" t="n"/>
      <c r="J2054" s="57">
        <f>IF(OR(A2054="",H2054=""),"",IF(COUNTIFS(exp_year,C2054,exp_month,D2054,exp_item,E2054,exp_status,"&lt;&gt;❌ Отменено")&gt;0,1,0))</f>
        <v/>
      </c>
    </row>
    <row r="2055">
      <c r="A2055" s="52" t="n"/>
      <c r="B2055" s="53">
        <f>IF(A2055="","",CHOOSE(WEEKDAY(A2055,2),"Пн","Вт","Ср","Чт","Пт","Сб","Вс"))</f>
        <v/>
      </c>
      <c r="C2055" s="53">
        <f>IF(A2055="","",YEAR(A2055))</f>
        <v/>
      </c>
      <c r="D2055" s="54">
        <f>IF(A2055="","",INDEX(lst_months,MONTH(A2055)))</f>
        <v/>
      </c>
      <c r="E2055" s="55" t="n"/>
      <c r="F2055" s="54">
        <f>IF(E2055="","",IFERROR(IF(INDEX(lst_exp_item_cat,MATCH(E2055,lst_exp_items,0))="","❔ Без категории",INDEX(lst_exp_item_cat,MATCH(E2055,lst_exp_items,0))),"❔ Без категории"))</f>
        <v/>
      </c>
      <c r="G2055" s="43" t="n"/>
      <c r="H2055" s="56" t="n"/>
      <c r="I2055" s="43" t="n"/>
      <c r="J2055" s="57">
        <f>IF(OR(A2055="",H2055=""),"",IF(COUNTIFS(exp_year,C2055,exp_month,D2055,exp_item,E2055,exp_status,"&lt;&gt;❌ Отменено")&gt;0,1,0))</f>
        <v/>
      </c>
    </row>
    <row r="2056">
      <c r="A2056" s="52" t="n"/>
      <c r="B2056" s="53">
        <f>IF(A2056="","",CHOOSE(WEEKDAY(A2056,2),"Пн","Вт","Ср","Чт","Пт","Сб","Вс"))</f>
        <v/>
      </c>
      <c r="C2056" s="53">
        <f>IF(A2056="","",YEAR(A2056))</f>
        <v/>
      </c>
      <c r="D2056" s="54">
        <f>IF(A2056="","",INDEX(lst_months,MONTH(A2056)))</f>
        <v/>
      </c>
      <c r="E2056" s="55" t="n"/>
      <c r="F2056" s="54">
        <f>IF(E2056="","",IFERROR(IF(INDEX(lst_exp_item_cat,MATCH(E2056,lst_exp_items,0))="","❔ Без категории",INDEX(lst_exp_item_cat,MATCH(E2056,lst_exp_items,0))),"❔ Без категории"))</f>
        <v/>
      </c>
      <c r="G2056" s="43" t="n"/>
      <c r="H2056" s="56" t="n"/>
      <c r="I2056" s="43" t="n"/>
      <c r="J2056" s="57">
        <f>IF(OR(A2056="",H2056=""),"",IF(COUNTIFS(exp_year,C2056,exp_month,D2056,exp_item,E2056,exp_status,"&lt;&gt;❌ Отменено")&gt;0,1,0))</f>
        <v/>
      </c>
    </row>
    <row r="2057">
      <c r="A2057" s="52" t="n"/>
      <c r="B2057" s="53">
        <f>IF(A2057="","",CHOOSE(WEEKDAY(A2057,2),"Пн","Вт","Ср","Чт","Пт","Сб","Вс"))</f>
        <v/>
      </c>
      <c r="C2057" s="53">
        <f>IF(A2057="","",YEAR(A2057))</f>
        <v/>
      </c>
      <c r="D2057" s="54">
        <f>IF(A2057="","",INDEX(lst_months,MONTH(A2057)))</f>
        <v/>
      </c>
      <c r="E2057" s="55" t="n"/>
      <c r="F2057" s="54">
        <f>IF(E2057="","",IFERROR(IF(INDEX(lst_exp_item_cat,MATCH(E2057,lst_exp_items,0))="","❔ Без категории",INDEX(lst_exp_item_cat,MATCH(E2057,lst_exp_items,0))),"❔ Без категории"))</f>
        <v/>
      </c>
      <c r="G2057" s="43" t="n"/>
      <c r="H2057" s="56" t="n"/>
      <c r="I2057" s="43" t="n"/>
      <c r="J2057" s="57">
        <f>IF(OR(A2057="",H2057=""),"",IF(COUNTIFS(exp_year,C2057,exp_month,D2057,exp_item,E2057,exp_status,"&lt;&gt;❌ Отменено")&gt;0,1,0))</f>
        <v/>
      </c>
    </row>
    <row r="2058">
      <c r="A2058" s="52" t="n"/>
      <c r="B2058" s="53">
        <f>IF(A2058="","",CHOOSE(WEEKDAY(A2058,2),"Пн","Вт","Ср","Чт","Пт","Сб","Вс"))</f>
        <v/>
      </c>
      <c r="C2058" s="53">
        <f>IF(A2058="","",YEAR(A2058))</f>
        <v/>
      </c>
      <c r="D2058" s="54">
        <f>IF(A2058="","",INDEX(lst_months,MONTH(A2058)))</f>
        <v/>
      </c>
      <c r="E2058" s="55" t="n"/>
      <c r="F2058" s="54">
        <f>IF(E2058="","",IFERROR(IF(INDEX(lst_exp_item_cat,MATCH(E2058,lst_exp_items,0))="","❔ Без категории",INDEX(lst_exp_item_cat,MATCH(E2058,lst_exp_items,0))),"❔ Без категории"))</f>
        <v/>
      </c>
      <c r="G2058" s="43" t="n"/>
      <c r="H2058" s="56" t="n"/>
      <c r="I2058" s="43" t="n"/>
      <c r="J2058" s="57">
        <f>IF(OR(A2058="",H2058=""),"",IF(COUNTIFS(exp_year,C2058,exp_month,D2058,exp_item,E2058,exp_status,"&lt;&gt;❌ Отменено")&gt;0,1,0))</f>
        <v/>
      </c>
    </row>
    <row r="2059">
      <c r="A2059" s="52" t="n"/>
      <c r="B2059" s="53">
        <f>IF(A2059="","",CHOOSE(WEEKDAY(A2059,2),"Пн","Вт","Ср","Чт","Пт","Сб","Вс"))</f>
        <v/>
      </c>
      <c r="C2059" s="53">
        <f>IF(A2059="","",YEAR(A2059))</f>
        <v/>
      </c>
      <c r="D2059" s="54">
        <f>IF(A2059="","",INDEX(lst_months,MONTH(A2059)))</f>
        <v/>
      </c>
      <c r="E2059" s="55" t="n"/>
      <c r="F2059" s="54">
        <f>IF(E2059="","",IFERROR(IF(INDEX(lst_exp_item_cat,MATCH(E2059,lst_exp_items,0))="","❔ Без категории",INDEX(lst_exp_item_cat,MATCH(E2059,lst_exp_items,0))),"❔ Без категории"))</f>
        <v/>
      </c>
      <c r="G2059" s="43" t="n"/>
      <c r="H2059" s="56" t="n"/>
      <c r="I2059" s="43" t="n"/>
      <c r="J2059" s="57">
        <f>IF(OR(A2059="",H2059=""),"",IF(COUNTIFS(exp_year,C2059,exp_month,D2059,exp_item,E2059,exp_status,"&lt;&gt;❌ Отменено")&gt;0,1,0))</f>
        <v/>
      </c>
    </row>
    <row r="2060">
      <c r="A2060" s="52" t="n"/>
      <c r="B2060" s="53">
        <f>IF(A2060="","",CHOOSE(WEEKDAY(A2060,2),"Пн","Вт","Ср","Чт","Пт","Сб","Вс"))</f>
        <v/>
      </c>
      <c r="C2060" s="53">
        <f>IF(A2060="","",YEAR(A2060))</f>
        <v/>
      </c>
      <c r="D2060" s="54">
        <f>IF(A2060="","",INDEX(lst_months,MONTH(A2060)))</f>
        <v/>
      </c>
      <c r="E2060" s="55" t="n"/>
      <c r="F2060" s="54">
        <f>IF(E2060="","",IFERROR(IF(INDEX(lst_exp_item_cat,MATCH(E2060,lst_exp_items,0))="","❔ Без категории",INDEX(lst_exp_item_cat,MATCH(E2060,lst_exp_items,0))),"❔ Без категории"))</f>
        <v/>
      </c>
      <c r="G2060" s="43" t="n"/>
      <c r="H2060" s="56" t="n"/>
      <c r="I2060" s="43" t="n"/>
      <c r="J2060" s="57">
        <f>IF(OR(A2060="",H2060=""),"",IF(COUNTIFS(exp_year,C2060,exp_month,D2060,exp_item,E2060,exp_status,"&lt;&gt;❌ Отменено")&gt;0,1,0))</f>
        <v/>
      </c>
    </row>
    <row r="2061">
      <c r="A2061" s="52" t="n"/>
      <c r="B2061" s="53">
        <f>IF(A2061="","",CHOOSE(WEEKDAY(A2061,2),"Пн","Вт","Ср","Чт","Пт","Сб","Вс"))</f>
        <v/>
      </c>
      <c r="C2061" s="53">
        <f>IF(A2061="","",YEAR(A2061))</f>
        <v/>
      </c>
      <c r="D2061" s="54">
        <f>IF(A2061="","",INDEX(lst_months,MONTH(A2061)))</f>
        <v/>
      </c>
      <c r="E2061" s="55" t="n"/>
      <c r="F2061" s="54">
        <f>IF(E2061="","",IFERROR(IF(INDEX(lst_exp_item_cat,MATCH(E2061,lst_exp_items,0))="","❔ Без категории",INDEX(lst_exp_item_cat,MATCH(E2061,lst_exp_items,0))),"❔ Без категории"))</f>
        <v/>
      </c>
      <c r="G2061" s="43" t="n"/>
      <c r="H2061" s="56" t="n"/>
      <c r="I2061" s="43" t="n"/>
      <c r="J2061" s="57">
        <f>IF(OR(A2061="",H2061=""),"",IF(COUNTIFS(exp_year,C2061,exp_month,D2061,exp_item,E2061,exp_status,"&lt;&gt;❌ Отменено")&gt;0,1,0))</f>
        <v/>
      </c>
    </row>
    <row r="2062">
      <c r="A2062" s="52" t="n"/>
      <c r="B2062" s="53">
        <f>IF(A2062="","",CHOOSE(WEEKDAY(A2062,2),"Пн","Вт","Ср","Чт","Пт","Сб","Вс"))</f>
        <v/>
      </c>
      <c r="C2062" s="53">
        <f>IF(A2062="","",YEAR(A2062))</f>
        <v/>
      </c>
      <c r="D2062" s="54">
        <f>IF(A2062="","",INDEX(lst_months,MONTH(A2062)))</f>
        <v/>
      </c>
      <c r="E2062" s="55" t="n"/>
      <c r="F2062" s="54">
        <f>IF(E2062="","",IFERROR(IF(INDEX(lst_exp_item_cat,MATCH(E2062,lst_exp_items,0))="","❔ Без категории",INDEX(lst_exp_item_cat,MATCH(E2062,lst_exp_items,0))),"❔ Без категории"))</f>
        <v/>
      </c>
      <c r="G2062" s="43" t="n"/>
      <c r="H2062" s="56" t="n"/>
      <c r="I2062" s="43" t="n"/>
      <c r="J2062" s="57">
        <f>IF(OR(A2062="",H2062=""),"",IF(COUNTIFS(exp_year,C2062,exp_month,D2062,exp_item,E2062,exp_status,"&lt;&gt;❌ Отменено")&gt;0,1,0))</f>
        <v/>
      </c>
    </row>
    <row r="2063">
      <c r="A2063" s="52" t="n"/>
      <c r="B2063" s="53">
        <f>IF(A2063="","",CHOOSE(WEEKDAY(A2063,2),"Пн","Вт","Ср","Чт","Пт","Сб","Вс"))</f>
        <v/>
      </c>
      <c r="C2063" s="53">
        <f>IF(A2063="","",YEAR(A2063))</f>
        <v/>
      </c>
      <c r="D2063" s="54">
        <f>IF(A2063="","",INDEX(lst_months,MONTH(A2063)))</f>
        <v/>
      </c>
      <c r="E2063" s="55" t="n"/>
      <c r="F2063" s="54">
        <f>IF(E2063="","",IFERROR(IF(INDEX(lst_exp_item_cat,MATCH(E2063,lst_exp_items,0))="","❔ Без категории",INDEX(lst_exp_item_cat,MATCH(E2063,lst_exp_items,0))),"❔ Без категории"))</f>
        <v/>
      </c>
      <c r="G2063" s="43" t="n"/>
      <c r="H2063" s="56" t="n"/>
      <c r="I2063" s="43" t="n"/>
      <c r="J2063" s="57">
        <f>IF(OR(A2063="",H2063=""),"",IF(COUNTIFS(exp_year,C2063,exp_month,D2063,exp_item,E2063,exp_status,"&lt;&gt;❌ Отменено")&gt;0,1,0))</f>
        <v/>
      </c>
    </row>
    <row r="2064">
      <c r="A2064" s="52" t="n"/>
      <c r="B2064" s="53">
        <f>IF(A2064="","",CHOOSE(WEEKDAY(A2064,2),"Пн","Вт","Ср","Чт","Пт","Сб","Вс"))</f>
        <v/>
      </c>
      <c r="C2064" s="53">
        <f>IF(A2064="","",YEAR(A2064))</f>
        <v/>
      </c>
      <c r="D2064" s="54">
        <f>IF(A2064="","",INDEX(lst_months,MONTH(A2064)))</f>
        <v/>
      </c>
      <c r="E2064" s="55" t="n"/>
      <c r="F2064" s="54">
        <f>IF(E2064="","",IFERROR(IF(INDEX(lst_exp_item_cat,MATCH(E2064,lst_exp_items,0))="","❔ Без категории",INDEX(lst_exp_item_cat,MATCH(E2064,lst_exp_items,0))),"❔ Без категории"))</f>
        <v/>
      </c>
      <c r="G2064" s="43" t="n"/>
      <c r="H2064" s="56" t="n"/>
      <c r="I2064" s="43" t="n"/>
      <c r="J2064" s="57">
        <f>IF(OR(A2064="",H2064=""),"",IF(COUNTIFS(exp_year,C2064,exp_month,D2064,exp_item,E2064,exp_status,"&lt;&gt;❌ Отменено")&gt;0,1,0))</f>
        <v/>
      </c>
    </row>
    <row r="2065">
      <c r="A2065" s="52" t="n"/>
      <c r="B2065" s="53">
        <f>IF(A2065="","",CHOOSE(WEEKDAY(A2065,2),"Пн","Вт","Ср","Чт","Пт","Сб","Вс"))</f>
        <v/>
      </c>
      <c r="C2065" s="53">
        <f>IF(A2065="","",YEAR(A2065))</f>
        <v/>
      </c>
      <c r="D2065" s="54">
        <f>IF(A2065="","",INDEX(lst_months,MONTH(A2065)))</f>
        <v/>
      </c>
      <c r="E2065" s="55" t="n"/>
      <c r="F2065" s="54">
        <f>IF(E2065="","",IFERROR(IF(INDEX(lst_exp_item_cat,MATCH(E2065,lst_exp_items,0))="","❔ Без категории",INDEX(lst_exp_item_cat,MATCH(E2065,lst_exp_items,0))),"❔ Без категории"))</f>
        <v/>
      </c>
      <c r="G2065" s="43" t="n"/>
      <c r="H2065" s="56" t="n"/>
      <c r="I2065" s="43" t="n"/>
      <c r="J2065" s="57">
        <f>IF(OR(A2065="",H2065=""),"",IF(COUNTIFS(exp_year,C2065,exp_month,D2065,exp_item,E2065,exp_status,"&lt;&gt;❌ Отменено")&gt;0,1,0))</f>
        <v/>
      </c>
    </row>
    <row r="2066">
      <c r="A2066" s="52" t="n"/>
      <c r="B2066" s="53">
        <f>IF(A2066="","",CHOOSE(WEEKDAY(A2066,2),"Пн","Вт","Ср","Чт","Пт","Сб","Вс"))</f>
        <v/>
      </c>
      <c r="C2066" s="53">
        <f>IF(A2066="","",YEAR(A2066))</f>
        <v/>
      </c>
      <c r="D2066" s="54">
        <f>IF(A2066="","",INDEX(lst_months,MONTH(A2066)))</f>
        <v/>
      </c>
      <c r="E2066" s="55" t="n"/>
      <c r="F2066" s="54">
        <f>IF(E2066="","",IFERROR(IF(INDEX(lst_exp_item_cat,MATCH(E2066,lst_exp_items,0))="","❔ Без категории",INDEX(lst_exp_item_cat,MATCH(E2066,lst_exp_items,0))),"❔ Без категории"))</f>
        <v/>
      </c>
      <c r="G2066" s="43" t="n"/>
      <c r="H2066" s="56" t="n"/>
      <c r="I2066" s="43" t="n"/>
      <c r="J2066" s="57">
        <f>IF(OR(A2066="",H2066=""),"",IF(COUNTIFS(exp_year,C2066,exp_month,D2066,exp_item,E2066,exp_status,"&lt;&gt;❌ Отменено")&gt;0,1,0))</f>
        <v/>
      </c>
    </row>
    <row r="2067">
      <c r="A2067" s="52" t="n"/>
      <c r="B2067" s="53">
        <f>IF(A2067="","",CHOOSE(WEEKDAY(A2067,2),"Пн","Вт","Ср","Чт","Пт","Сб","Вс"))</f>
        <v/>
      </c>
      <c r="C2067" s="53">
        <f>IF(A2067="","",YEAR(A2067))</f>
        <v/>
      </c>
      <c r="D2067" s="54">
        <f>IF(A2067="","",INDEX(lst_months,MONTH(A2067)))</f>
        <v/>
      </c>
      <c r="E2067" s="55" t="n"/>
      <c r="F2067" s="54">
        <f>IF(E2067="","",IFERROR(IF(INDEX(lst_exp_item_cat,MATCH(E2067,lst_exp_items,0))="","❔ Без категории",INDEX(lst_exp_item_cat,MATCH(E2067,lst_exp_items,0))),"❔ Без категории"))</f>
        <v/>
      </c>
      <c r="G2067" s="43" t="n"/>
      <c r="H2067" s="56" t="n"/>
      <c r="I2067" s="43" t="n"/>
      <c r="J2067" s="57">
        <f>IF(OR(A2067="",H2067=""),"",IF(COUNTIFS(exp_year,C2067,exp_month,D2067,exp_item,E2067,exp_status,"&lt;&gt;❌ Отменено")&gt;0,1,0))</f>
        <v/>
      </c>
    </row>
    <row r="2068">
      <c r="A2068" s="52" t="n"/>
      <c r="B2068" s="53">
        <f>IF(A2068="","",CHOOSE(WEEKDAY(A2068,2),"Пн","Вт","Ср","Чт","Пт","Сб","Вс"))</f>
        <v/>
      </c>
      <c r="C2068" s="53">
        <f>IF(A2068="","",YEAR(A2068))</f>
        <v/>
      </c>
      <c r="D2068" s="54">
        <f>IF(A2068="","",INDEX(lst_months,MONTH(A2068)))</f>
        <v/>
      </c>
      <c r="E2068" s="55" t="n"/>
      <c r="F2068" s="54">
        <f>IF(E2068="","",IFERROR(IF(INDEX(lst_exp_item_cat,MATCH(E2068,lst_exp_items,0))="","❔ Без категории",INDEX(lst_exp_item_cat,MATCH(E2068,lst_exp_items,0))),"❔ Без категории"))</f>
        <v/>
      </c>
      <c r="G2068" s="43" t="n"/>
      <c r="H2068" s="56" t="n"/>
      <c r="I2068" s="43" t="n"/>
      <c r="J2068" s="57">
        <f>IF(OR(A2068="",H2068=""),"",IF(COUNTIFS(exp_year,C2068,exp_month,D2068,exp_item,E2068,exp_status,"&lt;&gt;❌ Отменено")&gt;0,1,0))</f>
        <v/>
      </c>
    </row>
    <row r="2069">
      <c r="A2069" s="52" t="n"/>
      <c r="B2069" s="53">
        <f>IF(A2069="","",CHOOSE(WEEKDAY(A2069,2),"Пн","Вт","Ср","Чт","Пт","Сб","Вс"))</f>
        <v/>
      </c>
      <c r="C2069" s="53">
        <f>IF(A2069="","",YEAR(A2069))</f>
        <v/>
      </c>
      <c r="D2069" s="54">
        <f>IF(A2069="","",INDEX(lst_months,MONTH(A2069)))</f>
        <v/>
      </c>
      <c r="E2069" s="55" t="n"/>
      <c r="F2069" s="54">
        <f>IF(E2069="","",IFERROR(IF(INDEX(lst_exp_item_cat,MATCH(E2069,lst_exp_items,0))="","❔ Без категории",INDEX(lst_exp_item_cat,MATCH(E2069,lst_exp_items,0))),"❔ Без категории"))</f>
        <v/>
      </c>
      <c r="G2069" s="43" t="n"/>
      <c r="H2069" s="56" t="n"/>
      <c r="I2069" s="43" t="n"/>
      <c r="J2069" s="57">
        <f>IF(OR(A2069="",H2069=""),"",IF(COUNTIFS(exp_year,C2069,exp_month,D2069,exp_item,E2069,exp_status,"&lt;&gt;❌ Отменено")&gt;0,1,0))</f>
        <v/>
      </c>
    </row>
    <row r="2070">
      <c r="A2070" s="52" t="n"/>
      <c r="B2070" s="53">
        <f>IF(A2070="","",CHOOSE(WEEKDAY(A2070,2),"Пн","Вт","Ср","Чт","Пт","Сб","Вс"))</f>
        <v/>
      </c>
      <c r="C2070" s="53">
        <f>IF(A2070="","",YEAR(A2070))</f>
        <v/>
      </c>
      <c r="D2070" s="54">
        <f>IF(A2070="","",INDEX(lst_months,MONTH(A2070)))</f>
        <v/>
      </c>
      <c r="E2070" s="55" t="n"/>
      <c r="F2070" s="54">
        <f>IF(E2070="","",IFERROR(IF(INDEX(lst_exp_item_cat,MATCH(E2070,lst_exp_items,0))="","❔ Без категории",INDEX(lst_exp_item_cat,MATCH(E2070,lst_exp_items,0))),"❔ Без категории"))</f>
        <v/>
      </c>
      <c r="G2070" s="43" t="n"/>
      <c r="H2070" s="56" t="n"/>
      <c r="I2070" s="43" t="n"/>
      <c r="J2070" s="57">
        <f>IF(OR(A2070="",H2070=""),"",IF(COUNTIFS(exp_year,C2070,exp_month,D2070,exp_item,E2070,exp_status,"&lt;&gt;❌ Отменено")&gt;0,1,0))</f>
        <v/>
      </c>
    </row>
    <row r="2071">
      <c r="A2071" s="52" t="n"/>
      <c r="B2071" s="53">
        <f>IF(A2071="","",CHOOSE(WEEKDAY(A2071,2),"Пн","Вт","Ср","Чт","Пт","Сб","Вс"))</f>
        <v/>
      </c>
      <c r="C2071" s="53">
        <f>IF(A2071="","",YEAR(A2071))</f>
        <v/>
      </c>
      <c r="D2071" s="54">
        <f>IF(A2071="","",INDEX(lst_months,MONTH(A2071)))</f>
        <v/>
      </c>
      <c r="E2071" s="55" t="n"/>
      <c r="F2071" s="54">
        <f>IF(E2071="","",IFERROR(IF(INDEX(lst_exp_item_cat,MATCH(E2071,lst_exp_items,0))="","❔ Без категории",INDEX(lst_exp_item_cat,MATCH(E2071,lst_exp_items,0))),"❔ Без категории"))</f>
        <v/>
      </c>
      <c r="G2071" s="43" t="n"/>
      <c r="H2071" s="56" t="n"/>
      <c r="I2071" s="43" t="n"/>
      <c r="J2071" s="57">
        <f>IF(OR(A2071="",H2071=""),"",IF(COUNTIFS(exp_year,C2071,exp_month,D2071,exp_item,E2071,exp_status,"&lt;&gt;❌ Отменено")&gt;0,1,0))</f>
        <v/>
      </c>
    </row>
    <row r="2072">
      <c r="A2072" s="52" t="n"/>
      <c r="B2072" s="53">
        <f>IF(A2072="","",CHOOSE(WEEKDAY(A2072,2),"Пн","Вт","Ср","Чт","Пт","Сб","Вс"))</f>
        <v/>
      </c>
      <c r="C2072" s="53">
        <f>IF(A2072="","",YEAR(A2072))</f>
        <v/>
      </c>
      <c r="D2072" s="54">
        <f>IF(A2072="","",INDEX(lst_months,MONTH(A2072)))</f>
        <v/>
      </c>
      <c r="E2072" s="55" t="n"/>
      <c r="F2072" s="54">
        <f>IF(E2072="","",IFERROR(IF(INDEX(lst_exp_item_cat,MATCH(E2072,lst_exp_items,0))="","❔ Без категории",INDEX(lst_exp_item_cat,MATCH(E2072,lst_exp_items,0))),"❔ Без категории"))</f>
        <v/>
      </c>
      <c r="G2072" s="43" t="n"/>
      <c r="H2072" s="56" t="n"/>
      <c r="I2072" s="43" t="n"/>
      <c r="J2072" s="57">
        <f>IF(OR(A2072="",H2072=""),"",IF(COUNTIFS(exp_year,C2072,exp_month,D2072,exp_item,E2072,exp_status,"&lt;&gt;❌ Отменено")&gt;0,1,0))</f>
        <v/>
      </c>
    </row>
    <row r="2073">
      <c r="A2073" s="52" t="n"/>
      <c r="B2073" s="53">
        <f>IF(A2073="","",CHOOSE(WEEKDAY(A2073,2),"Пн","Вт","Ср","Чт","Пт","Сб","Вс"))</f>
        <v/>
      </c>
      <c r="C2073" s="53">
        <f>IF(A2073="","",YEAR(A2073))</f>
        <v/>
      </c>
      <c r="D2073" s="54">
        <f>IF(A2073="","",INDEX(lst_months,MONTH(A2073)))</f>
        <v/>
      </c>
      <c r="E2073" s="55" t="n"/>
      <c r="F2073" s="54">
        <f>IF(E2073="","",IFERROR(IF(INDEX(lst_exp_item_cat,MATCH(E2073,lst_exp_items,0))="","❔ Без категории",INDEX(lst_exp_item_cat,MATCH(E2073,lst_exp_items,0))),"❔ Без категории"))</f>
        <v/>
      </c>
      <c r="G2073" s="43" t="n"/>
      <c r="H2073" s="56" t="n"/>
      <c r="I2073" s="43" t="n"/>
      <c r="J2073" s="57">
        <f>IF(OR(A2073="",H2073=""),"",IF(COUNTIFS(exp_year,C2073,exp_month,D2073,exp_item,E2073,exp_status,"&lt;&gt;❌ Отменено")&gt;0,1,0))</f>
        <v/>
      </c>
    </row>
    <row r="2074">
      <c r="A2074" s="52" t="n"/>
      <c r="B2074" s="53">
        <f>IF(A2074="","",CHOOSE(WEEKDAY(A2074,2),"Пн","Вт","Ср","Чт","Пт","Сб","Вс"))</f>
        <v/>
      </c>
      <c r="C2074" s="53">
        <f>IF(A2074="","",YEAR(A2074))</f>
        <v/>
      </c>
      <c r="D2074" s="54">
        <f>IF(A2074="","",INDEX(lst_months,MONTH(A2074)))</f>
        <v/>
      </c>
      <c r="E2074" s="55" t="n"/>
      <c r="F2074" s="54">
        <f>IF(E2074="","",IFERROR(IF(INDEX(lst_exp_item_cat,MATCH(E2074,lst_exp_items,0))="","❔ Без категории",INDEX(lst_exp_item_cat,MATCH(E2074,lst_exp_items,0))),"❔ Без категории"))</f>
        <v/>
      </c>
      <c r="G2074" s="43" t="n"/>
      <c r="H2074" s="56" t="n"/>
      <c r="I2074" s="43" t="n"/>
      <c r="J2074" s="57">
        <f>IF(OR(A2074="",H2074=""),"",IF(COUNTIFS(exp_year,C2074,exp_month,D2074,exp_item,E2074,exp_status,"&lt;&gt;❌ Отменено")&gt;0,1,0))</f>
        <v/>
      </c>
    </row>
    <row r="2075">
      <c r="A2075" s="52" t="n"/>
      <c r="B2075" s="53">
        <f>IF(A2075="","",CHOOSE(WEEKDAY(A2075,2),"Пн","Вт","Ср","Чт","Пт","Сб","Вс"))</f>
        <v/>
      </c>
      <c r="C2075" s="53">
        <f>IF(A2075="","",YEAR(A2075))</f>
        <v/>
      </c>
      <c r="D2075" s="54">
        <f>IF(A2075="","",INDEX(lst_months,MONTH(A2075)))</f>
        <v/>
      </c>
      <c r="E2075" s="55" t="n"/>
      <c r="F2075" s="54">
        <f>IF(E2075="","",IFERROR(IF(INDEX(lst_exp_item_cat,MATCH(E2075,lst_exp_items,0))="","❔ Без категории",INDEX(lst_exp_item_cat,MATCH(E2075,lst_exp_items,0))),"❔ Без категории"))</f>
        <v/>
      </c>
      <c r="G2075" s="43" t="n"/>
      <c r="H2075" s="56" t="n"/>
      <c r="I2075" s="43" t="n"/>
      <c r="J2075" s="57">
        <f>IF(OR(A2075="",H2075=""),"",IF(COUNTIFS(exp_year,C2075,exp_month,D2075,exp_item,E2075,exp_status,"&lt;&gt;❌ Отменено")&gt;0,1,0))</f>
        <v/>
      </c>
    </row>
    <row r="2076">
      <c r="A2076" s="52" t="n"/>
      <c r="B2076" s="53">
        <f>IF(A2076="","",CHOOSE(WEEKDAY(A2076,2),"Пн","Вт","Ср","Чт","Пт","Сб","Вс"))</f>
        <v/>
      </c>
      <c r="C2076" s="53">
        <f>IF(A2076="","",YEAR(A2076))</f>
        <v/>
      </c>
      <c r="D2076" s="54">
        <f>IF(A2076="","",INDEX(lst_months,MONTH(A2076)))</f>
        <v/>
      </c>
      <c r="E2076" s="55" t="n"/>
      <c r="F2076" s="54">
        <f>IF(E2076="","",IFERROR(IF(INDEX(lst_exp_item_cat,MATCH(E2076,lst_exp_items,0))="","❔ Без категории",INDEX(lst_exp_item_cat,MATCH(E2076,lst_exp_items,0))),"❔ Без категории"))</f>
        <v/>
      </c>
      <c r="G2076" s="43" t="n"/>
      <c r="H2076" s="56" t="n"/>
      <c r="I2076" s="43" t="n"/>
      <c r="J2076" s="57">
        <f>IF(OR(A2076="",H2076=""),"",IF(COUNTIFS(exp_year,C2076,exp_month,D2076,exp_item,E2076,exp_status,"&lt;&gt;❌ Отменено")&gt;0,1,0))</f>
        <v/>
      </c>
    </row>
    <row r="2077">
      <c r="A2077" s="52" t="n"/>
      <c r="B2077" s="53">
        <f>IF(A2077="","",CHOOSE(WEEKDAY(A2077,2),"Пн","Вт","Ср","Чт","Пт","Сб","Вс"))</f>
        <v/>
      </c>
      <c r="C2077" s="53">
        <f>IF(A2077="","",YEAR(A2077))</f>
        <v/>
      </c>
      <c r="D2077" s="54">
        <f>IF(A2077="","",INDEX(lst_months,MONTH(A2077)))</f>
        <v/>
      </c>
      <c r="E2077" s="55" t="n"/>
      <c r="F2077" s="54">
        <f>IF(E2077="","",IFERROR(IF(INDEX(lst_exp_item_cat,MATCH(E2077,lst_exp_items,0))="","❔ Без категории",INDEX(lst_exp_item_cat,MATCH(E2077,lst_exp_items,0))),"❔ Без категории"))</f>
        <v/>
      </c>
      <c r="G2077" s="43" t="n"/>
      <c r="H2077" s="56" t="n"/>
      <c r="I2077" s="43" t="n"/>
      <c r="J2077" s="57">
        <f>IF(OR(A2077="",H2077=""),"",IF(COUNTIFS(exp_year,C2077,exp_month,D2077,exp_item,E2077,exp_status,"&lt;&gt;❌ Отменено")&gt;0,1,0))</f>
        <v/>
      </c>
    </row>
    <row r="2078">
      <c r="A2078" s="52" t="n"/>
      <c r="B2078" s="53">
        <f>IF(A2078="","",CHOOSE(WEEKDAY(A2078,2),"Пн","Вт","Ср","Чт","Пт","Сб","Вс"))</f>
        <v/>
      </c>
      <c r="C2078" s="53">
        <f>IF(A2078="","",YEAR(A2078))</f>
        <v/>
      </c>
      <c r="D2078" s="54">
        <f>IF(A2078="","",INDEX(lst_months,MONTH(A2078)))</f>
        <v/>
      </c>
      <c r="E2078" s="55" t="n"/>
      <c r="F2078" s="54">
        <f>IF(E2078="","",IFERROR(IF(INDEX(lst_exp_item_cat,MATCH(E2078,lst_exp_items,0))="","❔ Без категории",INDEX(lst_exp_item_cat,MATCH(E2078,lst_exp_items,0))),"❔ Без категории"))</f>
        <v/>
      </c>
      <c r="G2078" s="43" t="n"/>
      <c r="H2078" s="56" t="n"/>
      <c r="I2078" s="43" t="n"/>
      <c r="J2078" s="57">
        <f>IF(OR(A2078="",H2078=""),"",IF(COUNTIFS(exp_year,C2078,exp_month,D2078,exp_item,E2078,exp_status,"&lt;&gt;❌ Отменено")&gt;0,1,0))</f>
        <v/>
      </c>
    </row>
    <row r="2079">
      <c r="A2079" s="52" t="n"/>
      <c r="B2079" s="53">
        <f>IF(A2079="","",CHOOSE(WEEKDAY(A2079,2),"Пн","Вт","Ср","Чт","Пт","Сб","Вс"))</f>
        <v/>
      </c>
      <c r="C2079" s="53">
        <f>IF(A2079="","",YEAR(A2079))</f>
        <v/>
      </c>
      <c r="D2079" s="54">
        <f>IF(A2079="","",INDEX(lst_months,MONTH(A2079)))</f>
        <v/>
      </c>
      <c r="E2079" s="55" t="n"/>
      <c r="F2079" s="54">
        <f>IF(E2079="","",IFERROR(IF(INDEX(lst_exp_item_cat,MATCH(E2079,lst_exp_items,0))="","❔ Без категории",INDEX(lst_exp_item_cat,MATCH(E2079,lst_exp_items,0))),"❔ Без категории"))</f>
        <v/>
      </c>
      <c r="G2079" s="43" t="n"/>
      <c r="H2079" s="56" t="n"/>
      <c r="I2079" s="43" t="n"/>
      <c r="J2079" s="57">
        <f>IF(OR(A2079="",H2079=""),"",IF(COUNTIFS(exp_year,C2079,exp_month,D2079,exp_item,E2079,exp_status,"&lt;&gt;❌ Отменено")&gt;0,1,0))</f>
        <v/>
      </c>
    </row>
    <row r="2080">
      <c r="A2080" s="52" t="n"/>
      <c r="B2080" s="53">
        <f>IF(A2080="","",CHOOSE(WEEKDAY(A2080,2),"Пн","Вт","Ср","Чт","Пт","Сб","Вс"))</f>
        <v/>
      </c>
      <c r="C2080" s="53">
        <f>IF(A2080="","",YEAR(A2080))</f>
        <v/>
      </c>
      <c r="D2080" s="54">
        <f>IF(A2080="","",INDEX(lst_months,MONTH(A2080)))</f>
        <v/>
      </c>
      <c r="E2080" s="55" t="n"/>
      <c r="F2080" s="54">
        <f>IF(E2080="","",IFERROR(IF(INDEX(lst_exp_item_cat,MATCH(E2080,lst_exp_items,0))="","❔ Без категории",INDEX(lst_exp_item_cat,MATCH(E2080,lst_exp_items,0))),"❔ Без категории"))</f>
        <v/>
      </c>
      <c r="G2080" s="43" t="n"/>
      <c r="H2080" s="56" t="n"/>
      <c r="I2080" s="43" t="n"/>
      <c r="J2080" s="57">
        <f>IF(OR(A2080="",H2080=""),"",IF(COUNTIFS(exp_year,C2080,exp_month,D2080,exp_item,E2080,exp_status,"&lt;&gt;❌ Отменено")&gt;0,1,0))</f>
        <v/>
      </c>
    </row>
    <row r="2081">
      <c r="A2081" s="52" t="n"/>
      <c r="B2081" s="53">
        <f>IF(A2081="","",CHOOSE(WEEKDAY(A2081,2),"Пн","Вт","Ср","Чт","Пт","Сб","Вс"))</f>
        <v/>
      </c>
      <c r="C2081" s="53">
        <f>IF(A2081="","",YEAR(A2081))</f>
        <v/>
      </c>
      <c r="D2081" s="54">
        <f>IF(A2081="","",INDEX(lst_months,MONTH(A2081)))</f>
        <v/>
      </c>
      <c r="E2081" s="55" t="n"/>
      <c r="F2081" s="54">
        <f>IF(E2081="","",IFERROR(IF(INDEX(lst_exp_item_cat,MATCH(E2081,lst_exp_items,0))="","❔ Без категории",INDEX(lst_exp_item_cat,MATCH(E2081,lst_exp_items,0))),"❔ Без категории"))</f>
        <v/>
      </c>
      <c r="G2081" s="43" t="n"/>
      <c r="H2081" s="56" t="n"/>
      <c r="I2081" s="43" t="n"/>
      <c r="J2081" s="57">
        <f>IF(OR(A2081="",H2081=""),"",IF(COUNTIFS(exp_year,C2081,exp_month,D2081,exp_item,E2081,exp_status,"&lt;&gt;❌ Отменено")&gt;0,1,0))</f>
        <v/>
      </c>
    </row>
    <row r="2082">
      <c r="A2082" s="52" t="n"/>
      <c r="B2082" s="53">
        <f>IF(A2082="","",CHOOSE(WEEKDAY(A2082,2),"Пн","Вт","Ср","Чт","Пт","Сб","Вс"))</f>
        <v/>
      </c>
      <c r="C2082" s="53">
        <f>IF(A2082="","",YEAR(A2082))</f>
        <v/>
      </c>
      <c r="D2082" s="54">
        <f>IF(A2082="","",INDEX(lst_months,MONTH(A2082)))</f>
        <v/>
      </c>
      <c r="E2082" s="55" t="n"/>
      <c r="F2082" s="54">
        <f>IF(E2082="","",IFERROR(IF(INDEX(lst_exp_item_cat,MATCH(E2082,lst_exp_items,0))="","❔ Без категории",INDEX(lst_exp_item_cat,MATCH(E2082,lst_exp_items,0))),"❔ Без категории"))</f>
        <v/>
      </c>
      <c r="G2082" s="43" t="n"/>
      <c r="H2082" s="56" t="n"/>
      <c r="I2082" s="43" t="n"/>
      <c r="J2082" s="57">
        <f>IF(OR(A2082="",H2082=""),"",IF(COUNTIFS(exp_year,C2082,exp_month,D2082,exp_item,E2082,exp_status,"&lt;&gt;❌ Отменено")&gt;0,1,0))</f>
        <v/>
      </c>
    </row>
    <row r="2083">
      <c r="A2083" s="52" t="n"/>
      <c r="B2083" s="53">
        <f>IF(A2083="","",CHOOSE(WEEKDAY(A2083,2),"Пн","Вт","Ср","Чт","Пт","Сб","Вс"))</f>
        <v/>
      </c>
      <c r="C2083" s="53">
        <f>IF(A2083="","",YEAR(A2083))</f>
        <v/>
      </c>
      <c r="D2083" s="54">
        <f>IF(A2083="","",INDEX(lst_months,MONTH(A2083)))</f>
        <v/>
      </c>
      <c r="E2083" s="55" t="n"/>
      <c r="F2083" s="54">
        <f>IF(E2083="","",IFERROR(IF(INDEX(lst_exp_item_cat,MATCH(E2083,lst_exp_items,0))="","❔ Без категории",INDEX(lst_exp_item_cat,MATCH(E2083,lst_exp_items,0))),"❔ Без категории"))</f>
        <v/>
      </c>
      <c r="G2083" s="43" t="n"/>
      <c r="H2083" s="56" t="n"/>
      <c r="I2083" s="43" t="n"/>
      <c r="J2083" s="57">
        <f>IF(OR(A2083="",H2083=""),"",IF(COUNTIFS(exp_year,C2083,exp_month,D2083,exp_item,E2083,exp_status,"&lt;&gt;❌ Отменено")&gt;0,1,0))</f>
        <v/>
      </c>
    </row>
    <row r="2084">
      <c r="A2084" s="52" t="n"/>
      <c r="B2084" s="53">
        <f>IF(A2084="","",CHOOSE(WEEKDAY(A2084,2),"Пн","Вт","Ср","Чт","Пт","Сб","Вс"))</f>
        <v/>
      </c>
      <c r="C2084" s="53">
        <f>IF(A2084="","",YEAR(A2084))</f>
        <v/>
      </c>
      <c r="D2084" s="54">
        <f>IF(A2084="","",INDEX(lst_months,MONTH(A2084)))</f>
        <v/>
      </c>
      <c r="E2084" s="55" t="n"/>
      <c r="F2084" s="54">
        <f>IF(E2084="","",IFERROR(IF(INDEX(lst_exp_item_cat,MATCH(E2084,lst_exp_items,0))="","❔ Без категории",INDEX(lst_exp_item_cat,MATCH(E2084,lst_exp_items,0))),"❔ Без категории"))</f>
        <v/>
      </c>
      <c r="G2084" s="43" t="n"/>
      <c r="H2084" s="56" t="n"/>
      <c r="I2084" s="43" t="n"/>
      <c r="J2084" s="57">
        <f>IF(OR(A2084="",H2084=""),"",IF(COUNTIFS(exp_year,C2084,exp_month,D2084,exp_item,E2084,exp_status,"&lt;&gt;❌ Отменено")&gt;0,1,0))</f>
        <v/>
      </c>
    </row>
    <row r="2085">
      <c r="A2085" s="52" t="n"/>
      <c r="B2085" s="53">
        <f>IF(A2085="","",CHOOSE(WEEKDAY(A2085,2),"Пн","Вт","Ср","Чт","Пт","Сб","Вс"))</f>
        <v/>
      </c>
      <c r="C2085" s="53">
        <f>IF(A2085="","",YEAR(A2085))</f>
        <v/>
      </c>
      <c r="D2085" s="54">
        <f>IF(A2085="","",INDEX(lst_months,MONTH(A2085)))</f>
        <v/>
      </c>
      <c r="E2085" s="55" t="n"/>
      <c r="F2085" s="54">
        <f>IF(E2085="","",IFERROR(IF(INDEX(lst_exp_item_cat,MATCH(E2085,lst_exp_items,0))="","❔ Без категории",INDEX(lst_exp_item_cat,MATCH(E2085,lst_exp_items,0))),"❔ Без категории"))</f>
        <v/>
      </c>
      <c r="G2085" s="43" t="n"/>
      <c r="H2085" s="56" t="n"/>
      <c r="I2085" s="43" t="n"/>
      <c r="J2085" s="57">
        <f>IF(OR(A2085="",H2085=""),"",IF(COUNTIFS(exp_year,C2085,exp_month,D2085,exp_item,E2085,exp_status,"&lt;&gt;❌ Отменено")&gt;0,1,0))</f>
        <v/>
      </c>
    </row>
    <row r="2086">
      <c r="A2086" s="52" t="n"/>
      <c r="B2086" s="53">
        <f>IF(A2086="","",CHOOSE(WEEKDAY(A2086,2),"Пн","Вт","Ср","Чт","Пт","Сб","Вс"))</f>
        <v/>
      </c>
      <c r="C2086" s="53">
        <f>IF(A2086="","",YEAR(A2086))</f>
        <v/>
      </c>
      <c r="D2086" s="54">
        <f>IF(A2086="","",INDEX(lst_months,MONTH(A2086)))</f>
        <v/>
      </c>
      <c r="E2086" s="55" t="n"/>
      <c r="F2086" s="54">
        <f>IF(E2086="","",IFERROR(IF(INDEX(lst_exp_item_cat,MATCH(E2086,lst_exp_items,0))="","❔ Без категории",INDEX(lst_exp_item_cat,MATCH(E2086,lst_exp_items,0))),"❔ Без категории"))</f>
        <v/>
      </c>
      <c r="G2086" s="43" t="n"/>
      <c r="H2086" s="56" t="n"/>
      <c r="I2086" s="43" t="n"/>
      <c r="J2086" s="57">
        <f>IF(OR(A2086="",H2086=""),"",IF(COUNTIFS(exp_year,C2086,exp_month,D2086,exp_item,E2086,exp_status,"&lt;&gt;❌ Отменено")&gt;0,1,0))</f>
        <v/>
      </c>
    </row>
    <row r="2087">
      <c r="A2087" s="52" t="n"/>
      <c r="B2087" s="53">
        <f>IF(A2087="","",CHOOSE(WEEKDAY(A2087,2),"Пн","Вт","Ср","Чт","Пт","Сб","Вс"))</f>
        <v/>
      </c>
      <c r="C2087" s="53">
        <f>IF(A2087="","",YEAR(A2087))</f>
        <v/>
      </c>
      <c r="D2087" s="54">
        <f>IF(A2087="","",INDEX(lst_months,MONTH(A2087)))</f>
        <v/>
      </c>
      <c r="E2087" s="55" t="n"/>
      <c r="F2087" s="54">
        <f>IF(E2087="","",IFERROR(IF(INDEX(lst_exp_item_cat,MATCH(E2087,lst_exp_items,0))="","❔ Без категории",INDEX(lst_exp_item_cat,MATCH(E2087,lst_exp_items,0))),"❔ Без категории"))</f>
        <v/>
      </c>
      <c r="G2087" s="43" t="n"/>
      <c r="H2087" s="56" t="n"/>
      <c r="I2087" s="43" t="n"/>
      <c r="J2087" s="57">
        <f>IF(OR(A2087="",H2087=""),"",IF(COUNTIFS(exp_year,C2087,exp_month,D2087,exp_item,E2087,exp_status,"&lt;&gt;❌ Отменено")&gt;0,1,0))</f>
        <v/>
      </c>
    </row>
    <row r="2088">
      <c r="A2088" s="52" t="n"/>
      <c r="B2088" s="53">
        <f>IF(A2088="","",CHOOSE(WEEKDAY(A2088,2),"Пн","Вт","Ср","Чт","Пт","Сб","Вс"))</f>
        <v/>
      </c>
      <c r="C2088" s="53">
        <f>IF(A2088="","",YEAR(A2088))</f>
        <v/>
      </c>
      <c r="D2088" s="54">
        <f>IF(A2088="","",INDEX(lst_months,MONTH(A2088)))</f>
        <v/>
      </c>
      <c r="E2088" s="55" t="n"/>
      <c r="F2088" s="54">
        <f>IF(E2088="","",IFERROR(IF(INDEX(lst_exp_item_cat,MATCH(E2088,lst_exp_items,0))="","❔ Без категории",INDEX(lst_exp_item_cat,MATCH(E2088,lst_exp_items,0))),"❔ Без категории"))</f>
        <v/>
      </c>
      <c r="G2088" s="43" t="n"/>
      <c r="H2088" s="56" t="n"/>
      <c r="I2088" s="43" t="n"/>
      <c r="J2088" s="57">
        <f>IF(OR(A2088="",H2088=""),"",IF(COUNTIFS(exp_year,C2088,exp_month,D2088,exp_item,E2088,exp_status,"&lt;&gt;❌ Отменено")&gt;0,1,0))</f>
        <v/>
      </c>
    </row>
    <row r="2089">
      <c r="A2089" s="52" t="n"/>
      <c r="B2089" s="53">
        <f>IF(A2089="","",CHOOSE(WEEKDAY(A2089,2),"Пн","Вт","Ср","Чт","Пт","Сб","Вс"))</f>
        <v/>
      </c>
      <c r="C2089" s="53">
        <f>IF(A2089="","",YEAR(A2089))</f>
        <v/>
      </c>
      <c r="D2089" s="54">
        <f>IF(A2089="","",INDEX(lst_months,MONTH(A2089)))</f>
        <v/>
      </c>
      <c r="E2089" s="55" t="n"/>
      <c r="F2089" s="54">
        <f>IF(E2089="","",IFERROR(IF(INDEX(lst_exp_item_cat,MATCH(E2089,lst_exp_items,0))="","❔ Без категории",INDEX(lst_exp_item_cat,MATCH(E2089,lst_exp_items,0))),"❔ Без категории"))</f>
        <v/>
      </c>
      <c r="G2089" s="43" t="n"/>
      <c r="H2089" s="56" t="n"/>
      <c r="I2089" s="43" t="n"/>
      <c r="J2089" s="57">
        <f>IF(OR(A2089="",H2089=""),"",IF(COUNTIFS(exp_year,C2089,exp_month,D2089,exp_item,E2089,exp_status,"&lt;&gt;❌ Отменено")&gt;0,1,0))</f>
        <v/>
      </c>
    </row>
    <row r="2090">
      <c r="A2090" s="52" t="n"/>
      <c r="B2090" s="53">
        <f>IF(A2090="","",CHOOSE(WEEKDAY(A2090,2),"Пн","Вт","Ср","Чт","Пт","Сб","Вс"))</f>
        <v/>
      </c>
      <c r="C2090" s="53">
        <f>IF(A2090="","",YEAR(A2090))</f>
        <v/>
      </c>
      <c r="D2090" s="54">
        <f>IF(A2090="","",INDEX(lst_months,MONTH(A2090)))</f>
        <v/>
      </c>
      <c r="E2090" s="55" t="n"/>
      <c r="F2090" s="54">
        <f>IF(E2090="","",IFERROR(IF(INDEX(lst_exp_item_cat,MATCH(E2090,lst_exp_items,0))="","❔ Без категории",INDEX(lst_exp_item_cat,MATCH(E2090,lst_exp_items,0))),"❔ Без категории"))</f>
        <v/>
      </c>
      <c r="G2090" s="43" t="n"/>
      <c r="H2090" s="56" t="n"/>
      <c r="I2090" s="43" t="n"/>
      <c r="J2090" s="57">
        <f>IF(OR(A2090="",H2090=""),"",IF(COUNTIFS(exp_year,C2090,exp_month,D2090,exp_item,E2090,exp_status,"&lt;&gt;❌ Отменено")&gt;0,1,0))</f>
        <v/>
      </c>
    </row>
    <row r="2091">
      <c r="A2091" s="52" t="n"/>
      <c r="B2091" s="53">
        <f>IF(A2091="","",CHOOSE(WEEKDAY(A2091,2),"Пн","Вт","Ср","Чт","Пт","Сб","Вс"))</f>
        <v/>
      </c>
      <c r="C2091" s="53">
        <f>IF(A2091="","",YEAR(A2091))</f>
        <v/>
      </c>
      <c r="D2091" s="54">
        <f>IF(A2091="","",INDEX(lst_months,MONTH(A2091)))</f>
        <v/>
      </c>
      <c r="E2091" s="55" t="n"/>
      <c r="F2091" s="54">
        <f>IF(E2091="","",IFERROR(IF(INDEX(lst_exp_item_cat,MATCH(E2091,lst_exp_items,0))="","❔ Без категории",INDEX(lst_exp_item_cat,MATCH(E2091,lst_exp_items,0))),"❔ Без категории"))</f>
        <v/>
      </c>
      <c r="G2091" s="43" t="n"/>
      <c r="H2091" s="56" t="n"/>
      <c r="I2091" s="43" t="n"/>
      <c r="J2091" s="57">
        <f>IF(OR(A2091="",H2091=""),"",IF(COUNTIFS(exp_year,C2091,exp_month,D2091,exp_item,E2091,exp_status,"&lt;&gt;❌ Отменено")&gt;0,1,0))</f>
        <v/>
      </c>
    </row>
    <row r="2092">
      <c r="A2092" s="52" t="n"/>
      <c r="B2092" s="53">
        <f>IF(A2092="","",CHOOSE(WEEKDAY(A2092,2),"Пн","Вт","Ср","Чт","Пт","Сб","Вс"))</f>
        <v/>
      </c>
      <c r="C2092" s="53">
        <f>IF(A2092="","",YEAR(A2092))</f>
        <v/>
      </c>
      <c r="D2092" s="54">
        <f>IF(A2092="","",INDEX(lst_months,MONTH(A2092)))</f>
        <v/>
      </c>
      <c r="E2092" s="55" t="n"/>
      <c r="F2092" s="54">
        <f>IF(E2092="","",IFERROR(IF(INDEX(lst_exp_item_cat,MATCH(E2092,lst_exp_items,0))="","❔ Без категории",INDEX(lst_exp_item_cat,MATCH(E2092,lst_exp_items,0))),"❔ Без категории"))</f>
        <v/>
      </c>
      <c r="G2092" s="43" t="n"/>
      <c r="H2092" s="56" t="n"/>
      <c r="I2092" s="43" t="n"/>
      <c r="J2092" s="57">
        <f>IF(OR(A2092="",H2092=""),"",IF(COUNTIFS(exp_year,C2092,exp_month,D2092,exp_item,E2092,exp_status,"&lt;&gt;❌ Отменено")&gt;0,1,0))</f>
        <v/>
      </c>
    </row>
    <row r="2093">
      <c r="A2093" s="52" t="n"/>
      <c r="B2093" s="53">
        <f>IF(A2093="","",CHOOSE(WEEKDAY(A2093,2),"Пн","Вт","Ср","Чт","Пт","Сб","Вс"))</f>
        <v/>
      </c>
      <c r="C2093" s="53">
        <f>IF(A2093="","",YEAR(A2093))</f>
        <v/>
      </c>
      <c r="D2093" s="54">
        <f>IF(A2093="","",INDEX(lst_months,MONTH(A2093)))</f>
        <v/>
      </c>
      <c r="E2093" s="55" t="n"/>
      <c r="F2093" s="54">
        <f>IF(E2093="","",IFERROR(IF(INDEX(lst_exp_item_cat,MATCH(E2093,lst_exp_items,0))="","❔ Без категории",INDEX(lst_exp_item_cat,MATCH(E2093,lst_exp_items,0))),"❔ Без категории"))</f>
        <v/>
      </c>
      <c r="G2093" s="43" t="n"/>
      <c r="H2093" s="56" t="n"/>
      <c r="I2093" s="43" t="n"/>
      <c r="J2093" s="57">
        <f>IF(OR(A2093="",H2093=""),"",IF(COUNTIFS(exp_year,C2093,exp_month,D2093,exp_item,E2093,exp_status,"&lt;&gt;❌ Отменено")&gt;0,1,0))</f>
        <v/>
      </c>
    </row>
    <row r="2094">
      <c r="A2094" s="52" t="n"/>
      <c r="B2094" s="53">
        <f>IF(A2094="","",CHOOSE(WEEKDAY(A2094,2),"Пн","Вт","Ср","Чт","Пт","Сб","Вс"))</f>
        <v/>
      </c>
      <c r="C2094" s="53">
        <f>IF(A2094="","",YEAR(A2094))</f>
        <v/>
      </c>
      <c r="D2094" s="54">
        <f>IF(A2094="","",INDEX(lst_months,MONTH(A2094)))</f>
        <v/>
      </c>
      <c r="E2094" s="55" t="n"/>
      <c r="F2094" s="54">
        <f>IF(E2094="","",IFERROR(IF(INDEX(lst_exp_item_cat,MATCH(E2094,lst_exp_items,0))="","❔ Без категории",INDEX(lst_exp_item_cat,MATCH(E2094,lst_exp_items,0))),"❔ Без категории"))</f>
        <v/>
      </c>
      <c r="G2094" s="43" t="n"/>
      <c r="H2094" s="56" t="n"/>
      <c r="I2094" s="43" t="n"/>
      <c r="J2094" s="57">
        <f>IF(OR(A2094="",H2094=""),"",IF(COUNTIFS(exp_year,C2094,exp_month,D2094,exp_item,E2094,exp_status,"&lt;&gt;❌ Отменено")&gt;0,1,0))</f>
        <v/>
      </c>
    </row>
    <row r="2095">
      <c r="A2095" s="52" t="n"/>
      <c r="B2095" s="53">
        <f>IF(A2095="","",CHOOSE(WEEKDAY(A2095,2),"Пн","Вт","Ср","Чт","Пт","Сб","Вс"))</f>
        <v/>
      </c>
      <c r="C2095" s="53">
        <f>IF(A2095="","",YEAR(A2095))</f>
        <v/>
      </c>
      <c r="D2095" s="54">
        <f>IF(A2095="","",INDEX(lst_months,MONTH(A2095)))</f>
        <v/>
      </c>
      <c r="E2095" s="55" t="n"/>
      <c r="F2095" s="54">
        <f>IF(E2095="","",IFERROR(IF(INDEX(lst_exp_item_cat,MATCH(E2095,lst_exp_items,0))="","❔ Без категории",INDEX(lst_exp_item_cat,MATCH(E2095,lst_exp_items,0))),"❔ Без категории"))</f>
        <v/>
      </c>
      <c r="G2095" s="43" t="n"/>
      <c r="H2095" s="56" t="n"/>
      <c r="I2095" s="43" t="n"/>
      <c r="J2095" s="57">
        <f>IF(OR(A2095="",H2095=""),"",IF(COUNTIFS(exp_year,C2095,exp_month,D2095,exp_item,E2095,exp_status,"&lt;&gt;❌ Отменено")&gt;0,1,0))</f>
        <v/>
      </c>
    </row>
    <row r="2096">
      <c r="A2096" s="52" t="n"/>
      <c r="B2096" s="53">
        <f>IF(A2096="","",CHOOSE(WEEKDAY(A2096,2),"Пн","Вт","Ср","Чт","Пт","Сб","Вс"))</f>
        <v/>
      </c>
      <c r="C2096" s="53">
        <f>IF(A2096="","",YEAR(A2096))</f>
        <v/>
      </c>
      <c r="D2096" s="54">
        <f>IF(A2096="","",INDEX(lst_months,MONTH(A2096)))</f>
        <v/>
      </c>
      <c r="E2096" s="55" t="n"/>
      <c r="F2096" s="54">
        <f>IF(E2096="","",IFERROR(IF(INDEX(lst_exp_item_cat,MATCH(E2096,lst_exp_items,0))="","❔ Без категории",INDEX(lst_exp_item_cat,MATCH(E2096,lst_exp_items,0))),"❔ Без категории"))</f>
        <v/>
      </c>
      <c r="G2096" s="43" t="n"/>
      <c r="H2096" s="56" t="n"/>
      <c r="I2096" s="43" t="n"/>
      <c r="J2096" s="57">
        <f>IF(OR(A2096="",H2096=""),"",IF(COUNTIFS(exp_year,C2096,exp_month,D2096,exp_item,E2096,exp_status,"&lt;&gt;❌ Отменено")&gt;0,1,0))</f>
        <v/>
      </c>
    </row>
    <row r="2097">
      <c r="A2097" s="52" t="n"/>
      <c r="B2097" s="53">
        <f>IF(A2097="","",CHOOSE(WEEKDAY(A2097,2),"Пн","Вт","Ср","Чт","Пт","Сб","Вс"))</f>
        <v/>
      </c>
      <c r="C2097" s="53">
        <f>IF(A2097="","",YEAR(A2097))</f>
        <v/>
      </c>
      <c r="D2097" s="54">
        <f>IF(A2097="","",INDEX(lst_months,MONTH(A2097)))</f>
        <v/>
      </c>
      <c r="E2097" s="55" t="n"/>
      <c r="F2097" s="54">
        <f>IF(E2097="","",IFERROR(IF(INDEX(lst_exp_item_cat,MATCH(E2097,lst_exp_items,0))="","❔ Без категории",INDEX(lst_exp_item_cat,MATCH(E2097,lst_exp_items,0))),"❔ Без категории"))</f>
        <v/>
      </c>
      <c r="G2097" s="43" t="n"/>
      <c r="H2097" s="56" t="n"/>
      <c r="I2097" s="43" t="n"/>
      <c r="J2097" s="57">
        <f>IF(OR(A2097="",H2097=""),"",IF(COUNTIFS(exp_year,C2097,exp_month,D2097,exp_item,E2097,exp_status,"&lt;&gt;❌ Отменено")&gt;0,1,0))</f>
        <v/>
      </c>
    </row>
    <row r="2098">
      <c r="A2098" s="52" t="n"/>
      <c r="B2098" s="53">
        <f>IF(A2098="","",CHOOSE(WEEKDAY(A2098,2),"Пн","Вт","Ср","Чт","Пт","Сб","Вс"))</f>
        <v/>
      </c>
      <c r="C2098" s="53">
        <f>IF(A2098="","",YEAR(A2098))</f>
        <v/>
      </c>
      <c r="D2098" s="54">
        <f>IF(A2098="","",INDEX(lst_months,MONTH(A2098)))</f>
        <v/>
      </c>
      <c r="E2098" s="55" t="n"/>
      <c r="F2098" s="54">
        <f>IF(E2098="","",IFERROR(IF(INDEX(lst_exp_item_cat,MATCH(E2098,lst_exp_items,0))="","❔ Без категории",INDEX(lst_exp_item_cat,MATCH(E2098,lst_exp_items,0))),"❔ Без категории"))</f>
        <v/>
      </c>
      <c r="G2098" s="43" t="n"/>
      <c r="H2098" s="56" t="n"/>
      <c r="I2098" s="43" t="n"/>
      <c r="J2098" s="57">
        <f>IF(OR(A2098="",H2098=""),"",IF(COUNTIFS(exp_year,C2098,exp_month,D2098,exp_item,E2098,exp_status,"&lt;&gt;❌ Отменено")&gt;0,1,0))</f>
        <v/>
      </c>
    </row>
    <row r="2099">
      <c r="A2099" s="52" t="n"/>
      <c r="B2099" s="53">
        <f>IF(A2099="","",CHOOSE(WEEKDAY(A2099,2),"Пн","Вт","Ср","Чт","Пт","Сб","Вс"))</f>
        <v/>
      </c>
      <c r="C2099" s="53">
        <f>IF(A2099="","",YEAR(A2099))</f>
        <v/>
      </c>
      <c r="D2099" s="54">
        <f>IF(A2099="","",INDEX(lst_months,MONTH(A2099)))</f>
        <v/>
      </c>
      <c r="E2099" s="55" t="n"/>
      <c r="F2099" s="54">
        <f>IF(E2099="","",IFERROR(IF(INDEX(lst_exp_item_cat,MATCH(E2099,lst_exp_items,0))="","❔ Без категории",INDEX(lst_exp_item_cat,MATCH(E2099,lst_exp_items,0))),"❔ Без категории"))</f>
        <v/>
      </c>
      <c r="G2099" s="43" t="n"/>
      <c r="H2099" s="56" t="n"/>
      <c r="I2099" s="43" t="n"/>
      <c r="J2099" s="57">
        <f>IF(OR(A2099="",H2099=""),"",IF(COUNTIFS(exp_year,C2099,exp_month,D2099,exp_item,E2099,exp_status,"&lt;&gt;❌ Отменено")&gt;0,1,0))</f>
        <v/>
      </c>
    </row>
    <row r="2100">
      <c r="A2100" s="52" t="n"/>
      <c r="B2100" s="53">
        <f>IF(A2100="","",CHOOSE(WEEKDAY(A2100,2),"Пн","Вт","Ср","Чт","Пт","Сб","Вс"))</f>
        <v/>
      </c>
      <c r="C2100" s="53">
        <f>IF(A2100="","",YEAR(A2100))</f>
        <v/>
      </c>
      <c r="D2100" s="54">
        <f>IF(A2100="","",INDEX(lst_months,MONTH(A2100)))</f>
        <v/>
      </c>
      <c r="E2100" s="55" t="n"/>
      <c r="F2100" s="54">
        <f>IF(E2100="","",IFERROR(IF(INDEX(lst_exp_item_cat,MATCH(E2100,lst_exp_items,0))="","❔ Без категории",INDEX(lst_exp_item_cat,MATCH(E2100,lst_exp_items,0))),"❔ Без категории"))</f>
        <v/>
      </c>
      <c r="G2100" s="43" t="n"/>
      <c r="H2100" s="56" t="n"/>
      <c r="I2100" s="43" t="n"/>
      <c r="J2100" s="57">
        <f>IF(OR(A2100="",H2100=""),"",IF(COUNTIFS(exp_year,C2100,exp_month,D2100,exp_item,E2100,exp_status,"&lt;&gt;❌ Отменено")&gt;0,1,0))</f>
        <v/>
      </c>
    </row>
    <row r="2101">
      <c r="A2101" s="52" t="n"/>
      <c r="B2101" s="53">
        <f>IF(A2101="","",CHOOSE(WEEKDAY(A2101,2),"Пн","Вт","Ср","Чт","Пт","Сб","Вс"))</f>
        <v/>
      </c>
      <c r="C2101" s="53">
        <f>IF(A2101="","",YEAR(A2101))</f>
        <v/>
      </c>
      <c r="D2101" s="54">
        <f>IF(A2101="","",INDEX(lst_months,MONTH(A2101)))</f>
        <v/>
      </c>
      <c r="E2101" s="55" t="n"/>
      <c r="F2101" s="54">
        <f>IF(E2101="","",IFERROR(IF(INDEX(lst_exp_item_cat,MATCH(E2101,lst_exp_items,0))="","❔ Без категории",INDEX(lst_exp_item_cat,MATCH(E2101,lst_exp_items,0))),"❔ Без категории"))</f>
        <v/>
      </c>
      <c r="G2101" s="43" t="n"/>
      <c r="H2101" s="56" t="n"/>
      <c r="I2101" s="43" t="n"/>
      <c r="J2101" s="57">
        <f>IF(OR(A2101="",H2101=""),"",IF(COUNTIFS(exp_year,C2101,exp_month,D2101,exp_item,E2101,exp_status,"&lt;&gt;❌ Отменено")&gt;0,1,0))</f>
        <v/>
      </c>
    </row>
    <row r="2102">
      <c r="A2102" s="52" t="n"/>
      <c r="B2102" s="53">
        <f>IF(A2102="","",CHOOSE(WEEKDAY(A2102,2),"Пн","Вт","Ср","Чт","Пт","Сб","Вс"))</f>
        <v/>
      </c>
      <c r="C2102" s="53">
        <f>IF(A2102="","",YEAR(A2102))</f>
        <v/>
      </c>
      <c r="D2102" s="54">
        <f>IF(A2102="","",INDEX(lst_months,MONTH(A2102)))</f>
        <v/>
      </c>
      <c r="E2102" s="55" t="n"/>
      <c r="F2102" s="54">
        <f>IF(E2102="","",IFERROR(IF(INDEX(lst_exp_item_cat,MATCH(E2102,lst_exp_items,0))="","❔ Без категории",INDEX(lst_exp_item_cat,MATCH(E2102,lst_exp_items,0))),"❔ Без категории"))</f>
        <v/>
      </c>
      <c r="G2102" s="43" t="n"/>
      <c r="H2102" s="56" t="n"/>
      <c r="I2102" s="43" t="n"/>
      <c r="J2102" s="57">
        <f>IF(OR(A2102="",H2102=""),"",IF(COUNTIFS(exp_year,C2102,exp_month,D2102,exp_item,E2102,exp_status,"&lt;&gt;❌ Отменено")&gt;0,1,0))</f>
        <v/>
      </c>
    </row>
    <row r="2103">
      <c r="A2103" s="52" t="n"/>
      <c r="B2103" s="53">
        <f>IF(A2103="","",CHOOSE(WEEKDAY(A2103,2),"Пн","Вт","Ср","Чт","Пт","Сб","Вс"))</f>
        <v/>
      </c>
      <c r="C2103" s="53">
        <f>IF(A2103="","",YEAR(A2103))</f>
        <v/>
      </c>
      <c r="D2103" s="54">
        <f>IF(A2103="","",INDEX(lst_months,MONTH(A2103)))</f>
        <v/>
      </c>
      <c r="E2103" s="55" t="n"/>
      <c r="F2103" s="54">
        <f>IF(E2103="","",IFERROR(IF(INDEX(lst_exp_item_cat,MATCH(E2103,lst_exp_items,0))="","❔ Без категории",INDEX(lst_exp_item_cat,MATCH(E2103,lst_exp_items,0))),"❔ Без категории"))</f>
        <v/>
      </c>
      <c r="G2103" s="43" t="n"/>
      <c r="H2103" s="56" t="n"/>
      <c r="I2103" s="43" t="n"/>
      <c r="J2103" s="57">
        <f>IF(OR(A2103="",H2103=""),"",IF(COUNTIFS(exp_year,C2103,exp_month,D2103,exp_item,E2103,exp_status,"&lt;&gt;❌ Отменено")&gt;0,1,0))</f>
        <v/>
      </c>
    </row>
    <row r="2104">
      <c r="A2104" s="52" t="n"/>
      <c r="B2104" s="53">
        <f>IF(A2104="","",CHOOSE(WEEKDAY(A2104,2),"Пн","Вт","Ср","Чт","Пт","Сб","Вс"))</f>
        <v/>
      </c>
      <c r="C2104" s="53">
        <f>IF(A2104="","",YEAR(A2104))</f>
        <v/>
      </c>
      <c r="D2104" s="54">
        <f>IF(A2104="","",INDEX(lst_months,MONTH(A2104)))</f>
        <v/>
      </c>
      <c r="E2104" s="55" t="n"/>
      <c r="F2104" s="54">
        <f>IF(E2104="","",IFERROR(IF(INDEX(lst_exp_item_cat,MATCH(E2104,lst_exp_items,0))="","❔ Без категории",INDEX(lst_exp_item_cat,MATCH(E2104,lst_exp_items,0))),"❔ Без категории"))</f>
        <v/>
      </c>
      <c r="G2104" s="43" t="n"/>
      <c r="H2104" s="56" t="n"/>
      <c r="I2104" s="43" t="n"/>
      <c r="J2104" s="57">
        <f>IF(OR(A2104="",H2104=""),"",IF(COUNTIFS(exp_year,C2104,exp_month,D2104,exp_item,E2104,exp_status,"&lt;&gt;❌ Отменено")&gt;0,1,0))</f>
        <v/>
      </c>
    </row>
    <row r="2105">
      <c r="A2105" s="52" t="n"/>
      <c r="B2105" s="53">
        <f>IF(A2105="","",CHOOSE(WEEKDAY(A2105,2),"Пн","Вт","Ср","Чт","Пт","Сб","Вс"))</f>
        <v/>
      </c>
      <c r="C2105" s="53">
        <f>IF(A2105="","",YEAR(A2105))</f>
        <v/>
      </c>
      <c r="D2105" s="54">
        <f>IF(A2105="","",INDEX(lst_months,MONTH(A2105)))</f>
        <v/>
      </c>
      <c r="E2105" s="55" t="n"/>
      <c r="F2105" s="54">
        <f>IF(E2105="","",IFERROR(IF(INDEX(lst_exp_item_cat,MATCH(E2105,lst_exp_items,0))="","❔ Без категории",INDEX(lst_exp_item_cat,MATCH(E2105,lst_exp_items,0))),"❔ Без категории"))</f>
        <v/>
      </c>
      <c r="G2105" s="43" t="n"/>
      <c r="H2105" s="56" t="n"/>
      <c r="I2105" s="43" t="n"/>
      <c r="J2105" s="57">
        <f>IF(OR(A2105="",H2105=""),"",IF(COUNTIFS(exp_year,C2105,exp_month,D2105,exp_item,E2105,exp_status,"&lt;&gt;❌ Отменено")&gt;0,1,0))</f>
        <v/>
      </c>
    </row>
    <row r="2106">
      <c r="A2106" s="52" t="n"/>
      <c r="B2106" s="53">
        <f>IF(A2106="","",CHOOSE(WEEKDAY(A2106,2),"Пн","Вт","Ср","Чт","Пт","Сб","Вс"))</f>
        <v/>
      </c>
      <c r="C2106" s="53">
        <f>IF(A2106="","",YEAR(A2106))</f>
        <v/>
      </c>
      <c r="D2106" s="54">
        <f>IF(A2106="","",INDEX(lst_months,MONTH(A2106)))</f>
        <v/>
      </c>
      <c r="E2106" s="55" t="n"/>
      <c r="F2106" s="54">
        <f>IF(E2106="","",IFERROR(IF(INDEX(lst_exp_item_cat,MATCH(E2106,lst_exp_items,0))="","❔ Без категории",INDEX(lst_exp_item_cat,MATCH(E2106,lst_exp_items,0))),"❔ Без категории"))</f>
        <v/>
      </c>
      <c r="G2106" s="43" t="n"/>
      <c r="H2106" s="56" t="n"/>
      <c r="I2106" s="43" t="n"/>
      <c r="J2106" s="57">
        <f>IF(OR(A2106="",H2106=""),"",IF(COUNTIFS(exp_year,C2106,exp_month,D2106,exp_item,E2106,exp_status,"&lt;&gt;❌ Отменено")&gt;0,1,0))</f>
        <v/>
      </c>
    </row>
    <row r="2107">
      <c r="A2107" s="52" t="n"/>
      <c r="B2107" s="53">
        <f>IF(A2107="","",CHOOSE(WEEKDAY(A2107,2),"Пн","Вт","Ср","Чт","Пт","Сб","Вс"))</f>
        <v/>
      </c>
      <c r="C2107" s="53">
        <f>IF(A2107="","",YEAR(A2107))</f>
        <v/>
      </c>
      <c r="D2107" s="54">
        <f>IF(A2107="","",INDEX(lst_months,MONTH(A2107)))</f>
        <v/>
      </c>
      <c r="E2107" s="55" t="n"/>
      <c r="F2107" s="54">
        <f>IF(E2107="","",IFERROR(IF(INDEX(lst_exp_item_cat,MATCH(E2107,lst_exp_items,0))="","❔ Без категории",INDEX(lst_exp_item_cat,MATCH(E2107,lst_exp_items,0))),"❔ Без категории"))</f>
        <v/>
      </c>
      <c r="G2107" s="43" t="n"/>
      <c r="H2107" s="56" t="n"/>
      <c r="I2107" s="43" t="n"/>
      <c r="J2107" s="57">
        <f>IF(OR(A2107="",H2107=""),"",IF(COUNTIFS(exp_year,C2107,exp_month,D2107,exp_item,E2107,exp_status,"&lt;&gt;❌ Отменено")&gt;0,1,0))</f>
        <v/>
      </c>
    </row>
    <row r="2108">
      <c r="A2108" s="52" t="n"/>
      <c r="B2108" s="53">
        <f>IF(A2108="","",CHOOSE(WEEKDAY(A2108,2),"Пн","Вт","Ср","Чт","Пт","Сб","Вс"))</f>
        <v/>
      </c>
      <c r="C2108" s="53">
        <f>IF(A2108="","",YEAR(A2108))</f>
        <v/>
      </c>
      <c r="D2108" s="54">
        <f>IF(A2108="","",INDEX(lst_months,MONTH(A2108)))</f>
        <v/>
      </c>
      <c r="E2108" s="55" t="n"/>
      <c r="F2108" s="54">
        <f>IF(E2108="","",IFERROR(IF(INDEX(lst_exp_item_cat,MATCH(E2108,lst_exp_items,0))="","❔ Без категории",INDEX(lst_exp_item_cat,MATCH(E2108,lst_exp_items,0))),"❔ Без категории"))</f>
        <v/>
      </c>
      <c r="G2108" s="43" t="n"/>
      <c r="H2108" s="56" t="n"/>
      <c r="I2108" s="43" t="n"/>
      <c r="J2108" s="57">
        <f>IF(OR(A2108="",H2108=""),"",IF(COUNTIFS(exp_year,C2108,exp_month,D2108,exp_item,E2108,exp_status,"&lt;&gt;❌ Отменено")&gt;0,1,0))</f>
        <v/>
      </c>
    </row>
    <row r="2109">
      <c r="A2109" s="52" t="n"/>
      <c r="B2109" s="53">
        <f>IF(A2109="","",CHOOSE(WEEKDAY(A2109,2),"Пн","Вт","Ср","Чт","Пт","Сб","Вс"))</f>
        <v/>
      </c>
      <c r="C2109" s="53">
        <f>IF(A2109="","",YEAR(A2109))</f>
        <v/>
      </c>
      <c r="D2109" s="54">
        <f>IF(A2109="","",INDEX(lst_months,MONTH(A2109)))</f>
        <v/>
      </c>
      <c r="E2109" s="55" t="n"/>
      <c r="F2109" s="54">
        <f>IF(E2109="","",IFERROR(IF(INDEX(lst_exp_item_cat,MATCH(E2109,lst_exp_items,0))="","❔ Без категории",INDEX(lst_exp_item_cat,MATCH(E2109,lst_exp_items,0))),"❔ Без категории"))</f>
        <v/>
      </c>
      <c r="G2109" s="43" t="n"/>
      <c r="H2109" s="56" t="n"/>
      <c r="I2109" s="43" t="n"/>
      <c r="J2109" s="57">
        <f>IF(OR(A2109="",H2109=""),"",IF(COUNTIFS(exp_year,C2109,exp_month,D2109,exp_item,E2109,exp_status,"&lt;&gt;❌ Отменено")&gt;0,1,0))</f>
        <v/>
      </c>
    </row>
    <row r="2110">
      <c r="A2110" s="52" t="n"/>
      <c r="B2110" s="53">
        <f>IF(A2110="","",CHOOSE(WEEKDAY(A2110,2),"Пн","Вт","Ср","Чт","Пт","Сб","Вс"))</f>
        <v/>
      </c>
      <c r="C2110" s="53">
        <f>IF(A2110="","",YEAR(A2110))</f>
        <v/>
      </c>
      <c r="D2110" s="54">
        <f>IF(A2110="","",INDEX(lst_months,MONTH(A2110)))</f>
        <v/>
      </c>
      <c r="E2110" s="55" t="n"/>
      <c r="F2110" s="54">
        <f>IF(E2110="","",IFERROR(IF(INDEX(lst_exp_item_cat,MATCH(E2110,lst_exp_items,0))="","❔ Без категории",INDEX(lst_exp_item_cat,MATCH(E2110,lst_exp_items,0))),"❔ Без категории"))</f>
        <v/>
      </c>
      <c r="G2110" s="43" t="n"/>
      <c r="H2110" s="56" t="n"/>
      <c r="I2110" s="43" t="n"/>
      <c r="J2110" s="57">
        <f>IF(OR(A2110="",H2110=""),"",IF(COUNTIFS(exp_year,C2110,exp_month,D2110,exp_item,E2110,exp_status,"&lt;&gt;❌ Отменено")&gt;0,1,0))</f>
        <v/>
      </c>
    </row>
    <row r="2111">
      <c r="A2111" s="52" t="n"/>
      <c r="B2111" s="53">
        <f>IF(A2111="","",CHOOSE(WEEKDAY(A2111,2),"Пн","Вт","Ср","Чт","Пт","Сб","Вс"))</f>
        <v/>
      </c>
      <c r="C2111" s="53">
        <f>IF(A2111="","",YEAR(A2111))</f>
        <v/>
      </c>
      <c r="D2111" s="54">
        <f>IF(A2111="","",INDEX(lst_months,MONTH(A2111)))</f>
        <v/>
      </c>
      <c r="E2111" s="55" t="n"/>
      <c r="F2111" s="54">
        <f>IF(E2111="","",IFERROR(IF(INDEX(lst_exp_item_cat,MATCH(E2111,lst_exp_items,0))="","❔ Без категории",INDEX(lst_exp_item_cat,MATCH(E2111,lst_exp_items,0))),"❔ Без категории"))</f>
        <v/>
      </c>
      <c r="G2111" s="43" t="n"/>
      <c r="H2111" s="56" t="n"/>
      <c r="I2111" s="43" t="n"/>
      <c r="J2111" s="57">
        <f>IF(OR(A2111="",H2111=""),"",IF(COUNTIFS(exp_year,C2111,exp_month,D2111,exp_item,E2111,exp_status,"&lt;&gt;❌ Отменено")&gt;0,1,0))</f>
        <v/>
      </c>
    </row>
    <row r="2112">
      <c r="A2112" s="52" t="n"/>
      <c r="B2112" s="53">
        <f>IF(A2112="","",CHOOSE(WEEKDAY(A2112,2),"Пн","Вт","Ср","Чт","Пт","Сб","Вс"))</f>
        <v/>
      </c>
      <c r="C2112" s="53">
        <f>IF(A2112="","",YEAR(A2112))</f>
        <v/>
      </c>
      <c r="D2112" s="54">
        <f>IF(A2112="","",INDEX(lst_months,MONTH(A2112)))</f>
        <v/>
      </c>
      <c r="E2112" s="55" t="n"/>
      <c r="F2112" s="54">
        <f>IF(E2112="","",IFERROR(IF(INDEX(lst_exp_item_cat,MATCH(E2112,lst_exp_items,0))="","❔ Без категории",INDEX(lst_exp_item_cat,MATCH(E2112,lst_exp_items,0))),"❔ Без категории"))</f>
        <v/>
      </c>
      <c r="G2112" s="43" t="n"/>
      <c r="H2112" s="56" t="n"/>
      <c r="I2112" s="43" t="n"/>
      <c r="J2112" s="57">
        <f>IF(OR(A2112="",H2112=""),"",IF(COUNTIFS(exp_year,C2112,exp_month,D2112,exp_item,E2112,exp_status,"&lt;&gt;❌ Отменено")&gt;0,1,0))</f>
        <v/>
      </c>
    </row>
    <row r="2113">
      <c r="A2113" s="52" t="n"/>
      <c r="B2113" s="53">
        <f>IF(A2113="","",CHOOSE(WEEKDAY(A2113,2),"Пн","Вт","Ср","Чт","Пт","Сб","Вс"))</f>
        <v/>
      </c>
      <c r="C2113" s="53">
        <f>IF(A2113="","",YEAR(A2113))</f>
        <v/>
      </c>
      <c r="D2113" s="54">
        <f>IF(A2113="","",INDEX(lst_months,MONTH(A2113)))</f>
        <v/>
      </c>
      <c r="E2113" s="55" t="n"/>
      <c r="F2113" s="54">
        <f>IF(E2113="","",IFERROR(IF(INDEX(lst_exp_item_cat,MATCH(E2113,lst_exp_items,0))="","❔ Без категории",INDEX(lst_exp_item_cat,MATCH(E2113,lst_exp_items,0))),"❔ Без категории"))</f>
        <v/>
      </c>
      <c r="G2113" s="43" t="n"/>
      <c r="H2113" s="56" t="n"/>
      <c r="I2113" s="43" t="n"/>
      <c r="J2113" s="57">
        <f>IF(OR(A2113="",H2113=""),"",IF(COUNTIFS(exp_year,C2113,exp_month,D2113,exp_item,E2113,exp_status,"&lt;&gt;❌ Отменено")&gt;0,1,0))</f>
        <v/>
      </c>
    </row>
    <row r="2114">
      <c r="A2114" s="52" t="n"/>
      <c r="B2114" s="53">
        <f>IF(A2114="","",CHOOSE(WEEKDAY(A2114,2),"Пн","Вт","Ср","Чт","Пт","Сб","Вс"))</f>
        <v/>
      </c>
      <c r="C2114" s="53">
        <f>IF(A2114="","",YEAR(A2114))</f>
        <v/>
      </c>
      <c r="D2114" s="54">
        <f>IF(A2114="","",INDEX(lst_months,MONTH(A2114)))</f>
        <v/>
      </c>
      <c r="E2114" s="55" t="n"/>
      <c r="F2114" s="54">
        <f>IF(E2114="","",IFERROR(IF(INDEX(lst_exp_item_cat,MATCH(E2114,lst_exp_items,0))="","❔ Без категории",INDEX(lst_exp_item_cat,MATCH(E2114,lst_exp_items,0))),"❔ Без категории"))</f>
        <v/>
      </c>
      <c r="G2114" s="43" t="n"/>
      <c r="H2114" s="56" t="n"/>
      <c r="I2114" s="43" t="n"/>
      <c r="J2114" s="57">
        <f>IF(OR(A2114="",H2114=""),"",IF(COUNTIFS(exp_year,C2114,exp_month,D2114,exp_item,E2114,exp_status,"&lt;&gt;❌ Отменено")&gt;0,1,0))</f>
        <v/>
      </c>
    </row>
    <row r="2115">
      <c r="A2115" s="52" t="n"/>
      <c r="B2115" s="53">
        <f>IF(A2115="","",CHOOSE(WEEKDAY(A2115,2),"Пн","Вт","Ср","Чт","Пт","Сб","Вс"))</f>
        <v/>
      </c>
      <c r="C2115" s="53">
        <f>IF(A2115="","",YEAR(A2115))</f>
        <v/>
      </c>
      <c r="D2115" s="54">
        <f>IF(A2115="","",INDEX(lst_months,MONTH(A2115)))</f>
        <v/>
      </c>
      <c r="E2115" s="55" t="n"/>
      <c r="F2115" s="54">
        <f>IF(E2115="","",IFERROR(IF(INDEX(lst_exp_item_cat,MATCH(E2115,lst_exp_items,0))="","❔ Без категории",INDEX(lst_exp_item_cat,MATCH(E2115,lst_exp_items,0))),"❔ Без категории"))</f>
        <v/>
      </c>
      <c r="G2115" s="43" t="n"/>
      <c r="H2115" s="56" t="n"/>
      <c r="I2115" s="43" t="n"/>
      <c r="J2115" s="57">
        <f>IF(OR(A2115="",H2115=""),"",IF(COUNTIFS(exp_year,C2115,exp_month,D2115,exp_item,E2115,exp_status,"&lt;&gt;❌ Отменено")&gt;0,1,0))</f>
        <v/>
      </c>
    </row>
    <row r="2116">
      <c r="A2116" s="52" t="n"/>
      <c r="B2116" s="53">
        <f>IF(A2116="","",CHOOSE(WEEKDAY(A2116,2),"Пн","Вт","Ср","Чт","Пт","Сб","Вс"))</f>
        <v/>
      </c>
      <c r="C2116" s="53">
        <f>IF(A2116="","",YEAR(A2116))</f>
        <v/>
      </c>
      <c r="D2116" s="54">
        <f>IF(A2116="","",INDEX(lst_months,MONTH(A2116)))</f>
        <v/>
      </c>
      <c r="E2116" s="55" t="n"/>
      <c r="F2116" s="54">
        <f>IF(E2116="","",IFERROR(IF(INDEX(lst_exp_item_cat,MATCH(E2116,lst_exp_items,0))="","❔ Без категории",INDEX(lst_exp_item_cat,MATCH(E2116,lst_exp_items,0))),"❔ Без категории"))</f>
        <v/>
      </c>
      <c r="G2116" s="43" t="n"/>
      <c r="H2116" s="56" t="n"/>
      <c r="I2116" s="43" t="n"/>
      <c r="J2116" s="57">
        <f>IF(OR(A2116="",H2116=""),"",IF(COUNTIFS(exp_year,C2116,exp_month,D2116,exp_item,E2116,exp_status,"&lt;&gt;❌ Отменено")&gt;0,1,0))</f>
        <v/>
      </c>
    </row>
    <row r="2117">
      <c r="A2117" s="52" t="n"/>
      <c r="B2117" s="53">
        <f>IF(A2117="","",CHOOSE(WEEKDAY(A2117,2),"Пн","Вт","Ср","Чт","Пт","Сб","Вс"))</f>
        <v/>
      </c>
      <c r="C2117" s="53">
        <f>IF(A2117="","",YEAR(A2117))</f>
        <v/>
      </c>
      <c r="D2117" s="54">
        <f>IF(A2117="","",INDEX(lst_months,MONTH(A2117)))</f>
        <v/>
      </c>
      <c r="E2117" s="55" t="n"/>
      <c r="F2117" s="54">
        <f>IF(E2117="","",IFERROR(IF(INDEX(lst_exp_item_cat,MATCH(E2117,lst_exp_items,0))="","❔ Без категории",INDEX(lst_exp_item_cat,MATCH(E2117,lst_exp_items,0))),"❔ Без категории"))</f>
        <v/>
      </c>
      <c r="G2117" s="43" t="n"/>
      <c r="H2117" s="56" t="n"/>
      <c r="I2117" s="43" t="n"/>
      <c r="J2117" s="57">
        <f>IF(OR(A2117="",H2117=""),"",IF(COUNTIFS(exp_year,C2117,exp_month,D2117,exp_item,E2117,exp_status,"&lt;&gt;❌ Отменено")&gt;0,1,0))</f>
        <v/>
      </c>
    </row>
    <row r="2118">
      <c r="A2118" s="52" t="n"/>
      <c r="B2118" s="53">
        <f>IF(A2118="","",CHOOSE(WEEKDAY(A2118,2),"Пн","Вт","Ср","Чт","Пт","Сб","Вс"))</f>
        <v/>
      </c>
      <c r="C2118" s="53">
        <f>IF(A2118="","",YEAR(A2118))</f>
        <v/>
      </c>
      <c r="D2118" s="54">
        <f>IF(A2118="","",INDEX(lst_months,MONTH(A2118)))</f>
        <v/>
      </c>
      <c r="E2118" s="55" t="n"/>
      <c r="F2118" s="54">
        <f>IF(E2118="","",IFERROR(IF(INDEX(lst_exp_item_cat,MATCH(E2118,lst_exp_items,0))="","❔ Без категории",INDEX(lst_exp_item_cat,MATCH(E2118,lst_exp_items,0))),"❔ Без категории"))</f>
        <v/>
      </c>
      <c r="G2118" s="43" t="n"/>
      <c r="H2118" s="56" t="n"/>
      <c r="I2118" s="43" t="n"/>
      <c r="J2118" s="57">
        <f>IF(OR(A2118="",H2118=""),"",IF(COUNTIFS(exp_year,C2118,exp_month,D2118,exp_item,E2118,exp_status,"&lt;&gt;❌ Отменено")&gt;0,1,0))</f>
        <v/>
      </c>
    </row>
    <row r="2119">
      <c r="A2119" s="52" t="n"/>
      <c r="B2119" s="53">
        <f>IF(A2119="","",CHOOSE(WEEKDAY(A2119,2),"Пн","Вт","Ср","Чт","Пт","Сб","Вс"))</f>
        <v/>
      </c>
      <c r="C2119" s="53">
        <f>IF(A2119="","",YEAR(A2119))</f>
        <v/>
      </c>
      <c r="D2119" s="54">
        <f>IF(A2119="","",INDEX(lst_months,MONTH(A2119)))</f>
        <v/>
      </c>
      <c r="E2119" s="55" t="n"/>
      <c r="F2119" s="54">
        <f>IF(E2119="","",IFERROR(IF(INDEX(lst_exp_item_cat,MATCH(E2119,lst_exp_items,0))="","❔ Без категории",INDEX(lst_exp_item_cat,MATCH(E2119,lst_exp_items,0))),"❔ Без категории"))</f>
        <v/>
      </c>
      <c r="G2119" s="43" t="n"/>
      <c r="H2119" s="56" t="n"/>
      <c r="I2119" s="43" t="n"/>
      <c r="J2119" s="57">
        <f>IF(OR(A2119="",H2119=""),"",IF(COUNTIFS(exp_year,C2119,exp_month,D2119,exp_item,E2119,exp_status,"&lt;&gt;❌ Отменено")&gt;0,1,0))</f>
        <v/>
      </c>
    </row>
    <row r="2120">
      <c r="A2120" s="52" t="n"/>
      <c r="B2120" s="53">
        <f>IF(A2120="","",CHOOSE(WEEKDAY(A2120,2),"Пн","Вт","Ср","Чт","Пт","Сб","Вс"))</f>
        <v/>
      </c>
      <c r="C2120" s="53">
        <f>IF(A2120="","",YEAR(A2120))</f>
        <v/>
      </c>
      <c r="D2120" s="54">
        <f>IF(A2120="","",INDEX(lst_months,MONTH(A2120)))</f>
        <v/>
      </c>
      <c r="E2120" s="55" t="n"/>
      <c r="F2120" s="54">
        <f>IF(E2120="","",IFERROR(IF(INDEX(lst_exp_item_cat,MATCH(E2120,lst_exp_items,0))="","❔ Без категории",INDEX(lst_exp_item_cat,MATCH(E2120,lst_exp_items,0))),"❔ Без категории"))</f>
        <v/>
      </c>
      <c r="G2120" s="43" t="n"/>
      <c r="H2120" s="56" t="n"/>
      <c r="I2120" s="43" t="n"/>
      <c r="J2120" s="57">
        <f>IF(OR(A2120="",H2120=""),"",IF(COUNTIFS(exp_year,C2120,exp_month,D2120,exp_item,E2120,exp_status,"&lt;&gt;❌ Отменено")&gt;0,1,0))</f>
        <v/>
      </c>
    </row>
    <row r="2121">
      <c r="A2121" s="52" t="n"/>
      <c r="B2121" s="53">
        <f>IF(A2121="","",CHOOSE(WEEKDAY(A2121,2),"Пн","Вт","Ср","Чт","Пт","Сб","Вс"))</f>
        <v/>
      </c>
      <c r="C2121" s="53">
        <f>IF(A2121="","",YEAR(A2121))</f>
        <v/>
      </c>
      <c r="D2121" s="54">
        <f>IF(A2121="","",INDEX(lst_months,MONTH(A2121)))</f>
        <v/>
      </c>
      <c r="E2121" s="55" t="n"/>
      <c r="F2121" s="54">
        <f>IF(E2121="","",IFERROR(IF(INDEX(lst_exp_item_cat,MATCH(E2121,lst_exp_items,0))="","❔ Без категории",INDEX(lst_exp_item_cat,MATCH(E2121,lst_exp_items,0))),"❔ Без категории"))</f>
        <v/>
      </c>
      <c r="G2121" s="43" t="n"/>
      <c r="H2121" s="56" t="n"/>
      <c r="I2121" s="43" t="n"/>
      <c r="J2121" s="57">
        <f>IF(OR(A2121="",H2121=""),"",IF(COUNTIFS(exp_year,C2121,exp_month,D2121,exp_item,E2121,exp_status,"&lt;&gt;❌ Отменено")&gt;0,1,0))</f>
        <v/>
      </c>
    </row>
    <row r="2122">
      <c r="A2122" s="52" t="n"/>
      <c r="B2122" s="53">
        <f>IF(A2122="","",CHOOSE(WEEKDAY(A2122,2),"Пн","Вт","Ср","Чт","Пт","Сб","Вс"))</f>
        <v/>
      </c>
      <c r="C2122" s="53">
        <f>IF(A2122="","",YEAR(A2122))</f>
        <v/>
      </c>
      <c r="D2122" s="54">
        <f>IF(A2122="","",INDEX(lst_months,MONTH(A2122)))</f>
        <v/>
      </c>
      <c r="E2122" s="55" t="n"/>
      <c r="F2122" s="54">
        <f>IF(E2122="","",IFERROR(IF(INDEX(lst_exp_item_cat,MATCH(E2122,lst_exp_items,0))="","❔ Без категории",INDEX(lst_exp_item_cat,MATCH(E2122,lst_exp_items,0))),"❔ Без категории"))</f>
        <v/>
      </c>
      <c r="G2122" s="43" t="n"/>
      <c r="H2122" s="56" t="n"/>
      <c r="I2122" s="43" t="n"/>
      <c r="J2122" s="57">
        <f>IF(OR(A2122="",H2122=""),"",IF(COUNTIFS(exp_year,C2122,exp_month,D2122,exp_item,E2122,exp_status,"&lt;&gt;❌ Отменено")&gt;0,1,0))</f>
        <v/>
      </c>
    </row>
    <row r="2123">
      <c r="A2123" s="52" t="n"/>
      <c r="B2123" s="53">
        <f>IF(A2123="","",CHOOSE(WEEKDAY(A2123,2),"Пн","Вт","Ср","Чт","Пт","Сб","Вс"))</f>
        <v/>
      </c>
      <c r="C2123" s="53">
        <f>IF(A2123="","",YEAR(A2123))</f>
        <v/>
      </c>
      <c r="D2123" s="54">
        <f>IF(A2123="","",INDEX(lst_months,MONTH(A2123)))</f>
        <v/>
      </c>
      <c r="E2123" s="55" t="n"/>
      <c r="F2123" s="54">
        <f>IF(E2123="","",IFERROR(IF(INDEX(lst_exp_item_cat,MATCH(E2123,lst_exp_items,0))="","❔ Без категории",INDEX(lst_exp_item_cat,MATCH(E2123,lst_exp_items,0))),"❔ Без категории"))</f>
        <v/>
      </c>
      <c r="G2123" s="43" t="n"/>
      <c r="H2123" s="56" t="n"/>
      <c r="I2123" s="43" t="n"/>
      <c r="J2123" s="57">
        <f>IF(OR(A2123="",H2123=""),"",IF(COUNTIFS(exp_year,C2123,exp_month,D2123,exp_item,E2123,exp_status,"&lt;&gt;❌ Отменено")&gt;0,1,0))</f>
        <v/>
      </c>
    </row>
    <row r="2124">
      <c r="A2124" s="52" t="n"/>
      <c r="B2124" s="53">
        <f>IF(A2124="","",CHOOSE(WEEKDAY(A2124,2),"Пн","Вт","Ср","Чт","Пт","Сб","Вс"))</f>
        <v/>
      </c>
      <c r="C2124" s="53">
        <f>IF(A2124="","",YEAR(A2124))</f>
        <v/>
      </c>
      <c r="D2124" s="54">
        <f>IF(A2124="","",INDEX(lst_months,MONTH(A2124)))</f>
        <v/>
      </c>
      <c r="E2124" s="55" t="n"/>
      <c r="F2124" s="54">
        <f>IF(E2124="","",IFERROR(IF(INDEX(lst_exp_item_cat,MATCH(E2124,lst_exp_items,0))="","❔ Без категории",INDEX(lst_exp_item_cat,MATCH(E2124,lst_exp_items,0))),"❔ Без категории"))</f>
        <v/>
      </c>
      <c r="G2124" s="43" t="n"/>
      <c r="H2124" s="56" t="n"/>
      <c r="I2124" s="43" t="n"/>
      <c r="J2124" s="57">
        <f>IF(OR(A2124="",H2124=""),"",IF(COUNTIFS(exp_year,C2124,exp_month,D2124,exp_item,E2124,exp_status,"&lt;&gt;❌ Отменено")&gt;0,1,0))</f>
        <v/>
      </c>
    </row>
    <row r="2125">
      <c r="A2125" s="52" t="n"/>
      <c r="B2125" s="53">
        <f>IF(A2125="","",CHOOSE(WEEKDAY(A2125,2),"Пн","Вт","Ср","Чт","Пт","Сб","Вс"))</f>
        <v/>
      </c>
      <c r="C2125" s="53">
        <f>IF(A2125="","",YEAR(A2125))</f>
        <v/>
      </c>
      <c r="D2125" s="54">
        <f>IF(A2125="","",INDEX(lst_months,MONTH(A2125)))</f>
        <v/>
      </c>
      <c r="E2125" s="55" t="n"/>
      <c r="F2125" s="54">
        <f>IF(E2125="","",IFERROR(IF(INDEX(lst_exp_item_cat,MATCH(E2125,lst_exp_items,0))="","❔ Без категории",INDEX(lst_exp_item_cat,MATCH(E2125,lst_exp_items,0))),"❔ Без категории"))</f>
        <v/>
      </c>
      <c r="G2125" s="43" t="n"/>
      <c r="H2125" s="56" t="n"/>
      <c r="I2125" s="43" t="n"/>
      <c r="J2125" s="57">
        <f>IF(OR(A2125="",H2125=""),"",IF(COUNTIFS(exp_year,C2125,exp_month,D2125,exp_item,E2125,exp_status,"&lt;&gt;❌ Отменено")&gt;0,1,0))</f>
        <v/>
      </c>
    </row>
    <row r="2126">
      <c r="A2126" s="52" t="n"/>
      <c r="B2126" s="53">
        <f>IF(A2126="","",CHOOSE(WEEKDAY(A2126,2),"Пн","Вт","Ср","Чт","Пт","Сб","Вс"))</f>
        <v/>
      </c>
      <c r="C2126" s="53">
        <f>IF(A2126="","",YEAR(A2126))</f>
        <v/>
      </c>
      <c r="D2126" s="54">
        <f>IF(A2126="","",INDEX(lst_months,MONTH(A2126)))</f>
        <v/>
      </c>
      <c r="E2126" s="55" t="n"/>
      <c r="F2126" s="54">
        <f>IF(E2126="","",IFERROR(IF(INDEX(lst_exp_item_cat,MATCH(E2126,lst_exp_items,0))="","❔ Без категории",INDEX(lst_exp_item_cat,MATCH(E2126,lst_exp_items,0))),"❔ Без категории"))</f>
        <v/>
      </c>
      <c r="G2126" s="43" t="n"/>
      <c r="H2126" s="56" t="n"/>
      <c r="I2126" s="43" t="n"/>
      <c r="J2126" s="57">
        <f>IF(OR(A2126="",H2126=""),"",IF(COUNTIFS(exp_year,C2126,exp_month,D2126,exp_item,E2126,exp_status,"&lt;&gt;❌ Отменено")&gt;0,1,0))</f>
        <v/>
      </c>
    </row>
    <row r="2127">
      <c r="A2127" s="52" t="n"/>
      <c r="B2127" s="53">
        <f>IF(A2127="","",CHOOSE(WEEKDAY(A2127,2),"Пн","Вт","Ср","Чт","Пт","Сб","Вс"))</f>
        <v/>
      </c>
      <c r="C2127" s="53">
        <f>IF(A2127="","",YEAR(A2127))</f>
        <v/>
      </c>
      <c r="D2127" s="54">
        <f>IF(A2127="","",INDEX(lst_months,MONTH(A2127)))</f>
        <v/>
      </c>
      <c r="E2127" s="55" t="n"/>
      <c r="F2127" s="54">
        <f>IF(E2127="","",IFERROR(IF(INDEX(lst_exp_item_cat,MATCH(E2127,lst_exp_items,0))="","❔ Без категории",INDEX(lst_exp_item_cat,MATCH(E2127,lst_exp_items,0))),"❔ Без категории"))</f>
        <v/>
      </c>
      <c r="G2127" s="43" t="n"/>
      <c r="H2127" s="56" t="n"/>
      <c r="I2127" s="43" t="n"/>
      <c r="J2127" s="57">
        <f>IF(OR(A2127="",H2127=""),"",IF(COUNTIFS(exp_year,C2127,exp_month,D2127,exp_item,E2127,exp_status,"&lt;&gt;❌ Отменено")&gt;0,1,0))</f>
        <v/>
      </c>
    </row>
    <row r="2128">
      <c r="A2128" s="52" t="n"/>
      <c r="B2128" s="53">
        <f>IF(A2128="","",CHOOSE(WEEKDAY(A2128,2),"Пн","Вт","Ср","Чт","Пт","Сб","Вс"))</f>
        <v/>
      </c>
      <c r="C2128" s="53">
        <f>IF(A2128="","",YEAR(A2128))</f>
        <v/>
      </c>
      <c r="D2128" s="54">
        <f>IF(A2128="","",INDEX(lst_months,MONTH(A2128)))</f>
        <v/>
      </c>
      <c r="E2128" s="55" t="n"/>
      <c r="F2128" s="54">
        <f>IF(E2128="","",IFERROR(IF(INDEX(lst_exp_item_cat,MATCH(E2128,lst_exp_items,0))="","❔ Без категории",INDEX(lst_exp_item_cat,MATCH(E2128,lst_exp_items,0))),"❔ Без категории"))</f>
        <v/>
      </c>
      <c r="G2128" s="43" t="n"/>
      <c r="H2128" s="56" t="n"/>
      <c r="I2128" s="43" t="n"/>
      <c r="J2128" s="57">
        <f>IF(OR(A2128="",H2128=""),"",IF(COUNTIFS(exp_year,C2128,exp_month,D2128,exp_item,E2128,exp_status,"&lt;&gt;❌ Отменено")&gt;0,1,0))</f>
        <v/>
      </c>
    </row>
    <row r="2129">
      <c r="A2129" s="52" t="n"/>
      <c r="B2129" s="53">
        <f>IF(A2129="","",CHOOSE(WEEKDAY(A2129,2),"Пн","Вт","Ср","Чт","Пт","Сб","Вс"))</f>
        <v/>
      </c>
      <c r="C2129" s="53">
        <f>IF(A2129="","",YEAR(A2129))</f>
        <v/>
      </c>
      <c r="D2129" s="54">
        <f>IF(A2129="","",INDEX(lst_months,MONTH(A2129)))</f>
        <v/>
      </c>
      <c r="E2129" s="55" t="n"/>
      <c r="F2129" s="54">
        <f>IF(E2129="","",IFERROR(IF(INDEX(lst_exp_item_cat,MATCH(E2129,lst_exp_items,0))="","❔ Без категории",INDEX(lst_exp_item_cat,MATCH(E2129,lst_exp_items,0))),"❔ Без категории"))</f>
        <v/>
      </c>
      <c r="G2129" s="43" t="n"/>
      <c r="H2129" s="56" t="n"/>
      <c r="I2129" s="43" t="n"/>
      <c r="J2129" s="57">
        <f>IF(OR(A2129="",H2129=""),"",IF(COUNTIFS(exp_year,C2129,exp_month,D2129,exp_item,E2129,exp_status,"&lt;&gt;❌ Отменено")&gt;0,1,0))</f>
        <v/>
      </c>
    </row>
    <row r="2130">
      <c r="A2130" s="52" t="n"/>
      <c r="B2130" s="53">
        <f>IF(A2130="","",CHOOSE(WEEKDAY(A2130,2),"Пн","Вт","Ср","Чт","Пт","Сб","Вс"))</f>
        <v/>
      </c>
      <c r="C2130" s="53">
        <f>IF(A2130="","",YEAR(A2130))</f>
        <v/>
      </c>
      <c r="D2130" s="54">
        <f>IF(A2130="","",INDEX(lst_months,MONTH(A2130)))</f>
        <v/>
      </c>
      <c r="E2130" s="55" t="n"/>
      <c r="F2130" s="54">
        <f>IF(E2130="","",IFERROR(IF(INDEX(lst_exp_item_cat,MATCH(E2130,lst_exp_items,0))="","❔ Без категории",INDEX(lst_exp_item_cat,MATCH(E2130,lst_exp_items,0))),"❔ Без категории"))</f>
        <v/>
      </c>
      <c r="G2130" s="43" t="n"/>
      <c r="H2130" s="56" t="n"/>
      <c r="I2130" s="43" t="n"/>
      <c r="J2130" s="57">
        <f>IF(OR(A2130="",H2130=""),"",IF(COUNTIFS(exp_year,C2130,exp_month,D2130,exp_item,E2130,exp_status,"&lt;&gt;❌ Отменено")&gt;0,1,0))</f>
        <v/>
      </c>
    </row>
    <row r="2131">
      <c r="A2131" s="52" t="n"/>
      <c r="B2131" s="53">
        <f>IF(A2131="","",CHOOSE(WEEKDAY(A2131,2),"Пн","Вт","Ср","Чт","Пт","Сб","Вс"))</f>
        <v/>
      </c>
      <c r="C2131" s="53">
        <f>IF(A2131="","",YEAR(A2131))</f>
        <v/>
      </c>
      <c r="D2131" s="54">
        <f>IF(A2131="","",INDEX(lst_months,MONTH(A2131)))</f>
        <v/>
      </c>
      <c r="E2131" s="55" t="n"/>
      <c r="F2131" s="54">
        <f>IF(E2131="","",IFERROR(IF(INDEX(lst_exp_item_cat,MATCH(E2131,lst_exp_items,0))="","❔ Без категории",INDEX(lst_exp_item_cat,MATCH(E2131,lst_exp_items,0))),"❔ Без категории"))</f>
        <v/>
      </c>
      <c r="G2131" s="43" t="n"/>
      <c r="H2131" s="56" t="n"/>
      <c r="I2131" s="43" t="n"/>
      <c r="J2131" s="57">
        <f>IF(OR(A2131="",H2131=""),"",IF(COUNTIFS(exp_year,C2131,exp_month,D2131,exp_item,E2131,exp_status,"&lt;&gt;❌ Отменено")&gt;0,1,0))</f>
        <v/>
      </c>
    </row>
    <row r="2132">
      <c r="A2132" s="52" t="n"/>
      <c r="B2132" s="53">
        <f>IF(A2132="","",CHOOSE(WEEKDAY(A2132,2),"Пн","Вт","Ср","Чт","Пт","Сб","Вс"))</f>
        <v/>
      </c>
      <c r="C2132" s="53">
        <f>IF(A2132="","",YEAR(A2132))</f>
        <v/>
      </c>
      <c r="D2132" s="54">
        <f>IF(A2132="","",INDEX(lst_months,MONTH(A2132)))</f>
        <v/>
      </c>
      <c r="E2132" s="55" t="n"/>
      <c r="F2132" s="54">
        <f>IF(E2132="","",IFERROR(IF(INDEX(lst_exp_item_cat,MATCH(E2132,lst_exp_items,0))="","❔ Без категории",INDEX(lst_exp_item_cat,MATCH(E2132,lst_exp_items,0))),"❔ Без категории"))</f>
        <v/>
      </c>
      <c r="G2132" s="43" t="n"/>
      <c r="H2132" s="56" t="n"/>
      <c r="I2132" s="43" t="n"/>
      <c r="J2132" s="57">
        <f>IF(OR(A2132="",H2132=""),"",IF(COUNTIFS(exp_year,C2132,exp_month,D2132,exp_item,E2132,exp_status,"&lt;&gt;❌ Отменено")&gt;0,1,0))</f>
        <v/>
      </c>
    </row>
    <row r="2133">
      <c r="A2133" s="52" t="n"/>
      <c r="B2133" s="53">
        <f>IF(A2133="","",CHOOSE(WEEKDAY(A2133,2),"Пн","Вт","Ср","Чт","Пт","Сб","Вс"))</f>
        <v/>
      </c>
      <c r="C2133" s="53">
        <f>IF(A2133="","",YEAR(A2133))</f>
        <v/>
      </c>
      <c r="D2133" s="54">
        <f>IF(A2133="","",INDEX(lst_months,MONTH(A2133)))</f>
        <v/>
      </c>
      <c r="E2133" s="55" t="n"/>
      <c r="F2133" s="54">
        <f>IF(E2133="","",IFERROR(IF(INDEX(lst_exp_item_cat,MATCH(E2133,lst_exp_items,0))="","❔ Без категории",INDEX(lst_exp_item_cat,MATCH(E2133,lst_exp_items,0))),"❔ Без категории"))</f>
        <v/>
      </c>
      <c r="G2133" s="43" t="n"/>
      <c r="H2133" s="56" t="n"/>
      <c r="I2133" s="43" t="n"/>
      <c r="J2133" s="57">
        <f>IF(OR(A2133="",H2133=""),"",IF(COUNTIFS(exp_year,C2133,exp_month,D2133,exp_item,E2133,exp_status,"&lt;&gt;❌ Отменено")&gt;0,1,0))</f>
        <v/>
      </c>
    </row>
    <row r="2134">
      <c r="A2134" s="52" t="n"/>
      <c r="B2134" s="53">
        <f>IF(A2134="","",CHOOSE(WEEKDAY(A2134,2),"Пн","Вт","Ср","Чт","Пт","Сб","Вс"))</f>
        <v/>
      </c>
      <c r="C2134" s="53">
        <f>IF(A2134="","",YEAR(A2134))</f>
        <v/>
      </c>
      <c r="D2134" s="54">
        <f>IF(A2134="","",INDEX(lst_months,MONTH(A2134)))</f>
        <v/>
      </c>
      <c r="E2134" s="55" t="n"/>
      <c r="F2134" s="54">
        <f>IF(E2134="","",IFERROR(IF(INDEX(lst_exp_item_cat,MATCH(E2134,lst_exp_items,0))="","❔ Без категории",INDEX(lst_exp_item_cat,MATCH(E2134,lst_exp_items,0))),"❔ Без категории"))</f>
        <v/>
      </c>
      <c r="G2134" s="43" t="n"/>
      <c r="H2134" s="56" t="n"/>
      <c r="I2134" s="43" t="n"/>
      <c r="J2134" s="57">
        <f>IF(OR(A2134="",H2134=""),"",IF(COUNTIFS(exp_year,C2134,exp_month,D2134,exp_item,E2134,exp_status,"&lt;&gt;❌ Отменено")&gt;0,1,0))</f>
        <v/>
      </c>
    </row>
    <row r="2135">
      <c r="A2135" s="52" t="n"/>
      <c r="B2135" s="53">
        <f>IF(A2135="","",CHOOSE(WEEKDAY(A2135,2),"Пн","Вт","Ср","Чт","Пт","Сб","Вс"))</f>
        <v/>
      </c>
      <c r="C2135" s="53">
        <f>IF(A2135="","",YEAR(A2135))</f>
        <v/>
      </c>
      <c r="D2135" s="54">
        <f>IF(A2135="","",INDEX(lst_months,MONTH(A2135)))</f>
        <v/>
      </c>
      <c r="E2135" s="55" t="n"/>
      <c r="F2135" s="54">
        <f>IF(E2135="","",IFERROR(IF(INDEX(lst_exp_item_cat,MATCH(E2135,lst_exp_items,0))="","❔ Без категории",INDEX(lst_exp_item_cat,MATCH(E2135,lst_exp_items,0))),"❔ Без категории"))</f>
        <v/>
      </c>
      <c r="G2135" s="43" t="n"/>
      <c r="H2135" s="56" t="n"/>
      <c r="I2135" s="43" t="n"/>
      <c r="J2135" s="57">
        <f>IF(OR(A2135="",H2135=""),"",IF(COUNTIFS(exp_year,C2135,exp_month,D2135,exp_item,E2135,exp_status,"&lt;&gt;❌ Отменено")&gt;0,1,0))</f>
        <v/>
      </c>
    </row>
    <row r="2136">
      <c r="A2136" s="52" t="n"/>
      <c r="B2136" s="53">
        <f>IF(A2136="","",CHOOSE(WEEKDAY(A2136,2),"Пн","Вт","Ср","Чт","Пт","Сб","Вс"))</f>
        <v/>
      </c>
      <c r="C2136" s="53">
        <f>IF(A2136="","",YEAR(A2136))</f>
        <v/>
      </c>
      <c r="D2136" s="54">
        <f>IF(A2136="","",INDEX(lst_months,MONTH(A2136)))</f>
        <v/>
      </c>
      <c r="E2136" s="55" t="n"/>
      <c r="F2136" s="54">
        <f>IF(E2136="","",IFERROR(IF(INDEX(lst_exp_item_cat,MATCH(E2136,lst_exp_items,0))="","❔ Без категории",INDEX(lst_exp_item_cat,MATCH(E2136,lst_exp_items,0))),"❔ Без категории"))</f>
        <v/>
      </c>
      <c r="G2136" s="43" t="n"/>
      <c r="H2136" s="56" t="n"/>
      <c r="I2136" s="43" t="n"/>
      <c r="J2136" s="57">
        <f>IF(OR(A2136="",H2136=""),"",IF(COUNTIFS(exp_year,C2136,exp_month,D2136,exp_item,E2136,exp_status,"&lt;&gt;❌ Отменено")&gt;0,1,0))</f>
        <v/>
      </c>
    </row>
    <row r="2137">
      <c r="A2137" s="52" t="n"/>
      <c r="B2137" s="53">
        <f>IF(A2137="","",CHOOSE(WEEKDAY(A2137,2),"Пн","Вт","Ср","Чт","Пт","Сб","Вс"))</f>
        <v/>
      </c>
      <c r="C2137" s="53">
        <f>IF(A2137="","",YEAR(A2137))</f>
        <v/>
      </c>
      <c r="D2137" s="54">
        <f>IF(A2137="","",INDEX(lst_months,MONTH(A2137)))</f>
        <v/>
      </c>
      <c r="E2137" s="55" t="n"/>
      <c r="F2137" s="54">
        <f>IF(E2137="","",IFERROR(IF(INDEX(lst_exp_item_cat,MATCH(E2137,lst_exp_items,0))="","❔ Без категории",INDEX(lst_exp_item_cat,MATCH(E2137,lst_exp_items,0))),"❔ Без категории"))</f>
        <v/>
      </c>
      <c r="G2137" s="43" t="n"/>
      <c r="H2137" s="56" t="n"/>
      <c r="I2137" s="43" t="n"/>
      <c r="J2137" s="57">
        <f>IF(OR(A2137="",H2137=""),"",IF(COUNTIFS(exp_year,C2137,exp_month,D2137,exp_item,E2137,exp_status,"&lt;&gt;❌ Отменено")&gt;0,1,0))</f>
        <v/>
      </c>
    </row>
    <row r="2138">
      <c r="A2138" s="52" t="n"/>
      <c r="B2138" s="53">
        <f>IF(A2138="","",CHOOSE(WEEKDAY(A2138,2),"Пн","Вт","Ср","Чт","Пт","Сб","Вс"))</f>
        <v/>
      </c>
      <c r="C2138" s="53">
        <f>IF(A2138="","",YEAR(A2138))</f>
        <v/>
      </c>
      <c r="D2138" s="54">
        <f>IF(A2138="","",INDEX(lst_months,MONTH(A2138)))</f>
        <v/>
      </c>
      <c r="E2138" s="55" t="n"/>
      <c r="F2138" s="54">
        <f>IF(E2138="","",IFERROR(IF(INDEX(lst_exp_item_cat,MATCH(E2138,lst_exp_items,0))="","❔ Без категории",INDEX(lst_exp_item_cat,MATCH(E2138,lst_exp_items,0))),"❔ Без категории"))</f>
        <v/>
      </c>
      <c r="G2138" s="43" t="n"/>
      <c r="H2138" s="56" t="n"/>
      <c r="I2138" s="43" t="n"/>
      <c r="J2138" s="57">
        <f>IF(OR(A2138="",H2138=""),"",IF(COUNTIFS(exp_year,C2138,exp_month,D2138,exp_item,E2138,exp_status,"&lt;&gt;❌ Отменено")&gt;0,1,0))</f>
        <v/>
      </c>
    </row>
    <row r="2139">
      <c r="A2139" s="52" t="n"/>
      <c r="B2139" s="53">
        <f>IF(A2139="","",CHOOSE(WEEKDAY(A2139,2),"Пн","Вт","Ср","Чт","Пт","Сб","Вс"))</f>
        <v/>
      </c>
      <c r="C2139" s="53">
        <f>IF(A2139="","",YEAR(A2139))</f>
        <v/>
      </c>
      <c r="D2139" s="54">
        <f>IF(A2139="","",INDEX(lst_months,MONTH(A2139)))</f>
        <v/>
      </c>
      <c r="E2139" s="55" t="n"/>
      <c r="F2139" s="54">
        <f>IF(E2139="","",IFERROR(IF(INDEX(lst_exp_item_cat,MATCH(E2139,lst_exp_items,0))="","❔ Без категории",INDEX(lst_exp_item_cat,MATCH(E2139,lst_exp_items,0))),"❔ Без категории"))</f>
        <v/>
      </c>
      <c r="G2139" s="43" t="n"/>
      <c r="H2139" s="56" t="n"/>
      <c r="I2139" s="43" t="n"/>
      <c r="J2139" s="57">
        <f>IF(OR(A2139="",H2139=""),"",IF(COUNTIFS(exp_year,C2139,exp_month,D2139,exp_item,E2139,exp_status,"&lt;&gt;❌ Отменено")&gt;0,1,0))</f>
        <v/>
      </c>
    </row>
    <row r="2140">
      <c r="A2140" s="52" t="n"/>
      <c r="B2140" s="53">
        <f>IF(A2140="","",CHOOSE(WEEKDAY(A2140,2),"Пн","Вт","Ср","Чт","Пт","Сб","Вс"))</f>
        <v/>
      </c>
      <c r="C2140" s="53">
        <f>IF(A2140="","",YEAR(A2140))</f>
        <v/>
      </c>
      <c r="D2140" s="54">
        <f>IF(A2140="","",INDEX(lst_months,MONTH(A2140)))</f>
        <v/>
      </c>
      <c r="E2140" s="55" t="n"/>
      <c r="F2140" s="54">
        <f>IF(E2140="","",IFERROR(IF(INDEX(lst_exp_item_cat,MATCH(E2140,lst_exp_items,0))="","❔ Без категории",INDEX(lst_exp_item_cat,MATCH(E2140,lst_exp_items,0))),"❔ Без категории"))</f>
        <v/>
      </c>
      <c r="G2140" s="43" t="n"/>
      <c r="H2140" s="56" t="n"/>
      <c r="I2140" s="43" t="n"/>
      <c r="J2140" s="57">
        <f>IF(OR(A2140="",H2140=""),"",IF(COUNTIFS(exp_year,C2140,exp_month,D2140,exp_item,E2140,exp_status,"&lt;&gt;❌ Отменено")&gt;0,1,0))</f>
        <v/>
      </c>
    </row>
    <row r="2141">
      <c r="A2141" s="52" t="n"/>
      <c r="B2141" s="53">
        <f>IF(A2141="","",CHOOSE(WEEKDAY(A2141,2),"Пн","Вт","Ср","Чт","Пт","Сб","Вс"))</f>
        <v/>
      </c>
      <c r="C2141" s="53">
        <f>IF(A2141="","",YEAR(A2141))</f>
        <v/>
      </c>
      <c r="D2141" s="54">
        <f>IF(A2141="","",INDEX(lst_months,MONTH(A2141)))</f>
        <v/>
      </c>
      <c r="E2141" s="55" t="n"/>
      <c r="F2141" s="54">
        <f>IF(E2141="","",IFERROR(IF(INDEX(lst_exp_item_cat,MATCH(E2141,lst_exp_items,0))="","❔ Без категории",INDEX(lst_exp_item_cat,MATCH(E2141,lst_exp_items,0))),"❔ Без категории"))</f>
        <v/>
      </c>
      <c r="G2141" s="43" t="n"/>
      <c r="H2141" s="56" t="n"/>
      <c r="I2141" s="43" t="n"/>
      <c r="J2141" s="57">
        <f>IF(OR(A2141="",H2141=""),"",IF(COUNTIFS(exp_year,C2141,exp_month,D2141,exp_item,E2141,exp_status,"&lt;&gt;❌ Отменено")&gt;0,1,0))</f>
        <v/>
      </c>
    </row>
    <row r="2142">
      <c r="A2142" s="52" t="n"/>
      <c r="B2142" s="53">
        <f>IF(A2142="","",CHOOSE(WEEKDAY(A2142,2),"Пн","Вт","Ср","Чт","Пт","Сб","Вс"))</f>
        <v/>
      </c>
      <c r="C2142" s="53">
        <f>IF(A2142="","",YEAR(A2142))</f>
        <v/>
      </c>
      <c r="D2142" s="54">
        <f>IF(A2142="","",INDEX(lst_months,MONTH(A2142)))</f>
        <v/>
      </c>
      <c r="E2142" s="55" t="n"/>
      <c r="F2142" s="54">
        <f>IF(E2142="","",IFERROR(IF(INDEX(lst_exp_item_cat,MATCH(E2142,lst_exp_items,0))="","❔ Без категории",INDEX(lst_exp_item_cat,MATCH(E2142,lst_exp_items,0))),"❔ Без категории"))</f>
        <v/>
      </c>
      <c r="G2142" s="43" t="n"/>
      <c r="H2142" s="56" t="n"/>
      <c r="I2142" s="43" t="n"/>
      <c r="J2142" s="57">
        <f>IF(OR(A2142="",H2142=""),"",IF(COUNTIFS(exp_year,C2142,exp_month,D2142,exp_item,E2142,exp_status,"&lt;&gt;❌ Отменено")&gt;0,1,0))</f>
        <v/>
      </c>
    </row>
    <row r="2143">
      <c r="A2143" s="52" t="n"/>
      <c r="B2143" s="53">
        <f>IF(A2143="","",CHOOSE(WEEKDAY(A2143,2),"Пн","Вт","Ср","Чт","Пт","Сб","Вс"))</f>
        <v/>
      </c>
      <c r="C2143" s="53">
        <f>IF(A2143="","",YEAR(A2143))</f>
        <v/>
      </c>
      <c r="D2143" s="54">
        <f>IF(A2143="","",INDEX(lst_months,MONTH(A2143)))</f>
        <v/>
      </c>
      <c r="E2143" s="55" t="n"/>
      <c r="F2143" s="54">
        <f>IF(E2143="","",IFERROR(IF(INDEX(lst_exp_item_cat,MATCH(E2143,lst_exp_items,0))="","❔ Без категории",INDEX(lst_exp_item_cat,MATCH(E2143,lst_exp_items,0))),"❔ Без категории"))</f>
        <v/>
      </c>
      <c r="G2143" s="43" t="n"/>
      <c r="H2143" s="56" t="n"/>
      <c r="I2143" s="43" t="n"/>
      <c r="J2143" s="57">
        <f>IF(OR(A2143="",H2143=""),"",IF(COUNTIFS(exp_year,C2143,exp_month,D2143,exp_item,E2143,exp_status,"&lt;&gt;❌ Отменено")&gt;0,1,0))</f>
        <v/>
      </c>
    </row>
    <row r="2144">
      <c r="A2144" s="52" t="n"/>
      <c r="B2144" s="53">
        <f>IF(A2144="","",CHOOSE(WEEKDAY(A2144,2),"Пн","Вт","Ср","Чт","Пт","Сб","Вс"))</f>
        <v/>
      </c>
      <c r="C2144" s="53">
        <f>IF(A2144="","",YEAR(A2144))</f>
        <v/>
      </c>
      <c r="D2144" s="54">
        <f>IF(A2144="","",INDEX(lst_months,MONTH(A2144)))</f>
        <v/>
      </c>
      <c r="E2144" s="55" t="n"/>
      <c r="F2144" s="54">
        <f>IF(E2144="","",IFERROR(IF(INDEX(lst_exp_item_cat,MATCH(E2144,lst_exp_items,0))="","❔ Без категории",INDEX(lst_exp_item_cat,MATCH(E2144,lst_exp_items,0))),"❔ Без категории"))</f>
        <v/>
      </c>
      <c r="G2144" s="43" t="n"/>
      <c r="H2144" s="56" t="n"/>
      <c r="I2144" s="43" t="n"/>
      <c r="J2144" s="57">
        <f>IF(OR(A2144="",H2144=""),"",IF(COUNTIFS(exp_year,C2144,exp_month,D2144,exp_item,E2144,exp_status,"&lt;&gt;❌ Отменено")&gt;0,1,0))</f>
        <v/>
      </c>
    </row>
    <row r="2145">
      <c r="A2145" s="52" t="n"/>
      <c r="B2145" s="53">
        <f>IF(A2145="","",CHOOSE(WEEKDAY(A2145,2),"Пн","Вт","Ср","Чт","Пт","Сб","Вс"))</f>
        <v/>
      </c>
      <c r="C2145" s="53">
        <f>IF(A2145="","",YEAR(A2145))</f>
        <v/>
      </c>
      <c r="D2145" s="54">
        <f>IF(A2145="","",INDEX(lst_months,MONTH(A2145)))</f>
        <v/>
      </c>
      <c r="E2145" s="55" t="n"/>
      <c r="F2145" s="54">
        <f>IF(E2145="","",IFERROR(IF(INDEX(lst_exp_item_cat,MATCH(E2145,lst_exp_items,0))="","❔ Без категории",INDEX(lst_exp_item_cat,MATCH(E2145,lst_exp_items,0))),"❔ Без категории"))</f>
        <v/>
      </c>
      <c r="G2145" s="43" t="n"/>
      <c r="H2145" s="56" t="n"/>
      <c r="I2145" s="43" t="n"/>
      <c r="J2145" s="57">
        <f>IF(OR(A2145="",H2145=""),"",IF(COUNTIFS(exp_year,C2145,exp_month,D2145,exp_item,E2145,exp_status,"&lt;&gt;❌ Отменено")&gt;0,1,0))</f>
        <v/>
      </c>
    </row>
    <row r="2146">
      <c r="A2146" s="52" t="n"/>
      <c r="B2146" s="53">
        <f>IF(A2146="","",CHOOSE(WEEKDAY(A2146,2),"Пн","Вт","Ср","Чт","Пт","Сб","Вс"))</f>
        <v/>
      </c>
      <c r="C2146" s="53">
        <f>IF(A2146="","",YEAR(A2146))</f>
        <v/>
      </c>
      <c r="D2146" s="54">
        <f>IF(A2146="","",INDEX(lst_months,MONTH(A2146)))</f>
        <v/>
      </c>
      <c r="E2146" s="55" t="n"/>
      <c r="F2146" s="54">
        <f>IF(E2146="","",IFERROR(IF(INDEX(lst_exp_item_cat,MATCH(E2146,lst_exp_items,0))="","❔ Без категории",INDEX(lst_exp_item_cat,MATCH(E2146,lst_exp_items,0))),"❔ Без категории"))</f>
        <v/>
      </c>
      <c r="G2146" s="43" t="n"/>
      <c r="H2146" s="56" t="n"/>
      <c r="I2146" s="43" t="n"/>
      <c r="J2146" s="57">
        <f>IF(OR(A2146="",H2146=""),"",IF(COUNTIFS(exp_year,C2146,exp_month,D2146,exp_item,E2146,exp_status,"&lt;&gt;❌ Отменено")&gt;0,1,0))</f>
        <v/>
      </c>
    </row>
    <row r="2147">
      <c r="A2147" s="52" t="n"/>
      <c r="B2147" s="53">
        <f>IF(A2147="","",CHOOSE(WEEKDAY(A2147,2),"Пн","Вт","Ср","Чт","Пт","Сб","Вс"))</f>
        <v/>
      </c>
      <c r="C2147" s="53">
        <f>IF(A2147="","",YEAR(A2147))</f>
        <v/>
      </c>
      <c r="D2147" s="54">
        <f>IF(A2147="","",INDEX(lst_months,MONTH(A2147)))</f>
        <v/>
      </c>
      <c r="E2147" s="55" t="n"/>
      <c r="F2147" s="54">
        <f>IF(E2147="","",IFERROR(IF(INDEX(lst_exp_item_cat,MATCH(E2147,lst_exp_items,0))="","❔ Без категории",INDEX(lst_exp_item_cat,MATCH(E2147,lst_exp_items,0))),"❔ Без категории"))</f>
        <v/>
      </c>
      <c r="G2147" s="43" t="n"/>
      <c r="H2147" s="56" t="n"/>
      <c r="I2147" s="43" t="n"/>
      <c r="J2147" s="57">
        <f>IF(OR(A2147="",H2147=""),"",IF(COUNTIFS(exp_year,C2147,exp_month,D2147,exp_item,E2147,exp_status,"&lt;&gt;❌ Отменено")&gt;0,1,0))</f>
        <v/>
      </c>
    </row>
    <row r="2148">
      <c r="A2148" s="52" t="n"/>
      <c r="B2148" s="53">
        <f>IF(A2148="","",CHOOSE(WEEKDAY(A2148,2),"Пн","Вт","Ср","Чт","Пт","Сб","Вс"))</f>
        <v/>
      </c>
      <c r="C2148" s="53">
        <f>IF(A2148="","",YEAR(A2148))</f>
        <v/>
      </c>
      <c r="D2148" s="54">
        <f>IF(A2148="","",INDEX(lst_months,MONTH(A2148)))</f>
        <v/>
      </c>
      <c r="E2148" s="55" t="n"/>
      <c r="F2148" s="54">
        <f>IF(E2148="","",IFERROR(IF(INDEX(lst_exp_item_cat,MATCH(E2148,lst_exp_items,0))="","❔ Без категории",INDEX(lst_exp_item_cat,MATCH(E2148,lst_exp_items,0))),"❔ Без категории"))</f>
        <v/>
      </c>
      <c r="G2148" s="43" t="n"/>
      <c r="H2148" s="56" t="n"/>
      <c r="I2148" s="43" t="n"/>
      <c r="J2148" s="57">
        <f>IF(OR(A2148="",H2148=""),"",IF(COUNTIFS(exp_year,C2148,exp_month,D2148,exp_item,E2148,exp_status,"&lt;&gt;❌ Отменено")&gt;0,1,0))</f>
        <v/>
      </c>
    </row>
    <row r="2149">
      <c r="A2149" s="52" t="n"/>
      <c r="B2149" s="53">
        <f>IF(A2149="","",CHOOSE(WEEKDAY(A2149,2),"Пн","Вт","Ср","Чт","Пт","Сб","Вс"))</f>
        <v/>
      </c>
      <c r="C2149" s="53">
        <f>IF(A2149="","",YEAR(A2149))</f>
        <v/>
      </c>
      <c r="D2149" s="54">
        <f>IF(A2149="","",INDEX(lst_months,MONTH(A2149)))</f>
        <v/>
      </c>
      <c r="E2149" s="55" t="n"/>
      <c r="F2149" s="54">
        <f>IF(E2149="","",IFERROR(IF(INDEX(lst_exp_item_cat,MATCH(E2149,lst_exp_items,0))="","❔ Без категории",INDEX(lst_exp_item_cat,MATCH(E2149,lst_exp_items,0))),"❔ Без категории"))</f>
        <v/>
      </c>
      <c r="G2149" s="43" t="n"/>
      <c r="H2149" s="56" t="n"/>
      <c r="I2149" s="43" t="n"/>
      <c r="J2149" s="57">
        <f>IF(OR(A2149="",H2149=""),"",IF(COUNTIFS(exp_year,C2149,exp_month,D2149,exp_item,E2149,exp_status,"&lt;&gt;❌ Отменено")&gt;0,1,0))</f>
        <v/>
      </c>
    </row>
    <row r="2150">
      <c r="A2150" s="52" t="n"/>
      <c r="B2150" s="53">
        <f>IF(A2150="","",CHOOSE(WEEKDAY(A2150,2),"Пн","Вт","Ср","Чт","Пт","Сб","Вс"))</f>
        <v/>
      </c>
      <c r="C2150" s="53">
        <f>IF(A2150="","",YEAR(A2150))</f>
        <v/>
      </c>
      <c r="D2150" s="54">
        <f>IF(A2150="","",INDEX(lst_months,MONTH(A2150)))</f>
        <v/>
      </c>
      <c r="E2150" s="55" t="n"/>
      <c r="F2150" s="54">
        <f>IF(E2150="","",IFERROR(IF(INDEX(lst_exp_item_cat,MATCH(E2150,lst_exp_items,0))="","❔ Без категории",INDEX(lst_exp_item_cat,MATCH(E2150,lst_exp_items,0))),"❔ Без категории"))</f>
        <v/>
      </c>
      <c r="G2150" s="43" t="n"/>
      <c r="H2150" s="56" t="n"/>
      <c r="I2150" s="43" t="n"/>
      <c r="J2150" s="57">
        <f>IF(OR(A2150="",H2150=""),"",IF(COUNTIFS(exp_year,C2150,exp_month,D2150,exp_item,E2150,exp_status,"&lt;&gt;❌ Отменено")&gt;0,1,0))</f>
        <v/>
      </c>
    </row>
    <row r="2151">
      <c r="A2151" s="52" t="n"/>
      <c r="B2151" s="53">
        <f>IF(A2151="","",CHOOSE(WEEKDAY(A2151,2),"Пн","Вт","Ср","Чт","Пт","Сб","Вс"))</f>
        <v/>
      </c>
      <c r="C2151" s="53">
        <f>IF(A2151="","",YEAR(A2151))</f>
        <v/>
      </c>
      <c r="D2151" s="54">
        <f>IF(A2151="","",INDEX(lst_months,MONTH(A2151)))</f>
        <v/>
      </c>
      <c r="E2151" s="55" t="n"/>
      <c r="F2151" s="54">
        <f>IF(E2151="","",IFERROR(IF(INDEX(lst_exp_item_cat,MATCH(E2151,lst_exp_items,0))="","❔ Без категории",INDEX(lst_exp_item_cat,MATCH(E2151,lst_exp_items,0))),"❔ Без категории"))</f>
        <v/>
      </c>
      <c r="G2151" s="43" t="n"/>
      <c r="H2151" s="56" t="n"/>
      <c r="I2151" s="43" t="n"/>
      <c r="J2151" s="57">
        <f>IF(OR(A2151="",H2151=""),"",IF(COUNTIFS(exp_year,C2151,exp_month,D2151,exp_item,E2151,exp_status,"&lt;&gt;❌ Отменено")&gt;0,1,0))</f>
        <v/>
      </c>
    </row>
    <row r="2152">
      <c r="A2152" s="52" t="n"/>
      <c r="B2152" s="53">
        <f>IF(A2152="","",CHOOSE(WEEKDAY(A2152,2),"Пн","Вт","Ср","Чт","Пт","Сб","Вс"))</f>
        <v/>
      </c>
      <c r="C2152" s="53">
        <f>IF(A2152="","",YEAR(A2152))</f>
        <v/>
      </c>
      <c r="D2152" s="54">
        <f>IF(A2152="","",INDEX(lst_months,MONTH(A2152)))</f>
        <v/>
      </c>
      <c r="E2152" s="55" t="n"/>
      <c r="F2152" s="54">
        <f>IF(E2152="","",IFERROR(IF(INDEX(lst_exp_item_cat,MATCH(E2152,lst_exp_items,0))="","❔ Без категории",INDEX(lst_exp_item_cat,MATCH(E2152,lst_exp_items,0))),"❔ Без категории"))</f>
        <v/>
      </c>
      <c r="G2152" s="43" t="n"/>
      <c r="H2152" s="56" t="n"/>
      <c r="I2152" s="43" t="n"/>
      <c r="J2152" s="57">
        <f>IF(OR(A2152="",H2152=""),"",IF(COUNTIFS(exp_year,C2152,exp_month,D2152,exp_item,E2152,exp_status,"&lt;&gt;❌ Отменено")&gt;0,1,0))</f>
        <v/>
      </c>
    </row>
    <row r="2153">
      <c r="A2153" s="52" t="n"/>
      <c r="B2153" s="53">
        <f>IF(A2153="","",CHOOSE(WEEKDAY(A2153,2),"Пн","Вт","Ср","Чт","Пт","Сб","Вс"))</f>
        <v/>
      </c>
      <c r="C2153" s="53">
        <f>IF(A2153="","",YEAR(A2153))</f>
        <v/>
      </c>
      <c r="D2153" s="54">
        <f>IF(A2153="","",INDEX(lst_months,MONTH(A2153)))</f>
        <v/>
      </c>
      <c r="E2153" s="55" t="n"/>
      <c r="F2153" s="54">
        <f>IF(E2153="","",IFERROR(IF(INDEX(lst_exp_item_cat,MATCH(E2153,lst_exp_items,0))="","❔ Без категории",INDEX(lst_exp_item_cat,MATCH(E2153,lst_exp_items,0))),"❔ Без категории"))</f>
        <v/>
      </c>
      <c r="G2153" s="43" t="n"/>
      <c r="H2153" s="56" t="n"/>
      <c r="I2153" s="43" t="n"/>
      <c r="J2153" s="57">
        <f>IF(OR(A2153="",H2153=""),"",IF(COUNTIFS(exp_year,C2153,exp_month,D2153,exp_item,E2153,exp_status,"&lt;&gt;❌ Отменено")&gt;0,1,0))</f>
        <v/>
      </c>
    </row>
    <row r="2154">
      <c r="A2154" s="52" t="n"/>
      <c r="B2154" s="53">
        <f>IF(A2154="","",CHOOSE(WEEKDAY(A2154,2),"Пн","Вт","Ср","Чт","Пт","Сб","Вс"))</f>
        <v/>
      </c>
      <c r="C2154" s="53">
        <f>IF(A2154="","",YEAR(A2154))</f>
        <v/>
      </c>
      <c r="D2154" s="54">
        <f>IF(A2154="","",INDEX(lst_months,MONTH(A2154)))</f>
        <v/>
      </c>
      <c r="E2154" s="55" t="n"/>
      <c r="F2154" s="54">
        <f>IF(E2154="","",IFERROR(IF(INDEX(lst_exp_item_cat,MATCH(E2154,lst_exp_items,0))="","❔ Без категории",INDEX(lst_exp_item_cat,MATCH(E2154,lst_exp_items,0))),"❔ Без категории"))</f>
        <v/>
      </c>
      <c r="G2154" s="43" t="n"/>
      <c r="H2154" s="56" t="n"/>
      <c r="I2154" s="43" t="n"/>
      <c r="J2154" s="57">
        <f>IF(OR(A2154="",H2154=""),"",IF(COUNTIFS(exp_year,C2154,exp_month,D2154,exp_item,E2154,exp_status,"&lt;&gt;❌ Отменено")&gt;0,1,0))</f>
        <v/>
      </c>
    </row>
    <row r="2155">
      <c r="A2155" s="52" t="n"/>
      <c r="B2155" s="53">
        <f>IF(A2155="","",CHOOSE(WEEKDAY(A2155,2),"Пн","Вт","Ср","Чт","Пт","Сб","Вс"))</f>
        <v/>
      </c>
      <c r="C2155" s="53">
        <f>IF(A2155="","",YEAR(A2155))</f>
        <v/>
      </c>
      <c r="D2155" s="54">
        <f>IF(A2155="","",INDEX(lst_months,MONTH(A2155)))</f>
        <v/>
      </c>
      <c r="E2155" s="55" t="n"/>
      <c r="F2155" s="54">
        <f>IF(E2155="","",IFERROR(IF(INDEX(lst_exp_item_cat,MATCH(E2155,lst_exp_items,0))="","❔ Без категории",INDEX(lst_exp_item_cat,MATCH(E2155,lst_exp_items,0))),"❔ Без категории"))</f>
        <v/>
      </c>
      <c r="G2155" s="43" t="n"/>
      <c r="H2155" s="56" t="n"/>
      <c r="I2155" s="43" t="n"/>
      <c r="J2155" s="57">
        <f>IF(OR(A2155="",H2155=""),"",IF(COUNTIFS(exp_year,C2155,exp_month,D2155,exp_item,E2155,exp_status,"&lt;&gt;❌ Отменено")&gt;0,1,0))</f>
        <v/>
      </c>
    </row>
    <row r="2156">
      <c r="A2156" s="52" t="n"/>
      <c r="B2156" s="53">
        <f>IF(A2156="","",CHOOSE(WEEKDAY(A2156,2),"Пн","Вт","Ср","Чт","Пт","Сб","Вс"))</f>
        <v/>
      </c>
      <c r="C2156" s="53">
        <f>IF(A2156="","",YEAR(A2156))</f>
        <v/>
      </c>
      <c r="D2156" s="54">
        <f>IF(A2156="","",INDEX(lst_months,MONTH(A2156)))</f>
        <v/>
      </c>
      <c r="E2156" s="55" t="n"/>
      <c r="F2156" s="54">
        <f>IF(E2156="","",IFERROR(IF(INDEX(lst_exp_item_cat,MATCH(E2156,lst_exp_items,0))="","❔ Без категории",INDEX(lst_exp_item_cat,MATCH(E2156,lst_exp_items,0))),"❔ Без категории"))</f>
        <v/>
      </c>
      <c r="G2156" s="43" t="n"/>
      <c r="H2156" s="56" t="n"/>
      <c r="I2156" s="43" t="n"/>
      <c r="J2156" s="57">
        <f>IF(OR(A2156="",H2156=""),"",IF(COUNTIFS(exp_year,C2156,exp_month,D2156,exp_item,E2156,exp_status,"&lt;&gt;❌ Отменено")&gt;0,1,0))</f>
        <v/>
      </c>
    </row>
    <row r="2157">
      <c r="A2157" s="52" t="n"/>
      <c r="B2157" s="53">
        <f>IF(A2157="","",CHOOSE(WEEKDAY(A2157,2),"Пн","Вт","Ср","Чт","Пт","Сб","Вс"))</f>
        <v/>
      </c>
      <c r="C2157" s="53">
        <f>IF(A2157="","",YEAR(A2157))</f>
        <v/>
      </c>
      <c r="D2157" s="54">
        <f>IF(A2157="","",INDEX(lst_months,MONTH(A2157)))</f>
        <v/>
      </c>
      <c r="E2157" s="55" t="n"/>
      <c r="F2157" s="54">
        <f>IF(E2157="","",IFERROR(IF(INDEX(lst_exp_item_cat,MATCH(E2157,lst_exp_items,0))="","❔ Без категории",INDEX(lst_exp_item_cat,MATCH(E2157,lst_exp_items,0))),"❔ Без категории"))</f>
        <v/>
      </c>
      <c r="G2157" s="43" t="n"/>
      <c r="H2157" s="56" t="n"/>
      <c r="I2157" s="43" t="n"/>
      <c r="J2157" s="57">
        <f>IF(OR(A2157="",H2157=""),"",IF(COUNTIFS(exp_year,C2157,exp_month,D2157,exp_item,E2157,exp_status,"&lt;&gt;❌ Отменено")&gt;0,1,0))</f>
        <v/>
      </c>
    </row>
    <row r="2158">
      <c r="A2158" s="52" t="n"/>
      <c r="B2158" s="53">
        <f>IF(A2158="","",CHOOSE(WEEKDAY(A2158,2),"Пн","Вт","Ср","Чт","Пт","Сб","Вс"))</f>
        <v/>
      </c>
      <c r="C2158" s="53">
        <f>IF(A2158="","",YEAR(A2158))</f>
        <v/>
      </c>
      <c r="D2158" s="54">
        <f>IF(A2158="","",INDEX(lst_months,MONTH(A2158)))</f>
        <v/>
      </c>
      <c r="E2158" s="55" t="n"/>
      <c r="F2158" s="54">
        <f>IF(E2158="","",IFERROR(IF(INDEX(lst_exp_item_cat,MATCH(E2158,lst_exp_items,0))="","❔ Без категории",INDEX(lst_exp_item_cat,MATCH(E2158,lst_exp_items,0))),"❔ Без категории"))</f>
        <v/>
      </c>
      <c r="G2158" s="43" t="n"/>
      <c r="H2158" s="56" t="n"/>
      <c r="I2158" s="43" t="n"/>
      <c r="J2158" s="57">
        <f>IF(OR(A2158="",H2158=""),"",IF(COUNTIFS(exp_year,C2158,exp_month,D2158,exp_item,E2158,exp_status,"&lt;&gt;❌ Отменено")&gt;0,1,0))</f>
        <v/>
      </c>
    </row>
    <row r="2159">
      <c r="A2159" s="52" t="n"/>
      <c r="B2159" s="53">
        <f>IF(A2159="","",CHOOSE(WEEKDAY(A2159,2),"Пн","Вт","Ср","Чт","Пт","Сб","Вс"))</f>
        <v/>
      </c>
      <c r="C2159" s="53">
        <f>IF(A2159="","",YEAR(A2159))</f>
        <v/>
      </c>
      <c r="D2159" s="54">
        <f>IF(A2159="","",INDEX(lst_months,MONTH(A2159)))</f>
        <v/>
      </c>
      <c r="E2159" s="55" t="n"/>
      <c r="F2159" s="54">
        <f>IF(E2159="","",IFERROR(IF(INDEX(lst_exp_item_cat,MATCH(E2159,lst_exp_items,0))="","❔ Без категории",INDEX(lst_exp_item_cat,MATCH(E2159,lst_exp_items,0))),"❔ Без категории"))</f>
        <v/>
      </c>
      <c r="G2159" s="43" t="n"/>
      <c r="H2159" s="56" t="n"/>
      <c r="I2159" s="43" t="n"/>
      <c r="J2159" s="57">
        <f>IF(OR(A2159="",H2159=""),"",IF(COUNTIFS(exp_year,C2159,exp_month,D2159,exp_item,E2159,exp_status,"&lt;&gt;❌ Отменено")&gt;0,1,0))</f>
        <v/>
      </c>
    </row>
    <row r="2160">
      <c r="A2160" s="52" t="n"/>
      <c r="B2160" s="53">
        <f>IF(A2160="","",CHOOSE(WEEKDAY(A2160,2),"Пн","Вт","Ср","Чт","Пт","Сб","Вс"))</f>
        <v/>
      </c>
      <c r="C2160" s="53">
        <f>IF(A2160="","",YEAR(A2160))</f>
        <v/>
      </c>
      <c r="D2160" s="54">
        <f>IF(A2160="","",INDEX(lst_months,MONTH(A2160)))</f>
        <v/>
      </c>
      <c r="E2160" s="55" t="n"/>
      <c r="F2160" s="54">
        <f>IF(E2160="","",IFERROR(IF(INDEX(lst_exp_item_cat,MATCH(E2160,lst_exp_items,0))="","❔ Без категории",INDEX(lst_exp_item_cat,MATCH(E2160,lst_exp_items,0))),"❔ Без категории"))</f>
        <v/>
      </c>
      <c r="G2160" s="43" t="n"/>
      <c r="H2160" s="56" t="n"/>
      <c r="I2160" s="43" t="n"/>
      <c r="J2160" s="57">
        <f>IF(OR(A2160="",H2160=""),"",IF(COUNTIFS(exp_year,C2160,exp_month,D2160,exp_item,E2160,exp_status,"&lt;&gt;❌ Отменено")&gt;0,1,0))</f>
        <v/>
      </c>
    </row>
    <row r="2161">
      <c r="A2161" s="52" t="n"/>
      <c r="B2161" s="53">
        <f>IF(A2161="","",CHOOSE(WEEKDAY(A2161,2),"Пн","Вт","Ср","Чт","Пт","Сб","Вс"))</f>
        <v/>
      </c>
      <c r="C2161" s="53">
        <f>IF(A2161="","",YEAR(A2161))</f>
        <v/>
      </c>
      <c r="D2161" s="54">
        <f>IF(A2161="","",INDEX(lst_months,MONTH(A2161)))</f>
        <v/>
      </c>
      <c r="E2161" s="55" t="n"/>
      <c r="F2161" s="54">
        <f>IF(E2161="","",IFERROR(IF(INDEX(lst_exp_item_cat,MATCH(E2161,lst_exp_items,0))="","❔ Без категории",INDEX(lst_exp_item_cat,MATCH(E2161,lst_exp_items,0))),"❔ Без категории"))</f>
        <v/>
      </c>
      <c r="G2161" s="43" t="n"/>
      <c r="H2161" s="56" t="n"/>
      <c r="I2161" s="43" t="n"/>
      <c r="J2161" s="57">
        <f>IF(OR(A2161="",H2161=""),"",IF(COUNTIFS(exp_year,C2161,exp_month,D2161,exp_item,E2161,exp_status,"&lt;&gt;❌ Отменено")&gt;0,1,0))</f>
        <v/>
      </c>
    </row>
    <row r="2162">
      <c r="A2162" s="52" t="n"/>
      <c r="B2162" s="53">
        <f>IF(A2162="","",CHOOSE(WEEKDAY(A2162,2),"Пн","Вт","Ср","Чт","Пт","Сб","Вс"))</f>
        <v/>
      </c>
      <c r="C2162" s="53">
        <f>IF(A2162="","",YEAR(A2162))</f>
        <v/>
      </c>
      <c r="D2162" s="54">
        <f>IF(A2162="","",INDEX(lst_months,MONTH(A2162)))</f>
        <v/>
      </c>
      <c r="E2162" s="55" t="n"/>
      <c r="F2162" s="54">
        <f>IF(E2162="","",IFERROR(IF(INDEX(lst_exp_item_cat,MATCH(E2162,lst_exp_items,0))="","❔ Без категории",INDEX(lst_exp_item_cat,MATCH(E2162,lst_exp_items,0))),"❔ Без категории"))</f>
        <v/>
      </c>
      <c r="G2162" s="43" t="n"/>
      <c r="H2162" s="56" t="n"/>
      <c r="I2162" s="43" t="n"/>
      <c r="J2162" s="57">
        <f>IF(OR(A2162="",H2162=""),"",IF(COUNTIFS(exp_year,C2162,exp_month,D2162,exp_item,E2162,exp_status,"&lt;&gt;❌ Отменено")&gt;0,1,0))</f>
        <v/>
      </c>
    </row>
    <row r="2163">
      <c r="A2163" s="52" t="n"/>
      <c r="B2163" s="53">
        <f>IF(A2163="","",CHOOSE(WEEKDAY(A2163,2),"Пн","Вт","Ср","Чт","Пт","Сб","Вс"))</f>
        <v/>
      </c>
      <c r="C2163" s="53">
        <f>IF(A2163="","",YEAR(A2163))</f>
        <v/>
      </c>
      <c r="D2163" s="54">
        <f>IF(A2163="","",INDEX(lst_months,MONTH(A2163)))</f>
        <v/>
      </c>
      <c r="E2163" s="55" t="n"/>
      <c r="F2163" s="54">
        <f>IF(E2163="","",IFERROR(IF(INDEX(lst_exp_item_cat,MATCH(E2163,lst_exp_items,0))="","❔ Без категории",INDEX(lst_exp_item_cat,MATCH(E2163,lst_exp_items,0))),"❔ Без категории"))</f>
        <v/>
      </c>
      <c r="G2163" s="43" t="n"/>
      <c r="H2163" s="56" t="n"/>
      <c r="I2163" s="43" t="n"/>
      <c r="J2163" s="57">
        <f>IF(OR(A2163="",H2163=""),"",IF(COUNTIFS(exp_year,C2163,exp_month,D2163,exp_item,E2163,exp_status,"&lt;&gt;❌ Отменено")&gt;0,1,0))</f>
        <v/>
      </c>
    </row>
    <row r="2164">
      <c r="A2164" s="52" t="n"/>
      <c r="B2164" s="53">
        <f>IF(A2164="","",CHOOSE(WEEKDAY(A2164,2),"Пн","Вт","Ср","Чт","Пт","Сб","Вс"))</f>
        <v/>
      </c>
      <c r="C2164" s="53">
        <f>IF(A2164="","",YEAR(A2164))</f>
        <v/>
      </c>
      <c r="D2164" s="54">
        <f>IF(A2164="","",INDEX(lst_months,MONTH(A2164)))</f>
        <v/>
      </c>
      <c r="E2164" s="55" t="n"/>
      <c r="F2164" s="54">
        <f>IF(E2164="","",IFERROR(IF(INDEX(lst_exp_item_cat,MATCH(E2164,lst_exp_items,0))="","❔ Без категории",INDEX(lst_exp_item_cat,MATCH(E2164,lst_exp_items,0))),"❔ Без категории"))</f>
        <v/>
      </c>
      <c r="G2164" s="43" t="n"/>
      <c r="H2164" s="56" t="n"/>
      <c r="I2164" s="43" t="n"/>
      <c r="J2164" s="57">
        <f>IF(OR(A2164="",H2164=""),"",IF(COUNTIFS(exp_year,C2164,exp_month,D2164,exp_item,E2164,exp_status,"&lt;&gt;❌ Отменено")&gt;0,1,0))</f>
        <v/>
      </c>
    </row>
    <row r="2165">
      <c r="A2165" s="52" t="n"/>
      <c r="B2165" s="53">
        <f>IF(A2165="","",CHOOSE(WEEKDAY(A2165,2),"Пн","Вт","Ср","Чт","Пт","Сб","Вс"))</f>
        <v/>
      </c>
      <c r="C2165" s="53">
        <f>IF(A2165="","",YEAR(A2165))</f>
        <v/>
      </c>
      <c r="D2165" s="54">
        <f>IF(A2165="","",INDEX(lst_months,MONTH(A2165)))</f>
        <v/>
      </c>
      <c r="E2165" s="55" t="n"/>
      <c r="F2165" s="54">
        <f>IF(E2165="","",IFERROR(IF(INDEX(lst_exp_item_cat,MATCH(E2165,lst_exp_items,0))="","❔ Без категории",INDEX(lst_exp_item_cat,MATCH(E2165,lst_exp_items,0))),"❔ Без категории"))</f>
        <v/>
      </c>
      <c r="G2165" s="43" t="n"/>
      <c r="H2165" s="56" t="n"/>
      <c r="I2165" s="43" t="n"/>
      <c r="J2165" s="57">
        <f>IF(OR(A2165="",H2165=""),"",IF(COUNTIFS(exp_year,C2165,exp_month,D2165,exp_item,E2165,exp_status,"&lt;&gt;❌ Отменено")&gt;0,1,0))</f>
        <v/>
      </c>
    </row>
    <row r="2166">
      <c r="A2166" s="52" t="n"/>
      <c r="B2166" s="53">
        <f>IF(A2166="","",CHOOSE(WEEKDAY(A2166,2),"Пн","Вт","Ср","Чт","Пт","Сб","Вс"))</f>
        <v/>
      </c>
      <c r="C2166" s="53">
        <f>IF(A2166="","",YEAR(A2166))</f>
        <v/>
      </c>
      <c r="D2166" s="54">
        <f>IF(A2166="","",INDEX(lst_months,MONTH(A2166)))</f>
        <v/>
      </c>
      <c r="E2166" s="55" t="n"/>
      <c r="F2166" s="54">
        <f>IF(E2166="","",IFERROR(IF(INDEX(lst_exp_item_cat,MATCH(E2166,lst_exp_items,0))="","❔ Без категории",INDEX(lst_exp_item_cat,MATCH(E2166,lst_exp_items,0))),"❔ Без категории"))</f>
        <v/>
      </c>
      <c r="G2166" s="43" t="n"/>
      <c r="H2166" s="56" t="n"/>
      <c r="I2166" s="43" t="n"/>
      <c r="J2166" s="57">
        <f>IF(OR(A2166="",H2166=""),"",IF(COUNTIFS(exp_year,C2166,exp_month,D2166,exp_item,E2166,exp_status,"&lt;&gt;❌ Отменено")&gt;0,1,0))</f>
        <v/>
      </c>
    </row>
    <row r="2167">
      <c r="A2167" s="52" t="n"/>
      <c r="B2167" s="53">
        <f>IF(A2167="","",CHOOSE(WEEKDAY(A2167,2),"Пн","Вт","Ср","Чт","Пт","Сб","Вс"))</f>
        <v/>
      </c>
      <c r="C2167" s="53">
        <f>IF(A2167="","",YEAR(A2167))</f>
        <v/>
      </c>
      <c r="D2167" s="54">
        <f>IF(A2167="","",INDEX(lst_months,MONTH(A2167)))</f>
        <v/>
      </c>
      <c r="E2167" s="55" t="n"/>
      <c r="F2167" s="54">
        <f>IF(E2167="","",IFERROR(IF(INDEX(lst_exp_item_cat,MATCH(E2167,lst_exp_items,0))="","❔ Без категории",INDEX(lst_exp_item_cat,MATCH(E2167,lst_exp_items,0))),"❔ Без категории"))</f>
        <v/>
      </c>
      <c r="G2167" s="43" t="n"/>
      <c r="H2167" s="56" t="n"/>
      <c r="I2167" s="43" t="n"/>
      <c r="J2167" s="57">
        <f>IF(OR(A2167="",H2167=""),"",IF(COUNTIFS(exp_year,C2167,exp_month,D2167,exp_item,E2167,exp_status,"&lt;&gt;❌ Отменено")&gt;0,1,0))</f>
        <v/>
      </c>
    </row>
    <row r="2168">
      <c r="A2168" s="52" t="n"/>
      <c r="B2168" s="53">
        <f>IF(A2168="","",CHOOSE(WEEKDAY(A2168,2),"Пн","Вт","Ср","Чт","Пт","Сб","Вс"))</f>
        <v/>
      </c>
      <c r="C2168" s="53">
        <f>IF(A2168="","",YEAR(A2168))</f>
        <v/>
      </c>
      <c r="D2168" s="54">
        <f>IF(A2168="","",INDEX(lst_months,MONTH(A2168)))</f>
        <v/>
      </c>
      <c r="E2168" s="55" t="n"/>
      <c r="F2168" s="54">
        <f>IF(E2168="","",IFERROR(IF(INDEX(lst_exp_item_cat,MATCH(E2168,lst_exp_items,0))="","❔ Без категории",INDEX(lst_exp_item_cat,MATCH(E2168,lst_exp_items,0))),"❔ Без категории"))</f>
        <v/>
      </c>
      <c r="G2168" s="43" t="n"/>
      <c r="H2168" s="56" t="n"/>
      <c r="I2168" s="43" t="n"/>
      <c r="J2168" s="57">
        <f>IF(OR(A2168="",H2168=""),"",IF(COUNTIFS(exp_year,C2168,exp_month,D2168,exp_item,E2168,exp_status,"&lt;&gt;❌ Отменено")&gt;0,1,0))</f>
        <v/>
      </c>
    </row>
    <row r="2169">
      <c r="A2169" s="52" t="n"/>
      <c r="B2169" s="53">
        <f>IF(A2169="","",CHOOSE(WEEKDAY(A2169,2),"Пн","Вт","Ср","Чт","Пт","Сб","Вс"))</f>
        <v/>
      </c>
      <c r="C2169" s="53">
        <f>IF(A2169="","",YEAR(A2169))</f>
        <v/>
      </c>
      <c r="D2169" s="54">
        <f>IF(A2169="","",INDEX(lst_months,MONTH(A2169)))</f>
        <v/>
      </c>
      <c r="E2169" s="55" t="n"/>
      <c r="F2169" s="54">
        <f>IF(E2169="","",IFERROR(IF(INDEX(lst_exp_item_cat,MATCH(E2169,lst_exp_items,0))="","❔ Без категории",INDEX(lst_exp_item_cat,MATCH(E2169,lst_exp_items,0))),"❔ Без категории"))</f>
        <v/>
      </c>
      <c r="G2169" s="43" t="n"/>
      <c r="H2169" s="56" t="n"/>
      <c r="I2169" s="43" t="n"/>
      <c r="J2169" s="57">
        <f>IF(OR(A2169="",H2169=""),"",IF(COUNTIFS(exp_year,C2169,exp_month,D2169,exp_item,E2169,exp_status,"&lt;&gt;❌ Отменено")&gt;0,1,0))</f>
        <v/>
      </c>
    </row>
    <row r="2170">
      <c r="A2170" s="52" t="n"/>
      <c r="B2170" s="53">
        <f>IF(A2170="","",CHOOSE(WEEKDAY(A2170,2),"Пн","Вт","Ср","Чт","Пт","Сб","Вс"))</f>
        <v/>
      </c>
      <c r="C2170" s="53">
        <f>IF(A2170="","",YEAR(A2170))</f>
        <v/>
      </c>
      <c r="D2170" s="54">
        <f>IF(A2170="","",INDEX(lst_months,MONTH(A2170)))</f>
        <v/>
      </c>
      <c r="E2170" s="55" t="n"/>
      <c r="F2170" s="54">
        <f>IF(E2170="","",IFERROR(IF(INDEX(lst_exp_item_cat,MATCH(E2170,lst_exp_items,0))="","❔ Без категории",INDEX(lst_exp_item_cat,MATCH(E2170,lst_exp_items,0))),"❔ Без категории"))</f>
        <v/>
      </c>
      <c r="G2170" s="43" t="n"/>
      <c r="H2170" s="56" t="n"/>
      <c r="I2170" s="43" t="n"/>
      <c r="J2170" s="57">
        <f>IF(OR(A2170="",H2170=""),"",IF(COUNTIFS(exp_year,C2170,exp_month,D2170,exp_item,E2170,exp_status,"&lt;&gt;❌ Отменено")&gt;0,1,0))</f>
        <v/>
      </c>
    </row>
    <row r="2171">
      <c r="A2171" s="52" t="n"/>
      <c r="B2171" s="53">
        <f>IF(A2171="","",CHOOSE(WEEKDAY(A2171,2),"Пн","Вт","Ср","Чт","Пт","Сб","Вс"))</f>
        <v/>
      </c>
      <c r="C2171" s="53">
        <f>IF(A2171="","",YEAR(A2171))</f>
        <v/>
      </c>
      <c r="D2171" s="54">
        <f>IF(A2171="","",INDEX(lst_months,MONTH(A2171)))</f>
        <v/>
      </c>
      <c r="E2171" s="55" t="n"/>
      <c r="F2171" s="54">
        <f>IF(E2171="","",IFERROR(IF(INDEX(lst_exp_item_cat,MATCH(E2171,lst_exp_items,0))="","❔ Без категории",INDEX(lst_exp_item_cat,MATCH(E2171,lst_exp_items,0))),"❔ Без категории"))</f>
        <v/>
      </c>
      <c r="G2171" s="43" t="n"/>
      <c r="H2171" s="56" t="n"/>
      <c r="I2171" s="43" t="n"/>
      <c r="J2171" s="57">
        <f>IF(OR(A2171="",H2171=""),"",IF(COUNTIFS(exp_year,C2171,exp_month,D2171,exp_item,E2171,exp_status,"&lt;&gt;❌ Отменено")&gt;0,1,0))</f>
        <v/>
      </c>
    </row>
    <row r="2172">
      <c r="A2172" s="52" t="n"/>
      <c r="B2172" s="53">
        <f>IF(A2172="","",CHOOSE(WEEKDAY(A2172,2),"Пн","Вт","Ср","Чт","Пт","Сб","Вс"))</f>
        <v/>
      </c>
      <c r="C2172" s="53">
        <f>IF(A2172="","",YEAR(A2172))</f>
        <v/>
      </c>
      <c r="D2172" s="54">
        <f>IF(A2172="","",INDEX(lst_months,MONTH(A2172)))</f>
        <v/>
      </c>
      <c r="E2172" s="55" t="n"/>
      <c r="F2172" s="54">
        <f>IF(E2172="","",IFERROR(IF(INDEX(lst_exp_item_cat,MATCH(E2172,lst_exp_items,0))="","❔ Без категории",INDEX(lst_exp_item_cat,MATCH(E2172,lst_exp_items,0))),"❔ Без категории"))</f>
        <v/>
      </c>
      <c r="G2172" s="43" t="n"/>
      <c r="H2172" s="56" t="n"/>
      <c r="I2172" s="43" t="n"/>
      <c r="J2172" s="57">
        <f>IF(OR(A2172="",H2172=""),"",IF(COUNTIFS(exp_year,C2172,exp_month,D2172,exp_item,E2172,exp_status,"&lt;&gt;❌ Отменено")&gt;0,1,0))</f>
        <v/>
      </c>
    </row>
    <row r="2173">
      <c r="A2173" s="52" t="n"/>
      <c r="B2173" s="53">
        <f>IF(A2173="","",CHOOSE(WEEKDAY(A2173,2),"Пн","Вт","Ср","Чт","Пт","Сб","Вс"))</f>
        <v/>
      </c>
      <c r="C2173" s="53">
        <f>IF(A2173="","",YEAR(A2173))</f>
        <v/>
      </c>
      <c r="D2173" s="54">
        <f>IF(A2173="","",INDEX(lst_months,MONTH(A2173)))</f>
        <v/>
      </c>
      <c r="E2173" s="55" t="n"/>
      <c r="F2173" s="54">
        <f>IF(E2173="","",IFERROR(IF(INDEX(lst_exp_item_cat,MATCH(E2173,lst_exp_items,0))="","❔ Без категории",INDEX(lst_exp_item_cat,MATCH(E2173,lst_exp_items,0))),"❔ Без категории"))</f>
        <v/>
      </c>
      <c r="G2173" s="43" t="n"/>
      <c r="H2173" s="56" t="n"/>
      <c r="I2173" s="43" t="n"/>
      <c r="J2173" s="57">
        <f>IF(OR(A2173="",H2173=""),"",IF(COUNTIFS(exp_year,C2173,exp_month,D2173,exp_item,E2173,exp_status,"&lt;&gt;❌ Отменено")&gt;0,1,0))</f>
        <v/>
      </c>
    </row>
    <row r="2174">
      <c r="A2174" s="52" t="n"/>
      <c r="B2174" s="53">
        <f>IF(A2174="","",CHOOSE(WEEKDAY(A2174,2),"Пн","Вт","Ср","Чт","Пт","Сб","Вс"))</f>
        <v/>
      </c>
      <c r="C2174" s="53">
        <f>IF(A2174="","",YEAR(A2174))</f>
        <v/>
      </c>
      <c r="D2174" s="54">
        <f>IF(A2174="","",INDEX(lst_months,MONTH(A2174)))</f>
        <v/>
      </c>
      <c r="E2174" s="55" t="n"/>
      <c r="F2174" s="54">
        <f>IF(E2174="","",IFERROR(IF(INDEX(lst_exp_item_cat,MATCH(E2174,lst_exp_items,0))="","❔ Без категории",INDEX(lst_exp_item_cat,MATCH(E2174,lst_exp_items,0))),"❔ Без категории"))</f>
        <v/>
      </c>
      <c r="G2174" s="43" t="n"/>
      <c r="H2174" s="56" t="n"/>
      <c r="I2174" s="43" t="n"/>
      <c r="J2174" s="57">
        <f>IF(OR(A2174="",H2174=""),"",IF(COUNTIFS(exp_year,C2174,exp_month,D2174,exp_item,E2174,exp_status,"&lt;&gt;❌ Отменено")&gt;0,1,0))</f>
        <v/>
      </c>
    </row>
    <row r="2175">
      <c r="A2175" s="52" t="n"/>
      <c r="B2175" s="53">
        <f>IF(A2175="","",CHOOSE(WEEKDAY(A2175,2),"Пн","Вт","Ср","Чт","Пт","Сб","Вс"))</f>
        <v/>
      </c>
      <c r="C2175" s="53">
        <f>IF(A2175="","",YEAR(A2175))</f>
        <v/>
      </c>
      <c r="D2175" s="54">
        <f>IF(A2175="","",INDEX(lst_months,MONTH(A2175)))</f>
        <v/>
      </c>
      <c r="E2175" s="55" t="n"/>
      <c r="F2175" s="54">
        <f>IF(E2175="","",IFERROR(IF(INDEX(lst_exp_item_cat,MATCH(E2175,lst_exp_items,0))="","❔ Без категории",INDEX(lst_exp_item_cat,MATCH(E2175,lst_exp_items,0))),"❔ Без категории"))</f>
        <v/>
      </c>
      <c r="G2175" s="43" t="n"/>
      <c r="H2175" s="56" t="n"/>
      <c r="I2175" s="43" t="n"/>
      <c r="J2175" s="57">
        <f>IF(OR(A2175="",H2175=""),"",IF(COUNTIFS(exp_year,C2175,exp_month,D2175,exp_item,E2175,exp_status,"&lt;&gt;❌ Отменено")&gt;0,1,0))</f>
        <v/>
      </c>
    </row>
    <row r="2176">
      <c r="A2176" s="52" t="n"/>
      <c r="B2176" s="53">
        <f>IF(A2176="","",CHOOSE(WEEKDAY(A2176,2),"Пн","Вт","Ср","Чт","Пт","Сб","Вс"))</f>
        <v/>
      </c>
      <c r="C2176" s="53">
        <f>IF(A2176="","",YEAR(A2176))</f>
        <v/>
      </c>
      <c r="D2176" s="54">
        <f>IF(A2176="","",INDEX(lst_months,MONTH(A2176)))</f>
        <v/>
      </c>
      <c r="E2176" s="55" t="n"/>
      <c r="F2176" s="54">
        <f>IF(E2176="","",IFERROR(IF(INDEX(lst_exp_item_cat,MATCH(E2176,lst_exp_items,0))="","❔ Без категории",INDEX(lst_exp_item_cat,MATCH(E2176,lst_exp_items,0))),"❔ Без категории"))</f>
        <v/>
      </c>
      <c r="G2176" s="43" t="n"/>
      <c r="H2176" s="56" t="n"/>
      <c r="I2176" s="43" t="n"/>
      <c r="J2176" s="57">
        <f>IF(OR(A2176="",H2176=""),"",IF(COUNTIFS(exp_year,C2176,exp_month,D2176,exp_item,E2176,exp_status,"&lt;&gt;❌ Отменено")&gt;0,1,0))</f>
        <v/>
      </c>
    </row>
    <row r="2177">
      <c r="A2177" s="52" t="n"/>
      <c r="B2177" s="53">
        <f>IF(A2177="","",CHOOSE(WEEKDAY(A2177,2),"Пн","Вт","Ср","Чт","Пт","Сб","Вс"))</f>
        <v/>
      </c>
      <c r="C2177" s="53">
        <f>IF(A2177="","",YEAR(A2177))</f>
        <v/>
      </c>
      <c r="D2177" s="54">
        <f>IF(A2177="","",INDEX(lst_months,MONTH(A2177)))</f>
        <v/>
      </c>
      <c r="E2177" s="55" t="n"/>
      <c r="F2177" s="54">
        <f>IF(E2177="","",IFERROR(IF(INDEX(lst_exp_item_cat,MATCH(E2177,lst_exp_items,0))="","❔ Без категории",INDEX(lst_exp_item_cat,MATCH(E2177,lst_exp_items,0))),"❔ Без категории"))</f>
        <v/>
      </c>
      <c r="G2177" s="43" t="n"/>
      <c r="H2177" s="56" t="n"/>
      <c r="I2177" s="43" t="n"/>
      <c r="J2177" s="57">
        <f>IF(OR(A2177="",H2177=""),"",IF(COUNTIFS(exp_year,C2177,exp_month,D2177,exp_item,E2177,exp_status,"&lt;&gt;❌ Отменено")&gt;0,1,0))</f>
        <v/>
      </c>
    </row>
    <row r="2178">
      <c r="A2178" s="52" t="n"/>
      <c r="B2178" s="53">
        <f>IF(A2178="","",CHOOSE(WEEKDAY(A2178,2),"Пн","Вт","Ср","Чт","Пт","Сб","Вс"))</f>
        <v/>
      </c>
      <c r="C2178" s="53">
        <f>IF(A2178="","",YEAR(A2178))</f>
        <v/>
      </c>
      <c r="D2178" s="54">
        <f>IF(A2178="","",INDEX(lst_months,MONTH(A2178)))</f>
        <v/>
      </c>
      <c r="E2178" s="55" t="n"/>
      <c r="F2178" s="54">
        <f>IF(E2178="","",IFERROR(IF(INDEX(lst_exp_item_cat,MATCH(E2178,lst_exp_items,0))="","❔ Без категории",INDEX(lst_exp_item_cat,MATCH(E2178,lst_exp_items,0))),"❔ Без категории"))</f>
        <v/>
      </c>
      <c r="G2178" s="43" t="n"/>
      <c r="H2178" s="56" t="n"/>
      <c r="I2178" s="43" t="n"/>
      <c r="J2178" s="57">
        <f>IF(OR(A2178="",H2178=""),"",IF(COUNTIFS(exp_year,C2178,exp_month,D2178,exp_item,E2178,exp_status,"&lt;&gt;❌ Отменено")&gt;0,1,0))</f>
        <v/>
      </c>
    </row>
    <row r="2179">
      <c r="A2179" s="52" t="n"/>
      <c r="B2179" s="53">
        <f>IF(A2179="","",CHOOSE(WEEKDAY(A2179,2),"Пн","Вт","Ср","Чт","Пт","Сб","Вс"))</f>
        <v/>
      </c>
      <c r="C2179" s="53">
        <f>IF(A2179="","",YEAR(A2179))</f>
        <v/>
      </c>
      <c r="D2179" s="54">
        <f>IF(A2179="","",INDEX(lst_months,MONTH(A2179)))</f>
        <v/>
      </c>
      <c r="E2179" s="55" t="n"/>
      <c r="F2179" s="54">
        <f>IF(E2179="","",IFERROR(IF(INDEX(lst_exp_item_cat,MATCH(E2179,lst_exp_items,0))="","❔ Без категории",INDEX(lst_exp_item_cat,MATCH(E2179,lst_exp_items,0))),"❔ Без категории"))</f>
        <v/>
      </c>
      <c r="G2179" s="43" t="n"/>
      <c r="H2179" s="56" t="n"/>
      <c r="I2179" s="43" t="n"/>
      <c r="J2179" s="57">
        <f>IF(OR(A2179="",H2179=""),"",IF(COUNTIFS(exp_year,C2179,exp_month,D2179,exp_item,E2179,exp_status,"&lt;&gt;❌ Отменено")&gt;0,1,0))</f>
        <v/>
      </c>
    </row>
    <row r="2180">
      <c r="A2180" s="52" t="n"/>
      <c r="B2180" s="53">
        <f>IF(A2180="","",CHOOSE(WEEKDAY(A2180,2),"Пн","Вт","Ср","Чт","Пт","Сб","Вс"))</f>
        <v/>
      </c>
      <c r="C2180" s="53">
        <f>IF(A2180="","",YEAR(A2180))</f>
        <v/>
      </c>
      <c r="D2180" s="54">
        <f>IF(A2180="","",INDEX(lst_months,MONTH(A2180)))</f>
        <v/>
      </c>
      <c r="E2180" s="55" t="n"/>
      <c r="F2180" s="54">
        <f>IF(E2180="","",IFERROR(IF(INDEX(lst_exp_item_cat,MATCH(E2180,lst_exp_items,0))="","❔ Без категории",INDEX(lst_exp_item_cat,MATCH(E2180,lst_exp_items,0))),"❔ Без категории"))</f>
        <v/>
      </c>
      <c r="G2180" s="43" t="n"/>
      <c r="H2180" s="56" t="n"/>
      <c r="I2180" s="43" t="n"/>
      <c r="J2180" s="57">
        <f>IF(OR(A2180="",H2180=""),"",IF(COUNTIFS(exp_year,C2180,exp_month,D2180,exp_item,E2180,exp_status,"&lt;&gt;❌ Отменено")&gt;0,1,0))</f>
        <v/>
      </c>
    </row>
    <row r="2181">
      <c r="A2181" s="52" t="n"/>
      <c r="B2181" s="53">
        <f>IF(A2181="","",CHOOSE(WEEKDAY(A2181,2),"Пн","Вт","Ср","Чт","Пт","Сб","Вс"))</f>
        <v/>
      </c>
      <c r="C2181" s="53">
        <f>IF(A2181="","",YEAR(A2181))</f>
        <v/>
      </c>
      <c r="D2181" s="54">
        <f>IF(A2181="","",INDEX(lst_months,MONTH(A2181)))</f>
        <v/>
      </c>
      <c r="E2181" s="55" t="n"/>
      <c r="F2181" s="54">
        <f>IF(E2181="","",IFERROR(IF(INDEX(lst_exp_item_cat,MATCH(E2181,lst_exp_items,0))="","❔ Без категории",INDEX(lst_exp_item_cat,MATCH(E2181,lst_exp_items,0))),"❔ Без категории"))</f>
        <v/>
      </c>
      <c r="G2181" s="43" t="n"/>
      <c r="H2181" s="56" t="n"/>
      <c r="I2181" s="43" t="n"/>
      <c r="J2181" s="57">
        <f>IF(OR(A2181="",H2181=""),"",IF(COUNTIFS(exp_year,C2181,exp_month,D2181,exp_item,E2181,exp_status,"&lt;&gt;❌ Отменено")&gt;0,1,0))</f>
        <v/>
      </c>
    </row>
    <row r="2182">
      <c r="A2182" s="52" t="n"/>
      <c r="B2182" s="53">
        <f>IF(A2182="","",CHOOSE(WEEKDAY(A2182,2),"Пн","Вт","Ср","Чт","Пт","Сб","Вс"))</f>
        <v/>
      </c>
      <c r="C2182" s="53">
        <f>IF(A2182="","",YEAR(A2182))</f>
        <v/>
      </c>
      <c r="D2182" s="54">
        <f>IF(A2182="","",INDEX(lst_months,MONTH(A2182)))</f>
        <v/>
      </c>
      <c r="E2182" s="55" t="n"/>
      <c r="F2182" s="54">
        <f>IF(E2182="","",IFERROR(IF(INDEX(lst_exp_item_cat,MATCH(E2182,lst_exp_items,0))="","❔ Без категории",INDEX(lst_exp_item_cat,MATCH(E2182,lst_exp_items,0))),"❔ Без категории"))</f>
        <v/>
      </c>
      <c r="G2182" s="43" t="n"/>
      <c r="H2182" s="56" t="n"/>
      <c r="I2182" s="43" t="n"/>
      <c r="J2182" s="57">
        <f>IF(OR(A2182="",H2182=""),"",IF(COUNTIFS(exp_year,C2182,exp_month,D2182,exp_item,E2182,exp_status,"&lt;&gt;❌ Отменено")&gt;0,1,0))</f>
        <v/>
      </c>
    </row>
    <row r="2183">
      <c r="A2183" s="52" t="n"/>
      <c r="B2183" s="53">
        <f>IF(A2183="","",CHOOSE(WEEKDAY(A2183,2),"Пн","Вт","Ср","Чт","Пт","Сб","Вс"))</f>
        <v/>
      </c>
      <c r="C2183" s="53">
        <f>IF(A2183="","",YEAR(A2183))</f>
        <v/>
      </c>
      <c r="D2183" s="54">
        <f>IF(A2183="","",INDEX(lst_months,MONTH(A2183)))</f>
        <v/>
      </c>
      <c r="E2183" s="55" t="n"/>
      <c r="F2183" s="54">
        <f>IF(E2183="","",IFERROR(IF(INDEX(lst_exp_item_cat,MATCH(E2183,lst_exp_items,0))="","❔ Без категории",INDEX(lst_exp_item_cat,MATCH(E2183,lst_exp_items,0))),"❔ Без категории"))</f>
        <v/>
      </c>
      <c r="G2183" s="43" t="n"/>
      <c r="H2183" s="56" t="n"/>
      <c r="I2183" s="43" t="n"/>
      <c r="J2183" s="57">
        <f>IF(OR(A2183="",H2183=""),"",IF(COUNTIFS(exp_year,C2183,exp_month,D2183,exp_item,E2183,exp_status,"&lt;&gt;❌ Отменено")&gt;0,1,0))</f>
        <v/>
      </c>
    </row>
    <row r="2184">
      <c r="A2184" s="52" t="n"/>
      <c r="B2184" s="53">
        <f>IF(A2184="","",CHOOSE(WEEKDAY(A2184,2),"Пн","Вт","Ср","Чт","Пт","Сб","Вс"))</f>
        <v/>
      </c>
      <c r="C2184" s="53">
        <f>IF(A2184="","",YEAR(A2184))</f>
        <v/>
      </c>
      <c r="D2184" s="54">
        <f>IF(A2184="","",INDEX(lst_months,MONTH(A2184)))</f>
        <v/>
      </c>
      <c r="E2184" s="55" t="n"/>
      <c r="F2184" s="54">
        <f>IF(E2184="","",IFERROR(IF(INDEX(lst_exp_item_cat,MATCH(E2184,lst_exp_items,0))="","❔ Без категории",INDEX(lst_exp_item_cat,MATCH(E2184,lst_exp_items,0))),"❔ Без категории"))</f>
        <v/>
      </c>
      <c r="G2184" s="43" t="n"/>
      <c r="H2184" s="56" t="n"/>
      <c r="I2184" s="43" t="n"/>
      <c r="J2184" s="57">
        <f>IF(OR(A2184="",H2184=""),"",IF(COUNTIFS(exp_year,C2184,exp_month,D2184,exp_item,E2184,exp_status,"&lt;&gt;❌ Отменено")&gt;0,1,0))</f>
        <v/>
      </c>
    </row>
    <row r="2185">
      <c r="A2185" s="52" t="n"/>
      <c r="B2185" s="53">
        <f>IF(A2185="","",CHOOSE(WEEKDAY(A2185,2),"Пн","Вт","Ср","Чт","Пт","Сб","Вс"))</f>
        <v/>
      </c>
      <c r="C2185" s="53">
        <f>IF(A2185="","",YEAR(A2185))</f>
        <v/>
      </c>
      <c r="D2185" s="54">
        <f>IF(A2185="","",INDEX(lst_months,MONTH(A2185)))</f>
        <v/>
      </c>
      <c r="E2185" s="55" t="n"/>
      <c r="F2185" s="54">
        <f>IF(E2185="","",IFERROR(IF(INDEX(lst_exp_item_cat,MATCH(E2185,lst_exp_items,0))="","❔ Без категории",INDEX(lst_exp_item_cat,MATCH(E2185,lst_exp_items,0))),"❔ Без категории"))</f>
        <v/>
      </c>
      <c r="G2185" s="43" t="n"/>
      <c r="H2185" s="56" t="n"/>
      <c r="I2185" s="43" t="n"/>
      <c r="J2185" s="57">
        <f>IF(OR(A2185="",H2185=""),"",IF(COUNTIFS(exp_year,C2185,exp_month,D2185,exp_item,E2185,exp_status,"&lt;&gt;❌ Отменено")&gt;0,1,0))</f>
        <v/>
      </c>
    </row>
    <row r="2186">
      <c r="A2186" s="52" t="n"/>
      <c r="B2186" s="53">
        <f>IF(A2186="","",CHOOSE(WEEKDAY(A2186,2),"Пн","Вт","Ср","Чт","Пт","Сб","Вс"))</f>
        <v/>
      </c>
      <c r="C2186" s="53">
        <f>IF(A2186="","",YEAR(A2186))</f>
        <v/>
      </c>
      <c r="D2186" s="54">
        <f>IF(A2186="","",INDEX(lst_months,MONTH(A2186)))</f>
        <v/>
      </c>
      <c r="E2186" s="55" t="n"/>
      <c r="F2186" s="54">
        <f>IF(E2186="","",IFERROR(IF(INDEX(lst_exp_item_cat,MATCH(E2186,lst_exp_items,0))="","❔ Без категории",INDEX(lst_exp_item_cat,MATCH(E2186,lst_exp_items,0))),"❔ Без категории"))</f>
        <v/>
      </c>
      <c r="G2186" s="43" t="n"/>
      <c r="H2186" s="56" t="n"/>
      <c r="I2186" s="43" t="n"/>
      <c r="J2186" s="57">
        <f>IF(OR(A2186="",H2186=""),"",IF(COUNTIFS(exp_year,C2186,exp_month,D2186,exp_item,E2186,exp_status,"&lt;&gt;❌ Отменено")&gt;0,1,0))</f>
        <v/>
      </c>
    </row>
    <row r="2187">
      <c r="A2187" s="52" t="n"/>
      <c r="B2187" s="53">
        <f>IF(A2187="","",CHOOSE(WEEKDAY(A2187,2),"Пн","Вт","Ср","Чт","Пт","Сб","Вс"))</f>
        <v/>
      </c>
      <c r="C2187" s="53">
        <f>IF(A2187="","",YEAR(A2187))</f>
        <v/>
      </c>
      <c r="D2187" s="54">
        <f>IF(A2187="","",INDEX(lst_months,MONTH(A2187)))</f>
        <v/>
      </c>
      <c r="E2187" s="55" t="n"/>
      <c r="F2187" s="54">
        <f>IF(E2187="","",IFERROR(IF(INDEX(lst_exp_item_cat,MATCH(E2187,lst_exp_items,0))="","❔ Без категории",INDEX(lst_exp_item_cat,MATCH(E2187,lst_exp_items,0))),"❔ Без категории"))</f>
        <v/>
      </c>
      <c r="G2187" s="43" t="n"/>
      <c r="H2187" s="56" t="n"/>
      <c r="I2187" s="43" t="n"/>
      <c r="J2187" s="57">
        <f>IF(OR(A2187="",H2187=""),"",IF(COUNTIFS(exp_year,C2187,exp_month,D2187,exp_item,E2187,exp_status,"&lt;&gt;❌ Отменено")&gt;0,1,0))</f>
        <v/>
      </c>
    </row>
    <row r="2188">
      <c r="A2188" s="52" t="n"/>
      <c r="B2188" s="53">
        <f>IF(A2188="","",CHOOSE(WEEKDAY(A2188,2),"Пн","Вт","Ср","Чт","Пт","Сб","Вс"))</f>
        <v/>
      </c>
      <c r="C2188" s="53">
        <f>IF(A2188="","",YEAR(A2188))</f>
        <v/>
      </c>
      <c r="D2188" s="54">
        <f>IF(A2188="","",INDEX(lst_months,MONTH(A2188)))</f>
        <v/>
      </c>
      <c r="E2188" s="55" t="n"/>
      <c r="F2188" s="54">
        <f>IF(E2188="","",IFERROR(IF(INDEX(lst_exp_item_cat,MATCH(E2188,lst_exp_items,0))="","❔ Без категории",INDEX(lst_exp_item_cat,MATCH(E2188,lst_exp_items,0))),"❔ Без категории"))</f>
        <v/>
      </c>
      <c r="G2188" s="43" t="n"/>
      <c r="H2188" s="56" t="n"/>
      <c r="I2188" s="43" t="n"/>
      <c r="J2188" s="57">
        <f>IF(OR(A2188="",H2188=""),"",IF(COUNTIFS(exp_year,C2188,exp_month,D2188,exp_item,E2188,exp_status,"&lt;&gt;❌ Отменено")&gt;0,1,0))</f>
        <v/>
      </c>
    </row>
    <row r="2189">
      <c r="A2189" s="52" t="n"/>
      <c r="B2189" s="53">
        <f>IF(A2189="","",CHOOSE(WEEKDAY(A2189,2),"Пн","Вт","Ср","Чт","Пт","Сб","Вс"))</f>
        <v/>
      </c>
      <c r="C2189" s="53">
        <f>IF(A2189="","",YEAR(A2189))</f>
        <v/>
      </c>
      <c r="D2189" s="54">
        <f>IF(A2189="","",INDEX(lst_months,MONTH(A2189)))</f>
        <v/>
      </c>
      <c r="E2189" s="55" t="n"/>
      <c r="F2189" s="54">
        <f>IF(E2189="","",IFERROR(IF(INDEX(lst_exp_item_cat,MATCH(E2189,lst_exp_items,0))="","❔ Без категории",INDEX(lst_exp_item_cat,MATCH(E2189,lst_exp_items,0))),"❔ Без категории"))</f>
        <v/>
      </c>
      <c r="G2189" s="43" t="n"/>
      <c r="H2189" s="56" t="n"/>
      <c r="I2189" s="43" t="n"/>
      <c r="J2189" s="57">
        <f>IF(OR(A2189="",H2189=""),"",IF(COUNTIFS(exp_year,C2189,exp_month,D2189,exp_item,E2189,exp_status,"&lt;&gt;❌ Отменено")&gt;0,1,0))</f>
        <v/>
      </c>
    </row>
    <row r="2190">
      <c r="A2190" s="52" t="n"/>
      <c r="B2190" s="53">
        <f>IF(A2190="","",CHOOSE(WEEKDAY(A2190,2),"Пн","Вт","Ср","Чт","Пт","Сб","Вс"))</f>
        <v/>
      </c>
      <c r="C2190" s="53">
        <f>IF(A2190="","",YEAR(A2190))</f>
        <v/>
      </c>
      <c r="D2190" s="54">
        <f>IF(A2190="","",INDEX(lst_months,MONTH(A2190)))</f>
        <v/>
      </c>
      <c r="E2190" s="55" t="n"/>
      <c r="F2190" s="54">
        <f>IF(E2190="","",IFERROR(IF(INDEX(lst_exp_item_cat,MATCH(E2190,lst_exp_items,0))="","❔ Без категории",INDEX(lst_exp_item_cat,MATCH(E2190,lst_exp_items,0))),"❔ Без категории"))</f>
        <v/>
      </c>
      <c r="G2190" s="43" t="n"/>
      <c r="H2190" s="56" t="n"/>
      <c r="I2190" s="43" t="n"/>
      <c r="J2190" s="57">
        <f>IF(OR(A2190="",H2190=""),"",IF(COUNTIFS(exp_year,C2190,exp_month,D2190,exp_item,E2190,exp_status,"&lt;&gt;❌ Отменено")&gt;0,1,0))</f>
        <v/>
      </c>
    </row>
    <row r="2191">
      <c r="A2191" s="52" t="n"/>
      <c r="B2191" s="53">
        <f>IF(A2191="","",CHOOSE(WEEKDAY(A2191,2),"Пн","Вт","Ср","Чт","Пт","Сб","Вс"))</f>
        <v/>
      </c>
      <c r="C2191" s="53">
        <f>IF(A2191="","",YEAR(A2191))</f>
        <v/>
      </c>
      <c r="D2191" s="54">
        <f>IF(A2191="","",INDEX(lst_months,MONTH(A2191)))</f>
        <v/>
      </c>
      <c r="E2191" s="55" t="n"/>
      <c r="F2191" s="54">
        <f>IF(E2191="","",IFERROR(IF(INDEX(lst_exp_item_cat,MATCH(E2191,lst_exp_items,0))="","❔ Без категории",INDEX(lst_exp_item_cat,MATCH(E2191,lst_exp_items,0))),"❔ Без категории"))</f>
        <v/>
      </c>
      <c r="G2191" s="43" t="n"/>
      <c r="H2191" s="56" t="n"/>
      <c r="I2191" s="43" t="n"/>
      <c r="J2191" s="57">
        <f>IF(OR(A2191="",H2191=""),"",IF(COUNTIFS(exp_year,C2191,exp_month,D2191,exp_item,E2191,exp_status,"&lt;&gt;❌ Отменено")&gt;0,1,0))</f>
        <v/>
      </c>
    </row>
    <row r="2192">
      <c r="A2192" s="52" t="n"/>
      <c r="B2192" s="53">
        <f>IF(A2192="","",CHOOSE(WEEKDAY(A2192,2),"Пн","Вт","Ср","Чт","Пт","Сб","Вс"))</f>
        <v/>
      </c>
      <c r="C2192" s="53">
        <f>IF(A2192="","",YEAR(A2192))</f>
        <v/>
      </c>
      <c r="D2192" s="54">
        <f>IF(A2192="","",INDEX(lst_months,MONTH(A2192)))</f>
        <v/>
      </c>
      <c r="E2192" s="55" t="n"/>
      <c r="F2192" s="54">
        <f>IF(E2192="","",IFERROR(IF(INDEX(lst_exp_item_cat,MATCH(E2192,lst_exp_items,0))="","❔ Без категории",INDEX(lst_exp_item_cat,MATCH(E2192,lst_exp_items,0))),"❔ Без категории"))</f>
        <v/>
      </c>
      <c r="G2192" s="43" t="n"/>
      <c r="H2192" s="56" t="n"/>
      <c r="I2192" s="43" t="n"/>
      <c r="J2192" s="57">
        <f>IF(OR(A2192="",H2192=""),"",IF(COUNTIFS(exp_year,C2192,exp_month,D2192,exp_item,E2192,exp_status,"&lt;&gt;❌ Отменено")&gt;0,1,0))</f>
        <v/>
      </c>
    </row>
    <row r="2193">
      <c r="A2193" s="52" t="n"/>
      <c r="B2193" s="53">
        <f>IF(A2193="","",CHOOSE(WEEKDAY(A2193,2),"Пн","Вт","Ср","Чт","Пт","Сб","Вс"))</f>
        <v/>
      </c>
      <c r="C2193" s="53">
        <f>IF(A2193="","",YEAR(A2193))</f>
        <v/>
      </c>
      <c r="D2193" s="54">
        <f>IF(A2193="","",INDEX(lst_months,MONTH(A2193)))</f>
        <v/>
      </c>
      <c r="E2193" s="55" t="n"/>
      <c r="F2193" s="54">
        <f>IF(E2193="","",IFERROR(IF(INDEX(lst_exp_item_cat,MATCH(E2193,lst_exp_items,0))="","❔ Без категории",INDEX(lst_exp_item_cat,MATCH(E2193,lst_exp_items,0))),"❔ Без категории"))</f>
        <v/>
      </c>
      <c r="G2193" s="43" t="n"/>
      <c r="H2193" s="56" t="n"/>
      <c r="I2193" s="43" t="n"/>
      <c r="J2193" s="57">
        <f>IF(OR(A2193="",H2193=""),"",IF(COUNTIFS(exp_year,C2193,exp_month,D2193,exp_item,E2193,exp_status,"&lt;&gt;❌ Отменено")&gt;0,1,0))</f>
        <v/>
      </c>
    </row>
    <row r="2194">
      <c r="A2194" s="52" t="n"/>
      <c r="B2194" s="53">
        <f>IF(A2194="","",CHOOSE(WEEKDAY(A2194,2),"Пн","Вт","Ср","Чт","Пт","Сб","Вс"))</f>
        <v/>
      </c>
      <c r="C2194" s="53">
        <f>IF(A2194="","",YEAR(A2194))</f>
        <v/>
      </c>
      <c r="D2194" s="54">
        <f>IF(A2194="","",INDEX(lst_months,MONTH(A2194)))</f>
        <v/>
      </c>
      <c r="E2194" s="55" t="n"/>
      <c r="F2194" s="54">
        <f>IF(E2194="","",IFERROR(IF(INDEX(lst_exp_item_cat,MATCH(E2194,lst_exp_items,0))="","❔ Без категории",INDEX(lst_exp_item_cat,MATCH(E2194,lst_exp_items,0))),"❔ Без категории"))</f>
        <v/>
      </c>
      <c r="G2194" s="43" t="n"/>
      <c r="H2194" s="56" t="n"/>
      <c r="I2194" s="43" t="n"/>
      <c r="J2194" s="57">
        <f>IF(OR(A2194="",H2194=""),"",IF(COUNTIFS(exp_year,C2194,exp_month,D2194,exp_item,E2194,exp_status,"&lt;&gt;❌ Отменено")&gt;0,1,0))</f>
        <v/>
      </c>
    </row>
    <row r="2195">
      <c r="A2195" s="52" t="n"/>
      <c r="B2195" s="53">
        <f>IF(A2195="","",CHOOSE(WEEKDAY(A2195,2),"Пн","Вт","Ср","Чт","Пт","Сб","Вс"))</f>
        <v/>
      </c>
      <c r="C2195" s="53">
        <f>IF(A2195="","",YEAR(A2195))</f>
        <v/>
      </c>
      <c r="D2195" s="54">
        <f>IF(A2195="","",INDEX(lst_months,MONTH(A2195)))</f>
        <v/>
      </c>
      <c r="E2195" s="55" t="n"/>
      <c r="F2195" s="54">
        <f>IF(E2195="","",IFERROR(IF(INDEX(lst_exp_item_cat,MATCH(E2195,lst_exp_items,0))="","❔ Без категории",INDEX(lst_exp_item_cat,MATCH(E2195,lst_exp_items,0))),"❔ Без категории"))</f>
        <v/>
      </c>
      <c r="G2195" s="43" t="n"/>
      <c r="H2195" s="56" t="n"/>
      <c r="I2195" s="43" t="n"/>
      <c r="J2195" s="57">
        <f>IF(OR(A2195="",H2195=""),"",IF(COUNTIFS(exp_year,C2195,exp_month,D2195,exp_item,E2195,exp_status,"&lt;&gt;❌ Отменено")&gt;0,1,0))</f>
        <v/>
      </c>
    </row>
    <row r="2196">
      <c r="A2196" s="52" t="n"/>
      <c r="B2196" s="53">
        <f>IF(A2196="","",CHOOSE(WEEKDAY(A2196,2),"Пн","Вт","Ср","Чт","Пт","Сб","Вс"))</f>
        <v/>
      </c>
      <c r="C2196" s="53">
        <f>IF(A2196="","",YEAR(A2196))</f>
        <v/>
      </c>
      <c r="D2196" s="54">
        <f>IF(A2196="","",INDEX(lst_months,MONTH(A2196)))</f>
        <v/>
      </c>
      <c r="E2196" s="55" t="n"/>
      <c r="F2196" s="54">
        <f>IF(E2196="","",IFERROR(IF(INDEX(lst_exp_item_cat,MATCH(E2196,lst_exp_items,0))="","❔ Без категории",INDEX(lst_exp_item_cat,MATCH(E2196,lst_exp_items,0))),"❔ Без категории"))</f>
        <v/>
      </c>
      <c r="G2196" s="43" t="n"/>
      <c r="H2196" s="56" t="n"/>
      <c r="I2196" s="43" t="n"/>
      <c r="J2196" s="57">
        <f>IF(OR(A2196="",H2196=""),"",IF(COUNTIFS(exp_year,C2196,exp_month,D2196,exp_item,E2196,exp_status,"&lt;&gt;❌ Отменено")&gt;0,1,0))</f>
        <v/>
      </c>
    </row>
    <row r="2197">
      <c r="A2197" s="52" t="n"/>
      <c r="B2197" s="53">
        <f>IF(A2197="","",CHOOSE(WEEKDAY(A2197,2),"Пн","Вт","Ср","Чт","Пт","Сб","Вс"))</f>
        <v/>
      </c>
      <c r="C2197" s="53">
        <f>IF(A2197="","",YEAR(A2197))</f>
        <v/>
      </c>
      <c r="D2197" s="54">
        <f>IF(A2197="","",INDEX(lst_months,MONTH(A2197)))</f>
        <v/>
      </c>
      <c r="E2197" s="55" t="n"/>
      <c r="F2197" s="54">
        <f>IF(E2197="","",IFERROR(IF(INDEX(lst_exp_item_cat,MATCH(E2197,lst_exp_items,0))="","❔ Без категории",INDEX(lst_exp_item_cat,MATCH(E2197,lst_exp_items,0))),"❔ Без категории"))</f>
        <v/>
      </c>
      <c r="G2197" s="43" t="n"/>
      <c r="H2197" s="56" t="n"/>
      <c r="I2197" s="43" t="n"/>
      <c r="J2197" s="57">
        <f>IF(OR(A2197="",H2197=""),"",IF(COUNTIFS(exp_year,C2197,exp_month,D2197,exp_item,E2197,exp_status,"&lt;&gt;❌ Отменено")&gt;0,1,0))</f>
        <v/>
      </c>
    </row>
    <row r="2198">
      <c r="A2198" s="52" t="n"/>
      <c r="B2198" s="53">
        <f>IF(A2198="","",CHOOSE(WEEKDAY(A2198,2),"Пн","Вт","Ср","Чт","Пт","Сб","Вс"))</f>
        <v/>
      </c>
      <c r="C2198" s="53">
        <f>IF(A2198="","",YEAR(A2198))</f>
        <v/>
      </c>
      <c r="D2198" s="54">
        <f>IF(A2198="","",INDEX(lst_months,MONTH(A2198)))</f>
        <v/>
      </c>
      <c r="E2198" s="55" t="n"/>
      <c r="F2198" s="54">
        <f>IF(E2198="","",IFERROR(IF(INDEX(lst_exp_item_cat,MATCH(E2198,lst_exp_items,0))="","❔ Без категории",INDEX(lst_exp_item_cat,MATCH(E2198,lst_exp_items,0))),"❔ Без категории"))</f>
        <v/>
      </c>
      <c r="G2198" s="43" t="n"/>
      <c r="H2198" s="56" t="n"/>
      <c r="I2198" s="43" t="n"/>
      <c r="J2198" s="57">
        <f>IF(OR(A2198="",H2198=""),"",IF(COUNTIFS(exp_year,C2198,exp_month,D2198,exp_item,E2198,exp_status,"&lt;&gt;❌ Отменено")&gt;0,1,0))</f>
        <v/>
      </c>
    </row>
    <row r="2199">
      <c r="A2199" s="52" t="n"/>
      <c r="B2199" s="53">
        <f>IF(A2199="","",CHOOSE(WEEKDAY(A2199,2),"Пн","Вт","Ср","Чт","Пт","Сб","Вс"))</f>
        <v/>
      </c>
      <c r="C2199" s="53">
        <f>IF(A2199="","",YEAR(A2199))</f>
        <v/>
      </c>
      <c r="D2199" s="54">
        <f>IF(A2199="","",INDEX(lst_months,MONTH(A2199)))</f>
        <v/>
      </c>
      <c r="E2199" s="55" t="n"/>
      <c r="F2199" s="54">
        <f>IF(E2199="","",IFERROR(IF(INDEX(lst_exp_item_cat,MATCH(E2199,lst_exp_items,0))="","❔ Без категории",INDEX(lst_exp_item_cat,MATCH(E2199,lst_exp_items,0))),"❔ Без категории"))</f>
        <v/>
      </c>
      <c r="G2199" s="43" t="n"/>
      <c r="H2199" s="56" t="n"/>
      <c r="I2199" s="43" t="n"/>
      <c r="J2199" s="57">
        <f>IF(OR(A2199="",H2199=""),"",IF(COUNTIFS(exp_year,C2199,exp_month,D2199,exp_item,E2199,exp_status,"&lt;&gt;❌ Отменено")&gt;0,1,0))</f>
        <v/>
      </c>
    </row>
    <row r="2200">
      <c r="A2200" s="52" t="n"/>
      <c r="B2200" s="53">
        <f>IF(A2200="","",CHOOSE(WEEKDAY(A2200,2),"Пн","Вт","Ср","Чт","Пт","Сб","Вс"))</f>
        <v/>
      </c>
      <c r="C2200" s="53">
        <f>IF(A2200="","",YEAR(A2200))</f>
        <v/>
      </c>
      <c r="D2200" s="54">
        <f>IF(A2200="","",INDEX(lst_months,MONTH(A2200)))</f>
        <v/>
      </c>
      <c r="E2200" s="55" t="n"/>
      <c r="F2200" s="54">
        <f>IF(E2200="","",IFERROR(IF(INDEX(lst_exp_item_cat,MATCH(E2200,lst_exp_items,0))="","❔ Без категории",INDEX(lst_exp_item_cat,MATCH(E2200,lst_exp_items,0))),"❔ Без категории"))</f>
        <v/>
      </c>
      <c r="G2200" s="43" t="n"/>
      <c r="H2200" s="56" t="n"/>
      <c r="I2200" s="43" t="n"/>
      <c r="J2200" s="57">
        <f>IF(OR(A2200="",H2200=""),"",IF(COUNTIFS(exp_year,C2200,exp_month,D2200,exp_item,E2200,exp_status,"&lt;&gt;❌ Отменено")&gt;0,1,0))</f>
        <v/>
      </c>
    </row>
    <row r="2201">
      <c r="A2201" s="52" t="n"/>
      <c r="B2201" s="53">
        <f>IF(A2201="","",CHOOSE(WEEKDAY(A2201,2),"Пн","Вт","Ср","Чт","Пт","Сб","Вс"))</f>
        <v/>
      </c>
      <c r="C2201" s="53">
        <f>IF(A2201="","",YEAR(A2201))</f>
        <v/>
      </c>
      <c r="D2201" s="54">
        <f>IF(A2201="","",INDEX(lst_months,MONTH(A2201)))</f>
        <v/>
      </c>
      <c r="E2201" s="55" t="n"/>
      <c r="F2201" s="54">
        <f>IF(E2201="","",IFERROR(IF(INDEX(lst_exp_item_cat,MATCH(E2201,lst_exp_items,0))="","❔ Без категории",INDEX(lst_exp_item_cat,MATCH(E2201,lst_exp_items,0))),"❔ Без категории"))</f>
        <v/>
      </c>
      <c r="G2201" s="43" t="n"/>
      <c r="H2201" s="56" t="n"/>
      <c r="I2201" s="43" t="n"/>
      <c r="J2201" s="57">
        <f>IF(OR(A2201="",H2201=""),"",IF(COUNTIFS(exp_year,C2201,exp_month,D2201,exp_item,E2201,exp_status,"&lt;&gt;❌ Отменено")&gt;0,1,0))</f>
        <v/>
      </c>
    </row>
    <row r="2202">
      <c r="A2202" s="52" t="n"/>
      <c r="B2202" s="53">
        <f>IF(A2202="","",CHOOSE(WEEKDAY(A2202,2),"Пн","Вт","Ср","Чт","Пт","Сб","Вс"))</f>
        <v/>
      </c>
      <c r="C2202" s="53">
        <f>IF(A2202="","",YEAR(A2202))</f>
        <v/>
      </c>
      <c r="D2202" s="54">
        <f>IF(A2202="","",INDEX(lst_months,MONTH(A2202)))</f>
        <v/>
      </c>
      <c r="E2202" s="55" t="n"/>
      <c r="F2202" s="54">
        <f>IF(E2202="","",IFERROR(IF(INDEX(lst_exp_item_cat,MATCH(E2202,lst_exp_items,0))="","❔ Без категории",INDEX(lst_exp_item_cat,MATCH(E2202,lst_exp_items,0))),"❔ Без категории"))</f>
        <v/>
      </c>
      <c r="G2202" s="43" t="n"/>
      <c r="H2202" s="56" t="n"/>
      <c r="I2202" s="43" t="n"/>
      <c r="J2202" s="57">
        <f>IF(OR(A2202="",H2202=""),"",IF(COUNTIFS(exp_year,C2202,exp_month,D2202,exp_item,E2202,exp_status,"&lt;&gt;❌ Отменено")&gt;0,1,0))</f>
        <v/>
      </c>
    </row>
    <row r="2203">
      <c r="A2203" s="52" t="n"/>
      <c r="B2203" s="53">
        <f>IF(A2203="","",CHOOSE(WEEKDAY(A2203,2),"Пн","Вт","Ср","Чт","Пт","Сб","Вс"))</f>
        <v/>
      </c>
      <c r="C2203" s="53">
        <f>IF(A2203="","",YEAR(A2203))</f>
        <v/>
      </c>
      <c r="D2203" s="54">
        <f>IF(A2203="","",INDEX(lst_months,MONTH(A2203)))</f>
        <v/>
      </c>
      <c r="E2203" s="55" t="n"/>
      <c r="F2203" s="54">
        <f>IF(E2203="","",IFERROR(IF(INDEX(lst_exp_item_cat,MATCH(E2203,lst_exp_items,0))="","❔ Без категории",INDEX(lst_exp_item_cat,MATCH(E2203,lst_exp_items,0))),"❔ Без категории"))</f>
        <v/>
      </c>
      <c r="G2203" s="43" t="n"/>
      <c r="H2203" s="56" t="n"/>
      <c r="I2203" s="43" t="n"/>
      <c r="J2203" s="57">
        <f>IF(OR(A2203="",H2203=""),"",IF(COUNTIFS(exp_year,C2203,exp_month,D2203,exp_item,E2203,exp_status,"&lt;&gt;❌ Отменено")&gt;0,1,0))</f>
        <v/>
      </c>
    </row>
    <row r="2204">
      <c r="A2204" s="52" t="n"/>
      <c r="B2204" s="53">
        <f>IF(A2204="","",CHOOSE(WEEKDAY(A2204,2),"Пн","Вт","Ср","Чт","Пт","Сб","Вс"))</f>
        <v/>
      </c>
      <c r="C2204" s="53">
        <f>IF(A2204="","",YEAR(A2204))</f>
        <v/>
      </c>
      <c r="D2204" s="54">
        <f>IF(A2204="","",INDEX(lst_months,MONTH(A2204)))</f>
        <v/>
      </c>
      <c r="E2204" s="55" t="n"/>
      <c r="F2204" s="54">
        <f>IF(E2204="","",IFERROR(IF(INDEX(lst_exp_item_cat,MATCH(E2204,lst_exp_items,0))="","❔ Без категории",INDEX(lst_exp_item_cat,MATCH(E2204,lst_exp_items,0))),"❔ Без категории"))</f>
        <v/>
      </c>
      <c r="G2204" s="43" t="n"/>
      <c r="H2204" s="56" t="n"/>
      <c r="I2204" s="43" t="n"/>
      <c r="J2204" s="57">
        <f>IF(OR(A2204="",H2204=""),"",IF(COUNTIFS(exp_year,C2204,exp_month,D2204,exp_item,E2204,exp_status,"&lt;&gt;❌ Отменено")&gt;0,1,0))</f>
        <v/>
      </c>
    </row>
    <row r="2205">
      <c r="A2205" s="52" t="n"/>
      <c r="B2205" s="53">
        <f>IF(A2205="","",CHOOSE(WEEKDAY(A2205,2),"Пн","Вт","Ср","Чт","Пт","Сб","Вс"))</f>
        <v/>
      </c>
      <c r="C2205" s="53">
        <f>IF(A2205="","",YEAR(A2205))</f>
        <v/>
      </c>
      <c r="D2205" s="54">
        <f>IF(A2205="","",INDEX(lst_months,MONTH(A2205)))</f>
        <v/>
      </c>
      <c r="E2205" s="55" t="n"/>
      <c r="F2205" s="54">
        <f>IF(E2205="","",IFERROR(IF(INDEX(lst_exp_item_cat,MATCH(E2205,lst_exp_items,0))="","❔ Без категории",INDEX(lst_exp_item_cat,MATCH(E2205,lst_exp_items,0))),"❔ Без категории"))</f>
        <v/>
      </c>
      <c r="G2205" s="43" t="n"/>
      <c r="H2205" s="56" t="n"/>
      <c r="I2205" s="43" t="n"/>
      <c r="J2205" s="57">
        <f>IF(OR(A2205="",H2205=""),"",IF(COUNTIFS(exp_year,C2205,exp_month,D2205,exp_item,E2205,exp_status,"&lt;&gt;❌ Отменено")&gt;0,1,0))</f>
        <v/>
      </c>
    </row>
    <row r="2206">
      <c r="A2206" s="52" t="n"/>
      <c r="B2206" s="53">
        <f>IF(A2206="","",CHOOSE(WEEKDAY(A2206,2),"Пн","Вт","Ср","Чт","Пт","Сб","Вс"))</f>
        <v/>
      </c>
      <c r="C2206" s="53">
        <f>IF(A2206="","",YEAR(A2206))</f>
        <v/>
      </c>
      <c r="D2206" s="54">
        <f>IF(A2206="","",INDEX(lst_months,MONTH(A2206)))</f>
        <v/>
      </c>
      <c r="E2206" s="55" t="n"/>
      <c r="F2206" s="54">
        <f>IF(E2206="","",IFERROR(IF(INDEX(lst_exp_item_cat,MATCH(E2206,lst_exp_items,0))="","❔ Без категории",INDEX(lst_exp_item_cat,MATCH(E2206,lst_exp_items,0))),"❔ Без категории"))</f>
        <v/>
      </c>
      <c r="G2206" s="43" t="n"/>
      <c r="H2206" s="56" t="n"/>
      <c r="I2206" s="43" t="n"/>
      <c r="J2206" s="57">
        <f>IF(OR(A2206="",H2206=""),"",IF(COUNTIFS(exp_year,C2206,exp_month,D2206,exp_item,E2206,exp_status,"&lt;&gt;❌ Отменено")&gt;0,1,0))</f>
        <v/>
      </c>
    </row>
    <row r="2207">
      <c r="A2207" s="52" t="n"/>
      <c r="B2207" s="53">
        <f>IF(A2207="","",CHOOSE(WEEKDAY(A2207,2),"Пн","Вт","Ср","Чт","Пт","Сб","Вс"))</f>
        <v/>
      </c>
      <c r="C2207" s="53">
        <f>IF(A2207="","",YEAR(A2207))</f>
        <v/>
      </c>
      <c r="D2207" s="54">
        <f>IF(A2207="","",INDEX(lst_months,MONTH(A2207)))</f>
        <v/>
      </c>
      <c r="E2207" s="55" t="n"/>
      <c r="F2207" s="54">
        <f>IF(E2207="","",IFERROR(IF(INDEX(lst_exp_item_cat,MATCH(E2207,lst_exp_items,0))="","❔ Без категории",INDEX(lst_exp_item_cat,MATCH(E2207,lst_exp_items,0))),"❔ Без категории"))</f>
        <v/>
      </c>
      <c r="G2207" s="43" t="n"/>
      <c r="H2207" s="56" t="n"/>
      <c r="I2207" s="43" t="n"/>
      <c r="J2207" s="57">
        <f>IF(OR(A2207="",H2207=""),"",IF(COUNTIFS(exp_year,C2207,exp_month,D2207,exp_item,E2207,exp_status,"&lt;&gt;❌ Отменено")&gt;0,1,0))</f>
        <v/>
      </c>
    </row>
    <row r="2208">
      <c r="A2208" s="52" t="n"/>
      <c r="B2208" s="53">
        <f>IF(A2208="","",CHOOSE(WEEKDAY(A2208,2),"Пн","Вт","Ср","Чт","Пт","Сб","Вс"))</f>
        <v/>
      </c>
      <c r="C2208" s="53">
        <f>IF(A2208="","",YEAR(A2208))</f>
        <v/>
      </c>
      <c r="D2208" s="54">
        <f>IF(A2208="","",INDEX(lst_months,MONTH(A2208)))</f>
        <v/>
      </c>
      <c r="E2208" s="55" t="n"/>
      <c r="F2208" s="54">
        <f>IF(E2208="","",IFERROR(IF(INDEX(lst_exp_item_cat,MATCH(E2208,lst_exp_items,0))="","❔ Без категории",INDEX(lst_exp_item_cat,MATCH(E2208,lst_exp_items,0))),"❔ Без категории"))</f>
        <v/>
      </c>
      <c r="G2208" s="43" t="n"/>
      <c r="H2208" s="56" t="n"/>
      <c r="I2208" s="43" t="n"/>
      <c r="J2208" s="57">
        <f>IF(OR(A2208="",H2208=""),"",IF(COUNTIFS(exp_year,C2208,exp_month,D2208,exp_item,E2208,exp_status,"&lt;&gt;❌ Отменено")&gt;0,1,0))</f>
        <v/>
      </c>
    </row>
    <row r="2209">
      <c r="A2209" s="52" t="n"/>
      <c r="B2209" s="53">
        <f>IF(A2209="","",CHOOSE(WEEKDAY(A2209,2),"Пн","Вт","Ср","Чт","Пт","Сб","Вс"))</f>
        <v/>
      </c>
      <c r="C2209" s="53">
        <f>IF(A2209="","",YEAR(A2209))</f>
        <v/>
      </c>
      <c r="D2209" s="54">
        <f>IF(A2209="","",INDEX(lst_months,MONTH(A2209)))</f>
        <v/>
      </c>
      <c r="E2209" s="55" t="n"/>
      <c r="F2209" s="54">
        <f>IF(E2209="","",IFERROR(IF(INDEX(lst_exp_item_cat,MATCH(E2209,lst_exp_items,0))="","❔ Без категории",INDEX(lst_exp_item_cat,MATCH(E2209,lst_exp_items,0))),"❔ Без категории"))</f>
        <v/>
      </c>
      <c r="G2209" s="43" t="n"/>
      <c r="H2209" s="56" t="n"/>
      <c r="I2209" s="43" t="n"/>
      <c r="J2209" s="57">
        <f>IF(OR(A2209="",H2209=""),"",IF(COUNTIFS(exp_year,C2209,exp_month,D2209,exp_item,E2209,exp_status,"&lt;&gt;❌ Отменено")&gt;0,1,0))</f>
        <v/>
      </c>
    </row>
    <row r="2210">
      <c r="A2210" s="52" t="n"/>
      <c r="B2210" s="53">
        <f>IF(A2210="","",CHOOSE(WEEKDAY(A2210,2),"Пн","Вт","Ср","Чт","Пт","Сб","Вс"))</f>
        <v/>
      </c>
      <c r="C2210" s="53">
        <f>IF(A2210="","",YEAR(A2210))</f>
        <v/>
      </c>
      <c r="D2210" s="54">
        <f>IF(A2210="","",INDEX(lst_months,MONTH(A2210)))</f>
        <v/>
      </c>
      <c r="E2210" s="55" t="n"/>
      <c r="F2210" s="54">
        <f>IF(E2210="","",IFERROR(IF(INDEX(lst_exp_item_cat,MATCH(E2210,lst_exp_items,0))="","❔ Без категории",INDEX(lst_exp_item_cat,MATCH(E2210,lst_exp_items,0))),"❔ Без категории"))</f>
        <v/>
      </c>
      <c r="G2210" s="43" t="n"/>
      <c r="H2210" s="56" t="n"/>
      <c r="I2210" s="43" t="n"/>
      <c r="J2210" s="57">
        <f>IF(OR(A2210="",H2210=""),"",IF(COUNTIFS(exp_year,C2210,exp_month,D2210,exp_item,E2210,exp_status,"&lt;&gt;❌ Отменено")&gt;0,1,0))</f>
        <v/>
      </c>
    </row>
    <row r="2211">
      <c r="A2211" s="52" t="n"/>
      <c r="B2211" s="53">
        <f>IF(A2211="","",CHOOSE(WEEKDAY(A2211,2),"Пн","Вт","Ср","Чт","Пт","Сб","Вс"))</f>
        <v/>
      </c>
      <c r="C2211" s="53">
        <f>IF(A2211="","",YEAR(A2211))</f>
        <v/>
      </c>
      <c r="D2211" s="54">
        <f>IF(A2211="","",INDEX(lst_months,MONTH(A2211)))</f>
        <v/>
      </c>
      <c r="E2211" s="55" t="n"/>
      <c r="F2211" s="54">
        <f>IF(E2211="","",IFERROR(IF(INDEX(lst_exp_item_cat,MATCH(E2211,lst_exp_items,0))="","❔ Без категории",INDEX(lst_exp_item_cat,MATCH(E2211,lst_exp_items,0))),"❔ Без категории"))</f>
        <v/>
      </c>
      <c r="G2211" s="43" t="n"/>
      <c r="H2211" s="56" t="n"/>
      <c r="I2211" s="43" t="n"/>
      <c r="J2211" s="57">
        <f>IF(OR(A2211="",H2211=""),"",IF(COUNTIFS(exp_year,C2211,exp_month,D2211,exp_item,E2211,exp_status,"&lt;&gt;❌ Отменено")&gt;0,1,0))</f>
        <v/>
      </c>
    </row>
    <row r="2212">
      <c r="A2212" s="52" t="n"/>
      <c r="B2212" s="53">
        <f>IF(A2212="","",CHOOSE(WEEKDAY(A2212,2),"Пн","Вт","Ср","Чт","Пт","Сб","Вс"))</f>
        <v/>
      </c>
      <c r="C2212" s="53">
        <f>IF(A2212="","",YEAR(A2212))</f>
        <v/>
      </c>
      <c r="D2212" s="54">
        <f>IF(A2212="","",INDEX(lst_months,MONTH(A2212)))</f>
        <v/>
      </c>
      <c r="E2212" s="55" t="n"/>
      <c r="F2212" s="54">
        <f>IF(E2212="","",IFERROR(IF(INDEX(lst_exp_item_cat,MATCH(E2212,lst_exp_items,0))="","❔ Без категории",INDEX(lst_exp_item_cat,MATCH(E2212,lst_exp_items,0))),"❔ Без категории"))</f>
        <v/>
      </c>
      <c r="G2212" s="43" t="n"/>
      <c r="H2212" s="56" t="n"/>
      <c r="I2212" s="43" t="n"/>
      <c r="J2212" s="57">
        <f>IF(OR(A2212="",H2212=""),"",IF(COUNTIFS(exp_year,C2212,exp_month,D2212,exp_item,E2212,exp_status,"&lt;&gt;❌ Отменено")&gt;0,1,0))</f>
        <v/>
      </c>
    </row>
    <row r="2213">
      <c r="A2213" s="52" t="n"/>
      <c r="B2213" s="53">
        <f>IF(A2213="","",CHOOSE(WEEKDAY(A2213,2),"Пн","Вт","Ср","Чт","Пт","Сб","Вс"))</f>
        <v/>
      </c>
      <c r="C2213" s="53">
        <f>IF(A2213="","",YEAR(A2213))</f>
        <v/>
      </c>
      <c r="D2213" s="54">
        <f>IF(A2213="","",INDEX(lst_months,MONTH(A2213)))</f>
        <v/>
      </c>
      <c r="E2213" s="55" t="n"/>
      <c r="F2213" s="54">
        <f>IF(E2213="","",IFERROR(IF(INDEX(lst_exp_item_cat,MATCH(E2213,lst_exp_items,0))="","❔ Без категории",INDEX(lst_exp_item_cat,MATCH(E2213,lst_exp_items,0))),"❔ Без категории"))</f>
        <v/>
      </c>
      <c r="G2213" s="43" t="n"/>
      <c r="H2213" s="56" t="n"/>
      <c r="I2213" s="43" t="n"/>
      <c r="J2213" s="57">
        <f>IF(OR(A2213="",H2213=""),"",IF(COUNTIFS(exp_year,C2213,exp_month,D2213,exp_item,E2213,exp_status,"&lt;&gt;❌ Отменено")&gt;0,1,0))</f>
        <v/>
      </c>
    </row>
    <row r="2214">
      <c r="A2214" s="52" t="n"/>
      <c r="B2214" s="53">
        <f>IF(A2214="","",CHOOSE(WEEKDAY(A2214,2),"Пн","Вт","Ср","Чт","Пт","Сб","Вс"))</f>
        <v/>
      </c>
      <c r="C2214" s="53">
        <f>IF(A2214="","",YEAR(A2214))</f>
        <v/>
      </c>
      <c r="D2214" s="54">
        <f>IF(A2214="","",INDEX(lst_months,MONTH(A2214)))</f>
        <v/>
      </c>
      <c r="E2214" s="55" t="n"/>
      <c r="F2214" s="54">
        <f>IF(E2214="","",IFERROR(IF(INDEX(lst_exp_item_cat,MATCH(E2214,lst_exp_items,0))="","❔ Без категории",INDEX(lst_exp_item_cat,MATCH(E2214,lst_exp_items,0))),"❔ Без категории"))</f>
        <v/>
      </c>
      <c r="G2214" s="43" t="n"/>
      <c r="H2214" s="56" t="n"/>
      <c r="I2214" s="43" t="n"/>
      <c r="J2214" s="57">
        <f>IF(OR(A2214="",H2214=""),"",IF(COUNTIFS(exp_year,C2214,exp_month,D2214,exp_item,E2214,exp_status,"&lt;&gt;❌ Отменено")&gt;0,1,0))</f>
        <v/>
      </c>
    </row>
    <row r="2215">
      <c r="A2215" s="52" t="n"/>
      <c r="B2215" s="53">
        <f>IF(A2215="","",CHOOSE(WEEKDAY(A2215,2),"Пн","Вт","Ср","Чт","Пт","Сб","Вс"))</f>
        <v/>
      </c>
      <c r="C2215" s="53">
        <f>IF(A2215="","",YEAR(A2215))</f>
        <v/>
      </c>
      <c r="D2215" s="54">
        <f>IF(A2215="","",INDEX(lst_months,MONTH(A2215)))</f>
        <v/>
      </c>
      <c r="E2215" s="55" t="n"/>
      <c r="F2215" s="54">
        <f>IF(E2215="","",IFERROR(IF(INDEX(lst_exp_item_cat,MATCH(E2215,lst_exp_items,0))="","❔ Без категории",INDEX(lst_exp_item_cat,MATCH(E2215,lst_exp_items,0))),"❔ Без категории"))</f>
        <v/>
      </c>
      <c r="G2215" s="43" t="n"/>
      <c r="H2215" s="56" t="n"/>
      <c r="I2215" s="43" t="n"/>
      <c r="J2215" s="57">
        <f>IF(OR(A2215="",H2215=""),"",IF(COUNTIFS(exp_year,C2215,exp_month,D2215,exp_item,E2215,exp_status,"&lt;&gt;❌ Отменено")&gt;0,1,0))</f>
        <v/>
      </c>
    </row>
    <row r="2216">
      <c r="A2216" s="52" t="n"/>
      <c r="B2216" s="53">
        <f>IF(A2216="","",CHOOSE(WEEKDAY(A2216,2),"Пн","Вт","Ср","Чт","Пт","Сб","Вс"))</f>
        <v/>
      </c>
      <c r="C2216" s="53">
        <f>IF(A2216="","",YEAR(A2216))</f>
        <v/>
      </c>
      <c r="D2216" s="54">
        <f>IF(A2216="","",INDEX(lst_months,MONTH(A2216)))</f>
        <v/>
      </c>
      <c r="E2216" s="55" t="n"/>
      <c r="F2216" s="54">
        <f>IF(E2216="","",IFERROR(IF(INDEX(lst_exp_item_cat,MATCH(E2216,lst_exp_items,0))="","❔ Без категории",INDEX(lst_exp_item_cat,MATCH(E2216,lst_exp_items,0))),"❔ Без категории"))</f>
        <v/>
      </c>
      <c r="G2216" s="43" t="n"/>
      <c r="H2216" s="56" t="n"/>
      <c r="I2216" s="43" t="n"/>
      <c r="J2216" s="57">
        <f>IF(OR(A2216="",H2216=""),"",IF(COUNTIFS(exp_year,C2216,exp_month,D2216,exp_item,E2216,exp_status,"&lt;&gt;❌ Отменено")&gt;0,1,0))</f>
        <v/>
      </c>
    </row>
    <row r="2217">
      <c r="A2217" s="52" t="n"/>
      <c r="B2217" s="53">
        <f>IF(A2217="","",CHOOSE(WEEKDAY(A2217,2),"Пн","Вт","Ср","Чт","Пт","Сб","Вс"))</f>
        <v/>
      </c>
      <c r="C2217" s="53">
        <f>IF(A2217="","",YEAR(A2217))</f>
        <v/>
      </c>
      <c r="D2217" s="54">
        <f>IF(A2217="","",INDEX(lst_months,MONTH(A2217)))</f>
        <v/>
      </c>
      <c r="E2217" s="55" t="n"/>
      <c r="F2217" s="54">
        <f>IF(E2217="","",IFERROR(IF(INDEX(lst_exp_item_cat,MATCH(E2217,lst_exp_items,0))="","❔ Без категории",INDEX(lst_exp_item_cat,MATCH(E2217,lst_exp_items,0))),"❔ Без категории"))</f>
        <v/>
      </c>
      <c r="G2217" s="43" t="n"/>
      <c r="H2217" s="56" t="n"/>
      <c r="I2217" s="43" t="n"/>
      <c r="J2217" s="57">
        <f>IF(OR(A2217="",H2217=""),"",IF(COUNTIFS(exp_year,C2217,exp_month,D2217,exp_item,E2217,exp_status,"&lt;&gt;❌ Отменено")&gt;0,1,0))</f>
        <v/>
      </c>
    </row>
    <row r="2218">
      <c r="A2218" s="52" t="n"/>
      <c r="B2218" s="53">
        <f>IF(A2218="","",CHOOSE(WEEKDAY(A2218,2),"Пн","Вт","Ср","Чт","Пт","Сб","Вс"))</f>
        <v/>
      </c>
      <c r="C2218" s="53">
        <f>IF(A2218="","",YEAR(A2218))</f>
        <v/>
      </c>
      <c r="D2218" s="54">
        <f>IF(A2218="","",INDEX(lst_months,MONTH(A2218)))</f>
        <v/>
      </c>
      <c r="E2218" s="55" t="n"/>
      <c r="F2218" s="54">
        <f>IF(E2218="","",IFERROR(IF(INDEX(lst_exp_item_cat,MATCH(E2218,lst_exp_items,0))="","❔ Без категории",INDEX(lst_exp_item_cat,MATCH(E2218,lst_exp_items,0))),"❔ Без категории"))</f>
        <v/>
      </c>
      <c r="G2218" s="43" t="n"/>
      <c r="H2218" s="56" t="n"/>
      <c r="I2218" s="43" t="n"/>
      <c r="J2218" s="57">
        <f>IF(OR(A2218="",H2218=""),"",IF(COUNTIFS(exp_year,C2218,exp_month,D2218,exp_item,E2218,exp_status,"&lt;&gt;❌ Отменено")&gt;0,1,0))</f>
        <v/>
      </c>
    </row>
    <row r="2219">
      <c r="A2219" s="52" t="n"/>
      <c r="B2219" s="53">
        <f>IF(A2219="","",CHOOSE(WEEKDAY(A2219,2),"Пн","Вт","Ср","Чт","Пт","Сб","Вс"))</f>
        <v/>
      </c>
      <c r="C2219" s="53">
        <f>IF(A2219="","",YEAR(A2219))</f>
        <v/>
      </c>
      <c r="D2219" s="54">
        <f>IF(A2219="","",INDEX(lst_months,MONTH(A2219)))</f>
        <v/>
      </c>
      <c r="E2219" s="55" t="n"/>
      <c r="F2219" s="54">
        <f>IF(E2219="","",IFERROR(IF(INDEX(lst_exp_item_cat,MATCH(E2219,lst_exp_items,0))="","❔ Без категории",INDEX(lst_exp_item_cat,MATCH(E2219,lst_exp_items,0))),"❔ Без категории"))</f>
        <v/>
      </c>
      <c r="G2219" s="43" t="n"/>
      <c r="H2219" s="56" t="n"/>
      <c r="I2219" s="43" t="n"/>
      <c r="J2219" s="57">
        <f>IF(OR(A2219="",H2219=""),"",IF(COUNTIFS(exp_year,C2219,exp_month,D2219,exp_item,E2219,exp_status,"&lt;&gt;❌ Отменено")&gt;0,1,0))</f>
        <v/>
      </c>
    </row>
    <row r="2220">
      <c r="A2220" s="52" t="n"/>
      <c r="B2220" s="53">
        <f>IF(A2220="","",CHOOSE(WEEKDAY(A2220,2),"Пн","Вт","Ср","Чт","Пт","Сб","Вс"))</f>
        <v/>
      </c>
      <c r="C2220" s="53">
        <f>IF(A2220="","",YEAR(A2220))</f>
        <v/>
      </c>
      <c r="D2220" s="54">
        <f>IF(A2220="","",INDEX(lst_months,MONTH(A2220)))</f>
        <v/>
      </c>
      <c r="E2220" s="55" t="n"/>
      <c r="F2220" s="54">
        <f>IF(E2220="","",IFERROR(IF(INDEX(lst_exp_item_cat,MATCH(E2220,lst_exp_items,0))="","❔ Без категории",INDEX(lst_exp_item_cat,MATCH(E2220,lst_exp_items,0))),"❔ Без категории"))</f>
        <v/>
      </c>
      <c r="G2220" s="43" t="n"/>
      <c r="H2220" s="56" t="n"/>
      <c r="I2220" s="43" t="n"/>
      <c r="J2220" s="57">
        <f>IF(OR(A2220="",H2220=""),"",IF(COUNTIFS(exp_year,C2220,exp_month,D2220,exp_item,E2220,exp_status,"&lt;&gt;❌ Отменено")&gt;0,1,0))</f>
        <v/>
      </c>
    </row>
    <row r="2221">
      <c r="A2221" s="52" t="n"/>
      <c r="B2221" s="53">
        <f>IF(A2221="","",CHOOSE(WEEKDAY(A2221,2),"Пн","Вт","Ср","Чт","Пт","Сб","Вс"))</f>
        <v/>
      </c>
      <c r="C2221" s="53">
        <f>IF(A2221="","",YEAR(A2221))</f>
        <v/>
      </c>
      <c r="D2221" s="54">
        <f>IF(A2221="","",INDEX(lst_months,MONTH(A2221)))</f>
        <v/>
      </c>
      <c r="E2221" s="55" t="n"/>
      <c r="F2221" s="54">
        <f>IF(E2221="","",IFERROR(IF(INDEX(lst_exp_item_cat,MATCH(E2221,lst_exp_items,0))="","❔ Без категории",INDEX(lst_exp_item_cat,MATCH(E2221,lst_exp_items,0))),"❔ Без категории"))</f>
        <v/>
      </c>
      <c r="G2221" s="43" t="n"/>
      <c r="H2221" s="56" t="n"/>
      <c r="I2221" s="43" t="n"/>
      <c r="J2221" s="57">
        <f>IF(OR(A2221="",H2221=""),"",IF(COUNTIFS(exp_year,C2221,exp_month,D2221,exp_item,E2221,exp_status,"&lt;&gt;❌ Отменено")&gt;0,1,0))</f>
        <v/>
      </c>
    </row>
    <row r="2222">
      <c r="A2222" s="52" t="n"/>
      <c r="B2222" s="53">
        <f>IF(A2222="","",CHOOSE(WEEKDAY(A2222,2),"Пн","Вт","Ср","Чт","Пт","Сб","Вс"))</f>
        <v/>
      </c>
      <c r="C2222" s="53">
        <f>IF(A2222="","",YEAR(A2222))</f>
        <v/>
      </c>
      <c r="D2222" s="54">
        <f>IF(A2222="","",INDEX(lst_months,MONTH(A2222)))</f>
        <v/>
      </c>
      <c r="E2222" s="55" t="n"/>
      <c r="F2222" s="54">
        <f>IF(E2222="","",IFERROR(IF(INDEX(lst_exp_item_cat,MATCH(E2222,lst_exp_items,0))="","❔ Без категории",INDEX(lst_exp_item_cat,MATCH(E2222,lst_exp_items,0))),"❔ Без категории"))</f>
        <v/>
      </c>
      <c r="G2222" s="43" t="n"/>
      <c r="H2222" s="56" t="n"/>
      <c r="I2222" s="43" t="n"/>
      <c r="J2222" s="57">
        <f>IF(OR(A2222="",H2222=""),"",IF(COUNTIFS(exp_year,C2222,exp_month,D2222,exp_item,E2222,exp_status,"&lt;&gt;❌ Отменено")&gt;0,1,0))</f>
        <v/>
      </c>
    </row>
    <row r="2223">
      <c r="A2223" s="52" t="n"/>
      <c r="B2223" s="53">
        <f>IF(A2223="","",CHOOSE(WEEKDAY(A2223,2),"Пн","Вт","Ср","Чт","Пт","Сб","Вс"))</f>
        <v/>
      </c>
      <c r="C2223" s="53">
        <f>IF(A2223="","",YEAR(A2223))</f>
        <v/>
      </c>
      <c r="D2223" s="54">
        <f>IF(A2223="","",INDEX(lst_months,MONTH(A2223)))</f>
        <v/>
      </c>
      <c r="E2223" s="55" t="n"/>
      <c r="F2223" s="54">
        <f>IF(E2223="","",IFERROR(IF(INDEX(lst_exp_item_cat,MATCH(E2223,lst_exp_items,0))="","❔ Без категории",INDEX(lst_exp_item_cat,MATCH(E2223,lst_exp_items,0))),"❔ Без категории"))</f>
        <v/>
      </c>
      <c r="G2223" s="43" t="n"/>
      <c r="H2223" s="56" t="n"/>
      <c r="I2223" s="43" t="n"/>
      <c r="J2223" s="57">
        <f>IF(OR(A2223="",H2223=""),"",IF(COUNTIFS(exp_year,C2223,exp_month,D2223,exp_item,E2223,exp_status,"&lt;&gt;❌ Отменено")&gt;0,1,0))</f>
        <v/>
      </c>
    </row>
    <row r="2224">
      <c r="A2224" s="52" t="n"/>
      <c r="B2224" s="53">
        <f>IF(A2224="","",CHOOSE(WEEKDAY(A2224,2),"Пн","Вт","Ср","Чт","Пт","Сб","Вс"))</f>
        <v/>
      </c>
      <c r="C2224" s="53">
        <f>IF(A2224="","",YEAR(A2224))</f>
        <v/>
      </c>
      <c r="D2224" s="54">
        <f>IF(A2224="","",INDEX(lst_months,MONTH(A2224)))</f>
        <v/>
      </c>
      <c r="E2224" s="55" t="n"/>
      <c r="F2224" s="54">
        <f>IF(E2224="","",IFERROR(IF(INDEX(lst_exp_item_cat,MATCH(E2224,lst_exp_items,0))="","❔ Без категории",INDEX(lst_exp_item_cat,MATCH(E2224,lst_exp_items,0))),"❔ Без категории"))</f>
        <v/>
      </c>
      <c r="G2224" s="43" t="n"/>
      <c r="H2224" s="56" t="n"/>
      <c r="I2224" s="43" t="n"/>
      <c r="J2224" s="57">
        <f>IF(OR(A2224="",H2224=""),"",IF(COUNTIFS(exp_year,C2224,exp_month,D2224,exp_item,E2224,exp_status,"&lt;&gt;❌ Отменено")&gt;0,1,0))</f>
        <v/>
      </c>
    </row>
    <row r="2225">
      <c r="A2225" s="52" t="n"/>
      <c r="B2225" s="53">
        <f>IF(A2225="","",CHOOSE(WEEKDAY(A2225,2),"Пн","Вт","Ср","Чт","Пт","Сб","Вс"))</f>
        <v/>
      </c>
      <c r="C2225" s="53">
        <f>IF(A2225="","",YEAR(A2225))</f>
        <v/>
      </c>
      <c r="D2225" s="54">
        <f>IF(A2225="","",INDEX(lst_months,MONTH(A2225)))</f>
        <v/>
      </c>
      <c r="E2225" s="55" t="n"/>
      <c r="F2225" s="54">
        <f>IF(E2225="","",IFERROR(IF(INDEX(lst_exp_item_cat,MATCH(E2225,lst_exp_items,0))="","❔ Без категории",INDEX(lst_exp_item_cat,MATCH(E2225,lst_exp_items,0))),"❔ Без категории"))</f>
        <v/>
      </c>
      <c r="G2225" s="43" t="n"/>
      <c r="H2225" s="56" t="n"/>
      <c r="I2225" s="43" t="n"/>
      <c r="J2225" s="57">
        <f>IF(OR(A2225="",H2225=""),"",IF(COUNTIFS(exp_year,C2225,exp_month,D2225,exp_item,E2225,exp_status,"&lt;&gt;❌ Отменено")&gt;0,1,0))</f>
        <v/>
      </c>
    </row>
    <row r="2226">
      <c r="A2226" s="52" t="n"/>
      <c r="B2226" s="53">
        <f>IF(A2226="","",CHOOSE(WEEKDAY(A2226,2),"Пн","Вт","Ср","Чт","Пт","Сб","Вс"))</f>
        <v/>
      </c>
      <c r="C2226" s="53">
        <f>IF(A2226="","",YEAR(A2226))</f>
        <v/>
      </c>
      <c r="D2226" s="54">
        <f>IF(A2226="","",INDEX(lst_months,MONTH(A2226)))</f>
        <v/>
      </c>
      <c r="E2226" s="55" t="n"/>
      <c r="F2226" s="54">
        <f>IF(E2226="","",IFERROR(IF(INDEX(lst_exp_item_cat,MATCH(E2226,lst_exp_items,0))="","❔ Без категории",INDEX(lst_exp_item_cat,MATCH(E2226,lst_exp_items,0))),"❔ Без категории"))</f>
        <v/>
      </c>
      <c r="G2226" s="43" t="n"/>
      <c r="H2226" s="56" t="n"/>
      <c r="I2226" s="43" t="n"/>
      <c r="J2226" s="57">
        <f>IF(OR(A2226="",H2226=""),"",IF(COUNTIFS(exp_year,C2226,exp_month,D2226,exp_item,E2226,exp_status,"&lt;&gt;❌ Отменено")&gt;0,1,0))</f>
        <v/>
      </c>
    </row>
    <row r="2227">
      <c r="A2227" s="52" t="n"/>
      <c r="B2227" s="53">
        <f>IF(A2227="","",CHOOSE(WEEKDAY(A2227,2),"Пн","Вт","Ср","Чт","Пт","Сб","Вс"))</f>
        <v/>
      </c>
      <c r="C2227" s="53">
        <f>IF(A2227="","",YEAR(A2227))</f>
        <v/>
      </c>
      <c r="D2227" s="54">
        <f>IF(A2227="","",INDEX(lst_months,MONTH(A2227)))</f>
        <v/>
      </c>
      <c r="E2227" s="55" t="n"/>
      <c r="F2227" s="54">
        <f>IF(E2227="","",IFERROR(IF(INDEX(lst_exp_item_cat,MATCH(E2227,lst_exp_items,0))="","❔ Без категории",INDEX(lst_exp_item_cat,MATCH(E2227,lst_exp_items,0))),"❔ Без категории"))</f>
        <v/>
      </c>
      <c r="G2227" s="43" t="n"/>
      <c r="H2227" s="56" t="n"/>
      <c r="I2227" s="43" t="n"/>
      <c r="J2227" s="57">
        <f>IF(OR(A2227="",H2227=""),"",IF(COUNTIFS(exp_year,C2227,exp_month,D2227,exp_item,E2227,exp_status,"&lt;&gt;❌ Отменено")&gt;0,1,0))</f>
        <v/>
      </c>
    </row>
    <row r="2228">
      <c r="A2228" s="52" t="n"/>
      <c r="B2228" s="53">
        <f>IF(A2228="","",CHOOSE(WEEKDAY(A2228,2),"Пн","Вт","Ср","Чт","Пт","Сб","Вс"))</f>
        <v/>
      </c>
      <c r="C2228" s="53">
        <f>IF(A2228="","",YEAR(A2228))</f>
        <v/>
      </c>
      <c r="D2228" s="54">
        <f>IF(A2228="","",INDEX(lst_months,MONTH(A2228)))</f>
        <v/>
      </c>
      <c r="E2228" s="55" t="n"/>
      <c r="F2228" s="54">
        <f>IF(E2228="","",IFERROR(IF(INDEX(lst_exp_item_cat,MATCH(E2228,lst_exp_items,0))="","❔ Без категории",INDEX(lst_exp_item_cat,MATCH(E2228,lst_exp_items,0))),"❔ Без категории"))</f>
        <v/>
      </c>
      <c r="G2228" s="43" t="n"/>
      <c r="H2228" s="56" t="n"/>
      <c r="I2228" s="43" t="n"/>
      <c r="J2228" s="57">
        <f>IF(OR(A2228="",H2228=""),"",IF(COUNTIFS(exp_year,C2228,exp_month,D2228,exp_item,E2228,exp_status,"&lt;&gt;❌ Отменено")&gt;0,1,0))</f>
        <v/>
      </c>
    </row>
    <row r="2229">
      <c r="A2229" s="52" t="n"/>
      <c r="B2229" s="53">
        <f>IF(A2229="","",CHOOSE(WEEKDAY(A2229,2),"Пн","Вт","Ср","Чт","Пт","Сб","Вс"))</f>
        <v/>
      </c>
      <c r="C2229" s="53">
        <f>IF(A2229="","",YEAR(A2229))</f>
        <v/>
      </c>
      <c r="D2229" s="54">
        <f>IF(A2229="","",INDEX(lst_months,MONTH(A2229)))</f>
        <v/>
      </c>
      <c r="E2229" s="55" t="n"/>
      <c r="F2229" s="54">
        <f>IF(E2229="","",IFERROR(IF(INDEX(lst_exp_item_cat,MATCH(E2229,lst_exp_items,0))="","❔ Без категории",INDEX(lst_exp_item_cat,MATCH(E2229,lst_exp_items,0))),"❔ Без категории"))</f>
        <v/>
      </c>
      <c r="G2229" s="43" t="n"/>
      <c r="H2229" s="56" t="n"/>
      <c r="I2229" s="43" t="n"/>
      <c r="J2229" s="57">
        <f>IF(OR(A2229="",H2229=""),"",IF(COUNTIFS(exp_year,C2229,exp_month,D2229,exp_item,E2229,exp_status,"&lt;&gt;❌ Отменено")&gt;0,1,0))</f>
        <v/>
      </c>
    </row>
    <row r="2230">
      <c r="A2230" s="52" t="n"/>
      <c r="B2230" s="53">
        <f>IF(A2230="","",CHOOSE(WEEKDAY(A2230,2),"Пн","Вт","Ср","Чт","Пт","Сб","Вс"))</f>
        <v/>
      </c>
      <c r="C2230" s="53">
        <f>IF(A2230="","",YEAR(A2230))</f>
        <v/>
      </c>
      <c r="D2230" s="54">
        <f>IF(A2230="","",INDEX(lst_months,MONTH(A2230)))</f>
        <v/>
      </c>
      <c r="E2230" s="55" t="n"/>
      <c r="F2230" s="54">
        <f>IF(E2230="","",IFERROR(IF(INDEX(lst_exp_item_cat,MATCH(E2230,lst_exp_items,0))="","❔ Без категории",INDEX(lst_exp_item_cat,MATCH(E2230,lst_exp_items,0))),"❔ Без категории"))</f>
        <v/>
      </c>
      <c r="G2230" s="43" t="n"/>
      <c r="H2230" s="56" t="n"/>
      <c r="I2230" s="43" t="n"/>
      <c r="J2230" s="57">
        <f>IF(OR(A2230="",H2230=""),"",IF(COUNTIFS(exp_year,C2230,exp_month,D2230,exp_item,E2230,exp_status,"&lt;&gt;❌ Отменено")&gt;0,1,0))</f>
        <v/>
      </c>
    </row>
    <row r="2231">
      <c r="A2231" s="52" t="n"/>
      <c r="B2231" s="53">
        <f>IF(A2231="","",CHOOSE(WEEKDAY(A2231,2),"Пн","Вт","Ср","Чт","Пт","Сб","Вс"))</f>
        <v/>
      </c>
      <c r="C2231" s="53">
        <f>IF(A2231="","",YEAR(A2231))</f>
        <v/>
      </c>
      <c r="D2231" s="54">
        <f>IF(A2231="","",INDEX(lst_months,MONTH(A2231)))</f>
        <v/>
      </c>
      <c r="E2231" s="55" t="n"/>
      <c r="F2231" s="54">
        <f>IF(E2231="","",IFERROR(IF(INDEX(lst_exp_item_cat,MATCH(E2231,lst_exp_items,0))="","❔ Без категории",INDEX(lst_exp_item_cat,MATCH(E2231,lst_exp_items,0))),"❔ Без категории"))</f>
        <v/>
      </c>
      <c r="G2231" s="43" t="n"/>
      <c r="H2231" s="56" t="n"/>
      <c r="I2231" s="43" t="n"/>
      <c r="J2231" s="57">
        <f>IF(OR(A2231="",H2231=""),"",IF(COUNTIFS(exp_year,C2231,exp_month,D2231,exp_item,E2231,exp_status,"&lt;&gt;❌ Отменено")&gt;0,1,0))</f>
        <v/>
      </c>
    </row>
    <row r="2232">
      <c r="A2232" s="52" t="n"/>
      <c r="B2232" s="53">
        <f>IF(A2232="","",CHOOSE(WEEKDAY(A2232,2),"Пн","Вт","Ср","Чт","Пт","Сб","Вс"))</f>
        <v/>
      </c>
      <c r="C2232" s="53">
        <f>IF(A2232="","",YEAR(A2232))</f>
        <v/>
      </c>
      <c r="D2232" s="54">
        <f>IF(A2232="","",INDEX(lst_months,MONTH(A2232)))</f>
        <v/>
      </c>
      <c r="E2232" s="55" t="n"/>
      <c r="F2232" s="54">
        <f>IF(E2232="","",IFERROR(IF(INDEX(lst_exp_item_cat,MATCH(E2232,lst_exp_items,0))="","❔ Без категории",INDEX(lst_exp_item_cat,MATCH(E2232,lst_exp_items,0))),"❔ Без категории"))</f>
        <v/>
      </c>
      <c r="G2232" s="43" t="n"/>
      <c r="H2232" s="56" t="n"/>
      <c r="I2232" s="43" t="n"/>
      <c r="J2232" s="57">
        <f>IF(OR(A2232="",H2232=""),"",IF(COUNTIFS(exp_year,C2232,exp_month,D2232,exp_item,E2232,exp_status,"&lt;&gt;❌ Отменено")&gt;0,1,0))</f>
        <v/>
      </c>
    </row>
    <row r="2233">
      <c r="A2233" s="52" t="n"/>
      <c r="B2233" s="53">
        <f>IF(A2233="","",CHOOSE(WEEKDAY(A2233,2),"Пн","Вт","Ср","Чт","Пт","Сб","Вс"))</f>
        <v/>
      </c>
      <c r="C2233" s="53">
        <f>IF(A2233="","",YEAR(A2233))</f>
        <v/>
      </c>
      <c r="D2233" s="54">
        <f>IF(A2233="","",INDEX(lst_months,MONTH(A2233)))</f>
        <v/>
      </c>
      <c r="E2233" s="55" t="n"/>
      <c r="F2233" s="54">
        <f>IF(E2233="","",IFERROR(IF(INDEX(lst_exp_item_cat,MATCH(E2233,lst_exp_items,0))="","❔ Без категории",INDEX(lst_exp_item_cat,MATCH(E2233,lst_exp_items,0))),"❔ Без категории"))</f>
        <v/>
      </c>
      <c r="G2233" s="43" t="n"/>
      <c r="H2233" s="56" t="n"/>
      <c r="I2233" s="43" t="n"/>
      <c r="J2233" s="57">
        <f>IF(OR(A2233="",H2233=""),"",IF(COUNTIFS(exp_year,C2233,exp_month,D2233,exp_item,E2233,exp_status,"&lt;&gt;❌ Отменено")&gt;0,1,0))</f>
        <v/>
      </c>
    </row>
    <row r="2234">
      <c r="A2234" s="52" t="n"/>
      <c r="B2234" s="53">
        <f>IF(A2234="","",CHOOSE(WEEKDAY(A2234,2),"Пн","Вт","Ср","Чт","Пт","Сб","Вс"))</f>
        <v/>
      </c>
      <c r="C2234" s="53">
        <f>IF(A2234="","",YEAR(A2234))</f>
        <v/>
      </c>
      <c r="D2234" s="54">
        <f>IF(A2234="","",INDEX(lst_months,MONTH(A2234)))</f>
        <v/>
      </c>
      <c r="E2234" s="55" t="n"/>
      <c r="F2234" s="54">
        <f>IF(E2234="","",IFERROR(IF(INDEX(lst_exp_item_cat,MATCH(E2234,lst_exp_items,0))="","❔ Без категории",INDEX(lst_exp_item_cat,MATCH(E2234,lst_exp_items,0))),"❔ Без категории"))</f>
        <v/>
      </c>
      <c r="G2234" s="43" t="n"/>
      <c r="H2234" s="56" t="n"/>
      <c r="I2234" s="43" t="n"/>
      <c r="J2234" s="57">
        <f>IF(OR(A2234="",H2234=""),"",IF(COUNTIFS(exp_year,C2234,exp_month,D2234,exp_item,E2234,exp_status,"&lt;&gt;❌ Отменено")&gt;0,1,0))</f>
        <v/>
      </c>
    </row>
    <row r="2235">
      <c r="A2235" s="52" t="n"/>
      <c r="B2235" s="53">
        <f>IF(A2235="","",CHOOSE(WEEKDAY(A2235,2),"Пн","Вт","Ср","Чт","Пт","Сб","Вс"))</f>
        <v/>
      </c>
      <c r="C2235" s="53">
        <f>IF(A2235="","",YEAR(A2235))</f>
        <v/>
      </c>
      <c r="D2235" s="54">
        <f>IF(A2235="","",INDEX(lst_months,MONTH(A2235)))</f>
        <v/>
      </c>
      <c r="E2235" s="55" t="n"/>
      <c r="F2235" s="54">
        <f>IF(E2235="","",IFERROR(IF(INDEX(lst_exp_item_cat,MATCH(E2235,lst_exp_items,0))="","❔ Без категории",INDEX(lst_exp_item_cat,MATCH(E2235,lst_exp_items,0))),"❔ Без категории"))</f>
        <v/>
      </c>
      <c r="G2235" s="43" t="n"/>
      <c r="H2235" s="56" t="n"/>
      <c r="I2235" s="43" t="n"/>
      <c r="J2235" s="57">
        <f>IF(OR(A2235="",H2235=""),"",IF(COUNTIFS(exp_year,C2235,exp_month,D2235,exp_item,E2235,exp_status,"&lt;&gt;❌ Отменено")&gt;0,1,0))</f>
        <v/>
      </c>
    </row>
    <row r="2236">
      <c r="A2236" s="52" t="n"/>
      <c r="B2236" s="53">
        <f>IF(A2236="","",CHOOSE(WEEKDAY(A2236,2),"Пн","Вт","Ср","Чт","Пт","Сб","Вс"))</f>
        <v/>
      </c>
      <c r="C2236" s="53">
        <f>IF(A2236="","",YEAR(A2236))</f>
        <v/>
      </c>
      <c r="D2236" s="54">
        <f>IF(A2236="","",INDEX(lst_months,MONTH(A2236)))</f>
        <v/>
      </c>
      <c r="E2236" s="55" t="n"/>
      <c r="F2236" s="54">
        <f>IF(E2236="","",IFERROR(IF(INDEX(lst_exp_item_cat,MATCH(E2236,lst_exp_items,0))="","❔ Без категории",INDEX(lst_exp_item_cat,MATCH(E2236,lst_exp_items,0))),"❔ Без категории"))</f>
        <v/>
      </c>
      <c r="G2236" s="43" t="n"/>
      <c r="H2236" s="56" t="n"/>
      <c r="I2236" s="43" t="n"/>
      <c r="J2236" s="57">
        <f>IF(OR(A2236="",H2236=""),"",IF(COUNTIFS(exp_year,C2236,exp_month,D2236,exp_item,E2236,exp_status,"&lt;&gt;❌ Отменено")&gt;0,1,0))</f>
        <v/>
      </c>
    </row>
    <row r="2237">
      <c r="A2237" s="52" t="n"/>
      <c r="B2237" s="53">
        <f>IF(A2237="","",CHOOSE(WEEKDAY(A2237,2),"Пн","Вт","Ср","Чт","Пт","Сб","Вс"))</f>
        <v/>
      </c>
      <c r="C2237" s="53">
        <f>IF(A2237="","",YEAR(A2237))</f>
        <v/>
      </c>
      <c r="D2237" s="54">
        <f>IF(A2237="","",INDEX(lst_months,MONTH(A2237)))</f>
        <v/>
      </c>
      <c r="E2237" s="55" t="n"/>
      <c r="F2237" s="54">
        <f>IF(E2237="","",IFERROR(IF(INDEX(lst_exp_item_cat,MATCH(E2237,lst_exp_items,0))="","❔ Без категории",INDEX(lst_exp_item_cat,MATCH(E2237,lst_exp_items,0))),"❔ Без категории"))</f>
        <v/>
      </c>
      <c r="G2237" s="43" t="n"/>
      <c r="H2237" s="56" t="n"/>
      <c r="I2237" s="43" t="n"/>
      <c r="J2237" s="57">
        <f>IF(OR(A2237="",H2237=""),"",IF(COUNTIFS(exp_year,C2237,exp_month,D2237,exp_item,E2237,exp_status,"&lt;&gt;❌ Отменено")&gt;0,1,0))</f>
        <v/>
      </c>
    </row>
    <row r="2238">
      <c r="A2238" s="52" t="n"/>
      <c r="B2238" s="53">
        <f>IF(A2238="","",CHOOSE(WEEKDAY(A2238,2),"Пн","Вт","Ср","Чт","Пт","Сб","Вс"))</f>
        <v/>
      </c>
      <c r="C2238" s="53">
        <f>IF(A2238="","",YEAR(A2238))</f>
        <v/>
      </c>
      <c r="D2238" s="54">
        <f>IF(A2238="","",INDEX(lst_months,MONTH(A2238)))</f>
        <v/>
      </c>
      <c r="E2238" s="55" t="n"/>
      <c r="F2238" s="54">
        <f>IF(E2238="","",IFERROR(IF(INDEX(lst_exp_item_cat,MATCH(E2238,lst_exp_items,0))="","❔ Без категории",INDEX(lst_exp_item_cat,MATCH(E2238,lst_exp_items,0))),"❔ Без категории"))</f>
        <v/>
      </c>
      <c r="G2238" s="43" t="n"/>
      <c r="H2238" s="56" t="n"/>
      <c r="I2238" s="43" t="n"/>
      <c r="J2238" s="57">
        <f>IF(OR(A2238="",H2238=""),"",IF(COUNTIFS(exp_year,C2238,exp_month,D2238,exp_item,E2238,exp_status,"&lt;&gt;❌ Отменено")&gt;0,1,0))</f>
        <v/>
      </c>
    </row>
    <row r="2239">
      <c r="A2239" s="52" t="n"/>
      <c r="B2239" s="53">
        <f>IF(A2239="","",CHOOSE(WEEKDAY(A2239,2),"Пн","Вт","Ср","Чт","Пт","Сб","Вс"))</f>
        <v/>
      </c>
      <c r="C2239" s="53">
        <f>IF(A2239="","",YEAR(A2239))</f>
        <v/>
      </c>
      <c r="D2239" s="54">
        <f>IF(A2239="","",INDEX(lst_months,MONTH(A2239)))</f>
        <v/>
      </c>
      <c r="E2239" s="55" t="n"/>
      <c r="F2239" s="54">
        <f>IF(E2239="","",IFERROR(IF(INDEX(lst_exp_item_cat,MATCH(E2239,lst_exp_items,0))="","❔ Без категории",INDEX(lst_exp_item_cat,MATCH(E2239,lst_exp_items,0))),"❔ Без категории"))</f>
        <v/>
      </c>
      <c r="G2239" s="43" t="n"/>
      <c r="H2239" s="56" t="n"/>
      <c r="I2239" s="43" t="n"/>
      <c r="J2239" s="57">
        <f>IF(OR(A2239="",H2239=""),"",IF(COUNTIFS(exp_year,C2239,exp_month,D2239,exp_item,E2239,exp_status,"&lt;&gt;❌ Отменено")&gt;0,1,0))</f>
        <v/>
      </c>
    </row>
    <row r="2240">
      <c r="A2240" s="52" t="n"/>
      <c r="B2240" s="53">
        <f>IF(A2240="","",CHOOSE(WEEKDAY(A2240,2),"Пн","Вт","Ср","Чт","Пт","Сб","Вс"))</f>
        <v/>
      </c>
      <c r="C2240" s="53">
        <f>IF(A2240="","",YEAR(A2240))</f>
        <v/>
      </c>
      <c r="D2240" s="54">
        <f>IF(A2240="","",INDEX(lst_months,MONTH(A2240)))</f>
        <v/>
      </c>
      <c r="E2240" s="55" t="n"/>
      <c r="F2240" s="54">
        <f>IF(E2240="","",IFERROR(IF(INDEX(lst_exp_item_cat,MATCH(E2240,lst_exp_items,0))="","❔ Без категории",INDEX(lst_exp_item_cat,MATCH(E2240,lst_exp_items,0))),"❔ Без категории"))</f>
        <v/>
      </c>
      <c r="G2240" s="43" t="n"/>
      <c r="H2240" s="56" t="n"/>
      <c r="I2240" s="43" t="n"/>
      <c r="J2240" s="57">
        <f>IF(OR(A2240="",H2240=""),"",IF(COUNTIFS(exp_year,C2240,exp_month,D2240,exp_item,E2240,exp_status,"&lt;&gt;❌ Отменено")&gt;0,1,0))</f>
        <v/>
      </c>
    </row>
    <row r="2241">
      <c r="A2241" s="52" t="n"/>
      <c r="B2241" s="53">
        <f>IF(A2241="","",CHOOSE(WEEKDAY(A2241,2),"Пн","Вт","Ср","Чт","Пт","Сб","Вс"))</f>
        <v/>
      </c>
      <c r="C2241" s="53">
        <f>IF(A2241="","",YEAR(A2241))</f>
        <v/>
      </c>
      <c r="D2241" s="54">
        <f>IF(A2241="","",INDEX(lst_months,MONTH(A2241)))</f>
        <v/>
      </c>
      <c r="E2241" s="55" t="n"/>
      <c r="F2241" s="54">
        <f>IF(E2241="","",IFERROR(IF(INDEX(lst_exp_item_cat,MATCH(E2241,lst_exp_items,0))="","❔ Без категории",INDEX(lst_exp_item_cat,MATCH(E2241,lst_exp_items,0))),"❔ Без категории"))</f>
        <v/>
      </c>
      <c r="G2241" s="43" t="n"/>
      <c r="H2241" s="56" t="n"/>
      <c r="I2241" s="43" t="n"/>
      <c r="J2241" s="57">
        <f>IF(OR(A2241="",H2241=""),"",IF(COUNTIFS(exp_year,C2241,exp_month,D2241,exp_item,E2241,exp_status,"&lt;&gt;❌ Отменено")&gt;0,1,0))</f>
        <v/>
      </c>
    </row>
    <row r="2242">
      <c r="A2242" s="52" t="n"/>
      <c r="B2242" s="53">
        <f>IF(A2242="","",CHOOSE(WEEKDAY(A2242,2),"Пн","Вт","Ср","Чт","Пт","Сб","Вс"))</f>
        <v/>
      </c>
      <c r="C2242" s="53">
        <f>IF(A2242="","",YEAR(A2242))</f>
        <v/>
      </c>
      <c r="D2242" s="54">
        <f>IF(A2242="","",INDEX(lst_months,MONTH(A2242)))</f>
        <v/>
      </c>
      <c r="E2242" s="55" t="n"/>
      <c r="F2242" s="54">
        <f>IF(E2242="","",IFERROR(IF(INDEX(lst_exp_item_cat,MATCH(E2242,lst_exp_items,0))="","❔ Без категории",INDEX(lst_exp_item_cat,MATCH(E2242,lst_exp_items,0))),"❔ Без категории"))</f>
        <v/>
      </c>
      <c r="G2242" s="43" t="n"/>
      <c r="H2242" s="56" t="n"/>
      <c r="I2242" s="43" t="n"/>
      <c r="J2242" s="57">
        <f>IF(OR(A2242="",H2242=""),"",IF(COUNTIFS(exp_year,C2242,exp_month,D2242,exp_item,E2242,exp_status,"&lt;&gt;❌ Отменено")&gt;0,1,0))</f>
        <v/>
      </c>
    </row>
    <row r="2243">
      <c r="A2243" s="52" t="n"/>
      <c r="B2243" s="53">
        <f>IF(A2243="","",CHOOSE(WEEKDAY(A2243,2),"Пн","Вт","Ср","Чт","Пт","Сб","Вс"))</f>
        <v/>
      </c>
      <c r="C2243" s="53">
        <f>IF(A2243="","",YEAR(A2243))</f>
        <v/>
      </c>
      <c r="D2243" s="54">
        <f>IF(A2243="","",INDEX(lst_months,MONTH(A2243)))</f>
        <v/>
      </c>
      <c r="E2243" s="55" t="n"/>
      <c r="F2243" s="54">
        <f>IF(E2243="","",IFERROR(IF(INDEX(lst_exp_item_cat,MATCH(E2243,lst_exp_items,0))="","❔ Без категории",INDEX(lst_exp_item_cat,MATCH(E2243,lst_exp_items,0))),"❔ Без категории"))</f>
        <v/>
      </c>
      <c r="G2243" s="43" t="n"/>
      <c r="H2243" s="56" t="n"/>
      <c r="I2243" s="43" t="n"/>
      <c r="J2243" s="57">
        <f>IF(OR(A2243="",H2243=""),"",IF(COUNTIFS(exp_year,C2243,exp_month,D2243,exp_item,E2243,exp_status,"&lt;&gt;❌ Отменено")&gt;0,1,0))</f>
        <v/>
      </c>
    </row>
    <row r="2244">
      <c r="A2244" s="52" t="n"/>
      <c r="B2244" s="53">
        <f>IF(A2244="","",CHOOSE(WEEKDAY(A2244,2),"Пн","Вт","Ср","Чт","Пт","Сб","Вс"))</f>
        <v/>
      </c>
      <c r="C2244" s="53">
        <f>IF(A2244="","",YEAR(A2244))</f>
        <v/>
      </c>
      <c r="D2244" s="54">
        <f>IF(A2244="","",INDEX(lst_months,MONTH(A2244)))</f>
        <v/>
      </c>
      <c r="E2244" s="55" t="n"/>
      <c r="F2244" s="54">
        <f>IF(E2244="","",IFERROR(IF(INDEX(lst_exp_item_cat,MATCH(E2244,lst_exp_items,0))="","❔ Без категории",INDEX(lst_exp_item_cat,MATCH(E2244,lst_exp_items,0))),"❔ Без категории"))</f>
        <v/>
      </c>
      <c r="G2244" s="43" t="n"/>
      <c r="H2244" s="56" t="n"/>
      <c r="I2244" s="43" t="n"/>
      <c r="J2244" s="57">
        <f>IF(OR(A2244="",H2244=""),"",IF(COUNTIFS(exp_year,C2244,exp_month,D2244,exp_item,E2244,exp_status,"&lt;&gt;❌ Отменено")&gt;0,1,0))</f>
        <v/>
      </c>
    </row>
    <row r="2245">
      <c r="A2245" s="52" t="n"/>
      <c r="B2245" s="53">
        <f>IF(A2245="","",CHOOSE(WEEKDAY(A2245,2),"Пн","Вт","Ср","Чт","Пт","Сб","Вс"))</f>
        <v/>
      </c>
      <c r="C2245" s="53">
        <f>IF(A2245="","",YEAR(A2245))</f>
        <v/>
      </c>
      <c r="D2245" s="54">
        <f>IF(A2245="","",INDEX(lst_months,MONTH(A2245)))</f>
        <v/>
      </c>
      <c r="E2245" s="55" t="n"/>
      <c r="F2245" s="54">
        <f>IF(E2245="","",IFERROR(IF(INDEX(lst_exp_item_cat,MATCH(E2245,lst_exp_items,0))="","❔ Без категории",INDEX(lst_exp_item_cat,MATCH(E2245,lst_exp_items,0))),"❔ Без категории"))</f>
        <v/>
      </c>
      <c r="G2245" s="43" t="n"/>
      <c r="H2245" s="56" t="n"/>
      <c r="I2245" s="43" t="n"/>
      <c r="J2245" s="57">
        <f>IF(OR(A2245="",H2245=""),"",IF(COUNTIFS(exp_year,C2245,exp_month,D2245,exp_item,E2245,exp_status,"&lt;&gt;❌ Отменено")&gt;0,1,0))</f>
        <v/>
      </c>
    </row>
    <row r="2246">
      <c r="A2246" s="52" t="n"/>
      <c r="B2246" s="53">
        <f>IF(A2246="","",CHOOSE(WEEKDAY(A2246,2),"Пн","Вт","Ср","Чт","Пт","Сб","Вс"))</f>
        <v/>
      </c>
      <c r="C2246" s="53">
        <f>IF(A2246="","",YEAR(A2246))</f>
        <v/>
      </c>
      <c r="D2246" s="54">
        <f>IF(A2246="","",INDEX(lst_months,MONTH(A2246)))</f>
        <v/>
      </c>
      <c r="E2246" s="55" t="n"/>
      <c r="F2246" s="54">
        <f>IF(E2246="","",IFERROR(IF(INDEX(lst_exp_item_cat,MATCH(E2246,lst_exp_items,0))="","❔ Без категории",INDEX(lst_exp_item_cat,MATCH(E2246,lst_exp_items,0))),"❔ Без категории"))</f>
        <v/>
      </c>
      <c r="G2246" s="43" t="n"/>
      <c r="H2246" s="56" t="n"/>
      <c r="I2246" s="43" t="n"/>
      <c r="J2246" s="57">
        <f>IF(OR(A2246="",H2246=""),"",IF(COUNTIFS(exp_year,C2246,exp_month,D2246,exp_item,E2246,exp_status,"&lt;&gt;❌ Отменено")&gt;0,1,0))</f>
        <v/>
      </c>
    </row>
    <row r="2247">
      <c r="A2247" s="52" t="n"/>
      <c r="B2247" s="53">
        <f>IF(A2247="","",CHOOSE(WEEKDAY(A2247,2),"Пн","Вт","Ср","Чт","Пт","Сб","Вс"))</f>
        <v/>
      </c>
      <c r="C2247" s="53">
        <f>IF(A2247="","",YEAR(A2247))</f>
        <v/>
      </c>
      <c r="D2247" s="54">
        <f>IF(A2247="","",INDEX(lst_months,MONTH(A2247)))</f>
        <v/>
      </c>
      <c r="E2247" s="55" t="n"/>
      <c r="F2247" s="54">
        <f>IF(E2247="","",IFERROR(IF(INDEX(lst_exp_item_cat,MATCH(E2247,lst_exp_items,0))="","❔ Без категории",INDEX(lst_exp_item_cat,MATCH(E2247,lst_exp_items,0))),"❔ Без категории"))</f>
        <v/>
      </c>
      <c r="G2247" s="43" t="n"/>
      <c r="H2247" s="56" t="n"/>
      <c r="I2247" s="43" t="n"/>
      <c r="J2247" s="57">
        <f>IF(OR(A2247="",H2247=""),"",IF(COUNTIFS(exp_year,C2247,exp_month,D2247,exp_item,E2247,exp_status,"&lt;&gt;❌ Отменено")&gt;0,1,0))</f>
        <v/>
      </c>
    </row>
    <row r="2248">
      <c r="A2248" s="52" t="n"/>
      <c r="B2248" s="53">
        <f>IF(A2248="","",CHOOSE(WEEKDAY(A2248,2),"Пн","Вт","Ср","Чт","Пт","Сб","Вс"))</f>
        <v/>
      </c>
      <c r="C2248" s="53">
        <f>IF(A2248="","",YEAR(A2248))</f>
        <v/>
      </c>
      <c r="D2248" s="54">
        <f>IF(A2248="","",INDEX(lst_months,MONTH(A2248)))</f>
        <v/>
      </c>
      <c r="E2248" s="55" t="n"/>
      <c r="F2248" s="54">
        <f>IF(E2248="","",IFERROR(IF(INDEX(lst_exp_item_cat,MATCH(E2248,lst_exp_items,0))="","❔ Без категории",INDEX(lst_exp_item_cat,MATCH(E2248,lst_exp_items,0))),"❔ Без категории"))</f>
        <v/>
      </c>
      <c r="G2248" s="43" t="n"/>
      <c r="H2248" s="56" t="n"/>
      <c r="I2248" s="43" t="n"/>
      <c r="J2248" s="57">
        <f>IF(OR(A2248="",H2248=""),"",IF(COUNTIFS(exp_year,C2248,exp_month,D2248,exp_item,E2248,exp_status,"&lt;&gt;❌ Отменено")&gt;0,1,0))</f>
        <v/>
      </c>
    </row>
    <row r="2249">
      <c r="A2249" s="52" t="n"/>
      <c r="B2249" s="53">
        <f>IF(A2249="","",CHOOSE(WEEKDAY(A2249,2),"Пн","Вт","Ср","Чт","Пт","Сб","Вс"))</f>
        <v/>
      </c>
      <c r="C2249" s="53">
        <f>IF(A2249="","",YEAR(A2249))</f>
        <v/>
      </c>
      <c r="D2249" s="54">
        <f>IF(A2249="","",INDEX(lst_months,MONTH(A2249)))</f>
        <v/>
      </c>
      <c r="E2249" s="55" t="n"/>
      <c r="F2249" s="54">
        <f>IF(E2249="","",IFERROR(IF(INDEX(lst_exp_item_cat,MATCH(E2249,lst_exp_items,0))="","❔ Без категории",INDEX(lst_exp_item_cat,MATCH(E2249,lst_exp_items,0))),"❔ Без категории"))</f>
        <v/>
      </c>
      <c r="G2249" s="43" t="n"/>
      <c r="H2249" s="56" t="n"/>
      <c r="I2249" s="43" t="n"/>
      <c r="J2249" s="57">
        <f>IF(OR(A2249="",H2249=""),"",IF(COUNTIFS(exp_year,C2249,exp_month,D2249,exp_item,E2249,exp_status,"&lt;&gt;❌ Отменено")&gt;0,1,0))</f>
        <v/>
      </c>
    </row>
    <row r="2250">
      <c r="A2250" s="52" t="n"/>
      <c r="B2250" s="53">
        <f>IF(A2250="","",CHOOSE(WEEKDAY(A2250,2),"Пн","Вт","Ср","Чт","Пт","Сб","Вс"))</f>
        <v/>
      </c>
      <c r="C2250" s="53">
        <f>IF(A2250="","",YEAR(A2250))</f>
        <v/>
      </c>
      <c r="D2250" s="54">
        <f>IF(A2250="","",INDEX(lst_months,MONTH(A2250)))</f>
        <v/>
      </c>
      <c r="E2250" s="55" t="n"/>
      <c r="F2250" s="54">
        <f>IF(E2250="","",IFERROR(IF(INDEX(lst_exp_item_cat,MATCH(E2250,lst_exp_items,0))="","❔ Без категории",INDEX(lst_exp_item_cat,MATCH(E2250,lst_exp_items,0))),"❔ Без категории"))</f>
        <v/>
      </c>
      <c r="G2250" s="43" t="n"/>
      <c r="H2250" s="56" t="n"/>
      <c r="I2250" s="43" t="n"/>
      <c r="J2250" s="57">
        <f>IF(OR(A2250="",H2250=""),"",IF(COUNTIFS(exp_year,C2250,exp_month,D2250,exp_item,E2250,exp_status,"&lt;&gt;❌ Отменено")&gt;0,1,0))</f>
        <v/>
      </c>
    </row>
    <row r="2251">
      <c r="A2251" s="52" t="n"/>
      <c r="B2251" s="53">
        <f>IF(A2251="","",CHOOSE(WEEKDAY(A2251,2),"Пн","Вт","Ср","Чт","Пт","Сб","Вс"))</f>
        <v/>
      </c>
      <c r="C2251" s="53">
        <f>IF(A2251="","",YEAR(A2251))</f>
        <v/>
      </c>
      <c r="D2251" s="54">
        <f>IF(A2251="","",INDEX(lst_months,MONTH(A2251)))</f>
        <v/>
      </c>
      <c r="E2251" s="55" t="n"/>
      <c r="F2251" s="54">
        <f>IF(E2251="","",IFERROR(IF(INDEX(lst_exp_item_cat,MATCH(E2251,lst_exp_items,0))="","❔ Без категории",INDEX(lst_exp_item_cat,MATCH(E2251,lst_exp_items,0))),"❔ Без категории"))</f>
        <v/>
      </c>
      <c r="G2251" s="43" t="n"/>
      <c r="H2251" s="56" t="n"/>
      <c r="I2251" s="43" t="n"/>
      <c r="J2251" s="57">
        <f>IF(OR(A2251="",H2251=""),"",IF(COUNTIFS(exp_year,C2251,exp_month,D2251,exp_item,E2251,exp_status,"&lt;&gt;❌ Отменено")&gt;0,1,0))</f>
        <v/>
      </c>
    </row>
    <row r="2252">
      <c r="A2252" s="52" t="n"/>
      <c r="B2252" s="53">
        <f>IF(A2252="","",CHOOSE(WEEKDAY(A2252,2),"Пн","Вт","Ср","Чт","Пт","Сб","Вс"))</f>
        <v/>
      </c>
      <c r="C2252" s="53">
        <f>IF(A2252="","",YEAR(A2252))</f>
        <v/>
      </c>
      <c r="D2252" s="54">
        <f>IF(A2252="","",INDEX(lst_months,MONTH(A2252)))</f>
        <v/>
      </c>
      <c r="E2252" s="55" t="n"/>
      <c r="F2252" s="54">
        <f>IF(E2252="","",IFERROR(IF(INDEX(lst_exp_item_cat,MATCH(E2252,lst_exp_items,0))="","❔ Без категории",INDEX(lst_exp_item_cat,MATCH(E2252,lst_exp_items,0))),"❔ Без категории"))</f>
        <v/>
      </c>
      <c r="G2252" s="43" t="n"/>
      <c r="H2252" s="56" t="n"/>
      <c r="I2252" s="43" t="n"/>
      <c r="J2252" s="57">
        <f>IF(OR(A2252="",H2252=""),"",IF(COUNTIFS(exp_year,C2252,exp_month,D2252,exp_item,E2252,exp_status,"&lt;&gt;❌ Отменено")&gt;0,1,0))</f>
        <v/>
      </c>
    </row>
    <row r="2253">
      <c r="A2253" s="52" t="n"/>
      <c r="B2253" s="53">
        <f>IF(A2253="","",CHOOSE(WEEKDAY(A2253,2),"Пн","Вт","Ср","Чт","Пт","Сб","Вс"))</f>
        <v/>
      </c>
      <c r="C2253" s="53">
        <f>IF(A2253="","",YEAR(A2253))</f>
        <v/>
      </c>
      <c r="D2253" s="54">
        <f>IF(A2253="","",INDEX(lst_months,MONTH(A2253)))</f>
        <v/>
      </c>
      <c r="E2253" s="55" t="n"/>
      <c r="F2253" s="54">
        <f>IF(E2253="","",IFERROR(IF(INDEX(lst_exp_item_cat,MATCH(E2253,lst_exp_items,0))="","❔ Без категории",INDEX(lst_exp_item_cat,MATCH(E2253,lst_exp_items,0))),"❔ Без категории"))</f>
        <v/>
      </c>
      <c r="G2253" s="43" t="n"/>
      <c r="H2253" s="56" t="n"/>
      <c r="I2253" s="43" t="n"/>
      <c r="J2253" s="57">
        <f>IF(OR(A2253="",H2253=""),"",IF(COUNTIFS(exp_year,C2253,exp_month,D2253,exp_item,E2253,exp_status,"&lt;&gt;❌ Отменено")&gt;0,1,0))</f>
        <v/>
      </c>
    </row>
    <row r="2254">
      <c r="A2254" s="52" t="n"/>
      <c r="B2254" s="53">
        <f>IF(A2254="","",CHOOSE(WEEKDAY(A2254,2),"Пн","Вт","Ср","Чт","Пт","Сб","Вс"))</f>
        <v/>
      </c>
      <c r="C2254" s="53">
        <f>IF(A2254="","",YEAR(A2254))</f>
        <v/>
      </c>
      <c r="D2254" s="54">
        <f>IF(A2254="","",INDEX(lst_months,MONTH(A2254)))</f>
        <v/>
      </c>
      <c r="E2254" s="55" t="n"/>
      <c r="F2254" s="54">
        <f>IF(E2254="","",IFERROR(IF(INDEX(lst_exp_item_cat,MATCH(E2254,lst_exp_items,0))="","❔ Без категории",INDEX(lst_exp_item_cat,MATCH(E2254,lst_exp_items,0))),"❔ Без категории"))</f>
        <v/>
      </c>
      <c r="G2254" s="43" t="n"/>
      <c r="H2254" s="56" t="n"/>
      <c r="I2254" s="43" t="n"/>
      <c r="J2254" s="57">
        <f>IF(OR(A2254="",H2254=""),"",IF(COUNTIFS(exp_year,C2254,exp_month,D2254,exp_item,E2254,exp_status,"&lt;&gt;❌ Отменено")&gt;0,1,0))</f>
        <v/>
      </c>
    </row>
    <row r="2255">
      <c r="A2255" s="52" t="n"/>
      <c r="B2255" s="53">
        <f>IF(A2255="","",CHOOSE(WEEKDAY(A2255,2),"Пн","Вт","Ср","Чт","Пт","Сб","Вс"))</f>
        <v/>
      </c>
      <c r="C2255" s="53">
        <f>IF(A2255="","",YEAR(A2255))</f>
        <v/>
      </c>
      <c r="D2255" s="54">
        <f>IF(A2255="","",INDEX(lst_months,MONTH(A2255)))</f>
        <v/>
      </c>
      <c r="E2255" s="55" t="n"/>
      <c r="F2255" s="54">
        <f>IF(E2255="","",IFERROR(IF(INDEX(lst_exp_item_cat,MATCH(E2255,lst_exp_items,0))="","❔ Без категории",INDEX(lst_exp_item_cat,MATCH(E2255,lst_exp_items,0))),"❔ Без категории"))</f>
        <v/>
      </c>
      <c r="G2255" s="43" t="n"/>
      <c r="H2255" s="56" t="n"/>
      <c r="I2255" s="43" t="n"/>
      <c r="J2255" s="57">
        <f>IF(OR(A2255="",H2255=""),"",IF(COUNTIFS(exp_year,C2255,exp_month,D2255,exp_item,E2255,exp_status,"&lt;&gt;❌ Отменено")&gt;0,1,0))</f>
        <v/>
      </c>
    </row>
    <row r="2256">
      <c r="A2256" s="52" t="n"/>
      <c r="B2256" s="53">
        <f>IF(A2256="","",CHOOSE(WEEKDAY(A2256,2),"Пн","Вт","Ср","Чт","Пт","Сб","Вс"))</f>
        <v/>
      </c>
      <c r="C2256" s="53">
        <f>IF(A2256="","",YEAR(A2256))</f>
        <v/>
      </c>
      <c r="D2256" s="54">
        <f>IF(A2256="","",INDEX(lst_months,MONTH(A2256)))</f>
        <v/>
      </c>
      <c r="E2256" s="55" t="n"/>
      <c r="F2256" s="54">
        <f>IF(E2256="","",IFERROR(IF(INDEX(lst_exp_item_cat,MATCH(E2256,lst_exp_items,0))="","❔ Без категории",INDEX(lst_exp_item_cat,MATCH(E2256,lst_exp_items,0))),"❔ Без категории"))</f>
        <v/>
      </c>
      <c r="G2256" s="43" t="n"/>
      <c r="H2256" s="56" t="n"/>
      <c r="I2256" s="43" t="n"/>
      <c r="J2256" s="57">
        <f>IF(OR(A2256="",H2256=""),"",IF(COUNTIFS(exp_year,C2256,exp_month,D2256,exp_item,E2256,exp_status,"&lt;&gt;❌ Отменено")&gt;0,1,0))</f>
        <v/>
      </c>
    </row>
    <row r="2257">
      <c r="A2257" s="52" t="n"/>
      <c r="B2257" s="53">
        <f>IF(A2257="","",CHOOSE(WEEKDAY(A2257,2),"Пн","Вт","Ср","Чт","Пт","Сб","Вс"))</f>
        <v/>
      </c>
      <c r="C2257" s="53">
        <f>IF(A2257="","",YEAR(A2257))</f>
        <v/>
      </c>
      <c r="D2257" s="54">
        <f>IF(A2257="","",INDEX(lst_months,MONTH(A2257)))</f>
        <v/>
      </c>
      <c r="E2257" s="55" t="n"/>
      <c r="F2257" s="54">
        <f>IF(E2257="","",IFERROR(IF(INDEX(lst_exp_item_cat,MATCH(E2257,lst_exp_items,0))="","❔ Без категории",INDEX(lst_exp_item_cat,MATCH(E2257,lst_exp_items,0))),"❔ Без категории"))</f>
        <v/>
      </c>
      <c r="G2257" s="43" t="n"/>
      <c r="H2257" s="56" t="n"/>
      <c r="I2257" s="43" t="n"/>
      <c r="J2257" s="57">
        <f>IF(OR(A2257="",H2257=""),"",IF(COUNTIFS(exp_year,C2257,exp_month,D2257,exp_item,E2257,exp_status,"&lt;&gt;❌ Отменено")&gt;0,1,0))</f>
        <v/>
      </c>
    </row>
    <row r="2258">
      <c r="A2258" s="52" t="n"/>
      <c r="B2258" s="53">
        <f>IF(A2258="","",CHOOSE(WEEKDAY(A2258,2),"Пн","Вт","Ср","Чт","Пт","Сб","Вс"))</f>
        <v/>
      </c>
      <c r="C2258" s="53">
        <f>IF(A2258="","",YEAR(A2258))</f>
        <v/>
      </c>
      <c r="D2258" s="54">
        <f>IF(A2258="","",INDEX(lst_months,MONTH(A2258)))</f>
        <v/>
      </c>
      <c r="E2258" s="55" t="n"/>
      <c r="F2258" s="54">
        <f>IF(E2258="","",IFERROR(IF(INDEX(lst_exp_item_cat,MATCH(E2258,lst_exp_items,0))="","❔ Без категории",INDEX(lst_exp_item_cat,MATCH(E2258,lst_exp_items,0))),"❔ Без категории"))</f>
        <v/>
      </c>
      <c r="G2258" s="43" t="n"/>
      <c r="H2258" s="56" t="n"/>
      <c r="I2258" s="43" t="n"/>
      <c r="J2258" s="57">
        <f>IF(OR(A2258="",H2258=""),"",IF(COUNTIFS(exp_year,C2258,exp_month,D2258,exp_item,E2258,exp_status,"&lt;&gt;❌ Отменено")&gt;0,1,0))</f>
        <v/>
      </c>
    </row>
    <row r="2259">
      <c r="A2259" s="52" t="n"/>
      <c r="B2259" s="53">
        <f>IF(A2259="","",CHOOSE(WEEKDAY(A2259,2),"Пн","Вт","Ср","Чт","Пт","Сб","Вс"))</f>
        <v/>
      </c>
      <c r="C2259" s="53">
        <f>IF(A2259="","",YEAR(A2259))</f>
        <v/>
      </c>
      <c r="D2259" s="54">
        <f>IF(A2259="","",INDEX(lst_months,MONTH(A2259)))</f>
        <v/>
      </c>
      <c r="E2259" s="55" t="n"/>
      <c r="F2259" s="54">
        <f>IF(E2259="","",IFERROR(IF(INDEX(lst_exp_item_cat,MATCH(E2259,lst_exp_items,0))="","❔ Без категории",INDEX(lst_exp_item_cat,MATCH(E2259,lst_exp_items,0))),"❔ Без категории"))</f>
        <v/>
      </c>
      <c r="G2259" s="43" t="n"/>
      <c r="H2259" s="56" t="n"/>
      <c r="I2259" s="43" t="n"/>
      <c r="J2259" s="57">
        <f>IF(OR(A2259="",H2259=""),"",IF(COUNTIFS(exp_year,C2259,exp_month,D2259,exp_item,E2259,exp_status,"&lt;&gt;❌ Отменено")&gt;0,1,0))</f>
        <v/>
      </c>
    </row>
    <row r="2260">
      <c r="A2260" s="52" t="n"/>
      <c r="B2260" s="53">
        <f>IF(A2260="","",CHOOSE(WEEKDAY(A2260,2),"Пн","Вт","Ср","Чт","Пт","Сб","Вс"))</f>
        <v/>
      </c>
      <c r="C2260" s="53">
        <f>IF(A2260="","",YEAR(A2260))</f>
        <v/>
      </c>
      <c r="D2260" s="54">
        <f>IF(A2260="","",INDEX(lst_months,MONTH(A2260)))</f>
        <v/>
      </c>
      <c r="E2260" s="55" t="n"/>
      <c r="F2260" s="54">
        <f>IF(E2260="","",IFERROR(IF(INDEX(lst_exp_item_cat,MATCH(E2260,lst_exp_items,0))="","❔ Без категории",INDEX(lst_exp_item_cat,MATCH(E2260,lst_exp_items,0))),"❔ Без категории"))</f>
        <v/>
      </c>
      <c r="G2260" s="43" t="n"/>
      <c r="H2260" s="56" t="n"/>
      <c r="I2260" s="43" t="n"/>
      <c r="J2260" s="57">
        <f>IF(OR(A2260="",H2260=""),"",IF(COUNTIFS(exp_year,C2260,exp_month,D2260,exp_item,E2260,exp_status,"&lt;&gt;❌ Отменено")&gt;0,1,0))</f>
        <v/>
      </c>
    </row>
    <row r="2261">
      <c r="A2261" s="52" t="n"/>
      <c r="B2261" s="53">
        <f>IF(A2261="","",CHOOSE(WEEKDAY(A2261,2),"Пн","Вт","Ср","Чт","Пт","Сб","Вс"))</f>
        <v/>
      </c>
      <c r="C2261" s="53">
        <f>IF(A2261="","",YEAR(A2261))</f>
        <v/>
      </c>
      <c r="D2261" s="54">
        <f>IF(A2261="","",INDEX(lst_months,MONTH(A2261)))</f>
        <v/>
      </c>
      <c r="E2261" s="55" t="n"/>
      <c r="F2261" s="54">
        <f>IF(E2261="","",IFERROR(IF(INDEX(lst_exp_item_cat,MATCH(E2261,lst_exp_items,0))="","❔ Без категории",INDEX(lst_exp_item_cat,MATCH(E2261,lst_exp_items,0))),"❔ Без категории"))</f>
        <v/>
      </c>
      <c r="G2261" s="43" t="n"/>
      <c r="H2261" s="56" t="n"/>
      <c r="I2261" s="43" t="n"/>
      <c r="J2261" s="57">
        <f>IF(OR(A2261="",H2261=""),"",IF(COUNTIFS(exp_year,C2261,exp_month,D2261,exp_item,E2261,exp_status,"&lt;&gt;❌ Отменено")&gt;0,1,0))</f>
        <v/>
      </c>
    </row>
    <row r="2262">
      <c r="A2262" s="52" t="n"/>
      <c r="B2262" s="53">
        <f>IF(A2262="","",CHOOSE(WEEKDAY(A2262,2),"Пн","Вт","Ср","Чт","Пт","Сб","Вс"))</f>
        <v/>
      </c>
      <c r="C2262" s="53">
        <f>IF(A2262="","",YEAR(A2262))</f>
        <v/>
      </c>
      <c r="D2262" s="54">
        <f>IF(A2262="","",INDEX(lst_months,MONTH(A2262)))</f>
        <v/>
      </c>
      <c r="E2262" s="55" t="n"/>
      <c r="F2262" s="54">
        <f>IF(E2262="","",IFERROR(IF(INDEX(lst_exp_item_cat,MATCH(E2262,lst_exp_items,0))="","❔ Без категории",INDEX(lst_exp_item_cat,MATCH(E2262,lst_exp_items,0))),"❔ Без категории"))</f>
        <v/>
      </c>
      <c r="G2262" s="43" t="n"/>
      <c r="H2262" s="56" t="n"/>
      <c r="I2262" s="43" t="n"/>
      <c r="J2262" s="57">
        <f>IF(OR(A2262="",H2262=""),"",IF(COUNTIFS(exp_year,C2262,exp_month,D2262,exp_item,E2262,exp_status,"&lt;&gt;❌ Отменено")&gt;0,1,0))</f>
        <v/>
      </c>
    </row>
    <row r="2263">
      <c r="A2263" s="52" t="n"/>
      <c r="B2263" s="53">
        <f>IF(A2263="","",CHOOSE(WEEKDAY(A2263,2),"Пн","Вт","Ср","Чт","Пт","Сб","Вс"))</f>
        <v/>
      </c>
      <c r="C2263" s="53">
        <f>IF(A2263="","",YEAR(A2263))</f>
        <v/>
      </c>
      <c r="D2263" s="54">
        <f>IF(A2263="","",INDEX(lst_months,MONTH(A2263)))</f>
        <v/>
      </c>
      <c r="E2263" s="55" t="n"/>
      <c r="F2263" s="54">
        <f>IF(E2263="","",IFERROR(IF(INDEX(lst_exp_item_cat,MATCH(E2263,lst_exp_items,0))="","❔ Без категории",INDEX(lst_exp_item_cat,MATCH(E2263,lst_exp_items,0))),"❔ Без категории"))</f>
        <v/>
      </c>
      <c r="G2263" s="43" t="n"/>
      <c r="H2263" s="56" t="n"/>
      <c r="I2263" s="43" t="n"/>
      <c r="J2263" s="57">
        <f>IF(OR(A2263="",H2263=""),"",IF(COUNTIFS(exp_year,C2263,exp_month,D2263,exp_item,E2263,exp_status,"&lt;&gt;❌ Отменено")&gt;0,1,0))</f>
        <v/>
      </c>
    </row>
    <row r="2264">
      <c r="A2264" s="52" t="n"/>
      <c r="B2264" s="53">
        <f>IF(A2264="","",CHOOSE(WEEKDAY(A2264,2),"Пн","Вт","Ср","Чт","Пт","Сб","Вс"))</f>
        <v/>
      </c>
      <c r="C2264" s="53">
        <f>IF(A2264="","",YEAR(A2264))</f>
        <v/>
      </c>
      <c r="D2264" s="54">
        <f>IF(A2264="","",INDEX(lst_months,MONTH(A2264)))</f>
        <v/>
      </c>
      <c r="E2264" s="55" t="n"/>
      <c r="F2264" s="54">
        <f>IF(E2264="","",IFERROR(IF(INDEX(lst_exp_item_cat,MATCH(E2264,lst_exp_items,0))="","❔ Без категории",INDEX(lst_exp_item_cat,MATCH(E2264,lst_exp_items,0))),"❔ Без категории"))</f>
        <v/>
      </c>
      <c r="G2264" s="43" t="n"/>
      <c r="H2264" s="56" t="n"/>
      <c r="I2264" s="43" t="n"/>
      <c r="J2264" s="57">
        <f>IF(OR(A2264="",H2264=""),"",IF(COUNTIFS(exp_year,C2264,exp_month,D2264,exp_item,E2264,exp_status,"&lt;&gt;❌ Отменено")&gt;0,1,0))</f>
        <v/>
      </c>
    </row>
    <row r="2265">
      <c r="A2265" s="52" t="n"/>
      <c r="B2265" s="53">
        <f>IF(A2265="","",CHOOSE(WEEKDAY(A2265,2),"Пн","Вт","Ср","Чт","Пт","Сб","Вс"))</f>
        <v/>
      </c>
      <c r="C2265" s="53">
        <f>IF(A2265="","",YEAR(A2265))</f>
        <v/>
      </c>
      <c r="D2265" s="54">
        <f>IF(A2265="","",INDEX(lst_months,MONTH(A2265)))</f>
        <v/>
      </c>
      <c r="E2265" s="55" t="n"/>
      <c r="F2265" s="54">
        <f>IF(E2265="","",IFERROR(IF(INDEX(lst_exp_item_cat,MATCH(E2265,lst_exp_items,0))="","❔ Без категории",INDEX(lst_exp_item_cat,MATCH(E2265,lst_exp_items,0))),"❔ Без категории"))</f>
        <v/>
      </c>
      <c r="G2265" s="43" t="n"/>
      <c r="H2265" s="56" t="n"/>
      <c r="I2265" s="43" t="n"/>
      <c r="J2265" s="57">
        <f>IF(OR(A2265="",H2265=""),"",IF(COUNTIFS(exp_year,C2265,exp_month,D2265,exp_item,E2265,exp_status,"&lt;&gt;❌ Отменено")&gt;0,1,0))</f>
        <v/>
      </c>
    </row>
    <row r="2266">
      <c r="A2266" s="52" t="n"/>
      <c r="B2266" s="53">
        <f>IF(A2266="","",CHOOSE(WEEKDAY(A2266,2),"Пн","Вт","Ср","Чт","Пт","Сб","Вс"))</f>
        <v/>
      </c>
      <c r="C2266" s="53">
        <f>IF(A2266="","",YEAR(A2266))</f>
        <v/>
      </c>
      <c r="D2266" s="54">
        <f>IF(A2266="","",INDEX(lst_months,MONTH(A2266)))</f>
        <v/>
      </c>
      <c r="E2266" s="55" t="n"/>
      <c r="F2266" s="54">
        <f>IF(E2266="","",IFERROR(IF(INDEX(lst_exp_item_cat,MATCH(E2266,lst_exp_items,0))="","❔ Без категории",INDEX(lst_exp_item_cat,MATCH(E2266,lst_exp_items,0))),"❔ Без категории"))</f>
        <v/>
      </c>
      <c r="G2266" s="43" t="n"/>
      <c r="H2266" s="56" t="n"/>
      <c r="I2266" s="43" t="n"/>
      <c r="J2266" s="57">
        <f>IF(OR(A2266="",H2266=""),"",IF(COUNTIFS(exp_year,C2266,exp_month,D2266,exp_item,E2266,exp_status,"&lt;&gt;❌ Отменено")&gt;0,1,0))</f>
        <v/>
      </c>
    </row>
    <row r="2267">
      <c r="A2267" s="52" t="n"/>
      <c r="B2267" s="53">
        <f>IF(A2267="","",CHOOSE(WEEKDAY(A2267,2),"Пн","Вт","Ср","Чт","Пт","Сб","Вс"))</f>
        <v/>
      </c>
      <c r="C2267" s="53">
        <f>IF(A2267="","",YEAR(A2267))</f>
        <v/>
      </c>
      <c r="D2267" s="54">
        <f>IF(A2267="","",INDEX(lst_months,MONTH(A2267)))</f>
        <v/>
      </c>
      <c r="E2267" s="55" t="n"/>
      <c r="F2267" s="54">
        <f>IF(E2267="","",IFERROR(IF(INDEX(lst_exp_item_cat,MATCH(E2267,lst_exp_items,0))="","❔ Без категории",INDEX(lst_exp_item_cat,MATCH(E2267,lst_exp_items,0))),"❔ Без категории"))</f>
        <v/>
      </c>
      <c r="G2267" s="43" t="n"/>
      <c r="H2267" s="56" t="n"/>
      <c r="I2267" s="43" t="n"/>
      <c r="J2267" s="57">
        <f>IF(OR(A2267="",H2267=""),"",IF(COUNTIFS(exp_year,C2267,exp_month,D2267,exp_item,E2267,exp_status,"&lt;&gt;❌ Отменено")&gt;0,1,0))</f>
        <v/>
      </c>
    </row>
    <row r="2268">
      <c r="A2268" s="52" t="n"/>
      <c r="B2268" s="53">
        <f>IF(A2268="","",CHOOSE(WEEKDAY(A2268,2),"Пн","Вт","Ср","Чт","Пт","Сб","Вс"))</f>
        <v/>
      </c>
      <c r="C2268" s="53">
        <f>IF(A2268="","",YEAR(A2268))</f>
        <v/>
      </c>
      <c r="D2268" s="54">
        <f>IF(A2268="","",INDEX(lst_months,MONTH(A2268)))</f>
        <v/>
      </c>
      <c r="E2268" s="55" t="n"/>
      <c r="F2268" s="54">
        <f>IF(E2268="","",IFERROR(IF(INDEX(lst_exp_item_cat,MATCH(E2268,lst_exp_items,0))="","❔ Без категории",INDEX(lst_exp_item_cat,MATCH(E2268,lst_exp_items,0))),"❔ Без категории"))</f>
        <v/>
      </c>
      <c r="G2268" s="43" t="n"/>
      <c r="H2268" s="56" t="n"/>
      <c r="I2268" s="43" t="n"/>
      <c r="J2268" s="57">
        <f>IF(OR(A2268="",H2268=""),"",IF(COUNTIFS(exp_year,C2268,exp_month,D2268,exp_item,E2268,exp_status,"&lt;&gt;❌ Отменено")&gt;0,1,0))</f>
        <v/>
      </c>
    </row>
    <row r="2269">
      <c r="A2269" s="52" t="n"/>
      <c r="B2269" s="53">
        <f>IF(A2269="","",CHOOSE(WEEKDAY(A2269,2),"Пн","Вт","Ср","Чт","Пт","Сб","Вс"))</f>
        <v/>
      </c>
      <c r="C2269" s="53">
        <f>IF(A2269="","",YEAR(A2269))</f>
        <v/>
      </c>
      <c r="D2269" s="54">
        <f>IF(A2269="","",INDEX(lst_months,MONTH(A2269)))</f>
        <v/>
      </c>
      <c r="E2269" s="55" t="n"/>
      <c r="F2269" s="54">
        <f>IF(E2269="","",IFERROR(IF(INDEX(lst_exp_item_cat,MATCH(E2269,lst_exp_items,0))="","❔ Без категории",INDEX(lst_exp_item_cat,MATCH(E2269,lst_exp_items,0))),"❔ Без категории"))</f>
        <v/>
      </c>
      <c r="G2269" s="43" t="n"/>
      <c r="H2269" s="56" t="n"/>
      <c r="I2269" s="43" t="n"/>
      <c r="J2269" s="57">
        <f>IF(OR(A2269="",H2269=""),"",IF(COUNTIFS(exp_year,C2269,exp_month,D2269,exp_item,E2269,exp_status,"&lt;&gt;❌ Отменено")&gt;0,1,0))</f>
        <v/>
      </c>
    </row>
    <row r="2270">
      <c r="A2270" s="52" t="n"/>
      <c r="B2270" s="53">
        <f>IF(A2270="","",CHOOSE(WEEKDAY(A2270,2),"Пн","Вт","Ср","Чт","Пт","Сб","Вс"))</f>
        <v/>
      </c>
      <c r="C2270" s="53">
        <f>IF(A2270="","",YEAR(A2270))</f>
        <v/>
      </c>
      <c r="D2270" s="54">
        <f>IF(A2270="","",INDEX(lst_months,MONTH(A2270)))</f>
        <v/>
      </c>
      <c r="E2270" s="55" t="n"/>
      <c r="F2270" s="54">
        <f>IF(E2270="","",IFERROR(IF(INDEX(lst_exp_item_cat,MATCH(E2270,lst_exp_items,0))="","❔ Без категории",INDEX(lst_exp_item_cat,MATCH(E2270,lst_exp_items,0))),"❔ Без категории"))</f>
        <v/>
      </c>
      <c r="G2270" s="43" t="n"/>
      <c r="H2270" s="56" t="n"/>
      <c r="I2270" s="43" t="n"/>
      <c r="J2270" s="57">
        <f>IF(OR(A2270="",H2270=""),"",IF(COUNTIFS(exp_year,C2270,exp_month,D2270,exp_item,E2270,exp_status,"&lt;&gt;❌ Отменено")&gt;0,1,0))</f>
        <v/>
      </c>
    </row>
    <row r="2271">
      <c r="A2271" s="52" t="n"/>
      <c r="B2271" s="53">
        <f>IF(A2271="","",CHOOSE(WEEKDAY(A2271,2),"Пн","Вт","Ср","Чт","Пт","Сб","Вс"))</f>
        <v/>
      </c>
      <c r="C2271" s="53">
        <f>IF(A2271="","",YEAR(A2271))</f>
        <v/>
      </c>
      <c r="D2271" s="54">
        <f>IF(A2271="","",INDEX(lst_months,MONTH(A2271)))</f>
        <v/>
      </c>
      <c r="E2271" s="55" t="n"/>
      <c r="F2271" s="54">
        <f>IF(E2271="","",IFERROR(IF(INDEX(lst_exp_item_cat,MATCH(E2271,lst_exp_items,0))="","❔ Без категории",INDEX(lst_exp_item_cat,MATCH(E2271,lst_exp_items,0))),"❔ Без категории"))</f>
        <v/>
      </c>
      <c r="G2271" s="43" t="n"/>
      <c r="H2271" s="56" t="n"/>
      <c r="I2271" s="43" t="n"/>
      <c r="J2271" s="57">
        <f>IF(OR(A2271="",H2271=""),"",IF(COUNTIFS(exp_year,C2271,exp_month,D2271,exp_item,E2271,exp_status,"&lt;&gt;❌ Отменено")&gt;0,1,0))</f>
        <v/>
      </c>
    </row>
    <row r="2272">
      <c r="A2272" s="52" t="n"/>
      <c r="B2272" s="53">
        <f>IF(A2272="","",CHOOSE(WEEKDAY(A2272,2),"Пн","Вт","Ср","Чт","Пт","Сб","Вс"))</f>
        <v/>
      </c>
      <c r="C2272" s="53">
        <f>IF(A2272="","",YEAR(A2272))</f>
        <v/>
      </c>
      <c r="D2272" s="54">
        <f>IF(A2272="","",INDEX(lst_months,MONTH(A2272)))</f>
        <v/>
      </c>
      <c r="E2272" s="55" t="n"/>
      <c r="F2272" s="54">
        <f>IF(E2272="","",IFERROR(IF(INDEX(lst_exp_item_cat,MATCH(E2272,lst_exp_items,0))="","❔ Без категории",INDEX(lst_exp_item_cat,MATCH(E2272,lst_exp_items,0))),"❔ Без категории"))</f>
        <v/>
      </c>
      <c r="G2272" s="43" t="n"/>
      <c r="H2272" s="56" t="n"/>
      <c r="I2272" s="43" t="n"/>
      <c r="J2272" s="57">
        <f>IF(OR(A2272="",H2272=""),"",IF(COUNTIFS(exp_year,C2272,exp_month,D2272,exp_item,E2272,exp_status,"&lt;&gt;❌ Отменено")&gt;0,1,0))</f>
        <v/>
      </c>
    </row>
    <row r="2273">
      <c r="A2273" s="52" t="n"/>
      <c r="B2273" s="53">
        <f>IF(A2273="","",CHOOSE(WEEKDAY(A2273,2),"Пн","Вт","Ср","Чт","Пт","Сб","Вс"))</f>
        <v/>
      </c>
      <c r="C2273" s="53">
        <f>IF(A2273="","",YEAR(A2273))</f>
        <v/>
      </c>
      <c r="D2273" s="54">
        <f>IF(A2273="","",INDEX(lst_months,MONTH(A2273)))</f>
        <v/>
      </c>
      <c r="E2273" s="55" t="n"/>
      <c r="F2273" s="54">
        <f>IF(E2273="","",IFERROR(IF(INDEX(lst_exp_item_cat,MATCH(E2273,lst_exp_items,0))="","❔ Без категории",INDEX(lst_exp_item_cat,MATCH(E2273,lst_exp_items,0))),"❔ Без категории"))</f>
        <v/>
      </c>
      <c r="G2273" s="43" t="n"/>
      <c r="H2273" s="56" t="n"/>
      <c r="I2273" s="43" t="n"/>
      <c r="J2273" s="57">
        <f>IF(OR(A2273="",H2273=""),"",IF(COUNTIFS(exp_year,C2273,exp_month,D2273,exp_item,E2273,exp_status,"&lt;&gt;❌ Отменено")&gt;0,1,0))</f>
        <v/>
      </c>
    </row>
    <row r="2274">
      <c r="A2274" s="52" t="n"/>
      <c r="B2274" s="53">
        <f>IF(A2274="","",CHOOSE(WEEKDAY(A2274,2),"Пн","Вт","Ср","Чт","Пт","Сб","Вс"))</f>
        <v/>
      </c>
      <c r="C2274" s="53">
        <f>IF(A2274="","",YEAR(A2274))</f>
        <v/>
      </c>
      <c r="D2274" s="54">
        <f>IF(A2274="","",INDEX(lst_months,MONTH(A2274)))</f>
        <v/>
      </c>
      <c r="E2274" s="55" t="n"/>
      <c r="F2274" s="54">
        <f>IF(E2274="","",IFERROR(IF(INDEX(lst_exp_item_cat,MATCH(E2274,lst_exp_items,0))="","❔ Без категории",INDEX(lst_exp_item_cat,MATCH(E2274,lst_exp_items,0))),"❔ Без категории"))</f>
        <v/>
      </c>
      <c r="G2274" s="43" t="n"/>
      <c r="H2274" s="56" t="n"/>
      <c r="I2274" s="43" t="n"/>
      <c r="J2274" s="57">
        <f>IF(OR(A2274="",H2274=""),"",IF(COUNTIFS(exp_year,C2274,exp_month,D2274,exp_item,E2274,exp_status,"&lt;&gt;❌ Отменено")&gt;0,1,0))</f>
        <v/>
      </c>
    </row>
    <row r="2275">
      <c r="A2275" s="52" t="n"/>
      <c r="B2275" s="53">
        <f>IF(A2275="","",CHOOSE(WEEKDAY(A2275,2),"Пн","Вт","Ср","Чт","Пт","Сб","Вс"))</f>
        <v/>
      </c>
      <c r="C2275" s="53">
        <f>IF(A2275="","",YEAR(A2275))</f>
        <v/>
      </c>
      <c r="D2275" s="54">
        <f>IF(A2275="","",INDEX(lst_months,MONTH(A2275)))</f>
        <v/>
      </c>
      <c r="E2275" s="55" t="n"/>
      <c r="F2275" s="54">
        <f>IF(E2275="","",IFERROR(IF(INDEX(lst_exp_item_cat,MATCH(E2275,lst_exp_items,0))="","❔ Без категории",INDEX(lst_exp_item_cat,MATCH(E2275,lst_exp_items,0))),"❔ Без категории"))</f>
        <v/>
      </c>
      <c r="G2275" s="43" t="n"/>
      <c r="H2275" s="56" t="n"/>
      <c r="I2275" s="43" t="n"/>
      <c r="J2275" s="57">
        <f>IF(OR(A2275="",H2275=""),"",IF(COUNTIFS(exp_year,C2275,exp_month,D2275,exp_item,E2275,exp_status,"&lt;&gt;❌ Отменено")&gt;0,1,0))</f>
        <v/>
      </c>
    </row>
    <row r="2276">
      <c r="A2276" s="52" t="n"/>
      <c r="B2276" s="53">
        <f>IF(A2276="","",CHOOSE(WEEKDAY(A2276,2),"Пн","Вт","Ср","Чт","Пт","Сб","Вс"))</f>
        <v/>
      </c>
      <c r="C2276" s="53">
        <f>IF(A2276="","",YEAR(A2276))</f>
        <v/>
      </c>
      <c r="D2276" s="54">
        <f>IF(A2276="","",INDEX(lst_months,MONTH(A2276)))</f>
        <v/>
      </c>
      <c r="E2276" s="55" t="n"/>
      <c r="F2276" s="54">
        <f>IF(E2276="","",IFERROR(IF(INDEX(lst_exp_item_cat,MATCH(E2276,lst_exp_items,0))="","❔ Без категории",INDEX(lst_exp_item_cat,MATCH(E2276,lst_exp_items,0))),"❔ Без категории"))</f>
        <v/>
      </c>
      <c r="G2276" s="43" t="n"/>
      <c r="H2276" s="56" t="n"/>
      <c r="I2276" s="43" t="n"/>
      <c r="J2276" s="57">
        <f>IF(OR(A2276="",H2276=""),"",IF(COUNTIFS(exp_year,C2276,exp_month,D2276,exp_item,E2276,exp_status,"&lt;&gt;❌ Отменено")&gt;0,1,0))</f>
        <v/>
      </c>
    </row>
    <row r="2277">
      <c r="A2277" s="52" t="n"/>
      <c r="B2277" s="53">
        <f>IF(A2277="","",CHOOSE(WEEKDAY(A2277,2),"Пн","Вт","Ср","Чт","Пт","Сб","Вс"))</f>
        <v/>
      </c>
      <c r="C2277" s="53">
        <f>IF(A2277="","",YEAR(A2277))</f>
        <v/>
      </c>
      <c r="D2277" s="54">
        <f>IF(A2277="","",INDEX(lst_months,MONTH(A2277)))</f>
        <v/>
      </c>
      <c r="E2277" s="55" t="n"/>
      <c r="F2277" s="54">
        <f>IF(E2277="","",IFERROR(IF(INDEX(lst_exp_item_cat,MATCH(E2277,lst_exp_items,0))="","❔ Без категории",INDEX(lst_exp_item_cat,MATCH(E2277,lst_exp_items,0))),"❔ Без категории"))</f>
        <v/>
      </c>
      <c r="G2277" s="43" t="n"/>
      <c r="H2277" s="56" t="n"/>
      <c r="I2277" s="43" t="n"/>
      <c r="J2277" s="57">
        <f>IF(OR(A2277="",H2277=""),"",IF(COUNTIFS(exp_year,C2277,exp_month,D2277,exp_item,E2277,exp_status,"&lt;&gt;❌ Отменено")&gt;0,1,0))</f>
        <v/>
      </c>
    </row>
    <row r="2278">
      <c r="A2278" s="52" t="n"/>
      <c r="B2278" s="53">
        <f>IF(A2278="","",CHOOSE(WEEKDAY(A2278,2),"Пн","Вт","Ср","Чт","Пт","Сб","Вс"))</f>
        <v/>
      </c>
      <c r="C2278" s="53">
        <f>IF(A2278="","",YEAR(A2278))</f>
        <v/>
      </c>
      <c r="D2278" s="54">
        <f>IF(A2278="","",INDEX(lst_months,MONTH(A2278)))</f>
        <v/>
      </c>
      <c r="E2278" s="55" t="n"/>
      <c r="F2278" s="54">
        <f>IF(E2278="","",IFERROR(IF(INDEX(lst_exp_item_cat,MATCH(E2278,lst_exp_items,0))="","❔ Без категории",INDEX(lst_exp_item_cat,MATCH(E2278,lst_exp_items,0))),"❔ Без категории"))</f>
        <v/>
      </c>
      <c r="G2278" s="43" t="n"/>
      <c r="H2278" s="56" t="n"/>
      <c r="I2278" s="43" t="n"/>
      <c r="J2278" s="57">
        <f>IF(OR(A2278="",H2278=""),"",IF(COUNTIFS(exp_year,C2278,exp_month,D2278,exp_item,E2278,exp_status,"&lt;&gt;❌ Отменено")&gt;0,1,0))</f>
        <v/>
      </c>
    </row>
    <row r="2279">
      <c r="A2279" s="52" t="n"/>
      <c r="B2279" s="53">
        <f>IF(A2279="","",CHOOSE(WEEKDAY(A2279,2),"Пн","Вт","Ср","Чт","Пт","Сб","Вс"))</f>
        <v/>
      </c>
      <c r="C2279" s="53">
        <f>IF(A2279="","",YEAR(A2279))</f>
        <v/>
      </c>
      <c r="D2279" s="54">
        <f>IF(A2279="","",INDEX(lst_months,MONTH(A2279)))</f>
        <v/>
      </c>
      <c r="E2279" s="55" t="n"/>
      <c r="F2279" s="54">
        <f>IF(E2279="","",IFERROR(IF(INDEX(lst_exp_item_cat,MATCH(E2279,lst_exp_items,0))="","❔ Без категории",INDEX(lst_exp_item_cat,MATCH(E2279,lst_exp_items,0))),"❔ Без категории"))</f>
        <v/>
      </c>
      <c r="G2279" s="43" t="n"/>
      <c r="H2279" s="56" t="n"/>
      <c r="I2279" s="43" t="n"/>
      <c r="J2279" s="57">
        <f>IF(OR(A2279="",H2279=""),"",IF(COUNTIFS(exp_year,C2279,exp_month,D2279,exp_item,E2279,exp_status,"&lt;&gt;❌ Отменено")&gt;0,1,0))</f>
        <v/>
      </c>
    </row>
    <row r="2280">
      <c r="A2280" s="52" t="n"/>
      <c r="B2280" s="53">
        <f>IF(A2280="","",CHOOSE(WEEKDAY(A2280,2),"Пн","Вт","Ср","Чт","Пт","Сб","Вс"))</f>
        <v/>
      </c>
      <c r="C2280" s="53">
        <f>IF(A2280="","",YEAR(A2280))</f>
        <v/>
      </c>
      <c r="D2280" s="54">
        <f>IF(A2280="","",INDEX(lst_months,MONTH(A2280)))</f>
        <v/>
      </c>
      <c r="E2280" s="55" t="n"/>
      <c r="F2280" s="54">
        <f>IF(E2280="","",IFERROR(IF(INDEX(lst_exp_item_cat,MATCH(E2280,lst_exp_items,0))="","❔ Без категории",INDEX(lst_exp_item_cat,MATCH(E2280,lst_exp_items,0))),"❔ Без категории"))</f>
        <v/>
      </c>
      <c r="G2280" s="43" t="n"/>
      <c r="H2280" s="56" t="n"/>
      <c r="I2280" s="43" t="n"/>
      <c r="J2280" s="57">
        <f>IF(OR(A2280="",H2280=""),"",IF(COUNTIFS(exp_year,C2280,exp_month,D2280,exp_item,E2280,exp_status,"&lt;&gt;❌ Отменено")&gt;0,1,0))</f>
        <v/>
      </c>
    </row>
    <row r="2281">
      <c r="A2281" s="52" t="n"/>
      <c r="B2281" s="53">
        <f>IF(A2281="","",CHOOSE(WEEKDAY(A2281,2),"Пн","Вт","Ср","Чт","Пт","Сб","Вс"))</f>
        <v/>
      </c>
      <c r="C2281" s="53">
        <f>IF(A2281="","",YEAR(A2281))</f>
        <v/>
      </c>
      <c r="D2281" s="54">
        <f>IF(A2281="","",INDEX(lst_months,MONTH(A2281)))</f>
        <v/>
      </c>
      <c r="E2281" s="55" t="n"/>
      <c r="F2281" s="54">
        <f>IF(E2281="","",IFERROR(IF(INDEX(lst_exp_item_cat,MATCH(E2281,lst_exp_items,0))="","❔ Без категории",INDEX(lst_exp_item_cat,MATCH(E2281,lst_exp_items,0))),"❔ Без категории"))</f>
        <v/>
      </c>
      <c r="G2281" s="43" t="n"/>
      <c r="H2281" s="56" t="n"/>
      <c r="I2281" s="43" t="n"/>
      <c r="J2281" s="57">
        <f>IF(OR(A2281="",H2281=""),"",IF(COUNTIFS(exp_year,C2281,exp_month,D2281,exp_item,E2281,exp_status,"&lt;&gt;❌ Отменено")&gt;0,1,0))</f>
        <v/>
      </c>
    </row>
    <row r="2282">
      <c r="A2282" s="52" t="n"/>
      <c r="B2282" s="53">
        <f>IF(A2282="","",CHOOSE(WEEKDAY(A2282,2),"Пн","Вт","Ср","Чт","Пт","Сб","Вс"))</f>
        <v/>
      </c>
      <c r="C2282" s="53">
        <f>IF(A2282="","",YEAR(A2282))</f>
        <v/>
      </c>
      <c r="D2282" s="54">
        <f>IF(A2282="","",INDEX(lst_months,MONTH(A2282)))</f>
        <v/>
      </c>
      <c r="E2282" s="55" t="n"/>
      <c r="F2282" s="54">
        <f>IF(E2282="","",IFERROR(IF(INDEX(lst_exp_item_cat,MATCH(E2282,lst_exp_items,0))="","❔ Без категории",INDEX(lst_exp_item_cat,MATCH(E2282,lst_exp_items,0))),"❔ Без категории"))</f>
        <v/>
      </c>
      <c r="G2282" s="43" t="n"/>
      <c r="H2282" s="56" t="n"/>
      <c r="I2282" s="43" t="n"/>
      <c r="J2282" s="57">
        <f>IF(OR(A2282="",H2282=""),"",IF(COUNTIFS(exp_year,C2282,exp_month,D2282,exp_item,E2282,exp_status,"&lt;&gt;❌ Отменено")&gt;0,1,0))</f>
        <v/>
      </c>
    </row>
    <row r="2283">
      <c r="A2283" s="52" t="n"/>
      <c r="B2283" s="53">
        <f>IF(A2283="","",CHOOSE(WEEKDAY(A2283,2),"Пн","Вт","Ср","Чт","Пт","Сб","Вс"))</f>
        <v/>
      </c>
      <c r="C2283" s="53">
        <f>IF(A2283="","",YEAR(A2283))</f>
        <v/>
      </c>
      <c r="D2283" s="54">
        <f>IF(A2283="","",INDEX(lst_months,MONTH(A2283)))</f>
        <v/>
      </c>
      <c r="E2283" s="55" t="n"/>
      <c r="F2283" s="54">
        <f>IF(E2283="","",IFERROR(IF(INDEX(lst_exp_item_cat,MATCH(E2283,lst_exp_items,0))="","❔ Без категории",INDEX(lst_exp_item_cat,MATCH(E2283,lst_exp_items,0))),"❔ Без категории"))</f>
        <v/>
      </c>
      <c r="G2283" s="43" t="n"/>
      <c r="H2283" s="56" t="n"/>
      <c r="I2283" s="43" t="n"/>
      <c r="J2283" s="57">
        <f>IF(OR(A2283="",H2283=""),"",IF(COUNTIFS(exp_year,C2283,exp_month,D2283,exp_item,E2283,exp_status,"&lt;&gt;❌ Отменено")&gt;0,1,0))</f>
        <v/>
      </c>
    </row>
    <row r="2284">
      <c r="A2284" s="52" t="n"/>
      <c r="B2284" s="53">
        <f>IF(A2284="","",CHOOSE(WEEKDAY(A2284,2),"Пн","Вт","Ср","Чт","Пт","Сб","Вс"))</f>
        <v/>
      </c>
      <c r="C2284" s="53">
        <f>IF(A2284="","",YEAR(A2284))</f>
        <v/>
      </c>
      <c r="D2284" s="54">
        <f>IF(A2284="","",INDEX(lst_months,MONTH(A2284)))</f>
        <v/>
      </c>
      <c r="E2284" s="55" t="n"/>
      <c r="F2284" s="54">
        <f>IF(E2284="","",IFERROR(IF(INDEX(lst_exp_item_cat,MATCH(E2284,lst_exp_items,0))="","❔ Без категории",INDEX(lst_exp_item_cat,MATCH(E2284,lst_exp_items,0))),"❔ Без категории"))</f>
        <v/>
      </c>
      <c r="G2284" s="43" t="n"/>
      <c r="H2284" s="56" t="n"/>
      <c r="I2284" s="43" t="n"/>
      <c r="J2284" s="57">
        <f>IF(OR(A2284="",H2284=""),"",IF(COUNTIFS(exp_year,C2284,exp_month,D2284,exp_item,E2284,exp_status,"&lt;&gt;❌ Отменено")&gt;0,1,0))</f>
        <v/>
      </c>
    </row>
    <row r="2285">
      <c r="A2285" s="52" t="n"/>
      <c r="B2285" s="53">
        <f>IF(A2285="","",CHOOSE(WEEKDAY(A2285,2),"Пн","Вт","Ср","Чт","Пт","Сб","Вс"))</f>
        <v/>
      </c>
      <c r="C2285" s="53">
        <f>IF(A2285="","",YEAR(A2285))</f>
        <v/>
      </c>
      <c r="D2285" s="54">
        <f>IF(A2285="","",INDEX(lst_months,MONTH(A2285)))</f>
        <v/>
      </c>
      <c r="E2285" s="55" t="n"/>
      <c r="F2285" s="54">
        <f>IF(E2285="","",IFERROR(IF(INDEX(lst_exp_item_cat,MATCH(E2285,lst_exp_items,0))="","❔ Без категории",INDEX(lst_exp_item_cat,MATCH(E2285,lst_exp_items,0))),"❔ Без категории"))</f>
        <v/>
      </c>
      <c r="G2285" s="43" t="n"/>
      <c r="H2285" s="56" t="n"/>
      <c r="I2285" s="43" t="n"/>
      <c r="J2285" s="57">
        <f>IF(OR(A2285="",H2285=""),"",IF(COUNTIFS(exp_year,C2285,exp_month,D2285,exp_item,E2285,exp_status,"&lt;&gt;❌ Отменено")&gt;0,1,0))</f>
        <v/>
      </c>
    </row>
    <row r="2286">
      <c r="A2286" s="52" t="n"/>
      <c r="B2286" s="53">
        <f>IF(A2286="","",CHOOSE(WEEKDAY(A2286,2),"Пн","Вт","Ср","Чт","Пт","Сб","Вс"))</f>
        <v/>
      </c>
      <c r="C2286" s="53">
        <f>IF(A2286="","",YEAR(A2286))</f>
        <v/>
      </c>
      <c r="D2286" s="54">
        <f>IF(A2286="","",INDEX(lst_months,MONTH(A2286)))</f>
        <v/>
      </c>
      <c r="E2286" s="55" t="n"/>
      <c r="F2286" s="54">
        <f>IF(E2286="","",IFERROR(IF(INDEX(lst_exp_item_cat,MATCH(E2286,lst_exp_items,0))="","❔ Без категории",INDEX(lst_exp_item_cat,MATCH(E2286,lst_exp_items,0))),"❔ Без категории"))</f>
        <v/>
      </c>
      <c r="G2286" s="43" t="n"/>
      <c r="H2286" s="56" t="n"/>
      <c r="I2286" s="43" t="n"/>
      <c r="J2286" s="57">
        <f>IF(OR(A2286="",H2286=""),"",IF(COUNTIFS(exp_year,C2286,exp_month,D2286,exp_item,E2286,exp_status,"&lt;&gt;❌ Отменено")&gt;0,1,0))</f>
        <v/>
      </c>
    </row>
    <row r="2287">
      <c r="A2287" s="52" t="n"/>
      <c r="B2287" s="53">
        <f>IF(A2287="","",CHOOSE(WEEKDAY(A2287,2),"Пн","Вт","Ср","Чт","Пт","Сб","Вс"))</f>
        <v/>
      </c>
      <c r="C2287" s="53">
        <f>IF(A2287="","",YEAR(A2287))</f>
        <v/>
      </c>
      <c r="D2287" s="54">
        <f>IF(A2287="","",INDEX(lst_months,MONTH(A2287)))</f>
        <v/>
      </c>
      <c r="E2287" s="55" t="n"/>
      <c r="F2287" s="54">
        <f>IF(E2287="","",IFERROR(IF(INDEX(lst_exp_item_cat,MATCH(E2287,lst_exp_items,0))="","❔ Без категории",INDEX(lst_exp_item_cat,MATCH(E2287,lst_exp_items,0))),"❔ Без категории"))</f>
        <v/>
      </c>
      <c r="G2287" s="43" t="n"/>
      <c r="H2287" s="56" t="n"/>
      <c r="I2287" s="43" t="n"/>
      <c r="J2287" s="57">
        <f>IF(OR(A2287="",H2287=""),"",IF(COUNTIFS(exp_year,C2287,exp_month,D2287,exp_item,E2287,exp_status,"&lt;&gt;❌ Отменено")&gt;0,1,0))</f>
        <v/>
      </c>
    </row>
    <row r="2288">
      <c r="A2288" s="52" t="n"/>
      <c r="B2288" s="53">
        <f>IF(A2288="","",CHOOSE(WEEKDAY(A2288,2),"Пн","Вт","Ср","Чт","Пт","Сб","Вс"))</f>
        <v/>
      </c>
      <c r="C2288" s="53">
        <f>IF(A2288="","",YEAR(A2288))</f>
        <v/>
      </c>
      <c r="D2288" s="54">
        <f>IF(A2288="","",INDEX(lst_months,MONTH(A2288)))</f>
        <v/>
      </c>
      <c r="E2288" s="55" t="n"/>
      <c r="F2288" s="54">
        <f>IF(E2288="","",IFERROR(IF(INDEX(lst_exp_item_cat,MATCH(E2288,lst_exp_items,0))="","❔ Без категории",INDEX(lst_exp_item_cat,MATCH(E2288,lst_exp_items,0))),"❔ Без категории"))</f>
        <v/>
      </c>
      <c r="G2288" s="43" t="n"/>
      <c r="H2288" s="56" t="n"/>
      <c r="I2288" s="43" t="n"/>
      <c r="J2288" s="57">
        <f>IF(OR(A2288="",H2288=""),"",IF(COUNTIFS(exp_year,C2288,exp_month,D2288,exp_item,E2288,exp_status,"&lt;&gt;❌ Отменено")&gt;0,1,0))</f>
        <v/>
      </c>
    </row>
    <row r="2289">
      <c r="A2289" s="52" t="n"/>
      <c r="B2289" s="53">
        <f>IF(A2289="","",CHOOSE(WEEKDAY(A2289,2),"Пн","Вт","Ср","Чт","Пт","Сб","Вс"))</f>
        <v/>
      </c>
      <c r="C2289" s="53">
        <f>IF(A2289="","",YEAR(A2289))</f>
        <v/>
      </c>
      <c r="D2289" s="54">
        <f>IF(A2289="","",INDEX(lst_months,MONTH(A2289)))</f>
        <v/>
      </c>
      <c r="E2289" s="55" t="n"/>
      <c r="F2289" s="54">
        <f>IF(E2289="","",IFERROR(IF(INDEX(lst_exp_item_cat,MATCH(E2289,lst_exp_items,0))="","❔ Без категории",INDEX(lst_exp_item_cat,MATCH(E2289,lst_exp_items,0))),"❔ Без категории"))</f>
        <v/>
      </c>
      <c r="G2289" s="43" t="n"/>
      <c r="H2289" s="56" t="n"/>
      <c r="I2289" s="43" t="n"/>
      <c r="J2289" s="57">
        <f>IF(OR(A2289="",H2289=""),"",IF(COUNTIFS(exp_year,C2289,exp_month,D2289,exp_item,E2289,exp_status,"&lt;&gt;❌ Отменено")&gt;0,1,0))</f>
        <v/>
      </c>
    </row>
    <row r="2290">
      <c r="A2290" s="52" t="n"/>
      <c r="B2290" s="53">
        <f>IF(A2290="","",CHOOSE(WEEKDAY(A2290,2),"Пн","Вт","Ср","Чт","Пт","Сб","Вс"))</f>
        <v/>
      </c>
      <c r="C2290" s="53">
        <f>IF(A2290="","",YEAR(A2290))</f>
        <v/>
      </c>
      <c r="D2290" s="54">
        <f>IF(A2290="","",INDEX(lst_months,MONTH(A2290)))</f>
        <v/>
      </c>
      <c r="E2290" s="55" t="n"/>
      <c r="F2290" s="54">
        <f>IF(E2290="","",IFERROR(IF(INDEX(lst_exp_item_cat,MATCH(E2290,lst_exp_items,0))="","❔ Без категории",INDEX(lst_exp_item_cat,MATCH(E2290,lst_exp_items,0))),"❔ Без категории"))</f>
        <v/>
      </c>
      <c r="G2290" s="43" t="n"/>
      <c r="H2290" s="56" t="n"/>
      <c r="I2290" s="43" t="n"/>
      <c r="J2290" s="57">
        <f>IF(OR(A2290="",H2290=""),"",IF(COUNTIFS(exp_year,C2290,exp_month,D2290,exp_item,E2290,exp_status,"&lt;&gt;❌ Отменено")&gt;0,1,0))</f>
        <v/>
      </c>
    </row>
    <row r="2291">
      <c r="A2291" s="52" t="n"/>
      <c r="B2291" s="53">
        <f>IF(A2291="","",CHOOSE(WEEKDAY(A2291,2),"Пн","Вт","Ср","Чт","Пт","Сб","Вс"))</f>
        <v/>
      </c>
      <c r="C2291" s="53">
        <f>IF(A2291="","",YEAR(A2291))</f>
        <v/>
      </c>
      <c r="D2291" s="54">
        <f>IF(A2291="","",INDEX(lst_months,MONTH(A2291)))</f>
        <v/>
      </c>
      <c r="E2291" s="55" t="n"/>
      <c r="F2291" s="54">
        <f>IF(E2291="","",IFERROR(IF(INDEX(lst_exp_item_cat,MATCH(E2291,lst_exp_items,0))="","❔ Без категории",INDEX(lst_exp_item_cat,MATCH(E2291,lst_exp_items,0))),"❔ Без категории"))</f>
        <v/>
      </c>
      <c r="G2291" s="43" t="n"/>
      <c r="H2291" s="56" t="n"/>
      <c r="I2291" s="43" t="n"/>
      <c r="J2291" s="57">
        <f>IF(OR(A2291="",H2291=""),"",IF(COUNTIFS(exp_year,C2291,exp_month,D2291,exp_item,E2291,exp_status,"&lt;&gt;❌ Отменено")&gt;0,1,0))</f>
        <v/>
      </c>
    </row>
    <row r="2292">
      <c r="A2292" s="52" t="n"/>
      <c r="B2292" s="53">
        <f>IF(A2292="","",CHOOSE(WEEKDAY(A2292,2),"Пн","Вт","Ср","Чт","Пт","Сб","Вс"))</f>
        <v/>
      </c>
      <c r="C2292" s="53">
        <f>IF(A2292="","",YEAR(A2292))</f>
        <v/>
      </c>
      <c r="D2292" s="54">
        <f>IF(A2292="","",INDEX(lst_months,MONTH(A2292)))</f>
        <v/>
      </c>
      <c r="E2292" s="55" t="n"/>
      <c r="F2292" s="54">
        <f>IF(E2292="","",IFERROR(IF(INDEX(lst_exp_item_cat,MATCH(E2292,lst_exp_items,0))="","❔ Без категории",INDEX(lst_exp_item_cat,MATCH(E2292,lst_exp_items,0))),"❔ Без категории"))</f>
        <v/>
      </c>
      <c r="G2292" s="43" t="n"/>
      <c r="H2292" s="56" t="n"/>
      <c r="I2292" s="43" t="n"/>
      <c r="J2292" s="57">
        <f>IF(OR(A2292="",H2292=""),"",IF(COUNTIFS(exp_year,C2292,exp_month,D2292,exp_item,E2292,exp_status,"&lt;&gt;❌ Отменено")&gt;0,1,0))</f>
        <v/>
      </c>
    </row>
    <row r="2293">
      <c r="A2293" s="52" t="n"/>
      <c r="B2293" s="53">
        <f>IF(A2293="","",CHOOSE(WEEKDAY(A2293,2),"Пн","Вт","Ср","Чт","Пт","Сб","Вс"))</f>
        <v/>
      </c>
      <c r="C2293" s="53">
        <f>IF(A2293="","",YEAR(A2293))</f>
        <v/>
      </c>
      <c r="D2293" s="54">
        <f>IF(A2293="","",INDEX(lst_months,MONTH(A2293)))</f>
        <v/>
      </c>
      <c r="E2293" s="55" t="n"/>
      <c r="F2293" s="54">
        <f>IF(E2293="","",IFERROR(IF(INDEX(lst_exp_item_cat,MATCH(E2293,lst_exp_items,0))="","❔ Без категории",INDEX(lst_exp_item_cat,MATCH(E2293,lst_exp_items,0))),"❔ Без категории"))</f>
        <v/>
      </c>
      <c r="G2293" s="43" t="n"/>
      <c r="H2293" s="56" t="n"/>
      <c r="I2293" s="43" t="n"/>
      <c r="J2293" s="57">
        <f>IF(OR(A2293="",H2293=""),"",IF(COUNTIFS(exp_year,C2293,exp_month,D2293,exp_item,E2293,exp_status,"&lt;&gt;❌ Отменено")&gt;0,1,0))</f>
        <v/>
      </c>
    </row>
    <row r="2294">
      <c r="A2294" s="52" t="n"/>
      <c r="B2294" s="53">
        <f>IF(A2294="","",CHOOSE(WEEKDAY(A2294,2),"Пн","Вт","Ср","Чт","Пт","Сб","Вс"))</f>
        <v/>
      </c>
      <c r="C2294" s="53">
        <f>IF(A2294="","",YEAR(A2294))</f>
        <v/>
      </c>
      <c r="D2294" s="54">
        <f>IF(A2294="","",INDEX(lst_months,MONTH(A2294)))</f>
        <v/>
      </c>
      <c r="E2294" s="55" t="n"/>
      <c r="F2294" s="54">
        <f>IF(E2294="","",IFERROR(IF(INDEX(lst_exp_item_cat,MATCH(E2294,lst_exp_items,0))="","❔ Без категории",INDEX(lst_exp_item_cat,MATCH(E2294,lst_exp_items,0))),"❔ Без категории"))</f>
        <v/>
      </c>
      <c r="G2294" s="43" t="n"/>
      <c r="H2294" s="56" t="n"/>
      <c r="I2294" s="43" t="n"/>
      <c r="J2294" s="57">
        <f>IF(OR(A2294="",H2294=""),"",IF(COUNTIFS(exp_year,C2294,exp_month,D2294,exp_item,E2294,exp_status,"&lt;&gt;❌ Отменено")&gt;0,1,0))</f>
        <v/>
      </c>
    </row>
    <row r="2295">
      <c r="A2295" s="52" t="n"/>
      <c r="B2295" s="53">
        <f>IF(A2295="","",CHOOSE(WEEKDAY(A2295,2),"Пн","Вт","Ср","Чт","Пт","Сб","Вс"))</f>
        <v/>
      </c>
      <c r="C2295" s="53">
        <f>IF(A2295="","",YEAR(A2295))</f>
        <v/>
      </c>
      <c r="D2295" s="54">
        <f>IF(A2295="","",INDEX(lst_months,MONTH(A2295)))</f>
        <v/>
      </c>
      <c r="E2295" s="55" t="n"/>
      <c r="F2295" s="54">
        <f>IF(E2295="","",IFERROR(IF(INDEX(lst_exp_item_cat,MATCH(E2295,lst_exp_items,0))="","❔ Без категории",INDEX(lst_exp_item_cat,MATCH(E2295,lst_exp_items,0))),"❔ Без категории"))</f>
        <v/>
      </c>
      <c r="G2295" s="43" t="n"/>
      <c r="H2295" s="56" t="n"/>
      <c r="I2295" s="43" t="n"/>
      <c r="J2295" s="57">
        <f>IF(OR(A2295="",H2295=""),"",IF(COUNTIFS(exp_year,C2295,exp_month,D2295,exp_item,E2295,exp_status,"&lt;&gt;❌ Отменено")&gt;0,1,0))</f>
        <v/>
      </c>
    </row>
    <row r="2296">
      <c r="A2296" s="52" t="n"/>
      <c r="B2296" s="53">
        <f>IF(A2296="","",CHOOSE(WEEKDAY(A2296,2),"Пн","Вт","Ср","Чт","Пт","Сб","Вс"))</f>
        <v/>
      </c>
      <c r="C2296" s="53">
        <f>IF(A2296="","",YEAR(A2296))</f>
        <v/>
      </c>
      <c r="D2296" s="54">
        <f>IF(A2296="","",INDEX(lst_months,MONTH(A2296)))</f>
        <v/>
      </c>
      <c r="E2296" s="55" t="n"/>
      <c r="F2296" s="54">
        <f>IF(E2296="","",IFERROR(IF(INDEX(lst_exp_item_cat,MATCH(E2296,lst_exp_items,0))="","❔ Без категории",INDEX(lst_exp_item_cat,MATCH(E2296,lst_exp_items,0))),"❔ Без категории"))</f>
        <v/>
      </c>
      <c r="G2296" s="43" t="n"/>
      <c r="H2296" s="56" t="n"/>
      <c r="I2296" s="43" t="n"/>
      <c r="J2296" s="57">
        <f>IF(OR(A2296="",H2296=""),"",IF(COUNTIFS(exp_year,C2296,exp_month,D2296,exp_item,E2296,exp_status,"&lt;&gt;❌ Отменено")&gt;0,1,0))</f>
        <v/>
      </c>
    </row>
    <row r="2297">
      <c r="A2297" s="52" t="n"/>
      <c r="B2297" s="53">
        <f>IF(A2297="","",CHOOSE(WEEKDAY(A2297,2),"Пн","Вт","Ср","Чт","Пт","Сб","Вс"))</f>
        <v/>
      </c>
      <c r="C2297" s="53">
        <f>IF(A2297="","",YEAR(A2297))</f>
        <v/>
      </c>
      <c r="D2297" s="54">
        <f>IF(A2297="","",INDEX(lst_months,MONTH(A2297)))</f>
        <v/>
      </c>
      <c r="E2297" s="55" t="n"/>
      <c r="F2297" s="54">
        <f>IF(E2297="","",IFERROR(IF(INDEX(lst_exp_item_cat,MATCH(E2297,lst_exp_items,0))="","❔ Без категории",INDEX(lst_exp_item_cat,MATCH(E2297,lst_exp_items,0))),"❔ Без категории"))</f>
        <v/>
      </c>
      <c r="G2297" s="43" t="n"/>
      <c r="H2297" s="56" t="n"/>
      <c r="I2297" s="43" t="n"/>
      <c r="J2297" s="57">
        <f>IF(OR(A2297="",H2297=""),"",IF(COUNTIFS(exp_year,C2297,exp_month,D2297,exp_item,E2297,exp_status,"&lt;&gt;❌ Отменено")&gt;0,1,0))</f>
        <v/>
      </c>
    </row>
    <row r="2298">
      <c r="A2298" s="52" t="n"/>
      <c r="B2298" s="53">
        <f>IF(A2298="","",CHOOSE(WEEKDAY(A2298,2),"Пн","Вт","Ср","Чт","Пт","Сб","Вс"))</f>
        <v/>
      </c>
      <c r="C2298" s="53">
        <f>IF(A2298="","",YEAR(A2298))</f>
        <v/>
      </c>
      <c r="D2298" s="54">
        <f>IF(A2298="","",INDEX(lst_months,MONTH(A2298)))</f>
        <v/>
      </c>
      <c r="E2298" s="55" t="n"/>
      <c r="F2298" s="54">
        <f>IF(E2298="","",IFERROR(IF(INDEX(lst_exp_item_cat,MATCH(E2298,lst_exp_items,0))="","❔ Без категории",INDEX(lst_exp_item_cat,MATCH(E2298,lst_exp_items,0))),"❔ Без категории"))</f>
        <v/>
      </c>
      <c r="G2298" s="43" t="n"/>
      <c r="H2298" s="56" t="n"/>
      <c r="I2298" s="43" t="n"/>
      <c r="J2298" s="57">
        <f>IF(OR(A2298="",H2298=""),"",IF(COUNTIFS(exp_year,C2298,exp_month,D2298,exp_item,E2298,exp_status,"&lt;&gt;❌ Отменено")&gt;0,1,0))</f>
        <v/>
      </c>
    </row>
    <row r="2299">
      <c r="A2299" s="52" t="n"/>
      <c r="B2299" s="53">
        <f>IF(A2299="","",CHOOSE(WEEKDAY(A2299,2),"Пн","Вт","Ср","Чт","Пт","Сб","Вс"))</f>
        <v/>
      </c>
      <c r="C2299" s="53">
        <f>IF(A2299="","",YEAR(A2299))</f>
        <v/>
      </c>
      <c r="D2299" s="54">
        <f>IF(A2299="","",INDEX(lst_months,MONTH(A2299)))</f>
        <v/>
      </c>
      <c r="E2299" s="55" t="n"/>
      <c r="F2299" s="54">
        <f>IF(E2299="","",IFERROR(IF(INDEX(lst_exp_item_cat,MATCH(E2299,lst_exp_items,0))="","❔ Без категории",INDEX(lst_exp_item_cat,MATCH(E2299,lst_exp_items,0))),"❔ Без категории"))</f>
        <v/>
      </c>
      <c r="G2299" s="43" t="n"/>
      <c r="H2299" s="56" t="n"/>
      <c r="I2299" s="43" t="n"/>
      <c r="J2299" s="57">
        <f>IF(OR(A2299="",H2299=""),"",IF(COUNTIFS(exp_year,C2299,exp_month,D2299,exp_item,E2299,exp_status,"&lt;&gt;❌ Отменено")&gt;0,1,0))</f>
        <v/>
      </c>
    </row>
    <row r="2300">
      <c r="A2300" s="52" t="n"/>
      <c r="B2300" s="53">
        <f>IF(A2300="","",CHOOSE(WEEKDAY(A2300,2),"Пн","Вт","Ср","Чт","Пт","Сб","Вс"))</f>
        <v/>
      </c>
      <c r="C2300" s="53">
        <f>IF(A2300="","",YEAR(A2300))</f>
        <v/>
      </c>
      <c r="D2300" s="54">
        <f>IF(A2300="","",INDEX(lst_months,MONTH(A2300)))</f>
        <v/>
      </c>
      <c r="E2300" s="55" t="n"/>
      <c r="F2300" s="54">
        <f>IF(E2300="","",IFERROR(IF(INDEX(lst_exp_item_cat,MATCH(E2300,lst_exp_items,0))="","❔ Без категории",INDEX(lst_exp_item_cat,MATCH(E2300,lst_exp_items,0))),"❔ Без категории"))</f>
        <v/>
      </c>
      <c r="G2300" s="43" t="n"/>
      <c r="H2300" s="56" t="n"/>
      <c r="I2300" s="43" t="n"/>
      <c r="J2300" s="57">
        <f>IF(OR(A2300="",H2300=""),"",IF(COUNTIFS(exp_year,C2300,exp_month,D2300,exp_item,E2300,exp_status,"&lt;&gt;❌ Отменено")&gt;0,1,0))</f>
        <v/>
      </c>
    </row>
    <row r="2301">
      <c r="A2301" s="52" t="n"/>
      <c r="B2301" s="53">
        <f>IF(A2301="","",CHOOSE(WEEKDAY(A2301,2),"Пн","Вт","Ср","Чт","Пт","Сб","Вс"))</f>
        <v/>
      </c>
      <c r="C2301" s="53">
        <f>IF(A2301="","",YEAR(A2301))</f>
        <v/>
      </c>
      <c r="D2301" s="54">
        <f>IF(A2301="","",INDEX(lst_months,MONTH(A2301)))</f>
        <v/>
      </c>
      <c r="E2301" s="55" t="n"/>
      <c r="F2301" s="54">
        <f>IF(E2301="","",IFERROR(IF(INDEX(lst_exp_item_cat,MATCH(E2301,lst_exp_items,0))="","❔ Без категории",INDEX(lst_exp_item_cat,MATCH(E2301,lst_exp_items,0))),"❔ Без категории"))</f>
        <v/>
      </c>
      <c r="G2301" s="43" t="n"/>
      <c r="H2301" s="56" t="n"/>
      <c r="I2301" s="43" t="n"/>
      <c r="J2301" s="57">
        <f>IF(OR(A2301="",H2301=""),"",IF(COUNTIFS(exp_year,C2301,exp_month,D2301,exp_item,E2301,exp_status,"&lt;&gt;❌ Отменено")&gt;0,1,0))</f>
        <v/>
      </c>
    </row>
    <row r="2302">
      <c r="A2302" s="52" t="n"/>
      <c r="B2302" s="53">
        <f>IF(A2302="","",CHOOSE(WEEKDAY(A2302,2),"Пн","Вт","Ср","Чт","Пт","Сб","Вс"))</f>
        <v/>
      </c>
      <c r="C2302" s="53">
        <f>IF(A2302="","",YEAR(A2302))</f>
        <v/>
      </c>
      <c r="D2302" s="54">
        <f>IF(A2302="","",INDEX(lst_months,MONTH(A2302)))</f>
        <v/>
      </c>
      <c r="E2302" s="55" t="n"/>
      <c r="F2302" s="54">
        <f>IF(E2302="","",IFERROR(IF(INDEX(lst_exp_item_cat,MATCH(E2302,lst_exp_items,0))="","❔ Без категории",INDEX(lst_exp_item_cat,MATCH(E2302,lst_exp_items,0))),"❔ Без категории"))</f>
        <v/>
      </c>
      <c r="G2302" s="43" t="n"/>
      <c r="H2302" s="56" t="n"/>
      <c r="I2302" s="43" t="n"/>
      <c r="J2302" s="57">
        <f>IF(OR(A2302="",H2302=""),"",IF(COUNTIFS(exp_year,C2302,exp_month,D2302,exp_item,E2302,exp_status,"&lt;&gt;❌ Отменено")&gt;0,1,0))</f>
        <v/>
      </c>
    </row>
    <row r="2303">
      <c r="A2303" s="52" t="n"/>
      <c r="B2303" s="53">
        <f>IF(A2303="","",CHOOSE(WEEKDAY(A2303,2),"Пн","Вт","Ср","Чт","Пт","Сб","Вс"))</f>
        <v/>
      </c>
      <c r="C2303" s="53">
        <f>IF(A2303="","",YEAR(A2303))</f>
        <v/>
      </c>
      <c r="D2303" s="54">
        <f>IF(A2303="","",INDEX(lst_months,MONTH(A2303)))</f>
        <v/>
      </c>
      <c r="E2303" s="55" t="n"/>
      <c r="F2303" s="54">
        <f>IF(E2303="","",IFERROR(IF(INDEX(lst_exp_item_cat,MATCH(E2303,lst_exp_items,0))="","❔ Без категории",INDEX(lst_exp_item_cat,MATCH(E2303,lst_exp_items,0))),"❔ Без категории"))</f>
        <v/>
      </c>
      <c r="G2303" s="43" t="n"/>
      <c r="H2303" s="56" t="n"/>
      <c r="I2303" s="43" t="n"/>
      <c r="J2303" s="57">
        <f>IF(OR(A2303="",H2303=""),"",IF(COUNTIFS(exp_year,C2303,exp_month,D2303,exp_item,E2303,exp_status,"&lt;&gt;❌ Отменено")&gt;0,1,0))</f>
        <v/>
      </c>
    </row>
    <row r="2304">
      <c r="A2304" s="52" t="n"/>
      <c r="B2304" s="53">
        <f>IF(A2304="","",CHOOSE(WEEKDAY(A2304,2),"Пн","Вт","Ср","Чт","Пт","Сб","Вс"))</f>
        <v/>
      </c>
      <c r="C2304" s="53">
        <f>IF(A2304="","",YEAR(A2304))</f>
        <v/>
      </c>
      <c r="D2304" s="54">
        <f>IF(A2304="","",INDEX(lst_months,MONTH(A2304)))</f>
        <v/>
      </c>
      <c r="E2304" s="55" t="n"/>
      <c r="F2304" s="54">
        <f>IF(E2304="","",IFERROR(IF(INDEX(lst_exp_item_cat,MATCH(E2304,lst_exp_items,0))="","❔ Без категории",INDEX(lst_exp_item_cat,MATCH(E2304,lst_exp_items,0))),"❔ Без категории"))</f>
        <v/>
      </c>
      <c r="G2304" s="43" t="n"/>
      <c r="H2304" s="56" t="n"/>
      <c r="I2304" s="43" t="n"/>
      <c r="J2304" s="57">
        <f>IF(OR(A2304="",H2304=""),"",IF(COUNTIFS(exp_year,C2304,exp_month,D2304,exp_item,E2304,exp_status,"&lt;&gt;❌ Отменено")&gt;0,1,0))</f>
        <v/>
      </c>
    </row>
    <row r="2305">
      <c r="A2305" s="52" t="n"/>
      <c r="B2305" s="53">
        <f>IF(A2305="","",CHOOSE(WEEKDAY(A2305,2),"Пн","Вт","Ср","Чт","Пт","Сб","Вс"))</f>
        <v/>
      </c>
      <c r="C2305" s="53">
        <f>IF(A2305="","",YEAR(A2305))</f>
        <v/>
      </c>
      <c r="D2305" s="54">
        <f>IF(A2305="","",INDEX(lst_months,MONTH(A2305)))</f>
        <v/>
      </c>
      <c r="E2305" s="55" t="n"/>
      <c r="F2305" s="54">
        <f>IF(E2305="","",IFERROR(IF(INDEX(lst_exp_item_cat,MATCH(E2305,lst_exp_items,0))="","❔ Без категории",INDEX(lst_exp_item_cat,MATCH(E2305,lst_exp_items,0))),"❔ Без категории"))</f>
        <v/>
      </c>
      <c r="G2305" s="43" t="n"/>
      <c r="H2305" s="56" t="n"/>
      <c r="I2305" s="43" t="n"/>
      <c r="J2305" s="57">
        <f>IF(OR(A2305="",H2305=""),"",IF(COUNTIFS(exp_year,C2305,exp_month,D2305,exp_item,E2305,exp_status,"&lt;&gt;❌ Отменено")&gt;0,1,0))</f>
        <v/>
      </c>
    </row>
    <row r="2306">
      <c r="A2306" s="52" t="n"/>
      <c r="B2306" s="53">
        <f>IF(A2306="","",CHOOSE(WEEKDAY(A2306,2),"Пн","Вт","Ср","Чт","Пт","Сб","Вс"))</f>
        <v/>
      </c>
      <c r="C2306" s="53">
        <f>IF(A2306="","",YEAR(A2306))</f>
        <v/>
      </c>
      <c r="D2306" s="54">
        <f>IF(A2306="","",INDEX(lst_months,MONTH(A2306)))</f>
        <v/>
      </c>
      <c r="E2306" s="55" t="n"/>
      <c r="F2306" s="54">
        <f>IF(E2306="","",IFERROR(IF(INDEX(lst_exp_item_cat,MATCH(E2306,lst_exp_items,0))="","❔ Без категории",INDEX(lst_exp_item_cat,MATCH(E2306,lst_exp_items,0))),"❔ Без категории"))</f>
        <v/>
      </c>
      <c r="G2306" s="43" t="n"/>
      <c r="H2306" s="56" t="n"/>
      <c r="I2306" s="43" t="n"/>
      <c r="J2306" s="57">
        <f>IF(OR(A2306="",H2306=""),"",IF(COUNTIFS(exp_year,C2306,exp_month,D2306,exp_item,E2306,exp_status,"&lt;&gt;❌ Отменено")&gt;0,1,0))</f>
        <v/>
      </c>
    </row>
    <row r="2307">
      <c r="A2307" s="52" t="n"/>
      <c r="B2307" s="53">
        <f>IF(A2307="","",CHOOSE(WEEKDAY(A2307,2),"Пн","Вт","Ср","Чт","Пт","Сб","Вс"))</f>
        <v/>
      </c>
      <c r="C2307" s="53">
        <f>IF(A2307="","",YEAR(A2307))</f>
        <v/>
      </c>
      <c r="D2307" s="54">
        <f>IF(A2307="","",INDEX(lst_months,MONTH(A2307)))</f>
        <v/>
      </c>
      <c r="E2307" s="55" t="n"/>
      <c r="F2307" s="54">
        <f>IF(E2307="","",IFERROR(IF(INDEX(lst_exp_item_cat,MATCH(E2307,lst_exp_items,0))="","❔ Без категории",INDEX(lst_exp_item_cat,MATCH(E2307,lst_exp_items,0))),"❔ Без категории"))</f>
        <v/>
      </c>
      <c r="G2307" s="43" t="n"/>
      <c r="H2307" s="56" t="n"/>
      <c r="I2307" s="43" t="n"/>
      <c r="J2307" s="57">
        <f>IF(OR(A2307="",H2307=""),"",IF(COUNTIFS(exp_year,C2307,exp_month,D2307,exp_item,E2307,exp_status,"&lt;&gt;❌ Отменено")&gt;0,1,0))</f>
        <v/>
      </c>
    </row>
    <row r="2308">
      <c r="A2308" s="52" t="n"/>
      <c r="B2308" s="53">
        <f>IF(A2308="","",CHOOSE(WEEKDAY(A2308,2),"Пн","Вт","Ср","Чт","Пт","Сб","Вс"))</f>
        <v/>
      </c>
      <c r="C2308" s="53">
        <f>IF(A2308="","",YEAR(A2308))</f>
        <v/>
      </c>
      <c r="D2308" s="54">
        <f>IF(A2308="","",INDEX(lst_months,MONTH(A2308)))</f>
        <v/>
      </c>
      <c r="E2308" s="55" t="n"/>
      <c r="F2308" s="54">
        <f>IF(E2308="","",IFERROR(IF(INDEX(lst_exp_item_cat,MATCH(E2308,lst_exp_items,0))="","❔ Без категории",INDEX(lst_exp_item_cat,MATCH(E2308,lst_exp_items,0))),"❔ Без категории"))</f>
        <v/>
      </c>
      <c r="G2308" s="43" t="n"/>
      <c r="H2308" s="56" t="n"/>
      <c r="I2308" s="43" t="n"/>
      <c r="J2308" s="57">
        <f>IF(OR(A2308="",H2308=""),"",IF(COUNTIFS(exp_year,C2308,exp_month,D2308,exp_item,E2308,exp_status,"&lt;&gt;❌ Отменено")&gt;0,1,0))</f>
        <v/>
      </c>
    </row>
    <row r="2309">
      <c r="A2309" s="52" t="n"/>
      <c r="B2309" s="53">
        <f>IF(A2309="","",CHOOSE(WEEKDAY(A2309,2),"Пн","Вт","Ср","Чт","Пт","Сб","Вс"))</f>
        <v/>
      </c>
      <c r="C2309" s="53">
        <f>IF(A2309="","",YEAR(A2309))</f>
        <v/>
      </c>
      <c r="D2309" s="54">
        <f>IF(A2309="","",INDEX(lst_months,MONTH(A2309)))</f>
        <v/>
      </c>
      <c r="E2309" s="55" t="n"/>
      <c r="F2309" s="54">
        <f>IF(E2309="","",IFERROR(IF(INDEX(lst_exp_item_cat,MATCH(E2309,lst_exp_items,0))="","❔ Без категории",INDEX(lst_exp_item_cat,MATCH(E2309,lst_exp_items,0))),"❔ Без категории"))</f>
        <v/>
      </c>
      <c r="G2309" s="43" t="n"/>
      <c r="H2309" s="56" t="n"/>
      <c r="I2309" s="43" t="n"/>
      <c r="J2309" s="57">
        <f>IF(OR(A2309="",H2309=""),"",IF(COUNTIFS(exp_year,C2309,exp_month,D2309,exp_item,E2309,exp_status,"&lt;&gt;❌ Отменено")&gt;0,1,0))</f>
        <v/>
      </c>
    </row>
    <row r="2310">
      <c r="A2310" s="52" t="n"/>
      <c r="B2310" s="53">
        <f>IF(A2310="","",CHOOSE(WEEKDAY(A2310,2),"Пн","Вт","Ср","Чт","Пт","Сб","Вс"))</f>
        <v/>
      </c>
      <c r="C2310" s="53">
        <f>IF(A2310="","",YEAR(A2310))</f>
        <v/>
      </c>
      <c r="D2310" s="54">
        <f>IF(A2310="","",INDEX(lst_months,MONTH(A2310)))</f>
        <v/>
      </c>
      <c r="E2310" s="55" t="n"/>
      <c r="F2310" s="54">
        <f>IF(E2310="","",IFERROR(IF(INDEX(lst_exp_item_cat,MATCH(E2310,lst_exp_items,0))="","❔ Без категории",INDEX(lst_exp_item_cat,MATCH(E2310,lst_exp_items,0))),"❔ Без категории"))</f>
        <v/>
      </c>
      <c r="G2310" s="43" t="n"/>
      <c r="H2310" s="56" t="n"/>
      <c r="I2310" s="43" t="n"/>
      <c r="J2310" s="57">
        <f>IF(OR(A2310="",H2310=""),"",IF(COUNTIFS(exp_year,C2310,exp_month,D2310,exp_item,E2310,exp_status,"&lt;&gt;❌ Отменено")&gt;0,1,0))</f>
        <v/>
      </c>
    </row>
    <row r="2311">
      <c r="A2311" s="52" t="n"/>
      <c r="B2311" s="53">
        <f>IF(A2311="","",CHOOSE(WEEKDAY(A2311,2),"Пн","Вт","Ср","Чт","Пт","Сб","Вс"))</f>
        <v/>
      </c>
      <c r="C2311" s="53">
        <f>IF(A2311="","",YEAR(A2311))</f>
        <v/>
      </c>
      <c r="D2311" s="54">
        <f>IF(A2311="","",INDEX(lst_months,MONTH(A2311)))</f>
        <v/>
      </c>
      <c r="E2311" s="55" t="n"/>
      <c r="F2311" s="54">
        <f>IF(E2311="","",IFERROR(IF(INDEX(lst_exp_item_cat,MATCH(E2311,lst_exp_items,0))="","❔ Без категории",INDEX(lst_exp_item_cat,MATCH(E2311,lst_exp_items,0))),"❔ Без категории"))</f>
        <v/>
      </c>
      <c r="G2311" s="43" t="n"/>
      <c r="H2311" s="56" t="n"/>
      <c r="I2311" s="43" t="n"/>
      <c r="J2311" s="57">
        <f>IF(OR(A2311="",H2311=""),"",IF(COUNTIFS(exp_year,C2311,exp_month,D2311,exp_item,E2311,exp_status,"&lt;&gt;❌ Отменено")&gt;0,1,0))</f>
        <v/>
      </c>
    </row>
    <row r="2312">
      <c r="A2312" s="52" t="n"/>
      <c r="B2312" s="53">
        <f>IF(A2312="","",CHOOSE(WEEKDAY(A2312,2),"Пн","Вт","Ср","Чт","Пт","Сб","Вс"))</f>
        <v/>
      </c>
      <c r="C2312" s="53">
        <f>IF(A2312="","",YEAR(A2312))</f>
        <v/>
      </c>
      <c r="D2312" s="54">
        <f>IF(A2312="","",INDEX(lst_months,MONTH(A2312)))</f>
        <v/>
      </c>
      <c r="E2312" s="55" t="n"/>
      <c r="F2312" s="54">
        <f>IF(E2312="","",IFERROR(IF(INDEX(lst_exp_item_cat,MATCH(E2312,lst_exp_items,0))="","❔ Без категории",INDEX(lst_exp_item_cat,MATCH(E2312,lst_exp_items,0))),"❔ Без категории"))</f>
        <v/>
      </c>
      <c r="G2312" s="43" t="n"/>
      <c r="H2312" s="56" t="n"/>
      <c r="I2312" s="43" t="n"/>
      <c r="J2312" s="57">
        <f>IF(OR(A2312="",H2312=""),"",IF(COUNTIFS(exp_year,C2312,exp_month,D2312,exp_item,E2312,exp_status,"&lt;&gt;❌ Отменено")&gt;0,1,0))</f>
        <v/>
      </c>
    </row>
    <row r="2313">
      <c r="A2313" s="52" t="n"/>
      <c r="B2313" s="53">
        <f>IF(A2313="","",CHOOSE(WEEKDAY(A2313,2),"Пн","Вт","Ср","Чт","Пт","Сб","Вс"))</f>
        <v/>
      </c>
      <c r="C2313" s="53">
        <f>IF(A2313="","",YEAR(A2313))</f>
        <v/>
      </c>
      <c r="D2313" s="54">
        <f>IF(A2313="","",INDEX(lst_months,MONTH(A2313)))</f>
        <v/>
      </c>
      <c r="E2313" s="55" t="n"/>
      <c r="F2313" s="54">
        <f>IF(E2313="","",IFERROR(IF(INDEX(lst_exp_item_cat,MATCH(E2313,lst_exp_items,0))="","❔ Без категории",INDEX(lst_exp_item_cat,MATCH(E2313,lst_exp_items,0))),"❔ Без категории"))</f>
        <v/>
      </c>
      <c r="G2313" s="43" t="n"/>
      <c r="H2313" s="56" t="n"/>
      <c r="I2313" s="43" t="n"/>
      <c r="J2313" s="57">
        <f>IF(OR(A2313="",H2313=""),"",IF(COUNTIFS(exp_year,C2313,exp_month,D2313,exp_item,E2313,exp_status,"&lt;&gt;❌ Отменено")&gt;0,1,0))</f>
        <v/>
      </c>
    </row>
    <row r="2314">
      <c r="A2314" s="52" t="n"/>
      <c r="B2314" s="53">
        <f>IF(A2314="","",CHOOSE(WEEKDAY(A2314,2),"Пн","Вт","Ср","Чт","Пт","Сб","Вс"))</f>
        <v/>
      </c>
      <c r="C2314" s="53">
        <f>IF(A2314="","",YEAR(A2314))</f>
        <v/>
      </c>
      <c r="D2314" s="54">
        <f>IF(A2314="","",INDEX(lst_months,MONTH(A2314)))</f>
        <v/>
      </c>
      <c r="E2314" s="55" t="n"/>
      <c r="F2314" s="54">
        <f>IF(E2314="","",IFERROR(IF(INDEX(lst_exp_item_cat,MATCH(E2314,lst_exp_items,0))="","❔ Без категории",INDEX(lst_exp_item_cat,MATCH(E2314,lst_exp_items,0))),"❔ Без категории"))</f>
        <v/>
      </c>
      <c r="G2314" s="43" t="n"/>
      <c r="H2314" s="56" t="n"/>
      <c r="I2314" s="43" t="n"/>
      <c r="J2314" s="57">
        <f>IF(OR(A2314="",H2314=""),"",IF(COUNTIFS(exp_year,C2314,exp_month,D2314,exp_item,E2314,exp_status,"&lt;&gt;❌ Отменено")&gt;0,1,0))</f>
        <v/>
      </c>
    </row>
    <row r="2315">
      <c r="A2315" s="52" t="n"/>
      <c r="B2315" s="53">
        <f>IF(A2315="","",CHOOSE(WEEKDAY(A2315,2),"Пн","Вт","Ср","Чт","Пт","Сб","Вс"))</f>
        <v/>
      </c>
      <c r="C2315" s="53">
        <f>IF(A2315="","",YEAR(A2315))</f>
        <v/>
      </c>
      <c r="D2315" s="54">
        <f>IF(A2315="","",INDEX(lst_months,MONTH(A2315)))</f>
        <v/>
      </c>
      <c r="E2315" s="55" t="n"/>
      <c r="F2315" s="54">
        <f>IF(E2315="","",IFERROR(IF(INDEX(lst_exp_item_cat,MATCH(E2315,lst_exp_items,0))="","❔ Без категории",INDEX(lst_exp_item_cat,MATCH(E2315,lst_exp_items,0))),"❔ Без категории"))</f>
        <v/>
      </c>
      <c r="G2315" s="43" t="n"/>
      <c r="H2315" s="56" t="n"/>
      <c r="I2315" s="43" t="n"/>
      <c r="J2315" s="57">
        <f>IF(OR(A2315="",H2315=""),"",IF(COUNTIFS(exp_year,C2315,exp_month,D2315,exp_item,E2315,exp_status,"&lt;&gt;❌ Отменено")&gt;0,1,0))</f>
        <v/>
      </c>
    </row>
    <row r="2316">
      <c r="A2316" s="52" t="n"/>
      <c r="B2316" s="53">
        <f>IF(A2316="","",CHOOSE(WEEKDAY(A2316,2),"Пн","Вт","Ср","Чт","Пт","Сб","Вс"))</f>
        <v/>
      </c>
      <c r="C2316" s="53">
        <f>IF(A2316="","",YEAR(A2316))</f>
        <v/>
      </c>
      <c r="D2316" s="54">
        <f>IF(A2316="","",INDEX(lst_months,MONTH(A2316)))</f>
        <v/>
      </c>
      <c r="E2316" s="55" t="n"/>
      <c r="F2316" s="54">
        <f>IF(E2316="","",IFERROR(IF(INDEX(lst_exp_item_cat,MATCH(E2316,lst_exp_items,0))="","❔ Без категории",INDEX(lst_exp_item_cat,MATCH(E2316,lst_exp_items,0))),"❔ Без категории"))</f>
        <v/>
      </c>
      <c r="G2316" s="43" t="n"/>
      <c r="H2316" s="56" t="n"/>
      <c r="I2316" s="43" t="n"/>
      <c r="J2316" s="57">
        <f>IF(OR(A2316="",H2316=""),"",IF(COUNTIFS(exp_year,C2316,exp_month,D2316,exp_item,E2316,exp_status,"&lt;&gt;❌ Отменено")&gt;0,1,0))</f>
        <v/>
      </c>
    </row>
    <row r="2317">
      <c r="A2317" s="52" t="n"/>
      <c r="B2317" s="53">
        <f>IF(A2317="","",CHOOSE(WEEKDAY(A2317,2),"Пн","Вт","Ср","Чт","Пт","Сб","Вс"))</f>
        <v/>
      </c>
      <c r="C2317" s="53">
        <f>IF(A2317="","",YEAR(A2317))</f>
        <v/>
      </c>
      <c r="D2317" s="54">
        <f>IF(A2317="","",INDEX(lst_months,MONTH(A2317)))</f>
        <v/>
      </c>
      <c r="E2317" s="55" t="n"/>
      <c r="F2317" s="54">
        <f>IF(E2317="","",IFERROR(IF(INDEX(lst_exp_item_cat,MATCH(E2317,lst_exp_items,0))="","❔ Без категории",INDEX(lst_exp_item_cat,MATCH(E2317,lst_exp_items,0))),"❔ Без категории"))</f>
        <v/>
      </c>
      <c r="G2317" s="43" t="n"/>
      <c r="H2317" s="56" t="n"/>
      <c r="I2317" s="43" t="n"/>
      <c r="J2317" s="57">
        <f>IF(OR(A2317="",H2317=""),"",IF(COUNTIFS(exp_year,C2317,exp_month,D2317,exp_item,E2317,exp_status,"&lt;&gt;❌ Отменено")&gt;0,1,0))</f>
        <v/>
      </c>
    </row>
    <row r="2318">
      <c r="A2318" s="52" t="n"/>
      <c r="B2318" s="53">
        <f>IF(A2318="","",CHOOSE(WEEKDAY(A2318,2),"Пн","Вт","Ср","Чт","Пт","Сб","Вс"))</f>
        <v/>
      </c>
      <c r="C2318" s="53">
        <f>IF(A2318="","",YEAR(A2318))</f>
        <v/>
      </c>
      <c r="D2318" s="54">
        <f>IF(A2318="","",INDEX(lst_months,MONTH(A2318)))</f>
        <v/>
      </c>
      <c r="E2318" s="55" t="n"/>
      <c r="F2318" s="54">
        <f>IF(E2318="","",IFERROR(IF(INDEX(lst_exp_item_cat,MATCH(E2318,lst_exp_items,0))="","❔ Без категории",INDEX(lst_exp_item_cat,MATCH(E2318,lst_exp_items,0))),"❔ Без категории"))</f>
        <v/>
      </c>
      <c r="G2318" s="43" t="n"/>
      <c r="H2318" s="56" t="n"/>
      <c r="I2318" s="43" t="n"/>
      <c r="J2318" s="57">
        <f>IF(OR(A2318="",H2318=""),"",IF(COUNTIFS(exp_year,C2318,exp_month,D2318,exp_item,E2318,exp_status,"&lt;&gt;❌ Отменено")&gt;0,1,0))</f>
        <v/>
      </c>
    </row>
    <row r="2319">
      <c r="A2319" s="52" t="n"/>
      <c r="B2319" s="53">
        <f>IF(A2319="","",CHOOSE(WEEKDAY(A2319,2),"Пн","Вт","Ср","Чт","Пт","Сб","Вс"))</f>
        <v/>
      </c>
      <c r="C2319" s="53">
        <f>IF(A2319="","",YEAR(A2319))</f>
        <v/>
      </c>
      <c r="D2319" s="54">
        <f>IF(A2319="","",INDEX(lst_months,MONTH(A2319)))</f>
        <v/>
      </c>
      <c r="E2319" s="55" t="n"/>
      <c r="F2319" s="54">
        <f>IF(E2319="","",IFERROR(IF(INDEX(lst_exp_item_cat,MATCH(E2319,lst_exp_items,0))="","❔ Без категории",INDEX(lst_exp_item_cat,MATCH(E2319,lst_exp_items,0))),"❔ Без категории"))</f>
        <v/>
      </c>
      <c r="G2319" s="43" t="n"/>
      <c r="H2319" s="56" t="n"/>
      <c r="I2319" s="43" t="n"/>
      <c r="J2319" s="57">
        <f>IF(OR(A2319="",H2319=""),"",IF(COUNTIFS(exp_year,C2319,exp_month,D2319,exp_item,E2319,exp_status,"&lt;&gt;❌ Отменено")&gt;0,1,0))</f>
        <v/>
      </c>
    </row>
    <row r="2320">
      <c r="A2320" s="52" t="n"/>
      <c r="B2320" s="53">
        <f>IF(A2320="","",CHOOSE(WEEKDAY(A2320,2),"Пн","Вт","Ср","Чт","Пт","Сб","Вс"))</f>
        <v/>
      </c>
      <c r="C2320" s="53">
        <f>IF(A2320="","",YEAR(A2320))</f>
        <v/>
      </c>
      <c r="D2320" s="54">
        <f>IF(A2320="","",INDEX(lst_months,MONTH(A2320)))</f>
        <v/>
      </c>
      <c r="E2320" s="55" t="n"/>
      <c r="F2320" s="54">
        <f>IF(E2320="","",IFERROR(IF(INDEX(lst_exp_item_cat,MATCH(E2320,lst_exp_items,0))="","❔ Без категории",INDEX(lst_exp_item_cat,MATCH(E2320,lst_exp_items,0))),"❔ Без категории"))</f>
        <v/>
      </c>
      <c r="G2320" s="43" t="n"/>
      <c r="H2320" s="56" t="n"/>
      <c r="I2320" s="43" t="n"/>
      <c r="J2320" s="57">
        <f>IF(OR(A2320="",H2320=""),"",IF(COUNTIFS(exp_year,C2320,exp_month,D2320,exp_item,E2320,exp_status,"&lt;&gt;❌ Отменено")&gt;0,1,0))</f>
        <v/>
      </c>
    </row>
    <row r="2321">
      <c r="A2321" s="52" t="n"/>
      <c r="B2321" s="53">
        <f>IF(A2321="","",CHOOSE(WEEKDAY(A2321,2),"Пн","Вт","Ср","Чт","Пт","Сб","Вс"))</f>
        <v/>
      </c>
      <c r="C2321" s="53">
        <f>IF(A2321="","",YEAR(A2321))</f>
        <v/>
      </c>
      <c r="D2321" s="54">
        <f>IF(A2321="","",INDEX(lst_months,MONTH(A2321)))</f>
        <v/>
      </c>
      <c r="E2321" s="55" t="n"/>
      <c r="F2321" s="54">
        <f>IF(E2321="","",IFERROR(IF(INDEX(lst_exp_item_cat,MATCH(E2321,lst_exp_items,0))="","❔ Без категории",INDEX(lst_exp_item_cat,MATCH(E2321,lst_exp_items,0))),"❔ Без категории"))</f>
        <v/>
      </c>
      <c r="G2321" s="43" t="n"/>
      <c r="H2321" s="56" t="n"/>
      <c r="I2321" s="43" t="n"/>
      <c r="J2321" s="57">
        <f>IF(OR(A2321="",H2321=""),"",IF(COUNTIFS(exp_year,C2321,exp_month,D2321,exp_item,E2321,exp_status,"&lt;&gt;❌ Отменено")&gt;0,1,0))</f>
        <v/>
      </c>
    </row>
    <row r="2322">
      <c r="A2322" s="52" t="n"/>
      <c r="B2322" s="53">
        <f>IF(A2322="","",CHOOSE(WEEKDAY(A2322,2),"Пн","Вт","Ср","Чт","Пт","Сб","Вс"))</f>
        <v/>
      </c>
      <c r="C2322" s="53">
        <f>IF(A2322="","",YEAR(A2322))</f>
        <v/>
      </c>
      <c r="D2322" s="54">
        <f>IF(A2322="","",INDEX(lst_months,MONTH(A2322)))</f>
        <v/>
      </c>
      <c r="E2322" s="55" t="n"/>
      <c r="F2322" s="54">
        <f>IF(E2322="","",IFERROR(IF(INDEX(lst_exp_item_cat,MATCH(E2322,lst_exp_items,0))="","❔ Без категории",INDEX(lst_exp_item_cat,MATCH(E2322,lst_exp_items,0))),"❔ Без категории"))</f>
        <v/>
      </c>
      <c r="G2322" s="43" t="n"/>
      <c r="H2322" s="56" t="n"/>
      <c r="I2322" s="43" t="n"/>
      <c r="J2322" s="57">
        <f>IF(OR(A2322="",H2322=""),"",IF(COUNTIFS(exp_year,C2322,exp_month,D2322,exp_item,E2322,exp_status,"&lt;&gt;❌ Отменено")&gt;0,1,0))</f>
        <v/>
      </c>
    </row>
    <row r="2323">
      <c r="A2323" s="52" t="n"/>
      <c r="B2323" s="53">
        <f>IF(A2323="","",CHOOSE(WEEKDAY(A2323,2),"Пн","Вт","Ср","Чт","Пт","Сб","Вс"))</f>
        <v/>
      </c>
      <c r="C2323" s="53">
        <f>IF(A2323="","",YEAR(A2323))</f>
        <v/>
      </c>
      <c r="D2323" s="54">
        <f>IF(A2323="","",INDEX(lst_months,MONTH(A2323)))</f>
        <v/>
      </c>
      <c r="E2323" s="55" t="n"/>
      <c r="F2323" s="54">
        <f>IF(E2323="","",IFERROR(IF(INDEX(lst_exp_item_cat,MATCH(E2323,lst_exp_items,0))="","❔ Без категории",INDEX(lst_exp_item_cat,MATCH(E2323,lst_exp_items,0))),"❔ Без категории"))</f>
        <v/>
      </c>
      <c r="G2323" s="43" t="n"/>
      <c r="H2323" s="56" t="n"/>
      <c r="I2323" s="43" t="n"/>
      <c r="J2323" s="57">
        <f>IF(OR(A2323="",H2323=""),"",IF(COUNTIFS(exp_year,C2323,exp_month,D2323,exp_item,E2323,exp_status,"&lt;&gt;❌ Отменено")&gt;0,1,0))</f>
        <v/>
      </c>
    </row>
    <row r="2324">
      <c r="A2324" s="52" t="n"/>
      <c r="B2324" s="53">
        <f>IF(A2324="","",CHOOSE(WEEKDAY(A2324,2),"Пн","Вт","Ср","Чт","Пт","Сб","Вс"))</f>
        <v/>
      </c>
      <c r="C2324" s="53">
        <f>IF(A2324="","",YEAR(A2324))</f>
        <v/>
      </c>
      <c r="D2324" s="54">
        <f>IF(A2324="","",INDEX(lst_months,MONTH(A2324)))</f>
        <v/>
      </c>
      <c r="E2324" s="55" t="n"/>
      <c r="F2324" s="54">
        <f>IF(E2324="","",IFERROR(IF(INDEX(lst_exp_item_cat,MATCH(E2324,lst_exp_items,0))="","❔ Без категории",INDEX(lst_exp_item_cat,MATCH(E2324,lst_exp_items,0))),"❔ Без категории"))</f>
        <v/>
      </c>
      <c r="G2324" s="43" t="n"/>
      <c r="H2324" s="56" t="n"/>
      <c r="I2324" s="43" t="n"/>
      <c r="J2324" s="57">
        <f>IF(OR(A2324="",H2324=""),"",IF(COUNTIFS(exp_year,C2324,exp_month,D2324,exp_item,E2324,exp_status,"&lt;&gt;❌ Отменено")&gt;0,1,0))</f>
        <v/>
      </c>
    </row>
    <row r="2325">
      <c r="A2325" s="52" t="n"/>
      <c r="B2325" s="53">
        <f>IF(A2325="","",CHOOSE(WEEKDAY(A2325,2),"Пн","Вт","Ср","Чт","Пт","Сб","Вс"))</f>
        <v/>
      </c>
      <c r="C2325" s="53">
        <f>IF(A2325="","",YEAR(A2325))</f>
        <v/>
      </c>
      <c r="D2325" s="54">
        <f>IF(A2325="","",INDEX(lst_months,MONTH(A2325)))</f>
        <v/>
      </c>
      <c r="E2325" s="55" t="n"/>
      <c r="F2325" s="54">
        <f>IF(E2325="","",IFERROR(IF(INDEX(lst_exp_item_cat,MATCH(E2325,lst_exp_items,0))="","❔ Без категории",INDEX(lst_exp_item_cat,MATCH(E2325,lst_exp_items,0))),"❔ Без категории"))</f>
        <v/>
      </c>
      <c r="G2325" s="43" t="n"/>
      <c r="H2325" s="56" t="n"/>
      <c r="I2325" s="43" t="n"/>
      <c r="J2325" s="57">
        <f>IF(OR(A2325="",H2325=""),"",IF(COUNTIFS(exp_year,C2325,exp_month,D2325,exp_item,E2325,exp_status,"&lt;&gt;❌ Отменено")&gt;0,1,0))</f>
        <v/>
      </c>
    </row>
    <row r="2326">
      <c r="A2326" s="52" t="n"/>
      <c r="B2326" s="53">
        <f>IF(A2326="","",CHOOSE(WEEKDAY(A2326,2),"Пн","Вт","Ср","Чт","Пт","Сб","Вс"))</f>
        <v/>
      </c>
      <c r="C2326" s="53">
        <f>IF(A2326="","",YEAR(A2326))</f>
        <v/>
      </c>
      <c r="D2326" s="54">
        <f>IF(A2326="","",INDEX(lst_months,MONTH(A2326)))</f>
        <v/>
      </c>
      <c r="E2326" s="55" t="n"/>
      <c r="F2326" s="54">
        <f>IF(E2326="","",IFERROR(IF(INDEX(lst_exp_item_cat,MATCH(E2326,lst_exp_items,0))="","❔ Без категории",INDEX(lst_exp_item_cat,MATCH(E2326,lst_exp_items,0))),"❔ Без категории"))</f>
        <v/>
      </c>
      <c r="G2326" s="43" t="n"/>
      <c r="H2326" s="56" t="n"/>
      <c r="I2326" s="43" t="n"/>
      <c r="J2326" s="57">
        <f>IF(OR(A2326="",H2326=""),"",IF(COUNTIFS(exp_year,C2326,exp_month,D2326,exp_item,E2326,exp_status,"&lt;&gt;❌ Отменено")&gt;0,1,0))</f>
        <v/>
      </c>
    </row>
    <row r="2327">
      <c r="A2327" s="52" t="n"/>
      <c r="B2327" s="53">
        <f>IF(A2327="","",CHOOSE(WEEKDAY(A2327,2),"Пн","Вт","Ср","Чт","Пт","Сб","Вс"))</f>
        <v/>
      </c>
      <c r="C2327" s="53">
        <f>IF(A2327="","",YEAR(A2327))</f>
        <v/>
      </c>
      <c r="D2327" s="54">
        <f>IF(A2327="","",INDEX(lst_months,MONTH(A2327)))</f>
        <v/>
      </c>
      <c r="E2327" s="55" t="n"/>
      <c r="F2327" s="54">
        <f>IF(E2327="","",IFERROR(IF(INDEX(lst_exp_item_cat,MATCH(E2327,lst_exp_items,0))="","❔ Без категории",INDEX(lst_exp_item_cat,MATCH(E2327,lst_exp_items,0))),"❔ Без категории"))</f>
        <v/>
      </c>
      <c r="G2327" s="43" t="n"/>
      <c r="H2327" s="56" t="n"/>
      <c r="I2327" s="43" t="n"/>
      <c r="J2327" s="57">
        <f>IF(OR(A2327="",H2327=""),"",IF(COUNTIFS(exp_year,C2327,exp_month,D2327,exp_item,E2327,exp_status,"&lt;&gt;❌ Отменено")&gt;0,1,0))</f>
        <v/>
      </c>
    </row>
    <row r="2328">
      <c r="A2328" s="52" t="n"/>
      <c r="B2328" s="53">
        <f>IF(A2328="","",CHOOSE(WEEKDAY(A2328,2),"Пн","Вт","Ср","Чт","Пт","Сб","Вс"))</f>
        <v/>
      </c>
      <c r="C2328" s="53">
        <f>IF(A2328="","",YEAR(A2328))</f>
        <v/>
      </c>
      <c r="D2328" s="54">
        <f>IF(A2328="","",INDEX(lst_months,MONTH(A2328)))</f>
        <v/>
      </c>
      <c r="E2328" s="55" t="n"/>
      <c r="F2328" s="54">
        <f>IF(E2328="","",IFERROR(IF(INDEX(lst_exp_item_cat,MATCH(E2328,lst_exp_items,0))="","❔ Без категории",INDEX(lst_exp_item_cat,MATCH(E2328,lst_exp_items,0))),"❔ Без категории"))</f>
        <v/>
      </c>
      <c r="G2328" s="43" t="n"/>
      <c r="H2328" s="56" t="n"/>
      <c r="I2328" s="43" t="n"/>
      <c r="J2328" s="57">
        <f>IF(OR(A2328="",H2328=""),"",IF(COUNTIFS(exp_year,C2328,exp_month,D2328,exp_item,E2328,exp_status,"&lt;&gt;❌ Отменено")&gt;0,1,0))</f>
        <v/>
      </c>
    </row>
    <row r="2329">
      <c r="A2329" s="52" t="n"/>
      <c r="B2329" s="53">
        <f>IF(A2329="","",CHOOSE(WEEKDAY(A2329,2),"Пн","Вт","Ср","Чт","Пт","Сб","Вс"))</f>
        <v/>
      </c>
      <c r="C2329" s="53">
        <f>IF(A2329="","",YEAR(A2329))</f>
        <v/>
      </c>
      <c r="D2329" s="54">
        <f>IF(A2329="","",INDEX(lst_months,MONTH(A2329)))</f>
        <v/>
      </c>
      <c r="E2329" s="55" t="n"/>
      <c r="F2329" s="54">
        <f>IF(E2329="","",IFERROR(IF(INDEX(lst_exp_item_cat,MATCH(E2329,lst_exp_items,0))="","❔ Без категории",INDEX(lst_exp_item_cat,MATCH(E2329,lst_exp_items,0))),"❔ Без категории"))</f>
        <v/>
      </c>
      <c r="G2329" s="43" t="n"/>
      <c r="H2329" s="56" t="n"/>
      <c r="I2329" s="43" t="n"/>
      <c r="J2329" s="57">
        <f>IF(OR(A2329="",H2329=""),"",IF(COUNTIFS(exp_year,C2329,exp_month,D2329,exp_item,E2329,exp_status,"&lt;&gt;❌ Отменено")&gt;0,1,0))</f>
        <v/>
      </c>
    </row>
    <row r="2330">
      <c r="A2330" s="52" t="n"/>
      <c r="B2330" s="53">
        <f>IF(A2330="","",CHOOSE(WEEKDAY(A2330,2),"Пн","Вт","Ср","Чт","Пт","Сб","Вс"))</f>
        <v/>
      </c>
      <c r="C2330" s="53">
        <f>IF(A2330="","",YEAR(A2330))</f>
        <v/>
      </c>
      <c r="D2330" s="54">
        <f>IF(A2330="","",INDEX(lst_months,MONTH(A2330)))</f>
        <v/>
      </c>
      <c r="E2330" s="55" t="n"/>
      <c r="F2330" s="54">
        <f>IF(E2330="","",IFERROR(IF(INDEX(lst_exp_item_cat,MATCH(E2330,lst_exp_items,0))="","❔ Без категории",INDEX(lst_exp_item_cat,MATCH(E2330,lst_exp_items,0))),"❔ Без категории"))</f>
        <v/>
      </c>
      <c r="G2330" s="43" t="n"/>
      <c r="H2330" s="56" t="n"/>
      <c r="I2330" s="43" t="n"/>
      <c r="J2330" s="57">
        <f>IF(OR(A2330="",H2330=""),"",IF(COUNTIFS(exp_year,C2330,exp_month,D2330,exp_item,E2330,exp_status,"&lt;&gt;❌ Отменено")&gt;0,1,0))</f>
        <v/>
      </c>
    </row>
    <row r="2331">
      <c r="A2331" s="52" t="n"/>
      <c r="B2331" s="53">
        <f>IF(A2331="","",CHOOSE(WEEKDAY(A2331,2),"Пн","Вт","Ср","Чт","Пт","Сб","Вс"))</f>
        <v/>
      </c>
      <c r="C2331" s="53">
        <f>IF(A2331="","",YEAR(A2331))</f>
        <v/>
      </c>
      <c r="D2331" s="54">
        <f>IF(A2331="","",INDEX(lst_months,MONTH(A2331)))</f>
        <v/>
      </c>
      <c r="E2331" s="55" t="n"/>
      <c r="F2331" s="54">
        <f>IF(E2331="","",IFERROR(IF(INDEX(lst_exp_item_cat,MATCH(E2331,lst_exp_items,0))="","❔ Без категории",INDEX(lst_exp_item_cat,MATCH(E2331,lst_exp_items,0))),"❔ Без категории"))</f>
        <v/>
      </c>
      <c r="G2331" s="43" t="n"/>
      <c r="H2331" s="56" t="n"/>
      <c r="I2331" s="43" t="n"/>
      <c r="J2331" s="57">
        <f>IF(OR(A2331="",H2331=""),"",IF(COUNTIFS(exp_year,C2331,exp_month,D2331,exp_item,E2331,exp_status,"&lt;&gt;❌ Отменено")&gt;0,1,0))</f>
        <v/>
      </c>
    </row>
    <row r="2332">
      <c r="A2332" s="52" t="n"/>
      <c r="B2332" s="53">
        <f>IF(A2332="","",CHOOSE(WEEKDAY(A2332,2),"Пн","Вт","Ср","Чт","Пт","Сб","Вс"))</f>
        <v/>
      </c>
      <c r="C2332" s="53">
        <f>IF(A2332="","",YEAR(A2332))</f>
        <v/>
      </c>
      <c r="D2332" s="54">
        <f>IF(A2332="","",INDEX(lst_months,MONTH(A2332)))</f>
        <v/>
      </c>
      <c r="E2332" s="55" t="n"/>
      <c r="F2332" s="54">
        <f>IF(E2332="","",IFERROR(IF(INDEX(lst_exp_item_cat,MATCH(E2332,lst_exp_items,0))="","❔ Без категории",INDEX(lst_exp_item_cat,MATCH(E2332,lst_exp_items,0))),"❔ Без категории"))</f>
        <v/>
      </c>
      <c r="G2332" s="43" t="n"/>
      <c r="H2332" s="56" t="n"/>
      <c r="I2332" s="43" t="n"/>
      <c r="J2332" s="57">
        <f>IF(OR(A2332="",H2332=""),"",IF(COUNTIFS(exp_year,C2332,exp_month,D2332,exp_item,E2332,exp_status,"&lt;&gt;❌ Отменено")&gt;0,1,0))</f>
        <v/>
      </c>
    </row>
    <row r="2333">
      <c r="A2333" s="52" t="n"/>
      <c r="B2333" s="53">
        <f>IF(A2333="","",CHOOSE(WEEKDAY(A2333,2),"Пн","Вт","Ср","Чт","Пт","Сб","Вс"))</f>
        <v/>
      </c>
      <c r="C2333" s="53">
        <f>IF(A2333="","",YEAR(A2333))</f>
        <v/>
      </c>
      <c r="D2333" s="54">
        <f>IF(A2333="","",INDEX(lst_months,MONTH(A2333)))</f>
        <v/>
      </c>
      <c r="E2333" s="55" t="n"/>
      <c r="F2333" s="54">
        <f>IF(E2333="","",IFERROR(IF(INDEX(lst_exp_item_cat,MATCH(E2333,lst_exp_items,0))="","❔ Без категории",INDEX(lst_exp_item_cat,MATCH(E2333,lst_exp_items,0))),"❔ Без категории"))</f>
        <v/>
      </c>
      <c r="G2333" s="43" t="n"/>
      <c r="H2333" s="56" t="n"/>
      <c r="I2333" s="43" t="n"/>
      <c r="J2333" s="57">
        <f>IF(OR(A2333="",H2333=""),"",IF(COUNTIFS(exp_year,C2333,exp_month,D2333,exp_item,E2333,exp_status,"&lt;&gt;❌ Отменено")&gt;0,1,0))</f>
        <v/>
      </c>
    </row>
    <row r="2334">
      <c r="A2334" s="52" t="n"/>
      <c r="B2334" s="53">
        <f>IF(A2334="","",CHOOSE(WEEKDAY(A2334,2),"Пн","Вт","Ср","Чт","Пт","Сб","Вс"))</f>
        <v/>
      </c>
      <c r="C2334" s="53">
        <f>IF(A2334="","",YEAR(A2334))</f>
        <v/>
      </c>
      <c r="D2334" s="54">
        <f>IF(A2334="","",INDEX(lst_months,MONTH(A2334)))</f>
        <v/>
      </c>
      <c r="E2334" s="55" t="n"/>
      <c r="F2334" s="54">
        <f>IF(E2334="","",IFERROR(IF(INDEX(lst_exp_item_cat,MATCH(E2334,lst_exp_items,0))="","❔ Без категории",INDEX(lst_exp_item_cat,MATCH(E2334,lst_exp_items,0))),"❔ Без категории"))</f>
        <v/>
      </c>
      <c r="G2334" s="43" t="n"/>
      <c r="H2334" s="56" t="n"/>
      <c r="I2334" s="43" t="n"/>
      <c r="J2334" s="57">
        <f>IF(OR(A2334="",H2334=""),"",IF(COUNTIFS(exp_year,C2334,exp_month,D2334,exp_item,E2334,exp_status,"&lt;&gt;❌ Отменено")&gt;0,1,0))</f>
        <v/>
      </c>
    </row>
    <row r="2335">
      <c r="A2335" s="52" t="n"/>
      <c r="B2335" s="53">
        <f>IF(A2335="","",CHOOSE(WEEKDAY(A2335,2),"Пн","Вт","Ср","Чт","Пт","Сб","Вс"))</f>
        <v/>
      </c>
      <c r="C2335" s="53">
        <f>IF(A2335="","",YEAR(A2335))</f>
        <v/>
      </c>
      <c r="D2335" s="54">
        <f>IF(A2335="","",INDEX(lst_months,MONTH(A2335)))</f>
        <v/>
      </c>
      <c r="E2335" s="55" t="n"/>
      <c r="F2335" s="54">
        <f>IF(E2335="","",IFERROR(IF(INDEX(lst_exp_item_cat,MATCH(E2335,lst_exp_items,0))="","❔ Без категории",INDEX(lst_exp_item_cat,MATCH(E2335,lst_exp_items,0))),"❔ Без категории"))</f>
        <v/>
      </c>
      <c r="G2335" s="43" t="n"/>
      <c r="H2335" s="56" t="n"/>
      <c r="I2335" s="43" t="n"/>
      <c r="J2335" s="57">
        <f>IF(OR(A2335="",H2335=""),"",IF(COUNTIFS(exp_year,C2335,exp_month,D2335,exp_item,E2335,exp_status,"&lt;&gt;❌ Отменено")&gt;0,1,0))</f>
        <v/>
      </c>
    </row>
    <row r="2336">
      <c r="A2336" s="52" t="n"/>
      <c r="B2336" s="53">
        <f>IF(A2336="","",CHOOSE(WEEKDAY(A2336,2),"Пн","Вт","Ср","Чт","Пт","Сб","Вс"))</f>
        <v/>
      </c>
      <c r="C2336" s="53">
        <f>IF(A2336="","",YEAR(A2336))</f>
        <v/>
      </c>
      <c r="D2336" s="54">
        <f>IF(A2336="","",INDEX(lst_months,MONTH(A2336)))</f>
        <v/>
      </c>
      <c r="E2336" s="55" t="n"/>
      <c r="F2336" s="54">
        <f>IF(E2336="","",IFERROR(IF(INDEX(lst_exp_item_cat,MATCH(E2336,lst_exp_items,0))="","❔ Без категории",INDEX(lst_exp_item_cat,MATCH(E2336,lst_exp_items,0))),"❔ Без категории"))</f>
        <v/>
      </c>
      <c r="G2336" s="43" t="n"/>
      <c r="H2336" s="56" t="n"/>
      <c r="I2336" s="43" t="n"/>
      <c r="J2336" s="57">
        <f>IF(OR(A2336="",H2336=""),"",IF(COUNTIFS(exp_year,C2336,exp_month,D2336,exp_item,E2336,exp_status,"&lt;&gt;❌ Отменено")&gt;0,1,0))</f>
        <v/>
      </c>
    </row>
    <row r="2337">
      <c r="A2337" s="52" t="n"/>
      <c r="B2337" s="53">
        <f>IF(A2337="","",CHOOSE(WEEKDAY(A2337,2),"Пн","Вт","Ср","Чт","Пт","Сб","Вс"))</f>
        <v/>
      </c>
      <c r="C2337" s="53">
        <f>IF(A2337="","",YEAR(A2337))</f>
        <v/>
      </c>
      <c r="D2337" s="54">
        <f>IF(A2337="","",INDEX(lst_months,MONTH(A2337)))</f>
        <v/>
      </c>
      <c r="E2337" s="55" t="n"/>
      <c r="F2337" s="54">
        <f>IF(E2337="","",IFERROR(IF(INDEX(lst_exp_item_cat,MATCH(E2337,lst_exp_items,0))="","❔ Без категории",INDEX(lst_exp_item_cat,MATCH(E2337,lst_exp_items,0))),"❔ Без категории"))</f>
        <v/>
      </c>
      <c r="G2337" s="43" t="n"/>
      <c r="H2337" s="56" t="n"/>
      <c r="I2337" s="43" t="n"/>
      <c r="J2337" s="57">
        <f>IF(OR(A2337="",H2337=""),"",IF(COUNTIFS(exp_year,C2337,exp_month,D2337,exp_item,E2337,exp_status,"&lt;&gt;❌ Отменено")&gt;0,1,0))</f>
        <v/>
      </c>
    </row>
    <row r="2338">
      <c r="A2338" s="52" t="n"/>
      <c r="B2338" s="53">
        <f>IF(A2338="","",CHOOSE(WEEKDAY(A2338,2),"Пн","Вт","Ср","Чт","Пт","Сб","Вс"))</f>
        <v/>
      </c>
      <c r="C2338" s="53">
        <f>IF(A2338="","",YEAR(A2338))</f>
        <v/>
      </c>
      <c r="D2338" s="54">
        <f>IF(A2338="","",INDEX(lst_months,MONTH(A2338)))</f>
        <v/>
      </c>
      <c r="E2338" s="55" t="n"/>
      <c r="F2338" s="54">
        <f>IF(E2338="","",IFERROR(IF(INDEX(lst_exp_item_cat,MATCH(E2338,lst_exp_items,0))="","❔ Без категории",INDEX(lst_exp_item_cat,MATCH(E2338,lst_exp_items,0))),"❔ Без категории"))</f>
        <v/>
      </c>
      <c r="G2338" s="43" t="n"/>
      <c r="H2338" s="56" t="n"/>
      <c r="I2338" s="43" t="n"/>
      <c r="J2338" s="57">
        <f>IF(OR(A2338="",H2338=""),"",IF(COUNTIFS(exp_year,C2338,exp_month,D2338,exp_item,E2338,exp_status,"&lt;&gt;❌ Отменено")&gt;0,1,0))</f>
        <v/>
      </c>
    </row>
    <row r="2339">
      <c r="A2339" s="52" t="n"/>
      <c r="B2339" s="53">
        <f>IF(A2339="","",CHOOSE(WEEKDAY(A2339,2),"Пн","Вт","Ср","Чт","Пт","Сб","Вс"))</f>
        <v/>
      </c>
      <c r="C2339" s="53">
        <f>IF(A2339="","",YEAR(A2339))</f>
        <v/>
      </c>
      <c r="D2339" s="54">
        <f>IF(A2339="","",INDEX(lst_months,MONTH(A2339)))</f>
        <v/>
      </c>
      <c r="E2339" s="55" t="n"/>
      <c r="F2339" s="54">
        <f>IF(E2339="","",IFERROR(IF(INDEX(lst_exp_item_cat,MATCH(E2339,lst_exp_items,0))="","❔ Без категории",INDEX(lst_exp_item_cat,MATCH(E2339,lst_exp_items,0))),"❔ Без категории"))</f>
        <v/>
      </c>
      <c r="G2339" s="43" t="n"/>
      <c r="H2339" s="56" t="n"/>
      <c r="I2339" s="43" t="n"/>
      <c r="J2339" s="57">
        <f>IF(OR(A2339="",H2339=""),"",IF(COUNTIFS(exp_year,C2339,exp_month,D2339,exp_item,E2339,exp_status,"&lt;&gt;❌ Отменено")&gt;0,1,0))</f>
        <v/>
      </c>
    </row>
    <row r="2340">
      <c r="A2340" s="52" t="n"/>
      <c r="B2340" s="53">
        <f>IF(A2340="","",CHOOSE(WEEKDAY(A2340,2),"Пн","Вт","Ср","Чт","Пт","Сб","Вс"))</f>
        <v/>
      </c>
      <c r="C2340" s="53">
        <f>IF(A2340="","",YEAR(A2340))</f>
        <v/>
      </c>
      <c r="D2340" s="54">
        <f>IF(A2340="","",INDEX(lst_months,MONTH(A2340)))</f>
        <v/>
      </c>
      <c r="E2340" s="55" t="n"/>
      <c r="F2340" s="54">
        <f>IF(E2340="","",IFERROR(IF(INDEX(lst_exp_item_cat,MATCH(E2340,lst_exp_items,0))="","❔ Без категории",INDEX(lst_exp_item_cat,MATCH(E2340,lst_exp_items,0))),"❔ Без категории"))</f>
        <v/>
      </c>
      <c r="G2340" s="43" t="n"/>
      <c r="H2340" s="56" t="n"/>
      <c r="I2340" s="43" t="n"/>
      <c r="J2340" s="57">
        <f>IF(OR(A2340="",H2340=""),"",IF(COUNTIFS(exp_year,C2340,exp_month,D2340,exp_item,E2340,exp_status,"&lt;&gt;❌ Отменено")&gt;0,1,0))</f>
        <v/>
      </c>
    </row>
    <row r="2341">
      <c r="A2341" s="52" t="n"/>
      <c r="B2341" s="53">
        <f>IF(A2341="","",CHOOSE(WEEKDAY(A2341,2),"Пн","Вт","Ср","Чт","Пт","Сб","Вс"))</f>
        <v/>
      </c>
      <c r="C2341" s="53">
        <f>IF(A2341="","",YEAR(A2341))</f>
        <v/>
      </c>
      <c r="D2341" s="54">
        <f>IF(A2341="","",INDEX(lst_months,MONTH(A2341)))</f>
        <v/>
      </c>
      <c r="E2341" s="55" t="n"/>
      <c r="F2341" s="54">
        <f>IF(E2341="","",IFERROR(IF(INDEX(lst_exp_item_cat,MATCH(E2341,lst_exp_items,0))="","❔ Без категории",INDEX(lst_exp_item_cat,MATCH(E2341,lst_exp_items,0))),"❔ Без категории"))</f>
        <v/>
      </c>
      <c r="G2341" s="43" t="n"/>
      <c r="H2341" s="56" t="n"/>
      <c r="I2341" s="43" t="n"/>
      <c r="J2341" s="57">
        <f>IF(OR(A2341="",H2341=""),"",IF(COUNTIFS(exp_year,C2341,exp_month,D2341,exp_item,E2341,exp_status,"&lt;&gt;❌ Отменено")&gt;0,1,0))</f>
        <v/>
      </c>
    </row>
    <row r="2342">
      <c r="A2342" s="52" t="n"/>
      <c r="B2342" s="53">
        <f>IF(A2342="","",CHOOSE(WEEKDAY(A2342,2),"Пн","Вт","Ср","Чт","Пт","Сб","Вс"))</f>
        <v/>
      </c>
      <c r="C2342" s="53">
        <f>IF(A2342="","",YEAR(A2342))</f>
        <v/>
      </c>
      <c r="D2342" s="54">
        <f>IF(A2342="","",INDEX(lst_months,MONTH(A2342)))</f>
        <v/>
      </c>
      <c r="E2342" s="55" t="n"/>
      <c r="F2342" s="54">
        <f>IF(E2342="","",IFERROR(IF(INDEX(lst_exp_item_cat,MATCH(E2342,lst_exp_items,0))="","❔ Без категории",INDEX(lst_exp_item_cat,MATCH(E2342,lst_exp_items,0))),"❔ Без категории"))</f>
        <v/>
      </c>
      <c r="G2342" s="43" t="n"/>
      <c r="H2342" s="56" t="n"/>
      <c r="I2342" s="43" t="n"/>
      <c r="J2342" s="57">
        <f>IF(OR(A2342="",H2342=""),"",IF(COUNTIFS(exp_year,C2342,exp_month,D2342,exp_item,E2342,exp_status,"&lt;&gt;❌ Отменено")&gt;0,1,0))</f>
        <v/>
      </c>
    </row>
    <row r="2343">
      <c r="A2343" s="52" t="n"/>
      <c r="B2343" s="53">
        <f>IF(A2343="","",CHOOSE(WEEKDAY(A2343,2),"Пн","Вт","Ср","Чт","Пт","Сб","Вс"))</f>
        <v/>
      </c>
      <c r="C2343" s="53">
        <f>IF(A2343="","",YEAR(A2343))</f>
        <v/>
      </c>
      <c r="D2343" s="54">
        <f>IF(A2343="","",INDEX(lst_months,MONTH(A2343)))</f>
        <v/>
      </c>
      <c r="E2343" s="55" t="n"/>
      <c r="F2343" s="54">
        <f>IF(E2343="","",IFERROR(IF(INDEX(lst_exp_item_cat,MATCH(E2343,lst_exp_items,0))="","❔ Без категории",INDEX(lst_exp_item_cat,MATCH(E2343,lst_exp_items,0))),"❔ Без категории"))</f>
        <v/>
      </c>
      <c r="G2343" s="43" t="n"/>
      <c r="H2343" s="56" t="n"/>
      <c r="I2343" s="43" t="n"/>
      <c r="J2343" s="57">
        <f>IF(OR(A2343="",H2343=""),"",IF(COUNTIFS(exp_year,C2343,exp_month,D2343,exp_item,E2343,exp_status,"&lt;&gt;❌ Отменено")&gt;0,1,0))</f>
        <v/>
      </c>
    </row>
    <row r="2344">
      <c r="A2344" s="52" t="n"/>
      <c r="B2344" s="53">
        <f>IF(A2344="","",CHOOSE(WEEKDAY(A2344,2),"Пн","Вт","Ср","Чт","Пт","Сб","Вс"))</f>
        <v/>
      </c>
      <c r="C2344" s="53">
        <f>IF(A2344="","",YEAR(A2344))</f>
        <v/>
      </c>
      <c r="D2344" s="54">
        <f>IF(A2344="","",INDEX(lst_months,MONTH(A2344)))</f>
        <v/>
      </c>
      <c r="E2344" s="55" t="n"/>
      <c r="F2344" s="54">
        <f>IF(E2344="","",IFERROR(IF(INDEX(lst_exp_item_cat,MATCH(E2344,lst_exp_items,0))="","❔ Без категории",INDEX(lst_exp_item_cat,MATCH(E2344,lst_exp_items,0))),"❔ Без категории"))</f>
        <v/>
      </c>
      <c r="G2344" s="43" t="n"/>
      <c r="H2344" s="56" t="n"/>
      <c r="I2344" s="43" t="n"/>
      <c r="J2344" s="57">
        <f>IF(OR(A2344="",H2344=""),"",IF(COUNTIFS(exp_year,C2344,exp_month,D2344,exp_item,E2344,exp_status,"&lt;&gt;❌ Отменено")&gt;0,1,0))</f>
        <v/>
      </c>
    </row>
    <row r="2345">
      <c r="A2345" s="52" t="n"/>
      <c r="B2345" s="53">
        <f>IF(A2345="","",CHOOSE(WEEKDAY(A2345,2),"Пн","Вт","Ср","Чт","Пт","Сб","Вс"))</f>
        <v/>
      </c>
      <c r="C2345" s="53">
        <f>IF(A2345="","",YEAR(A2345))</f>
        <v/>
      </c>
      <c r="D2345" s="54">
        <f>IF(A2345="","",INDEX(lst_months,MONTH(A2345)))</f>
        <v/>
      </c>
      <c r="E2345" s="55" t="n"/>
      <c r="F2345" s="54">
        <f>IF(E2345="","",IFERROR(IF(INDEX(lst_exp_item_cat,MATCH(E2345,lst_exp_items,0))="","❔ Без категории",INDEX(lst_exp_item_cat,MATCH(E2345,lst_exp_items,0))),"❔ Без категории"))</f>
        <v/>
      </c>
      <c r="G2345" s="43" t="n"/>
      <c r="H2345" s="56" t="n"/>
      <c r="I2345" s="43" t="n"/>
      <c r="J2345" s="57">
        <f>IF(OR(A2345="",H2345=""),"",IF(COUNTIFS(exp_year,C2345,exp_month,D2345,exp_item,E2345,exp_status,"&lt;&gt;❌ Отменено")&gt;0,1,0))</f>
        <v/>
      </c>
    </row>
    <row r="2346">
      <c r="A2346" s="52" t="n"/>
      <c r="B2346" s="53">
        <f>IF(A2346="","",CHOOSE(WEEKDAY(A2346,2),"Пн","Вт","Ср","Чт","Пт","Сб","Вс"))</f>
        <v/>
      </c>
      <c r="C2346" s="53">
        <f>IF(A2346="","",YEAR(A2346))</f>
        <v/>
      </c>
      <c r="D2346" s="54">
        <f>IF(A2346="","",INDEX(lst_months,MONTH(A2346)))</f>
        <v/>
      </c>
      <c r="E2346" s="55" t="n"/>
      <c r="F2346" s="54">
        <f>IF(E2346="","",IFERROR(IF(INDEX(lst_exp_item_cat,MATCH(E2346,lst_exp_items,0))="","❔ Без категории",INDEX(lst_exp_item_cat,MATCH(E2346,lst_exp_items,0))),"❔ Без категории"))</f>
        <v/>
      </c>
      <c r="G2346" s="43" t="n"/>
      <c r="H2346" s="56" t="n"/>
      <c r="I2346" s="43" t="n"/>
      <c r="J2346" s="57">
        <f>IF(OR(A2346="",H2346=""),"",IF(COUNTIFS(exp_year,C2346,exp_month,D2346,exp_item,E2346,exp_status,"&lt;&gt;❌ Отменено")&gt;0,1,0))</f>
        <v/>
      </c>
    </row>
    <row r="2347">
      <c r="A2347" s="52" t="n"/>
      <c r="B2347" s="53">
        <f>IF(A2347="","",CHOOSE(WEEKDAY(A2347,2),"Пн","Вт","Ср","Чт","Пт","Сб","Вс"))</f>
        <v/>
      </c>
      <c r="C2347" s="53">
        <f>IF(A2347="","",YEAR(A2347))</f>
        <v/>
      </c>
      <c r="D2347" s="54">
        <f>IF(A2347="","",INDEX(lst_months,MONTH(A2347)))</f>
        <v/>
      </c>
      <c r="E2347" s="55" t="n"/>
      <c r="F2347" s="54">
        <f>IF(E2347="","",IFERROR(IF(INDEX(lst_exp_item_cat,MATCH(E2347,lst_exp_items,0))="","❔ Без категории",INDEX(lst_exp_item_cat,MATCH(E2347,lst_exp_items,0))),"❔ Без категории"))</f>
        <v/>
      </c>
      <c r="G2347" s="43" t="n"/>
      <c r="H2347" s="56" t="n"/>
      <c r="I2347" s="43" t="n"/>
      <c r="J2347" s="57">
        <f>IF(OR(A2347="",H2347=""),"",IF(COUNTIFS(exp_year,C2347,exp_month,D2347,exp_item,E2347,exp_status,"&lt;&gt;❌ Отменено")&gt;0,1,0))</f>
        <v/>
      </c>
    </row>
    <row r="2348">
      <c r="A2348" s="52" t="n"/>
      <c r="B2348" s="53">
        <f>IF(A2348="","",CHOOSE(WEEKDAY(A2348,2),"Пн","Вт","Ср","Чт","Пт","Сб","Вс"))</f>
        <v/>
      </c>
      <c r="C2348" s="53">
        <f>IF(A2348="","",YEAR(A2348))</f>
        <v/>
      </c>
      <c r="D2348" s="54">
        <f>IF(A2348="","",INDEX(lst_months,MONTH(A2348)))</f>
        <v/>
      </c>
      <c r="E2348" s="55" t="n"/>
      <c r="F2348" s="54">
        <f>IF(E2348="","",IFERROR(IF(INDEX(lst_exp_item_cat,MATCH(E2348,lst_exp_items,0))="","❔ Без категории",INDEX(lst_exp_item_cat,MATCH(E2348,lst_exp_items,0))),"❔ Без категории"))</f>
        <v/>
      </c>
      <c r="G2348" s="43" t="n"/>
      <c r="H2348" s="56" t="n"/>
      <c r="I2348" s="43" t="n"/>
      <c r="J2348" s="57">
        <f>IF(OR(A2348="",H2348=""),"",IF(COUNTIFS(exp_year,C2348,exp_month,D2348,exp_item,E2348,exp_status,"&lt;&gt;❌ Отменено")&gt;0,1,0))</f>
        <v/>
      </c>
    </row>
    <row r="2349">
      <c r="A2349" s="52" t="n"/>
      <c r="B2349" s="53">
        <f>IF(A2349="","",CHOOSE(WEEKDAY(A2349,2),"Пн","Вт","Ср","Чт","Пт","Сб","Вс"))</f>
        <v/>
      </c>
      <c r="C2349" s="53">
        <f>IF(A2349="","",YEAR(A2349))</f>
        <v/>
      </c>
      <c r="D2349" s="54">
        <f>IF(A2349="","",INDEX(lst_months,MONTH(A2349)))</f>
        <v/>
      </c>
      <c r="E2349" s="55" t="n"/>
      <c r="F2349" s="54">
        <f>IF(E2349="","",IFERROR(IF(INDEX(lst_exp_item_cat,MATCH(E2349,lst_exp_items,0))="","❔ Без категории",INDEX(lst_exp_item_cat,MATCH(E2349,lst_exp_items,0))),"❔ Без категории"))</f>
        <v/>
      </c>
      <c r="G2349" s="43" t="n"/>
      <c r="H2349" s="56" t="n"/>
      <c r="I2349" s="43" t="n"/>
      <c r="J2349" s="57">
        <f>IF(OR(A2349="",H2349=""),"",IF(COUNTIFS(exp_year,C2349,exp_month,D2349,exp_item,E2349,exp_status,"&lt;&gt;❌ Отменено")&gt;0,1,0))</f>
        <v/>
      </c>
    </row>
    <row r="2350">
      <c r="A2350" s="52" t="n"/>
      <c r="B2350" s="53">
        <f>IF(A2350="","",CHOOSE(WEEKDAY(A2350,2),"Пн","Вт","Ср","Чт","Пт","Сб","Вс"))</f>
        <v/>
      </c>
      <c r="C2350" s="53">
        <f>IF(A2350="","",YEAR(A2350))</f>
        <v/>
      </c>
      <c r="D2350" s="54">
        <f>IF(A2350="","",INDEX(lst_months,MONTH(A2350)))</f>
        <v/>
      </c>
      <c r="E2350" s="55" t="n"/>
      <c r="F2350" s="54">
        <f>IF(E2350="","",IFERROR(IF(INDEX(lst_exp_item_cat,MATCH(E2350,lst_exp_items,0))="","❔ Без категории",INDEX(lst_exp_item_cat,MATCH(E2350,lst_exp_items,0))),"❔ Без категории"))</f>
        <v/>
      </c>
      <c r="G2350" s="43" t="n"/>
      <c r="H2350" s="56" t="n"/>
      <c r="I2350" s="43" t="n"/>
      <c r="J2350" s="57">
        <f>IF(OR(A2350="",H2350=""),"",IF(COUNTIFS(exp_year,C2350,exp_month,D2350,exp_item,E2350,exp_status,"&lt;&gt;❌ Отменено")&gt;0,1,0))</f>
        <v/>
      </c>
    </row>
    <row r="2351">
      <c r="A2351" s="52" t="n"/>
      <c r="B2351" s="53">
        <f>IF(A2351="","",CHOOSE(WEEKDAY(A2351,2),"Пн","Вт","Ср","Чт","Пт","Сб","Вс"))</f>
        <v/>
      </c>
      <c r="C2351" s="53">
        <f>IF(A2351="","",YEAR(A2351))</f>
        <v/>
      </c>
      <c r="D2351" s="54">
        <f>IF(A2351="","",INDEX(lst_months,MONTH(A2351)))</f>
        <v/>
      </c>
      <c r="E2351" s="55" t="n"/>
      <c r="F2351" s="54">
        <f>IF(E2351="","",IFERROR(IF(INDEX(lst_exp_item_cat,MATCH(E2351,lst_exp_items,0))="","❔ Без категории",INDEX(lst_exp_item_cat,MATCH(E2351,lst_exp_items,0))),"❔ Без категории"))</f>
        <v/>
      </c>
      <c r="G2351" s="43" t="n"/>
      <c r="H2351" s="56" t="n"/>
      <c r="I2351" s="43" t="n"/>
      <c r="J2351" s="57">
        <f>IF(OR(A2351="",H2351=""),"",IF(COUNTIFS(exp_year,C2351,exp_month,D2351,exp_item,E2351,exp_status,"&lt;&gt;❌ Отменено")&gt;0,1,0))</f>
        <v/>
      </c>
    </row>
    <row r="2352">
      <c r="A2352" s="52" t="n"/>
      <c r="B2352" s="53">
        <f>IF(A2352="","",CHOOSE(WEEKDAY(A2352,2),"Пн","Вт","Ср","Чт","Пт","Сб","Вс"))</f>
        <v/>
      </c>
      <c r="C2352" s="53">
        <f>IF(A2352="","",YEAR(A2352))</f>
        <v/>
      </c>
      <c r="D2352" s="54">
        <f>IF(A2352="","",INDEX(lst_months,MONTH(A2352)))</f>
        <v/>
      </c>
      <c r="E2352" s="55" t="n"/>
      <c r="F2352" s="54">
        <f>IF(E2352="","",IFERROR(IF(INDEX(lst_exp_item_cat,MATCH(E2352,lst_exp_items,0))="","❔ Без категории",INDEX(lst_exp_item_cat,MATCH(E2352,lst_exp_items,0))),"❔ Без категории"))</f>
        <v/>
      </c>
      <c r="G2352" s="43" t="n"/>
      <c r="H2352" s="56" t="n"/>
      <c r="I2352" s="43" t="n"/>
      <c r="J2352" s="57">
        <f>IF(OR(A2352="",H2352=""),"",IF(COUNTIFS(exp_year,C2352,exp_month,D2352,exp_item,E2352,exp_status,"&lt;&gt;❌ Отменено")&gt;0,1,0))</f>
        <v/>
      </c>
    </row>
    <row r="2353">
      <c r="A2353" s="52" t="n"/>
      <c r="B2353" s="53">
        <f>IF(A2353="","",CHOOSE(WEEKDAY(A2353,2),"Пн","Вт","Ср","Чт","Пт","Сб","Вс"))</f>
        <v/>
      </c>
      <c r="C2353" s="53">
        <f>IF(A2353="","",YEAR(A2353))</f>
        <v/>
      </c>
      <c r="D2353" s="54">
        <f>IF(A2353="","",INDEX(lst_months,MONTH(A2353)))</f>
        <v/>
      </c>
      <c r="E2353" s="55" t="n"/>
      <c r="F2353" s="54">
        <f>IF(E2353="","",IFERROR(IF(INDEX(lst_exp_item_cat,MATCH(E2353,lst_exp_items,0))="","❔ Без категории",INDEX(lst_exp_item_cat,MATCH(E2353,lst_exp_items,0))),"❔ Без категории"))</f>
        <v/>
      </c>
      <c r="G2353" s="43" t="n"/>
      <c r="H2353" s="56" t="n"/>
      <c r="I2353" s="43" t="n"/>
      <c r="J2353" s="57">
        <f>IF(OR(A2353="",H2353=""),"",IF(COUNTIFS(exp_year,C2353,exp_month,D2353,exp_item,E2353,exp_status,"&lt;&gt;❌ Отменено")&gt;0,1,0))</f>
        <v/>
      </c>
    </row>
    <row r="2354">
      <c r="A2354" s="52" t="n"/>
      <c r="B2354" s="53">
        <f>IF(A2354="","",CHOOSE(WEEKDAY(A2354,2),"Пн","Вт","Ср","Чт","Пт","Сб","Вс"))</f>
        <v/>
      </c>
      <c r="C2354" s="53">
        <f>IF(A2354="","",YEAR(A2354))</f>
        <v/>
      </c>
      <c r="D2354" s="54">
        <f>IF(A2354="","",INDEX(lst_months,MONTH(A2354)))</f>
        <v/>
      </c>
      <c r="E2354" s="55" t="n"/>
      <c r="F2354" s="54">
        <f>IF(E2354="","",IFERROR(IF(INDEX(lst_exp_item_cat,MATCH(E2354,lst_exp_items,0))="","❔ Без категории",INDEX(lst_exp_item_cat,MATCH(E2354,lst_exp_items,0))),"❔ Без категории"))</f>
        <v/>
      </c>
      <c r="G2354" s="43" t="n"/>
      <c r="H2354" s="56" t="n"/>
      <c r="I2354" s="43" t="n"/>
      <c r="J2354" s="57">
        <f>IF(OR(A2354="",H2354=""),"",IF(COUNTIFS(exp_year,C2354,exp_month,D2354,exp_item,E2354,exp_status,"&lt;&gt;❌ Отменено")&gt;0,1,0))</f>
        <v/>
      </c>
    </row>
    <row r="2355">
      <c r="A2355" s="52" t="n"/>
      <c r="B2355" s="53">
        <f>IF(A2355="","",CHOOSE(WEEKDAY(A2355,2),"Пн","Вт","Ср","Чт","Пт","Сб","Вс"))</f>
        <v/>
      </c>
      <c r="C2355" s="53">
        <f>IF(A2355="","",YEAR(A2355))</f>
        <v/>
      </c>
      <c r="D2355" s="54">
        <f>IF(A2355="","",INDEX(lst_months,MONTH(A2355)))</f>
        <v/>
      </c>
      <c r="E2355" s="55" t="n"/>
      <c r="F2355" s="54">
        <f>IF(E2355="","",IFERROR(IF(INDEX(lst_exp_item_cat,MATCH(E2355,lst_exp_items,0))="","❔ Без категории",INDEX(lst_exp_item_cat,MATCH(E2355,lst_exp_items,0))),"❔ Без категории"))</f>
        <v/>
      </c>
      <c r="G2355" s="43" t="n"/>
      <c r="H2355" s="56" t="n"/>
      <c r="I2355" s="43" t="n"/>
      <c r="J2355" s="57">
        <f>IF(OR(A2355="",H2355=""),"",IF(COUNTIFS(exp_year,C2355,exp_month,D2355,exp_item,E2355,exp_status,"&lt;&gt;❌ Отменено")&gt;0,1,0))</f>
        <v/>
      </c>
    </row>
    <row r="2356">
      <c r="A2356" s="52" t="n"/>
      <c r="B2356" s="53">
        <f>IF(A2356="","",CHOOSE(WEEKDAY(A2356,2),"Пн","Вт","Ср","Чт","Пт","Сб","Вс"))</f>
        <v/>
      </c>
      <c r="C2356" s="53">
        <f>IF(A2356="","",YEAR(A2356))</f>
        <v/>
      </c>
      <c r="D2356" s="54">
        <f>IF(A2356="","",INDEX(lst_months,MONTH(A2356)))</f>
        <v/>
      </c>
      <c r="E2356" s="55" t="n"/>
      <c r="F2356" s="54">
        <f>IF(E2356="","",IFERROR(IF(INDEX(lst_exp_item_cat,MATCH(E2356,lst_exp_items,0))="","❔ Без категории",INDEX(lst_exp_item_cat,MATCH(E2356,lst_exp_items,0))),"❔ Без категории"))</f>
        <v/>
      </c>
      <c r="G2356" s="43" t="n"/>
      <c r="H2356" s="56" t="n"/>
      <c r="I2356" s="43" t="n"/>
      <c r="J2356" s="57">
        <f>IF(OR(A2356="",H2356=""),"",IF(COUNTIFS(exp_year,C2356,exp_month,D2356,exp_item,E2356,exp_status,"&lt;&gt;❌ Отменено")&gt;0,1,0))</f>
        <v/>
      </c>
    </row>
    <row r="2357">
      <c r="A2357" s="52" t="n"/>
      <c r="B2357" s="53">
        <f>IF(A2357="","",CHOOSE(WEEKDAY(A2357,2),"Пн","Вт","Ср","Чт","Пт","Сб","Вс"))</f>
        <v/>
      </c>
      <c r="C2357" s="53">
        <f>IF(A2357="","",YEAR(A2357))</f>
        <v/>
      </c>
      <c r="D2357" s="54">
        <f>IF(A2357="","",INDEX(lst_months,MONTH(A2357)))</f>
        <v/>
      </c>
      <c r="E2357" s="55" t="n"/>
      <c r="F2357" s="54">
        <f>IF(E2357="","",IFERROR(IF(INDEX(lst_exp_item_cat,MATCH(E2357,lst_exp_items,0))="","❔ Без категории",INDEX(lst_exp_item_cat,MATCH(E2357,lst_exp_items,0))),"❔ Без категории"))</f>
        <v/>
      </c>
      <c r="G2357" s="43" t="n"/>
      <c r="H2357" s="56" t="n"/>
      <c r="I2357" s="43" t="n"/>
      <c r="J2357" s="57">
        <f>IF(OR(A2357="",H2357=""),"",IF(COUNTIFS(exp_year,C2357,exp_month,D2357,exp_item,E2357,exp_status,"&lt;&gt;❌ Отменено")&gt;0,1,0))</f>
        <v/>
      </c>
    </row>
    <row r="2358">
      <c r="A2358" s="52" t="n"/>
      <c r="B2358" s="53">
        <f>IF(A2358="","",CHOOSE(WEEKDAY(A2358,2),"Пн","Вт","Ср","Чт","Пт","Сб","Вс"))</f>
        <v/>
      </c>
      <c r="C2358" s="53">
        <f>IF(A2358="","",YEAR(A2358))</f>
        <v/>
      </c>
      <c r="D2358" s="54">
        <f>IF(A2358="","",INDEX(lst_months,MONTH(A2358)))</f>
        <v/>
      </c>
      <c r="E2358" s="55" t="n"/>
      <c r="F2358" s="54">
        <f>IF(E2358="","",IFERROR(IF(INDEX(lst_exp_item_cat,MATCH(E2358,lst_exp_items,0))="","❔ Без категории",INDEX(lst_exp_item_cat,MATCH(E2358,lst_exp_items,0))),"❔ Без категории"))</f>
        <v/>
      </c>
      <c r="G2358" s="43" t="n"/>
      <c r="H2358" s="56" t="n"/>
      <c r="I2358" s="43" t="n"/>
      <c r="J2358" s="57">
        <f>IF(OR(A2358="",H2358=""),"",IF(COUNTIFS(exp_year,C2358,exp_month,D2358,exp_item,E2358,exp_status,"&lt;&gt;❌ Отменено")&gt;0,1,0))</f>
        <v/>
      </c>
    </row>
    <row r="2359">
      <c r="A2359" s="52" t="n"/>
      <c r="B2359" s="53">
        <f>IF(A2359="","",CHOOSE(WEEKDAY(A2359,2),"Пн","Вт","Ср","Чт","Пт","Сб","Вс"))</f>
        <v/>
      </c>
      <c r="C2359" s="53">
        <f>IF(A2359="","",YEAR(A2359))</f>
        <v/>
      </c>
      <c r="D2359" s="54">
        <f>IF(A2359="","",INDEX(lst_months,MONTH(A2359)))</f>
        <v/>
      </c>
      <c r="E2359" s="55" t="n"/>
      <c r="F2359" s="54">
        <f>IF(E2359="","",IFERROR(IF(INDEX(lst_exp_item_cat,MATCH(E2359,lst_exp_items,0))="","❔ Без категории",INDEX(lst_exp_item_cat,MATCH(E2359,lst_exp_items,0))),"❔ Без категории"))</f>
        <v/>
      </c>
      <c r="G2359" s="43" t="n"/>
      <c r="H2359" s="56" t="n"/>
      <c r="I2359" s="43" t="n"/>
      <c r="J2359" s="57">
        <f>IF(OR(A2359="",H2359=""),"",IF(COUNTIFS(exp_year,C2359,exp_month,D2359,exp_item,E2359,exp_status,"&lt;&gt;❌ Отменено")&gt;0,1,0))</f>
        <v/>
      </c>
    </row>
    <row r="2360">
      <c r="A2360" s="52" t="n"/>
      <c r="B2360" s="53">
        <f>IF(A2360="","",CHOOSE(WEEKDAY(A2360,2),"Пн","Вт","Ср","Чт","Пт","Сб","Вс"))</f>
        <v/>
      </c>
      <c r="C2360" s="53">
        <f>IF(A2360="","",YEAR(A2360))</f>
        <v/>
      </c>
      <c r="D2360" s="54">
        <f>IF(A2360="","",INDEX(lst_months,MONTH(A2360)))</f>
        <v/>
      </c>
      <c r="E2360" s="55" t="n"/>
      <c r="F2360" s="54">
        <f>IF(E2360="","",IFERROR(IF(INDEX(lst_exp_item_cat,MATCH(E2360,lst_exp_items,0))="","❔ Без категории",INDEX(lst_exp_item_cat,MATCH(E2360,lst_exp_items,0))),"❔ Без категории"))</f>
        <v/>
      </c>
      <c r="G2360" s="43" t="n"/>
      <c r="H2360" s="56" t="n"/>
      <c r="I2360" s="43" t="n"/>
      <c r="J2360" s="57">
        <f>IF(OR(A2360="",H2360=""),"",IF(COUNTIFS(exp_year,C2360,exp_month,D2360,exp_item,E2360,exp_status,"&lt;&gt;❌ Отменено")&gt;0,1,0))</f>
        <v/>
      </c>
    </row>
    <row r="2361">
      <c r="A2361" s="52" t="n"/>
      <c r="B2361" s="53">
        <f>IF(A2361="","",CHOOSE(WEEKDAY(A2361,2),"Пн","Вт","Ср","Чт","Пт","Сб","Вс"))</f>
        <v/>
      </c>
      <c r="C2361" s="53">
        <f>IF(A2361="","",YEAR(A2361))</f>
        <v/>
      </c>
      <c r="D2361" s="54">
        <f>IF(A2361="","",INDEX(lst_months,MONTH(A2361)))</f>
        <v/>
      </c>
      <c r="E2361" s="55" t="n"/>
      <c r="F2361" s="54">
        <f>IF(E2361="","",IFERROR(IF(INDEX(lst_exp_item_cat,MATCH(E2361,lst_exp_items,0))="","❔ Без категории",INDEX(lst_exp_item_cat,MATCH(E2361,lst_exp_items,0))),"❔ Без категории"))</f>
        <v/>
      </c>
      <c r="G2361" s="43" t="n"/>
      <c r="H2361" s="56" t="n"/>
      <c r="I2361" s="43" t="n"/>
      <c r="J2361" s="57">
        <f>IF(OR(A2361="",H2361=""),"",IF(COUNTIFS(exp_year,C2361,exp_month,D2361,exp_item,E2361,exp_status,"&lt;&gt;❌ Отменено")&gt;0,1,0))</f>
        <v/>
      </c>
    </row>
    <row r="2362">
      <c r="A2362" s="52" t="n"/>
      <c r="B2362" s="53">
        <f>IF(A2362="","",CHOOSE(WEEKDAY(A2362,2),"Пн","Вт","Ср","Чт","Пт","Сб","Вс"))</f>
        <v/>
      </c>
      <c r="C2362" s="53">
        <f>IF(A2362="","",YEAR(A2362))</f>
        <v/>
      </c>
      <c r="D2362" s="54">
        <f>IF(A2362="","",INDEX(lst_months,MONTH(A2362)))</f>
        <v/>
      </c>
      <c r="E2362" s="55" t="n"/>
      <c r="F2362" s="54">
        <f>IF(E2362="","",IFERROR(IF(INDEX(lst_exp_item_cat,MATCH(E2362,lst_exp_items,0))="","❔ Без категории",INDEX(lst_exp_item_cat,MATCH(E2362,lst_exp_items,0))),"❔ Без категории"))</f>
        <v/>
      </c>
      <c r="G2362" s="43" t="n"/>
      <c r="H2362" s="56" t="n"/>
      <c r="I2362" s="43" t="n"/>
      <c r="J2362" s="57">
        <f>IF(OR(A2362="",H2362=""),"",IF(COUNTIFS(exp_year,C2362,exp_month,D2362,exp_item,E2362,exp_status,"&lt;&gt;❌ Отменено")&gt;0,1,0))</f>
        <v/>
      </c>
    </row>
    <row r="2363">
      <c r="A2363" s="52" t="n"/>
      <c r="B2363" s="53">
        <f>IF(A2363="","",CHOOSE(WEEKDAY(A2363,2),"Пн","Вт","Ср","Чт","Пт","Сб","Вс"))</f>
        <v/>
      </c>
      <c r="C2363" s="53">
        <f>IF(A2363="","",YEAR(A2363))</f>
        <v/>
      </c>
      <c r="D2363" s="54">
        <f>IF(A2363="","",INDEX(lst_months,MONTH(A2363)))</f>
        <v/>
      </c>
      <c r="E2363" s="55" t="n"/>
      <c r="F2363" s="54">
        <f>IF(E2363="","",IFERROR(IF(INDEX(lst_exp_item_cat,MATCH(E2363,lst_exp_items,0))="","❔ Без категории",INDEX(lst_exp_item_cat,MATCH(E2363,lst_exp_items,0))),"❔ Без категории"))</f>
        <v/>
      </c>
      <c r="G2363" s="43" t="n"/>
      <c r="H2363" s="56" t="n"/>
      <c r="I2363" s="43" t="n"/>
      <c r="J2363" s="57">
        <f>IF(OR(A2363="",H2363=""),"",IF(COUNTIFS(exp_year,C2363,exp_month,D2363,exp_item,E2363,exp_status,"&lt;&gt;❌ Отменено")&gt;0,1,0))</f>
        <v/>
      </c>
    </row>
    <row r="2364">
      <c r="A2364" s="52" t="n"/>
      <c r="B2364" s="53">
        <f>IF(A2364="","",CHOOSE(WEEKDAY(A2364,2),"Пн","Вт","Ср","Чт","Пт","Сб","Вс"))</f>
        <v/>
      </c>
      <c r="C2364" s="53">
        <f>IF(A2364="","",YEAR(A2364))</f>
        <v/>
      </c>
      <c r="D2364" s="54">
        <f>IF(A2364="","",INDEX(lst_months,MONTH(A2364)))</f>
        <v/>
      </c>
      <c r="E2364" s="55" t="n"/>
      <c r="F2364" s="54">
        <f>IF(E2364="","",IFERROR(IF(INDEX(lst_exp_item_cat,MATCH(E2364,lst_exp_items,0))="","❔ Без категории",INDEX(lst_exp_item_cat,MATCH(E2364,lst_exp_items,0))),"❔ Без категории"))</f>
        <v/>
      </c>
      <c r="G2364" s="43" t="n"/>
      <c r="H2364" s="56" t="n"/>
      <c r="I2364" s="43" t="n"/>
      <c r="J2364" s="57">
        <f>IF(OR(A2364="",H2364=""),"",IF(COUNTIFS(exp_year,C2364,exp_month,D2364,exp_item,E2364,exp_status,"&lt;&gt;❌ Отменено")&gt;0,1,0))</f>
        <v/>
      </c>
    </row>
    <row r="2365">
      <c r="A2365" s="52" t="n"/>
      <c r="B2365" s="53">
        <f>IF(A2365="","",CHOOSE(WEEKDAY(A2365,2),"Пн","Вт","Ср","Чт","Пт","Сб","Вс"))</f>
        <v/>
      </c>
      <c r="C2365" s="53">
        <f>IF(A2365="","",YEAR(A2365))</f>
        <v/>
      </c>
      <c r="D2365" s="54">
        <f>IF(A2365="","",INDEX(lst_months,MONTH(A2365)))</f>
        <v/>
      </c>
      <c r="E2365" s="55" t="n"/>
      <c r="F2365" s="54">
        <f>IF(E2365="","",IFERROR(IF(INDEX(lst_exp_item_cat,MATCH(E2365,lst_exp_items,0))="","❔ Без категории",INDEX(lst_exp_item_cat,MATCH(E2365,lst_exp_items,0))),"❔ Без категории"))</f>
        <v/>
      </c>
      <c r="G2365" s="43" t="n"/>
      <c r="H2365" s="56" t="n"/>
      <c r="I2365" s="43" t="n"/>
      <c r="J2365" s="57">
        <f>IF(OR(A2365="",H2365=""),"",IF(COUNTIFS(exp_year,C2365,exp_month,D2365,exp_item,E2365,exp_status,"&lt;&gt;❌ Отменено")&gt;0,1,0))</f>
        <v/>
      </c>
    </row>
    <row r="2366">
      <c r="A2366" s="52" t="n"/>
      <c r="B2366" s="53">
        <f>IF(A2366="","",CHOOSE(WEEKDAY(A2366,2),"Пн","Вт","Ср","Чт","Пт","Сб","Вс"))</f>
        <v/>
      </c>
      <c r="C2366" s="53">
        <f>IF(A2366="","",YEAR(A2366))</f>
        <v/>
      </c>
      <c r="D2366" s="54">
        <f>IF(A2366="","",INDEX(lst_months,MONTH(A2366)))</f>
        <v/>
      </c>
      <c r="E2366" s="55" t="n"/>
      <c r="F2366" s="54">
        <f>IF(E2366="","",IFERROR(IF(INDEX(lst_exp_item_cat,MATCH(E2366,lst_exp_items,0))="","❔ Без категории",INDEX(lst_exp_item_cat,MATCH(E2366,lst_exp_items,0))),"❔ Без категории"))</f>
        <v/>
      </c>
      <c r="G2366" s="43" t="n"/>
      <c r="H2366" s="56" t="n"/>
      <c r="I2366" s="43" t="n"/>
      <c r="J2366" s="57">
        <f>IF(OR(A2366="",H2366=""),"",IF(COUNTIFS(exp_year,C2366,exp_month,D2366,exp_item,E2366,exp_status,"&lt;&gt;❌ Отменено")&gt;0,1,0))</f>
        <v/>
      </c>
    </row>
    <row r="2367">
      <c r="A2367" s="52" t="n"/>
      <c r="B2367" s="53">
        <f>IF(A2367="","",CHOOSE(WEEKDAY(A2367,2),"Пн","Вт","Ср","Чт","Пт","Сб","Вс"))</f>
        <v/>
      </c>
      <c r="C2367" s="53">
        <f>IF(A2367="","",YEAR(A2367))</f>
        <v/>
      </c>
      <c r="D2367" s="54">
        <f>IF(A2367="","",INDEX(lst_months,MONTH(A2367)))</f>
        <v/>
      </c>
      <c r="E2367" s="55" t="n"/>
      <c r="F2367" s="54">
        <f>IF(E2367="","",IFERROR(IF(INDEX(lst_exp_item_cat,MATCH(E2367,lst_exp_items,0))="","❔ Без категории",INDEX(lst_exp_item_cat,MATCH(E2367,lst_exp_items,0))),"❔ Без категории"))</f>
        <v/>
      </c>
      <c r="G2367" s="43" t="n"/>
      <c r="H2367" s="56" t="n"/>
      <c r="I2367" s="43" t="n"/>
      <c r="J2367" s="57">
        <f>IF(OR(A2367="",H2367=""),"",IF(COUNTIFS(exp_year,C2367,exp_month,D2367,exp_item,E2367,exp_status,"&lt;&gt;❌ Отменено")&gt;0,1,0))</f>
        <v/>
      </c>
    </row>
    <row r="2368">
      <c r="A2368" s="52" t="n"/>
      <c r="B2368" s="53">
        <f>IF(A2368="","",CHOOSE(WEEKDAY(A2368,2),"Пн","Вт","Ср","Чт","Пт","Сб","Вс"))</f>
        <v/>
      </c>
      <c r="C2368" s="53">
        <f>IF(A2368="","",YEAR(A2368))</f>
        <v/>
      </c>
      <c r="D2368" s="54">
        <f>IF(A2368="","",INDEX(lst_months,MONTH(A2368)))</f>
        <v/>
      </c>
      <c r="E2368" s="55" t="n"/>
      <c r="F2368" s="54">
        <f>IF(E2368="","",IFERROR(IF(INDEX(lst_exp_item_cat,MATCH(E2368,lst_exp_items,0))="","❔ Без категории",INDEX(lst_exp_item_cat,MATCH(E2368,lst_exp_items,0))),"❔ Без категории"))</f>
        <v/>
      </c>
      <c r="G2368" s="43" t="n"/>
      <c r="H2368" s="56" t="n"/>
      <c r="I2368" s="43" t="n"/>
      <c r="J2368" s="57">
        <f>IF(OR(A2368="",H2368=""),"",IF(COUNTIFS(exp_year,C2368,exp_month,D2368,exp_item,E2368,exp_status,"&lt;&gt;❌ Отменено")&gt;0,1,0))</f>
        <v/>
      </c>
    </row>
    <row r="2369">
      <c r="A2369" s="52" t="n"/>
      <c r="B2369" s="53">
        <f>IF(A2369="","",CHOOSE(WEEKDAY(A2369,2),"Пн","Вт","Ср","Чт","Пт","Сб","Вс"))</f>
        <v/>
      </c>
      <c r="C2369" s="53">
        <f>IF(A2369="","",YEAR(A2369))</f>
        <v/>
      </c>
      <c r="D2369" s="54">
        <f>IF(A2369="","",INDEX(lst_months,MONTH(A2369)))</f>
        <v/>
      </c>
      <c r="E2369" s="55" t="n"/>
      <c r="F2369" s="54">
        <f>IF(E2369="","",IFERROR(IF(INDEX(lst_exp_item_cat,MATCH(E2369,lst_exp_items,0))="","❔ Без категории",INDEX(lst_exp_item_cat,MATCH(E2369,lst_exp_items,0))),"❔ Без категории"))</f>
        <v/>
      </c>
      <c r="G2369" s="43" t="n"/>
      <c r="H2369" s="56" t="n"/>
      <c r="I2369" s="43" t="n"/>
      <c r="J2369" s="57">
        <f>IF(OR(A2369="",H2369=""),"",IF(COUNTIFS(exp_year,C2369,exp_month,D2369,exp_item,E2369,exp_status,"&lt;&gt;❌ Отменено")&gt;0,1,0))</f>
        <v/>
      </c>
    </row>
    <row r="2370">
      <c r="A2370" s="52" t="n"/>
      <c r="B2370" s="53">
        <f>IF(A2370="","",CHOOSE(WEEKDAY(A2370,2),"Пн","Вт","Ср","Чт","Пт","Сб","Вс"))</f>
        <v/>
      </c>
      <c r="C2370" s="53">
        <f>IF(A2370="","",YEAR(A2370))</f>
        <v/>
      </c>
      <c r="D2370" s="54">
        <f>IF(A2370="","",INDEX(lst_months,MONTH(A2370)))</f>
        <v/>
      </c>
      <c r="E2370" s="55" t="n"/>
      <c r="F2370" s="54">
        <f>IF(E2370="","",IFERROR(IF(INDEX(lst_exp_item_cat,MATCH(E2370,lst_exp_items,0))="","❔ Без категории",INDEX(lst_exp_item_cat,MATCH(E2370,lst_exp_items,0))),"❔ Без категории"))</f>
        <v/>
      </c>
      <c r="G2370" s="43" t="n"/>
      <c r="H2370" s="56" t="n"/>
      <c r="I2370" s="43" t="n"/>
      <c r="J2370" s="57">
        <f>IF(OR(A2370="",H2370=""),"",IF(COUNTIFS(exp_year,C2370,exp_month,D2370,exp_item,E2370,exp_status,"&lt;&gt;❌ Отменено")&gt;0,1,0))</f>
        <v/>
      </c>
    </row>
    <row r="2371">
      <c r="A2371" s="52" t="n"/>
      <c r="B2371" s="53">
        <f>IF(A2371="","",CHOOSE(WEEKDAY(A2371,2),"Пн","Вт","Ср","Чт","Пт","Сб","Вс"))</f>
        <v/>
      </c>
      <c r="C2371" s="53">
        <f>IF(A2371="","",YEAR(A2371))</f>
        <v/>
      </c>
      <c r="D2371" s="54">
        <f>IF(A2371="","",INDEX(lst_months,MONTH(A2371)))</f>
        <v/>
      </c>
      <c r="E2371" s="55" t="n"/>
      <c r="F2371" s="54">
        <f>IF(E2371="","",IFERROR(IF(INDEX(lst_exp_item_cat,MATCH(E2371,lst_exp_items,0))="","❔ Без категории",INDEX(lst_exp_item_cat,MATCH(E2371,lst_exp_items,0))),"❔ Без категории"))</f>
        <v/>
      </c>
      <c r="G2371" s="43" t="n"/>
      <c r="H2371" s="56" t="n"/>
      <c r="I2371" s="43" t="n"/>
      <c r="J2371" s="57">
        <f>IF(OR(A2371="",H2371=""),"",IF(COUNTIFS(exp_year,C2371,exp_month,D2371,exp_item,E2371,exp_status,"&lt;&gt;❌ Отменено")&gt;0,1,0))</f>
        <v/>
      </c>
    </row>
    <row r="2372">
      <c r="A2372" s="52" t="n"/>
      <c r="B2372" s="53">
        <f>IF(A2372="","",CHOOSE(WEEKDAY(A2372,2),"Пн","Вт","Ср","Чт","Пт","Сб","Вс"))</f>
        <v/>
      </c>
      <c r="C2372" s="53">
        <f>IF(A2372="","",YEAR(A2372))</f>
        <v/>
      </c>
      <c r="D2372" s="54">
        <f>IF(A2372="","",INDEX(lst_months,MONTH(A2372)))</f>
        <v/>
      </c>
      <c r="E2372" s="55" t="n"/>
      <c r="F2372" s="54">
        <f>IF(E2372="","",IFERROR(IF(INDEX(lst_exp_item_cat,MATCH(E2372,lst_exp_items,0))="","❔ Без категории",INDEX(lst_exp_item_cat,MATCH(E2372,lst_exp_items,0))),"❔ Без категории"))</f>
        <v/>
      </c>
      <c r="G2372" s="43" t="n"/>
      <c r="H2372" s="56" t="n"/>
      <c r="I2372" s="43" t="n"/>
      <c r="J2372" s="57">
        <f>IF(OR(A2372="",H2372=""),"",IF(COUNTIFS(exp_year,C2372,exp_month,D2372,exp_item,E2372,exp_status,"&lt;&gt;❌ Отменено")&gt;0,1,0))</f>
        <v/>
      </c>
    </row>
    <row r="2373">
      <c r="A2373" s="52" t="n"/>
      <c r="B2373" s="53">
        <f>IF(A2373="","",CHOOSE(WEEKDAY(A2373,2),"Пн","Вт","Ср","Чт","Пт","Сб","Вс"))</f>
        <v/>
      </c>
      <c r="C2373" s="53">
        <f>IF(A2373="","",YEAR(A2373))</f>
        <v/>
      </c>
      <c r="D2373" s="54">
        <f>IF(A2373="","",INDEX(lst_months,MONTH(A2373)))</f>
        <v/>
      </c>
      <c r="E2373" s="55" t="n"/>
      <c r="F2373" s="54">
        <f>IF(E2373="","",IFERROR(IF(INDEX(lst_exp_item_cat,MATCH(E2373,lst_exp_items,0))="","❔ Без категории",INDEX(lst_exp_item_cat,MATCH(E2373,lst_exp_items,0))),"❔ Без категории"))</f>
        <v/>
      </c>
      <c r="G2373" s="43" t="n"/>
      <c r="H2373" s="56" t="n"/>
      <c r="I2373" s="43" t="n"/>
      <c r="J2373" s="57">
        <f>IF(OR(A2373="",H2373=""),"",IF(COUNTIFS(exp_year,C2373,exp_month,D2373,exp_item,E2373,exp_status,"&lt;&gt;❌ Отменено")&gt;0,1,0))</f>
        <v/>
      </c>
    </row>
    <row r="2374">
      <c r="A2374" s="52" t="n"/>
      <c r="B2374" s="53">
        <f>IF(A2374="","",CHOOSE(WEEKDAY(A2374,2),"Пн","Вт","Ср","Чт","Пт","Сб","Вс"))</f>
        <v/>
      </c>
      <c r="C2374" s="53">
        <f>IF(A2374="","",YEAR(A2374))</f>
        <v/>
      </c>
      <c r="D2374" s="54">
        <f>IF(A2374="","",INDEX(lst_months,MONTH(A2374)))</f>
        <v/>
      </c>
      <c r="E2374" s="55" t="n"/>
      <c r="F2374" s="54">
        <f>IF(E2374="","",IFERROR(IF(INDEX(lst_exp_item_cat,MATCH(E2374,lst_exp_items,0))="","❔ Без категории",INDEX(lst_exp_item_cat,MATCH(E2374,lst_exp_items,0))),"❔ Без категории"))</f>
        <v/>
      </c>
      <c r="G2374" s="43" t="n"/>
      <c r="H2374" s="56" t="n"/>
      <c r="I2374" s="43" t="n"/>
      <c r="J2374" s="57">
        <f>IF(OR(A2374="",H2374=""),"",IF(COUNTIFS(exp_year,C2374,exp_month,D2374,exp_item,E2374,exp_status,"&lt;&gt;❌ Отменено")&gt;0,1,0))</f>
        <v/>
      </c>
    </row>
    <row r="2375">
      <c r="A2375" s="52" t="n"/>
      <c r="B2375" s="53">
        <f>IF(A2375="","",CHOOSE(WEEKDAY(A2375,2),"Пн","Вт","Ср","Чт","Пт","Сб","Вс"))</f>
        <v/>
      </c>
      <c r="C2375" s="53">
        <f>IF(A2375="","",YEAR(A2375))</f>
        <v/>
      </c>
      <c r="D2375" s="54">
        <f>IF(A2375="","",INDEX(lst_months,MONTH(A2375)))</f>
        <v/>
      </c>
      <c r="E2375" s="55" t="n"/>
      <c r="F2375" s="54">
        <f>IF(E2375="","",IFERROR(IF(INDEX(lst_exp_item_cat,MATCH(E2375,lst_exp_items,0))="","❔ Без категории",INDEX(lst_exp_item_cat,MATCH(E2375,lst_exp_items,0))),"❔ Без категории"))</f>
        <v/>
      </c>
      <c r="G2375" s="43" t="n"/>
      <c r="H2375" s="56" t="n"/>
      <c r="I2375" s="43" t="n"/>
      <c r="J2375" s="57">
        <f>IF(OR(A2375="",H2375=""),"",IF(COUNTIFS(exp_year,C2375,exp_month,D2375,exp_item,E2375,exp_status,"&lt;&gt;❌ Отменено")&gt;0,1,0))</f>
        <v/>
      </c>
    </row>
    <row r="2376">
      <c r="A2376" s="52" t="n"/>
      <c r="B2376" s="53">
        <f>IF(A2376="","",CHOOSE(WEEKDAY(A2376,2),"Пн","Вт","Ср","Чт","Пт","Сб","Вс"))</f>
        <v/>
      </c>
      <c r="C2376" s="53">
        <f>IF(A2376="","",YEAR(A2376))</f>
        <v/>
      </c>
      <c r="D2376" s="54">
        <f>IF(A2376="","",INDEX(lst_months,MONTH(A2376)))</f>
        <v/>
      </c>
      <c r="E2376" s="55" t="n"/>
      <c r="F2376" s="54">
        <f>IF(E2376="","",IFERROR(IF(INDEX(lst_exp_item_cat,MATCH(E2376,lst_exp_items,0))="","❔ Без категории",INDEX(lst_exp_item_cat,MATCH(E2376,lst_exp_items,0))),"❔ Без категории"))</f>
        <v/>
      </c>
      <c r="G2376" s="43" t="n"/>
      <c r="H2376" s="56" t="n"/>
      <c r="I2376" s="43" t="n"/>
      <c r="J2376" s="57">
        <f>IF(OR(A2376="",H2376=""),"",IF(COUNTIFS(exp_year,C2376,exp_month,D2376,exp_item,E2376,exp_status,"&lt;&gt;❌ Отменено")&gt;0,1,0))</f>
        <v/>
      </c>
    </row>
    <row r="2377">
      <c r="A2377" s="52" t="n"/>
      <c r="B2377" s="53">
        <f>IF(A2377="","",CHOOSE(WEEKDAY(A2377,2),"Пн","Вт","Ср","Чт","Пт","Сб","Вс"))</f>
        <v/>
      </c>
      <c r="C2377" s="53">
        <f>IF(A2377="","",YEAR(A2377))</f>
        <v/>
      </c>
      <c r="D2377" s="54">
        <f>IF(A2377="","",INDEX(lst_months,MONTH(A2377)))</f>
        <v/>
      </c>
      <c r="E2377" s="55" t="n"/>
      <c r="F2377" s="54">
        <f>IF(E2377="","",IFERROR(IF(INDEX(lst_exp_item_cat,MATCH(E2377,lst_exp_items,0))="","❔ Без категории",INDEX(lst_exp_item_cat,MATCH(E2377,lst_exp_items,0))),"❔ Без категории"))</f>
        <v/>
      </c>
      <c r="G2377" s="43" t="n"/>
      <c r="H2377" s="56" t="n"/>
      <c r="I2377" s="43" t="n"/>
      <c r="J2377" s="57">
        <f>IF(OR(A2377="",H2377=""),"",IF(COUNTIFS(exp_year,C2377,exp_month,D2377,exp_item,E2377,exp_status,"&lt;&gt;❌ Отменено")&gt;0,1,0))</f>
        <v/>
      </c>
    </row>
    <row r="2378">
      <c r="A2378" s="52" t="n"/>
      <c r="B2378" s="53">
        <f>IF(A2378="","",CHOOSE(WEEKDAY(A2378,2),"Пн","Вт","Ср","Чт","Пт","Сб","Вс"))</f>
        <v/>
      </c>
      <c r="C2378" s="53">
        <f>IF(A2378="","",YEAR(A2378))</f>
        <v/>
      </c>
      <c r="D2378" s="54">
        <f>IF(A2378="","",INDEX(lst_months,MONTH(A2378)))</f>
        <v/>
      </c>
      <c r="E2378" s="55" t="n"/>
      <c r="F2378" s="54">
        <f>IF(E2378="","",IFERROR(IF(INDEX(lst_exp_item_cat,MATCH(E2378,lst_exp_items,0))="","❔ Без категории",INDEX(lst_exp_item_cat,MATCH(E2378,lst_exp_items,0))),"❔ Без категории"))</f>
        <v/>
      </c>
      <c r="G2378" s="43" t="n"/>
      <c r="H2378" s="56" t="n"/>
      <c r="I2378" s="43" t="n"/>
      <c r="J2378" s="57">
        <f>IF(OR(A2378="",H2378=""),"",IF(COUNTIFS(exp_year,C2378,exp_month,D2378,exp_item,E2378,exp_status,"&lt;&gt;❌ Отменено")&gt;0,1,0))</f>
        <v/>
      </c>
    </row>
    <row r="2379">
      <c r="A2379" s="52" t="n"/>
      <c r="B2379" s="53">
        <f>IF(A2379="","",CHOOSE(WEEKDAY(A2379,2),"Пн","Вт","Ср","Чт","Пт","Сб","Вс"))</f>
        <v/>
      </c>
      <c r="C2379" s="53">
        <f>IF(A2379="","",YEAR(A2379))</f>
        <v/>
      </c>
      <c r="D2379" s="54">
        <f>IF(A2379="","",INDEX(lst_months,MONTH(A2379)))</f>
        <v/>
      </c>
      <c r="E2379" s="55" t="n"/>
      <c r="F2379" s="54">
        <f>IF(E2379="","",IFERROR(IF(INDEX(lst_exp_item_cat,MATCH(E2379,lst_exp_items,0))="","❔ Без категории",INDEX(lst_exp_item_cat,MATCH(E2379,lst_exp_items,0))),"❔ Без категории"))</f>
        <v/>
      </c>
      <c r="G2379" s="43" t="n"/>
      <c r="H2379" s="56" t="n"/>
      <c r="I2379" s="43" t="n"/>
      <c r="J2379" s="57">
        <f>IF(OR(A2379="",H2379=""),"",IF(COUNTIFS(exp_year,C2379,exp_month,D2379,exp_item,E2379,exp_status,"&lt;&gt;❌ Отменено")&gt;0,1,0))</f>
        <v/>
      </c>
    </row>
    <row r="2380">
      <c r="A2380" s="52" t="n"/>
      <c r="B2380" s="53">
        <f>IF(A2380="","",CHOOSE(WEEKDAY(A2380,2),"Пн","Вт","Ср","Чт","Пт","Сб","Вс"))</f>
        <v/>
      </c>
      <c r="C2380" s="53">
        <f>IF(A2380="","",YEAR(A2380))</f>
        <v/>
      </c>
      <c r="D2380" s="54">
        <f>IF(A2380="","",INDEX(lst_months,MONTH(A2380)))</f>
        <v/>
      </c>
      <c r="E2380" s="55" t="n"/>
      <c r="F2380" s="54">
        <f>IF(E2380="","",IFERROR(IF(INDEX(lst_exp_item_cat,MATCH(E2380,lst_exp_items,0))="","❔ Без категории",INDEX(lst_exp_item_cat,MATCH(E2380,lst_exp_items,0))),"❔ Без категории"))</f>
        <v/>
      </c>
      <c r="G2380" s="43" t="n"/>
      <c r="H2380" s="56" t="n"/>
      <c r="I2380" s="43" t="n"/>
      <c r="J2380" s="57">
        <f>IF(OR(A2380="",H2380=""),"",IF(COUNTIFS(exp_year,C2380,exp_month,D2380,exp_item,E2380,exp_status,"&lt;&gt;❌ Отменено")&gt;0,1,0))</f>
        <v/>
      </c>
    </row>
    <row r="2381">
      <c r="A2381" s="52" t="n"/>
      <c r="B2381" s="53">
        <f>IF(A2381="","",CHOOSE(WEEKDAY(A2381,2),"Пн","Вт","Ср","Чт","Пт","Сб","Вс"))</f>
        <v/>
      </c>
      <c r="C2381" s="53">
        <f>IF(A2381="","",YEAR(A2381))</f>
        <v/>
      </c>
      <c r="D2381" s="54">
        <f>IF(A2381="","",INDEX(lst_months,MONTH(A2381)))</f>
        <v/>
      </c>
      <c r="E2381" s="55" t="n"/>
      <c r="F2381" s="54">
        <f>IF(E2381="","",IFERROR(IF(INDEX(lst_exp_item_cat,MATCH(E2381,lst_exp_items,0))="","❔ Без категории",INDEX(lst_exp_item_cat,MATCH(E2381,lst_exp_items,0))),"❔ Без категории"))</f>
        <v/>
      </c>
      <c r="G2381" s="43" t="n"/>
      <c r="H2381" s="56" t="n"/>
      <c r="I2381" s="43" t="n"/>
      <c r="J2381" s="57">
        <f>IF(OR(A2381="",H2381=""),"",IF(COUNTIFS(exp_year,C2381,exp_month,D2381,exp_item,E2381,exp_status,"&lt;&gt;❌ Отменено")&gt;0,1,0))</f>
        <v/>
      </c>
    </row>
    <row r="2382">
      <c r="A2382" s="52" t="n"/>
      <c r="B2382" s="53">
        <f>IF(A2382="","",CHOOSE(WEEKDAY(A2382,2),"Пн","Вт","Ср","Чт","Пт","Сб","Вс"))</f>
        <v/>
      </c>
      <c r="C2382" s="53">
        <f>IF(A2382="","",YEAR(A2382))</f>
        <v/>
      </c>
      <c r="D2382" s="54">
        <f>IF(A2382="","",INDEX(lst_months,MONTH(A2382)))</f>
        <v/>
      </c>
      <c r="E2382" s="55" t="n"/>
      <c r="F2382" s="54">
        <f>IF(E2382="","",IFERROR(IF(INDEX(lst_exp_item_cat,MATCH(E2382,lst_exp_items,0))="","❔ Без категории",INDEX(lst_exp_item_cat,MATCH(E2382,lst_exp_items,0))),"❔ Без категории"))</f>
        <v/>
      </c>
      <c r="G2382" s="43" t="n"/>
      <c r="H2382" s="56" t="n"/>
      <c r="I2382" s="43" t="n"/>
      <c r="J2382" s="57">
        <f>IF(OR(A2382="",H2382=""),"",IF(COUNTIFS(exp_year,C2382,exp_month,D2382,exp_item,E2382,exp_status,"&lt;&gt;❌ Отменено")&gt;0,1,0))</f>
        <v/>
      </c>
    </row>
    <row r="2383">
      <c r="A2383" s="52" t="n"/>
      <c r="B2383" s="53">
        <f>IF(A2383="","",CHOOSE(WEEKDAY(A2383,2),"Пн","Вт","Ср","Чт","Пт","Сб","Вс"))</f>
        <v/>
      </c>
      <c r="C2383" s="53">
        <f>IF(A2383="","",YEAR(A2383))</f>
        <v/>
      </c>
      <c r="D2383" s="54">
        <f>IF(A2383="","",INDEX(lst_months,MONTH(A2383)))</f>
        <v/>
      </c>
      <c r="E2383" s="55" t="n"/>
      <c r="F2383" s="54">
        <f>IF(E2383="","",IFERROR(IF(INDEX(lst_exp_item_cat,MATCH(E2383,lst_exp_items,0))="","❔ Без категории",INDEX(lst_exp_item_cat,MATCH(E2383,lst_exp_items,0))),"❔ Без категории"))</f>
        <v/>
      </c>
      <c r="G2383" s="43" t="n"/>
      <c r="H2383" s="56" t="n"/>
      <c r="I2383" s="43" t="n"/>
      <c r="J2383" s="57">
        <f>IF(OR(A2383="",H2383=""),"",IF(COUNTIFS(exp_year,C2383,exp_month,D2383,exp_item,E2383,exp_status,"&lt;&gt;❌ Отменено")&gt;0,1,0))</f>
        <v/>
      </c>
    </row>
    <row r="2384">
      <c r="A2384" s="52" t="n"/>
      <c r="B2384" s="53">
        <f>IF(A2384="","",CHOOSE(WEEKDAY(A2384,2),"Пн","Вт","Ср","Чт","Пт","Сб","Вс"))</f>
        <v/>
      </c>
      <c r="C2384" s="53">
        <f>IF(A2384="","",YEAR(A2384))</f>
        <v/>
      </c>
      <c r="D2384" s="54">
        <f>IF(A2384="","",INDEX(lst_months,MONTH(A2384)))</f>
        <v/>
      </c>
      <c r="E2384" s="55" t="n"/>
      <c r="F2384" s="54">
        <f>IF(E2384="","",IFERROR(IF(INDEX(lst_exp_item_cat,MATCH(E2384,lst_exp_items,0))="","❔ Без категории",INDEX(lst_exp_item_cat,MATCH(E2384,lst_exp_items,0))),"❔ Без категории"))</f>
        <v/>
      </c>
      <c r="G2384" s="43" t="n"/>
      <c r="H2384" s="56" t="n"/>
      <c r="I2384" s="43" t="n"/>
      <c r="J2384" s="57">
        <f>IF(OR(A2384="",H2384=""),"",IF(COUNTIFS(exp_year,C2384,exp_month,D2384,exp_item,E2384,exp_status,"&lt;&gt;❌ Отменено")&gt;0,1,0))</f>
        <v/>
      </c>
    </row>
    <row r="2385">
      <c r="A2385" s="52" t="n"/>
      <c r="B2385" s="53">
        <f>IF(A2385="","",CHOOSE(WEEKDAY(A2385,2),"Пн","Вт","Ср","Чт","Пт","Сб","Вс"))</f>
        <v/>
      </c>
      <c r="C2385" s="53">
        <f>IF(A2385="","",YEAR(A2385))</f>
        <v/>
      </c>
      <c r="D2385" s="54">
        <f>IF(A2385="","",INDEX(lst_months,MONTH(A2385)))</f>
        <v/>
      </c>
      <c r="E2385" s="55" t="n"/>
      <c r="F2385" s="54">
        <f>IF(E2385="","",IFERROR(IF(INDEX(lst_exp_item_cat,MATCH(E2385,lst_exp_items,0))="","❔ Без категории",INDEX(lst_exp_item_cat,MATCH(E2385,lst_exp_items,0))),"❔ Без категории"))</f>
        <v/>
      </c>
      <c r="G2385" s="43" t="n"/>
      <c r="H2385" s="56" t="n"/>
      <c r="I2385" s="43" t="n"/>
      <c r="J2385" s="57">
        <f>IF(OR(A2385="",H2385=""),"",IF(COUNTIFS(exp_year,C2385,exp_month,D2385,exp_item,E2385,exp_status,"&lt;&gt;❌ Отменено")&gt;0,1,0))</f>
        <v/>
      </c>
    </row>
    <row r="2386">
      <c r="A2386" s="52" t="n"/>
      <c r="B2386" s="53">
        <f>IF(A2386="","",CHOOSE(WEEKDAY(A2386,2),"Пн","Вт","Ср","Чт","Пт","Сб","Вс"))</f>
        <v/>
      </c>
      <c r="C2386" s="53">
        <f>IF(A2386="","",YEAR(A2386))</f>
        <v/>
      </c>
      <c r="D2386" s="54">
        <f>IF(A2386="","",INDEX(lst_months,MONTH(A2386)))</f>
        <v/>
      </c>
      <c r="E2386" s="55" t="n"/>
      <c r="F2386" s="54">
        <f>IF(E2386="","",IFERROR(IF(INDEX(lst_exp_item_cat,MATCH(E2386,lst_exp_items,0))="","❔ Без категории",INDEX(lst_exp_item_cat,MATCH(E2386,lst_exp_items,0))),"❔ Без категории"))</f>
        <v/>
      </c>
      <c r="G2386" s="43" t="n"/>
      <c r="H2386" s="56" t="n"/>
      <c r="I2386" s="43" t="n"/>
      <c r="J2386" s="57">
        <f>IF(OR(A2386="",H2386=""),"",IF(COUNTIFS(exp_year,C2386,exp_month,D2386,exp_item,E2386,exp_status,"&lt;&gt;❌ Отменено")&gt;0,1,0))</f>
        <v/>
      </c>
    </row>
    <row r="2387">
      <c r="A2387" s="52" t="n"/>
      <c r="B2387" s="53">
        <f>IF(A2387="","",CHOOSE(WEEKDAY(A2387,2),"Пн","Вт","Ср","Чт","Пт","Сб","Вс"))</f>
        <v/>
      </c>
      <c r="C2387" s="53">
        <f>IF(A2387="","",YEAR(A2387))</f>
        <v/>
      </c>
      <c r="D2387" s="54">
        <f>IF(A2387="","",INDEX(lst_months,MONTH(A2387)))</f>
        <v/>
      </c>
      <c r="E2387" s="55" t="n"/>
      <c r="F2387" s="54">
        <f>IF(E2387="","",IFERROR(IF(INDEX(lst_exp_item_cat,MATCH(E2387,lst_exp_items,0))="","❔ Без категории",INDEX(lst_exp_item_cat,MATCH(E2387,lst_exp_items,0))),"❔ Без категории"))</f>
        <v/>
      </c>
      <c r="G2387" s="43" t="n"/>
      <c r="H2387" s="56" t="n"/>
      <c r="I2387" s="43" t="n"/>
      <c r="J2387" s="57">
        <f>IF(OR(A2387="",H2387=""),"",IF(COUNTIFS(exp_year,C2387,exp_month,D2387,exp_item,E2387,exp_status,"&lt;&gt;❌ Отменено")&gt;0,1,0))</f>
        <v/>
      </c>
    </row>
    <row r="2388">
      <c r="A2388" s="52" t="n"/>
      <c r="B2388" s="53">
        <f>IF(A2388="","",CHOOSE(WEEKDAY(A2388,2),"Пн","Вт","Ср","Чт","Пт","Сб","Вс"))</f>
        <v/>
      </c>
      <c r="C2388" s="53">
        <f>IF(A2388="","",YEAR(A2388))</f>
        <v/>
      </c>
      <c r="D2388" s="54">
        <f>IF(A2388="","",INDEX(lst_months,MONTH(A2388)))</f>
        <v/>
      </c>
      <c r="E2388" s="55" t="n"/>
      <c r="F2388" s="54">
        <f>IF(E2388="","",IFERROR(IF(INDEX(lst_exp_item_cat,MATCH(E2388,lst_exp_items,0))="","❔ Без категории",INDEX(lst_exp_item_cat,MATCH(E2388,lst_exp_items,0))),"❔ Без категории"))</f>
        <v/>
      </c>
      <c r="G2388" s="43" t="n"/>
      <c r="H2388" s="56" t="n"/>
      <c r="I2388" s="43" t="n"/>
      <c r="J2388" s="57">
        <f>IF(OR(A2388="",H2388=""),"",IF(COUNTIFS(exp_year,C2388,exp_month,D2388,exp_item,E2388,exp_status,"&lt;&gt;❌ Отменено")&gt;0,1,0))</f>
        <v/>
      </c>
    </row>
    <row r="2389">
      <c r="A2389" s="52" t="n"/>
      <c r="B2389" s="53">
        <f>IF(A2389="","",CHOOSE(WEEKDAY(A2389,2),"Пн","Вт","Ср","Чт","Пт","Сб","Вс"))</f>
        <v/>
      </c>
      <c r="C2389" s="53">
        <f>IF(A2389="","",YEAR(A2389))</f>
        <v/>
      </c>
      <c r="D2389" s="54">
        <f>IF(A2389="","",INDEX(lst_months,MONTH(A2389)))</f>
        <v/>
      </c>
      <c r="E2389" s="55" t="n"/>
      <c r="F2389" s="54">
        <f>IF(E2389="","",IFERROR(IF(INDEX(lst_exp_item_cat,MATCH(E2389,lst_exp_items,0))="","❔ Без категории",INDEX(lst_exp_item_cat,MATCH(E2389,lst_exp_items,0))),"❔ Без категории"))</f>
        <v/>
      </c>
      <c r="G2389" s="43" t="n"/>
      <c r="H2389" s="56" t="n"/>
      <c r="I2389" s="43" t="n"/>
      <c r="J2389" s="57">
        <f>IF(OR(A2389="",H2389=""),"",IF(COUNTIFS(exp_year,C2389,exp_month,D2389,exp_item,E2389,exp_status,"&lt;&gt;❌ Отменено")&gt;0,1,0))</f>
        <v/>
      </c>
    </row>
    <row r="2390">
      <c r="A2390" s="52" t="n"/>
      <c r="B2390" s="53">
        <f>IF(A2390="","",CHOOSE(WEEKDAY(A2390,2),"Пн","Вт","Ср","Чт","Пт","Сб","Вс"))</f>
        <v/>
      </c>
      <c r="C2390" s="53">
        <f>IF(A2390="","",YEAR(A2390))</f>
        <v/>
      </c>
      <c r="D2390" s="54">
        <f>IF(A2390="","",INDEX(lst_months,MONTH(A2390)))</f>
        <v/>
      </c>
      <c r="E2390" s="55" t="n"/>
      <c r="F2390" s="54">
        <f>IF(E2390="","",IFERROR(IF(INDEX(lst_exp_item_cat,MATCH(E2390,lst_exp_items,0))="","❔ Без категории",INDEX(lst_exp_item_cat,MATCH(E2390,lst_exp_items,0))),"❔ Без категории"))</f>
        <v/>
      </c>
      <c r="G2390" s="43" t="n"/>
      <c r="H2390" s="56" t="n"/>
      <c r="I2390" s="43" t="n"/>
      <c r="J2390" s="57">
        <f>IF(OR(A2390="",H2390=""),"",IF(COUNTIFS(exp_year,C2390,exp_month,D2390,exp_item,E2390,exp_status,"&lt;&gt;❌ Отменено")&gt;0,1,0))</f>
        <v/>
      </c>
    </row>
    <row r="2391">
      <c r="A2391" s="52" t="n"/>
      <c r="B2391" s="53">
        <f>IF(A2391="","",CHOOSE(WEEKDAY(A2391,2),"Пн","Вт","Ср","Чт","Пт","Сб","Вс"))</f>
        <v/>
      </c>
      <c r="C2391" s="53">
        <f>IF(A2391="","",YEAR(A2391))</f>
        <v/>
      </c>
      <c r="D2391" s="54">
        <f>IF(A2391="","",INDEX(lst_months,MONTH(A2391)))</f>
        <v/>
      </c>
      <c r="E2391" s="55" t="n"/>
      <c r="F2391" s="54">
        <f>IF(E2391="","",IFERROR(IF(INDEX(lst_exp_item_cat,MATCH(E2391,lst_exp_items,0))="","❔ Без категории",INDEX(lst_exp_item_cat,MATCH(E2391,lst_exp_items,0))),"❔ Без категории"))</f>
        <v/>
      </c>
      <c r="G2391" s="43" t="n"/>
      <c r="H2391" s="56" t="n"/>
      <c r="I2391" s="43" t="n"/>
      <c r="J2391" s="57">
        <f>IF(OR(A2391="",H2391=""),"",IF(COUNTIFS(exp_year,C2391,exp_month,D2391,exp_item,E2391,exp_status,"&lt;&gt;❌ Отменено")&gt;0,1,0))</f>
        <v/>
      </c>
    </row>
    <row r="2392">
      <c r="A2392" s="52" t="n"/>
      <c r="B2392" s="53">
        <f>IF(A2392="","",CHOOSE(WEEKDAY(A2392,2),"Пн","Вт","Ср","Чт","Пт","Сб","Вс"))</f>
        <v/>
      </c>
      <c r="C2392" s="53">
        <f>IF(A2392="","",YEAR(A2392))</f>
        <v/>
      </c>
      <c r="D2392" s="54">
        <f>IF(A2392="","",INDEX(lst_months,MONTH(A2392)))</f>
        <v/>
      </c>
      <c r="E2392" s="55" t="n"/>
      <c r="F2392" s="54">
        <f>IF(E2392="","",IFERROR(IF(INDEX(lst_exp_item_cat,MATCH(E2392,lst_exp_items,0))="","❔ Без категории",INDEX(lst_exp_item_cat,MATCH(E2392,lst_exp_items,0))),"❔ Без категории"))</f>
        <v/>
      </c>
      <c r="G2392" s="43" t="n"/>
      <c r="H2392" s="56" t="n"/>
      <c r="I2392" s="43" t="n"/>
      <c r="J2392" s="57">
        <f>IF(OR(A2392="",H2392=""),"",IF(COUNTIFS(exp_year,C2392,exp_month,D2392,exp_item,E2392,exp_status,"&lt;&gt;❌ Отменено")&gt;0,1,0))</f>
        <v/>
      </c>
    </row>
    <row r="2393">
      <c r="A2393" s="52" t="n"/>
      <c r="B2393" s="53">
        <f>IF(A2393="","",CHOOSE(WEEKDAY(A2393,2),"Пн","Вт","Ср","Чт","Пт","Сб","Вс"))</f>
        <v/>
      </c>
      <c r="C2393" s="53">
        <f>IF(A2393="","",YEAR(A2393))</f>
        <v/>
      </c>
      <c r="D2393" s="54">
        <f>IF(A2393="","",INDEX(lst_months,MONTH(A2393)))</f>
        <v/>
      </c>
      <c r="E2393" s="55" t="n"/>
      <c r="F2393" s="54">
        <f>IF(E2393="","",IFERROR(IF(INDEX(lst_exp_item_cat,MATCH(E2393,lst_exp_items,0))="","❔ Без категории",INDEX(lst_exp_item_cat,MATCH(E2393,lst_exp_items,0))),"❔ Без категории"))</f>
        <v/>
      </c>
      <c r="G2393" s="43" t="n"/>
      <c r="H2393" s="56" t="n"/>
      <c r="I2393" s="43" t="n"/>
      <c r="J2393" s="57">
        <f>IF(OR(A2393="",H2393=""),"",IF(COUNTIFS(exp_year,C2393,exp_month,D2393,exp_item,E2393,exp_status,"&lt;&gt;❌ Отменено")&gt;0,1,0))</f>
        <v/>
      </c>
    </row>
    <row r="2394">
      <c r="A2394" s="52" t="n"/>
      <c r="B2394" s="53">
        <f>IF(A2394="","",CHOOSE(WEEKDAY(A2394,2),"Пн","Вт","Ср","Чт","Пт","Сб","Вс"))</f>
        <v/>
      </c>
      <c r="C2394" s="53">
        <f>IF(A2394="","",YEAR(A2394))</f>
        <v/>
      </c>
      <c r="D2394" s="54">
        <f>IF(A2394="","",INDEX(lst_months,MONTH(A2394)))</f>
        <v/>
      </c>
      <c r="E2394" s="55" t="n"/>
      <c r="F2394" s="54">
        <f>IF(E2394="","",IFERROR(IF(INDEX(lst_exp_item_cat,MATCH(E2394,lst_exp_items,0))="","❔ Без категории",INDEX(lst_exp_item_cat,MATCH(E2394,lst_exp_items,0))),"❔ Без категории"))</f>
        <v/>
      </c>
      <c r="G2394" s="43" t="n"/>
      <c r="H2394" s="56" t="n"/>
      <c r="I2394" s="43" t="n"/>
      <c r="J2394" s="57">
        <f>IF(OR(A2394="",H2394=""),"",IF(COUNTIFS(exp_year,C2394,exp_month,D2394,exp_item,E2394,exp_status,"&lt;&gt;❌ Отменено")&gt;0,1,0))</f>
        <v/>
      </c>
    </row>
    <row r="2395">
      <c r="A2395" s="52" t="n"/>
      <c r="B2395" s="53">
        <f>IF(A2395="","",CHOOSE(WEEKDAY(A2395,2),"Пн","Вт","Ср","Чт","Пт","Сб","Вс"))</f>
        <v/>
      </c>
      <c r="C2395" s="53">
        <f>IF(A2395="","",YEAR(A2395))</f>
        <v/>
      </c>
      <c r="D2395" s="54">
        <f>IF(A2395="","",INDEX(lst_months,MONTH(A2395)))</f>
        <v/>
      </c>
      <c r="E2395" s="55" t="n"/>
      <c r="F2395" s="54">
        <f>IF(E2395="","",IFERROR(IF(INDEX(lst_exp_item_cat,MATCH(E2395,lst_exp_items,0))="","❔ Без категории",INDEX(lst_exp_item_cat,MATCH(E2395,lst_exp_items,0))),"❔ Без категории"))</f>
        <v/>
      </c>
      <c r="G2395" s="43" t="n"/>
      <c r="H2395" s="56" t="n"/>
      <c r="I2395" s="43" t="n"/>
      <c r="J2395" s="57">
        <f>IF(OR(A2395="",H2395=""),"",IF(COUNTIFS(exp_year,C2395,exp_month,D2395,exp_item,E2395,exp_status,"&lt;&gt;❌ Отменено")&gt;0,1,0))</f>
        <v/>
      </c>
    </row>
    <row r="2396">
      <c r="A2396" s="52" t="n"/>
      <c r="B2396" s="53">
        <f>IF(A2396="","",CHOOSE(WEEKDAY(A2396,2),"Пн","Вт","Ср","Чт","Пт","Сб","Вс"))</f>
        <v/>
      </c>
      <c r="C2396" s="53">
        <f>IF(A2396="","",YEAR(A2396))</f>
        <v/>
      </c>
      <c r="D2396" s="54">
        <f>IF(A2396="","",INDEX(lst_months,MONTH(A2396)))</f>
        <v/>
      </c>
      <c r="E2396" s="55" t="n"/>
      <c r="F2396" s="54">
        <f>IF(E2396="","",IFERROR(IF(INDEX(lst_exp_item_cat,MATCH(E2396,lst_exp_items,0))="","❔ Без категории",INDEX(lst_exp_item_cat,MATCH(E2396,lst_exp_items,0))),"❔ Без категории"))</f>
        <v/>
      </c>
      <c r="G2396" s="43" t="n"/>
      <c r="H2396" s="56" t="n"/>
      <c r="I2396" s="43" t="n"/>
      <c r="J2396" s="57">
        <f>IF(OR(A2396="",H2396=""),"",IF(COUNTIFS(exp_year,C2396,exp_month,D2396,exp_item,E2396,exp_status,"&lt;&gt;❌ Отменено")&gt;0,1,0))</f>
        <v/>
      </c>
    </row>
    <row r="2397">
      <c r="A2397" s="52" t="n"/>
      <c r="B2397" s="53">
        <f>IF(A2397="","",CHOOSE(WEEKDAY(A2397,2),"Пн","Вт","Ср","Чт","Пт","Сб","Вс"))</f>
        <v/>
      </c>
      <c r="C2397" s="53">
        <f>IF(A2397="","",YEAR(A2397))</f>
        <v/>
      </c>
      <c r="D2397" s="54">
        <f>IF(A2397="","",INDEX(lst_months,MONTH(A2397)))</f>
        <v/>
      </c>
      <c r="E2397" s="55" t="n"/>
      <c r="F2397" s="54">
        <f>IF(E2397="","",IFERROR(IF(INDEX(lst_exp_item_cat,MATCH(E2397,lst_exp_items,0))="","❔ Без категории",INDEX(lst_exp_item_cat,MATCH(E2397,lst_exp_items,0))),"❔ Без категории"))</f>
        <v/>
      </c>
      <c r="G2397" s="43" t="n"/>
      <c r="H2397" s="56" t="n"/>
      <c r="I2397" s="43" t="n"/>
      <c r="J2397" s="57">
        <f>IF(OR(A2397="",H2397=""),"",IF(COUNTIFS(exp_year,C2397,exp_month,D2397,exp_item,E2397,exp_status,"&lt;&gt;❌ Отменено")&gt;0,1,0))</f>
        <v/>
      </c>
    </row>
    <row r="2398">
      <c r="A2398" s="52" t="n"/>
      <c r="B2398" s="53">
        <f>IF(A2398="","",CHOOSE(WEEKDAY(A2398,2),"Пн","Вт","Ср","Чт","Пт","Сб","Вс"))</f>
        <v/>
      </c>
      <c r="C2398" s="53">
        <f>IF(A2398="","",YEAR(A2398))</f>
        <v/>
      </c>
      <c r="D2398" s="54">
        <f>IF(A2398="","",INDEX(lst_months,MONTH(A2398)))</f>
        <v/>
      </c>
      <c r="E2398" s="55" t="n"/>
      <c r="F2398" s="54">
        <f>IF(E2398="","",IFERROR(IF(INDEX(lst_exp_item_cat,MATCH(E2398,lst_exp_items,0))="","❔ Без категории",INDEX(lst_exp_item_cat,MATCH(E2398,lst_exp_items,0))),"❔ Без категории"))</f>
        <v/>
      </c>
      <c r="G2398" s="43" t="n"/>
      <c r="H2398" s="56" t="n"/>
      <c r="I2398" s="43" t="n"/>
      <c r="J2398" s="57">
        <f>IF(OR(A2398="",H2398=""),"",IF(COUNTIFS(exp_year,C2398,exp_month,D2398,exp_item,E2398,exp_status,"&lt;&gt;❌ Отменено")&gt;0,1,0))</f>
        <v/>
      </c>
    </row>
    <row r="2399">
      <c r="A2399" s="52" t="n"/>
      <c r="B2399" s="53">
        <f>IF(A2399="","",CHOOSE(WEEKDAY(A2399,2),"Пн","Вт","Ср","Чт","Пт","Сб","Вс"))</f>
        <v/>
      </c>
      <c r="C2399" s="53">
        <f>IF(A2399="","",YEAR(A2399))</f>
        <v/>
      </c>
      <c r="D2399" s="54">
        <f>IF(A2399="","",INDEX(lst_months,MONTH(A2399)))</f>
        <v/>
      </c>
      <c r="E2399" s="55" t="n"/>
      <c r="F2399" s="54">
        <f>IF(E2399="","",IFERROR(IF(INDEX(lst_exp_item_cat,MATCH(E2399,lst_exp_items,0))="","❔ Без категории",INDEX(lst_exp_item_cat,MATCH(E2399,lst_exp_items,0))),"❔ Без категории"))</f>
        <v/>
      </c>
      <c r="G2399" s="43" t="n"/>
      <c r="H2399" s="56" t="n"/>
      <c r="I2399" s="43" t="n"/>
      <c r="J2399" s="57">
        <f>IF(OR(A2399="",H2399=""),"",IF(COUNTIFS(exp_year,C2399,exp_month,D2399,exp_item,E2399,exp_status,"&lt;&gt;❌ Отменено")&gt;0,1,0))</f>
        <v/>
      </c>
    </row>
    <row r="2400">
      <c r="A2400" s="52" t="n"/>
      <c r="B2400" s="53">
        <f>IF(A2400="","",CHOOSE(WEEKDAY(A2400,2),"Пн","Вт","Ср","Чт","Пт","Сб","Вс"))</f>
        <v/>
      </c>
      <c r="C2400" s="53">
        <f>IF(A2400="","",YEAR(A2400))</f>
        <v/>
      </c>
      <c r="D2400" s="54">
        <f>IF(A2400="","",INDEX(lst_months,MONTH(A2400)))</f>
        <v/>
      </c>
      <c r="E2400" s="55" t="n"/>
      <c r="F2400" s="54">
        <f>IF(E2400="","",IFERROR(IF(INDEX(lst_exp_item_cat,MATCH(E2400,lst_exp_items,0))="","❔ Без категории",INDEX(lst_exp_item_cat,MATCH(E2400,lst_exp_items,0))),"❔ Без категории"))</f>
        <v/>
      </c>
      <c r="G2400" s="43" t="n"/>
      <c r="H2400" s="56" t="n"/>
      <c r="I2400" s="43" t="n"/>
      <c r="J2400" s="57">
        <f>IF(OR(A2400="",H2400=""),"",IF(COUNTIFS(exp_year,C2400,exp_month,D2400,exp_item,E2400,exp_status,"&lt;&gt;❌ Отменено")&gt;0,1,0))</f>
        <v/>
      </c>
    </row>
    <row r="2401">
      <c r="A2401" s="52" t="n"/>
      <c r="B2401" s="53">
        <f>IF(A2401="","",CHOOSE(WEEKDAY(A2401,2),"Пн","Вт","Ср","Чт","Пт","Сб","Вс"))</f>
        <v/>
      </c>
      <c r="C2401" s="53">
        <f>IF(A2401="","",YEAR(A2401))</f>
        <v/>
      </c>
      <c r="D2401" s="54">
        <f>IF(A2401="","",INDEX(lst_months,MONTH(A2401)))</f>
        <v/>
      </c>
      <c r="E2401" s="55" t="n"/>
      <c r="F2401" s="54">
        <f>IF(E2401="","",IFERROR(IF(INDEX(lst_exp_item_cat,MATCH(E2401,lst_exp_items,0))="","❔ Без категории",INDEX(lst_exp_item_cat,MATCH(E2401,lst_exp_items,0))),"❔ Без категории"))</f>
        <v/>
      </c>
      <c r="G2401" s="43" t="n"/>
      <c r="H2401" s="56" t="n"/>
      <c r="I2401" s="43" t="n"/>
      <c r="J2401" s="57">
        <f>IF(OR(A2401="",H2401=""),"",IF(COUNTIFS(exp_year,C2401,exp_month,D2401,exp_item,E2401,exp_status,"&lt;&gt;❌ Отменено")&gt;0,1,0))</f>
        <v/>
      </c>
    </row>
    <row r="2402">
      <c r="A2402" s="52" t="n"/>
      <c r="B2402" s="53">
        <f>IF(A2402="","",CHOOSE(WEEKDAY(A2402,2),"Пн","Вт","Ср","Чт","Пт","Сб","Вс"))</f>
        <v/>
      </c>
      <c r="C2402" s="53">
        <f>IF(A2402="","",YEAR(A2402))</f>
        <v/>
      </c>
      <c r="D2402" s="54">
        <f>IF(A2402="","",INDEX(lst_months,MONTH(A2402)))</f>
        <v/>
      </c>
      <c r="E2402" s="55" t="n"/>
      <c r="F2402" s="54">
        <f>IF(E2402="","",IFERROR(IF(INDEX(lst_exp_item_cat,MATCH(E2402,lst_exp_items,0))="","❔ Без категории",INDEX(lst_exp_item_cat,MATCH(E2402,lst_exp_items,0))),"❔ Без категории"))</f>
        <v/>
      </c>
      <c r="G2402" s="43" t="n"/>
      <c r="H2402" s="56" t="n"/>
      <c r="I2402" s="43" t="n"/>
      <c r="J2402" s="57">
        <f>IF(OR(A2402="",H2402=""),"",IF(COUNTIFS(exp_year,C2402,exp_month,D2402,exp_item,E2402,exp_status,"&lt;&gt;❌ Отменено")&gt;0,1,0))</f>
        <v/>
      </c>
    </row>
    <row r="2403">
      <c r="A2403" s="52" t="n"/>
      <c r="B2403" s="53">
        <f>IF(A2403="","",CHOOSE(WEEKDAY(A2403,2),"Пн","Вт","Ср","Чт","Пт","Сб","Вс"))</f>
        <v/>
      </c>
      <c r="C2403" s="53">
        <f>IF(A2403="","",YEAR(A2403))</f>
        <v/>
      </c>
      <c r="D2403" s="54">
        <f>IF(A2403="","",INDEX(lst_months,MONTH(A2403)))</f>
        <v/>
      </c>
      <c r="E2403" s="55" t="n"/>
      <c r="F2403" s="54">
        <f>IF(E2403="","",IFERROR(IF(INDEX(lst_exp_item_cat,MATCH(E2403,lst_exp_items,0))="","❔ Без категории",INDEX(lst_exp_item_cat,MATCH(E2403,lst_exp_items,0))),"❔ Без категории"))</f>
        <v/>
      </c>
      <c r="G2403" s="43" t="n"/>
      <c r="H2403" s="56" t="n"/>
      <c r="I2403" s="43" t="n"/>
      <c r="J2403" s="57">
        <f>IF(OR(A2403="",H2403=""),"",IF(COUNTIFS(exp_year,C2403,exp_month,D2403,exp_item,E2403,exp_status,"&lt;&gt;❌ Отменено")&gt;0,1,0))</f>
        <v/>
      </c>
    </row>
    <row r="2404">
      <c r="A2404" s="52" t="n"/>
      <c r="B2404" s="53">
        <f>IF(A2404="","",CHOOSE(WEEKDAY(A2404,2),"Пн","Вт","Ср","Чт","Пт","Сб","Вс"))</f>
        <v/>
      </c>
      <c r="C2404" s="53">
        <f>IF(A2404="","",YEAR(A2404))</f>
        <v/>
      </c>
      <c r="D2404" s="54">
        <f>IF(A2404="","",INDEX(lst_months,MONTH(A2404)))</f>
        <v/>
      </c>
      <c r="E2404" s="55" t="n"/>
      <c r="F2404" s="54">
        <f>IF(E2404="","",IFERROR(IF(INDEX(lst_exp_item_cat,MATCH(E2404,lst_exp_items,0))="","❔ Без категории",INDEX(lst_exp_item_cat,MATCH(E2404,lst_exp_items,0))),"❔ Без категории"))</f>
        <v/>
      </c>
      <c r="G2404" s="43" t="n"/>
      <c r="H2404" s="56" t="n"/>
      <c r="I2404" s="43" t="n"/>
      <c r="J2404" s="57">
        <f>IF(OR(A2404="",H2404=""),"",IF(COUNTIFS(exp_year,C2404,exp_month,D2404,exp_item,E2404,exp_status,"&lt;&gt;❌ Отменено")&gt;0,1,0))</f>
        <v/>
      </c>
    </row>
    <row r="2405">
      <c r="A2405" s="52" t="n"/>
      <c r="B2405" s="53">
        <f>IF(A2405="","",CHOOSE(WEEKDAY(A2405,2),"Пн","Вт","Ср","Чт","Пт","Сб","Вс"))</f>
        <v/>
      </c>
      <c r="C2405" s="53">
        <f>IF(A2405="","",YEAR(A2405))</f>
        <v/>
      </c>
      <c r="D2405" s="54">
        <f>IF(A2405="","",INDEX(lst_months,MONTH(A2405)))</f>
        <v/>
      </c>
      <c r="E2405" s="55" t="n"/>
      <c r="F2405" s="54">
        <f>IF(E2405="","",IFERROR(IF(INDEX(lst_exp_item_cat,MATCH(E2405,lst_exp_items,0))="","❔ Без категории",INDEX(lst_exp_item_cat,MATCH(E2405,lst_exp_items,0))),"❔ Без категории"))</f>
        <v/>
      </c>
      <c r="G2405" s="43" t="n"/>
      <c r="H2405" s="56" t="n"/>
      <c r="I2405" s="43" t="n"/>
      <c r="J2405" s="57">
        <f>IF(OR(A2405="",H2405=""),"",IF(COUNTIFS(exp_year,C2405,exp_month,D2405,exp_item,E2405,exp_status,"&lt;&gt;❌ Отменено")&gt;0,1,0))</f>
        <v/>
      </c>
    </row>
    <row r="2406">
      <c r="A2406" s="52" t="n"/>
      <c r="B2406" s="53">
        <f>IF(A2406="","",CHOOSE(WEEKDAY(A2406,2),"Пн","Вт","Ср","Чт","Пт","Сб","Вс"))</f>
        <v/>
      </c>
      <c r="C2406" s="53">
        <f>IF(A2406="","",YEAR(A2406))</f>
        <v/>
      </c>
      <c r="D2406" s="54">
        <f>IF(A2406="","",INDEX(lst_months,MONTH(A2406)))</f>
        <v/>
      </c>
      <c r="E2406" s="55" t="n"/>
      <c r="F2406" s="54">
        <f>IF(E2406="","",IFERROR(IF(INDEX(lst_exp_item_cat,MATCH(E2406,lst_exp_items,0))="","❔ Без категории",INDEX(lst_exp_item_cat,MATCH(E2406,lst_exp_items,0))),"❔ Без категории"))</f>
        <v/>
      </c>
      <c r="G2406" s="43" t="n"/>
      <c r="H2406" s="56" t="n"/>
      <c r="I2406" s="43" t="n"/>
      <c r="J2406" s="57">
        <f>IF(OR(A2406="",H2406=""),"",IF(COUNTIFS(exp_year,C2406,exp_month,D2406,exp_item,E2406,exp_status,"&lt;&gt;❌ Отменено")&gt;0,1,0))</f>
        <v/>
      </c>
    </row>
    <row r="2407">
      <c r="A2407" s="52" t="n"/>
      <c r="B2407" s="53">
        <f>IF(A2407="","",CHOOSE(WEEKDAY(A2407,2),"Пн","Вт","Ср","Чт","Пт","Сб","Вс"))</f>
        <v/>
      </c>
      <c r="C2407" s="53">
        <f>IF(A2407="","",YEAR(A2407))</f>
        <v/>
      </c>
      <c r="D2407" s="54">
        <f>IF(A2407="","",INDEX(lst_months,MONTH(A2407)))</f>
        <v/>
      </c>
      <c r="E2407" s="55" t="n"/>
      <c r="F2407" s="54">
        <f>IF(E2407="","",IFERROR(IF(INDEX(lst_exp_item_cat,MATCH(E2407,lst_exp_items,0))="","❔ Без категории",INDEX(lst_exp_item_cat,MATCH(E2407,lst_exp_items,0))),"❔ Без категории"))</f>
        <v/>
      </c>
      <c r="G2407" s="43" t="n"/>
      <c r="H2407" s="56" t="n"/>
      <c r="I2407" s="43" t="n"/>
      <c r="J2407" s="57">
        <f>IF(OR(A2407="",H2407=""),"",IF(COUNTIFS(exp_year,C2407,exp_month,D2407,exp_item,E2407,exp_status,"&lt;&gt;❌ Отменено")&gt;0,1,0))</f>
        <v/>
      </c>
    </row>
    <row r="2408">
      <c r="A2408" s="52" t="n"/>
      <c r="B2408" s="53">
        <f>IF(A2408="","",CHOOSE(WEEKDAY(A2408,2),"Пн","Вт","Ср","Чт","Пт","Сб","Вс"))</f>
        <v/>
      </c>
      <c r="C2408" s="53">
        <f>IF(A2408="","",YEAR(A2408))</f>
        <v/>
      </c>
      <c r="D2408" s="54">
        <f>IF(A2408="","",INDEX(lst_months,MONTH(A2408)))</f>
        <v/>
      </c>
      <c r="E2408" s="55" t="n"/>
      <c r="F2408" s="54">
        <f>IF(E2408="","",IFERROR(IF(INDEX(lst_exp_item_cat,MATCH(E2408,lst_exp_items,0))="","❔ Без категории",INDEX(lst_exp_item_cat,MATCH(E2408,lst_exp_items,0))),"❔ Без категории"))</f>
        <v/>
      </c>
      <c r="G2408" s="43" t="n"/>
      <c r="H2408" s="56" t="n"/>
      <c r="I2408" s="43" t="n"/>
      <c r="J2408" s="57">
        <f>IF(OR(A2408="",H2408=""),"",IF(COUNTIFS(exp_year,C2408,exp_month,D2408,exp_item,E2408,exp_status,"&lt;&gt;❌ Отменено")&gt;0,1,0))</f>
        <v/>
      </c>
    </row>
    <row r="2409">
      <c r="A2409" s="52" t="n"/>
      <c r="B2409" s="53">
        <f>IF(A2409="","",CHOOSE(WEEKDAY(A2409,2),"Пн","Вт","Ср","Чт","Пт","Сб","Вс"))</f>
        <v/>
      </c>
      <c r="C2409" s="53">
        <f>IF(A2409="","",YEAR(A2409))</f>
        <v/>
      </c>
      <c r="D2409" s="54">
        <f>IF(A2409="","",INDEX(lst_months,MONTH(A2409)))</f>
        <v/>
      </c>
      <c r="E2409" s="55" t="n"/>
      <c r="F2409" s="54">
        <f>IF(E2409="","",IFERROR(IF(INDEX(lst_exp_item_cat,MATCH(E2409,lst_exp_items,0))="","❔ Без категории",INDEX(lst_exp_item_cat,MATCH(E2409,lst_exp_items,0))),"❔ Без категории"))</f>
        <v/>
      </c>
      <c r="G2409" s="43" t="n"/>
      <c r="H2409" s="56" t="n"/>
      <c r="I2409" s="43" t="n"/>
      <c r="J2409" s="57">
        <f>IF(OR(A2409="",H2409=""),"",IF(COUNTIFS(exp_year,C2409,exp_month,D2409,exp_item,E2409,exp_status,"&lt;&gt;❌ Отменено")&gt;0,1,0))</f>
        <v/>
      </c>
    </row>
    <row r="2410">
      <c r="A2410" s="52" t="n"/>
      <c r="B2410" s="53">
        <f>IF(A2410="","",CHOOSE(WEEKDAY(A2410,2),"Пн","Вт","Ср","Чт","Пт","Сб","Вс"))</f>
        <v/>
      </c>
      <c r="C2410" s="53">
        <f>IF(A2410="","",YEAR(A2410))</f>
        <v/>
      </c>
      <c r="D2410" s="54">
        <f>IF(A2410="","",INDEX(lst_months,MONTH(A2410)))</f>
        <v/>
      </c>
      <c r="E2410" s="55" t="n"/>
      <c r="F2410" s="54">
        <f>IF(E2410="","",IFERROR(IF(INDEX(lst_exp_item_cat,MATCH(E2410,lst_exp_items,0))="","❔ Без категории",INDEX(lst_exp_item_cat,MATCH(E2410,lst_exp_items,0))),"❔ Без категории"))</f>
        <v/>
      </c>
      <c r="G2410" s="43" t="n"/>
      <c r="H2410" s="56" t="n"/>
      <c r="I2410" s="43" t="n"/>
      <c r="J2410" s="57">
        <f>IF(OR(A2410="",H2410=""),"",IF(COUNTIFS(exp_year,C2410,exp_month,D2410,exp_item,E2410,exp_status,"&lt;&gt;❌ Отменено")&gt;0,1,0))</f>
        <v/>
      </c>
    </row>
    <row r="2411">
      <c r="A2411" s="52" t="n"/>
      <c r="B2411" s="53">
        <f>IF(A2411="","",CHOOSE(WEEKDAY(A2411,2),"Пн","Вт","Ср","Чт","Пт","Сб","Вс"))</f>
        <v/>
      </c>
      <c r="C2411" s="53">
        <f>IF(A2411="","",YEAR(A2411))</f>
        <v/>
      </c>
      <c r="D2411" s="54">
        <f>IF(A2411="","",INDEX(lst_months,MONTH(A2411)))</f>
        <v/>
      </c>
      <c r="E2411" s="55" t="n"/>
      <c r="F2411" s="54">
        <f>IF(E2411="","",IFERROR(IF(INDEX(lst_exp_item_cat,MATCH(E2411,lst_exp_items,0))="","❔ Без категории",INDEX(lst_exp_item_cat,MATCH(E2411,lst_exp_items,0))),"❔ Без категории"))</f>
        <v/>
      </c>
      <c r="G2411" s="43" t="n"/>
      <c r="H2411" s="56" t="n"/>
      <c r="I2411" s="43" t="n"/>
      <c r="J2411" s="57">
        <f>IF(OR(A2411="",H2411=""),"",IF(COUNTIFS(exp_year,C2411,exp_month,D2411,exp_item,E2411,exp_status,"&lt;&gt;❌ Отменено")&gt;0,1,0))</f>
        <v/>
      </c>
    </row>
    <row r="2412">
      <c r="A2412" s="52" t="n"/>
      <c r="B2412" s="53">
        <f>IF(A2412="","",CHOOSE(WEEKDAY(A2412,2),"Пн","Вт","Ср","Чт","Пт","Сб","Вс"))</f>
        <v/>
      </c>
      <c r="C2412" s="53">
        <f>IF(A2412="","",YEAR(A2412))</f>
        <v/>
      </c>
      <c r="D2412" s="54">
        <f>IF(A2412="","",INDEX(lst_months,MONTH(A2412)))</f>
        <v/>
      </c>
      <c r="E2412" s="55" t="n"/>
      <c r="F2412" s="54">
        <f>IF(E2412="","",IFERROR(IF(INDEX(lst_exp_item_cat,MATCH(E2412,lst_exp_items,0))="","❔ Без категории",INDEX(lst_exp_item_cat,MATCH(E2412,lst_exp_items,0))),"❔ Без категории"))</f>
        <v/>
      </c>
      <c r="G2412" s="43" t="n"/>
      <c r="H2412" s="56" t="n"/>
      <c r="I2412" s="43" t="n"/>
      <c r="J2412" s="57">
        <f>IF(OR(A2412="",H2412=""),"",IF(COUNTIFS(exp_year,C2412,exp_month,D2412,exp_item,E2412,exp_status,"&lt;&gt;❌ Отменено")&gt;0,1,0))</f>
        <v/>
      </c>
    </row>
    <row r="2413">
      <c r="A2413" s="52" t="n"/>
      <c r="B2413" s="53">
        <f>IF(A2413="","",CHOOSE(WEEKDAY(A2413,2),"Пн","Вт","Ср","Чт","Пт","Сб","Вс"))</f>
        <v/>
      </c>
      <c r="C2413" s="53">
        <f>IF(A2413="","",YEAR(A2413))</f>
        <v/>
      </c>
      <c r="D2413" s="54">
        <f>IF(A2413="","",INDEX(lst_months,MONTH(A2413)))</f>
        <v/>
      </c>
      <c r="E2413" s="55" t="n"/>
      <c r="F2413" s="54">
        <f>IF(E2413="","",IFERROR(IF(INDEX(lst_exp_item_cat,MATCH(E2413,lst_exp_items,0))="","❔ Без категории",INDEX(lst_exp_item_cat,MATCH(E2413,lst_exp_items,0))),"❔ Без категории"))</f>
        <v/>
      </c>
      <c r="G2413" s="43" t="n"/>
      <c r="H2413" s="56" t="n"/>
      <c r="I2413" s="43" t="n"/>
      <c r="J2413" s="57">
        <f>IF(OR(A2413="",H2413=""),"",IF(COUNTIFS(exp_year,C2413,exp_month,D2413,exp_item,E2413,exp_status,"&lt;&gt;❌ Отменено")&gt;0,1,0))</f>
        <v/>
      </c>
    </row>
    <row r="2414">
      <c r="A2414" s="52" t="n"/>
      <c r="B2414" s="53">
        <f>IF(A2414="","",CHOOSE(WEEKDAY(A2414,2),"Пн","Вт","Ср","Чт","Пт","Сб","Вс"))</f>
        <v/>
      </c>
      <c r="C2414" s="53">
        <f>IF(A2414="","",YEAR(A2414))</f>
        <v/>
      </c>
      <c r="D2414" s="54">
        <f>IF(A2414="","",INDEX(lst_months,MONTH(A2414)))</f>
        <v/>
      </c>
      <c r="E2414" s="55" t="n"/>
      <c r="F2414" s="54">
        <f>IF(E2414="","",IFERROR(IF(INDEX(lst_exp_item_cat,MATCH(E2414,lst_exp_items,0))="","❔ Без категории",INDEX(lst_exp_item_cat,MATCH(E2414,lst_exp_items,0))),"❔ Без категории"))</f>
        <v/>
      </c>
      <c r="G2414" s="43" t="n"/>
      <c r="H2414" s="56" t="n"/>
      <c r="I2414" s="43" t="n"/>
      <c r="J2414" s="57">
        <f>IF(OR(A2414="",H2414=""),"",IF(COUNTIFS(exp_year,C2414,exp_month,D2414,exp_item,E2414,exp_status,"&lt;&gt;❌ Отменено")&gt;0,1,0))</f>
        <v/>
      </c>
    </row>
    <row r="2415">
      <c r="A2415" s="52" t="n"/>
      <c r="B2415" s="53">
        <f>IF(A2415="","",CHOOSE(WEEKDAY(A2415,2),"Пн","Вт","Ср","Чт","Пт","Сб","Вс"))</f>
        <v/>
      </c>
      <c r="C2415" s="53">
        <f>IF(A2415="","",YEAR(A2415))</f>
        <v/>
      </c>
      <c r="D2415" s="54">
        <f>IF(A2415="","",INDEX(lst_months,MONTH(A2415)))</f>
        <v/>
      </c>
      <c r="E2415" s="55" t="n"/>
      <c r="F2415" s="54">
        <f>IF(E2415="","",IFERROR(IF(INDEX(lst_exp_item_cat,MATCH(E2415,lst_exp_items,0))="","❔ Без категории",INDEX(lst_exp_item_cat,MATCH(E2415,lst_exp_items,0))),"❔ Без категории"))</f>
        <v/>
      </c>
      <c r="G2415" s="43" t="n"/>
      <c r="H2415" s="56" t="n"/>
      <c r="I2415" s="43" t="n"/>
      <c r="J2415" s="57">
        <f>IF(OR(A2415="",H2415=""),"",IF(COUNTIFS(exp_year,C2415,exp_month,D2415,exp_item,E2415,exp_status,"&lt;&gt;❌ Отменено")&gt;0,1,0))</f>
        <v/>
      </c>
    </row>
    <row r="2416">
      <c r="A2416" s="52" t="n"/>
      <c r="B2416" s="53">
        <f>IF(A2416="","",CHOOSE(WEEKDAY(A2416,2),"Пн","Вт","Ср","Чт","Пт","Сб","Вс"))</f>
        <v/>
      </c>
      <c r="C2416" s="53">
        <f>IF(A2416="","",YEAR(A2416))</f>
        <v/>
      </c>
      <c r="D2416" s="54">
        <f>IF(A2416="","",INDEX(lst_months,MONTH(A2416)))</f>
        <v/>
      </c>
      <c r="E2416" s="55" t="n"/>
      <c r="F2416" s="54">
        <f>IF(E2416="","",IFERROR(IF(INDEX(lst_exp_item_cat,MATCH(E2416,lst_exp_items,0))="","❔ Без категории",INDEX(lst_exp_item_cat,MATCH(E2416,lst_exp_items,0))),"❔ Без категории"))</f>
        <v/>
      </c>
      <c r="G2416" s="43" t="n"/>
      <c r="H2416" s="56" t="n"/>
      <c r="I2416" s="43" t="n"/>
      <c r="J2416" s="57">
        <f>IF(OR(A2416="",H2416=""),"",IF(COUNTIFS(exp_year,C2416,exp_month,D2416,exp_item,E2416,exp_status,"&lt;&gt;❌ Отменено")&gt;0,1,0))</f>
        <v/>
      </c>
    </row>
    <row r="2417">
      <c r="A2417" s="52" t="n"/>
      <c r="B2417" s="53">
        <f>IF(A2417="","",CHOOSE(WEEKDAY(A2417,2),"Пн","Вт","Ср","Чт","Пт","Сб","Вс"))</f>
        <v/>
      </c>
      <c r="C2417" s="53">
        <f>IF(A2417="","",YEAR(A2417))</f>
        <v/>
      </c>
      <c r="D2417" s="54">
        <f>IF(A2417="","",INDEX(lst_months,MONTH(A2417)))</f>
        <v/>
      </c>
      <c r="E2417" s="55" t="n"/>
      <c r="F2417" s="54">
        <f>IF(E2417="","",IFERROR(IF(INDEX(lst_exp_item_cat,MATCH(E2417,lst_exp_items,0))="","❔ Без категории",INDEX(lst_exp_item_cat,MATCH(E2417,lst_exp_items,0))),"❔ Без категории"))</f>
        <v/>
      </c>
      <c r="G2417" s="43" t="n"/>
      <c r="H2417" s="56" t="n"/>
      <c r="I2417" s="43" t="n"/>
      <c r="J2417" s="57">
        <f>IF(OR(A2417="",H2417=""),"",IF(COUNTIFS(exp_year,C2417,exp_month,D2417,exp_item,E2417,exp_status,"&lt;&gt;❌ Отменено")&gt;0,1,0))</f>
        <v/>
      </c>
    </row>
    <row r="2418">
      <c r="A2418" s="52" t="n"/>
      <c r="B2418" s="53">
        <f>IF(A2418="","",CHOOSE(WEEKDAY(A2418,2),"Пн","Вт","Ср","Чт","Пт","Сб","Вс"))</f>
        <v/>
      </c>
      <c r="C2418" s="53">
        <f>IF(A2418="","",YEAR(A2418))</f>
        <v/>
      </c>
      <c r="D2418" s="54">
        <f>IF(A2418="","",INDEX(lst_months,MONTH(A2418)))</f>
        <v/>
      </c>
      <c r="E2418" s="55" t="n"/>
      <c r="F2418" s="54">
        <f>IF(E2418="","",IFERROR(IF(INDEX(lst_exp_item_cat,MATCH(E2418,lst_exp_items,0))="","❔ Без категории",INDEX(lst_exp_item_cat,MATCH(E2418,lst_exp_items,0))),"❔ Без категории"))</f>
        <v/>
      </c>
      <c r="G2418" s="43" t="n"/>
      <c r="H2418" s="56" t="n"/>
      <c r="I2418" s="43" t="n"/>
      <c r="J2418" s="57">
        <f>IF(OR(A2418="",H2418=""),"",IF(COUNTIFS(exp_year,C2418,exp_month,D2418,exp_item,E2418,exp_status,"&lt;&gt;❌ Отменено")&gt;0,1,0))</f>
        <v/>
      </c>
    </row>
    <row r="2419">
      <c r="A2419" s="52" t="n"/>
      <c r="B2419" s="53">
        <f>IF(A2419="","",CHOOSE(WEEKDAY(A2419,2),"Пн","Вт","Ср","Чт","Пт","Сб","Вс"))</f>
        <v/>
      </c>
      <c r="C2419" s="53">
        <f>IF(A2419="","",YEAR(A2419))</f>
        <v/>
      </c>
      <c r="D2419" s="54">
        <f>IF(A2419="","",INDEX(lst_months,MONTH(A2419)))</f>
        <v/>
      </c>
      <c r="E2419" s="55" t="n"/>
      <c r="F2419" s="54">
        <f>IF(E2419="","",IFERROR(IF(INDEX(lst_exp_item_cat,MATCH(E2419,lst_exp_items,0))="","❔ Без категории",INDEX(lst_exp_item_cat,MATCH(E2419,lst_exp_items,0))),"❔ Без категории"))</f>
        <v/>
      </c>
      <c r="G2419" s="43" t="n"/>
      <c r="H2419" s="56" t="n"/>
      <c r="I2419" s="43" t="n"/>
      <c r="J2419" s="57">
        <f>IF(OR(A2419="",H2419=""),"",IF(COUNTIFS(exp_year,C2419,exp_month,D2419,exp_item,E2419,exp_status,"&lt;&gt;❌ Отменено")&gt;0,1,0))</f>
        <v/>
      </c>
    </row>
    <row r="2420">
      <c r="A2420" s="52" t="n"/>
      <c r="B2420" s="53">
        <f>IF(A2420="","",CHOOSE(WEEKDAY(A2420,2),"Пн","Вт","Ср","Чт","Пт","Сб","Вс"))</f>
        <v/>
      </c>
      <c r="C2420" s="53">
        <f>IF(A2420="","",YEAR(A2420))</f>
        <v/>
      </c>
      <c r="D2420" s="54">
        <f>IF(A2420="","",INDEX(lst_months,MONTH(A2420)))</f>
        <v/>
      </c>
      <c r="E2420" s="55" t="n"/>
      <c r="F2420" s="54">
        <f>IF(E2420="","",IFERROR(IF(INDEX(lst_exp_item_cat,MATCH(E2420,lst_exp_items,0))="","❔ Без категории",INDEX(lst_exp_item_cat,MATCH(E2420,lst_exp_items,0))),"❔ Без категории"))</f>
        <v/>
      </c>
      <c r="G2420" s="43" t="n"/>
      <c r="H2420" s="56" t="n"/>
      <c r="I2420" s="43" t="n"/>
      <c r="J2420" s="57">
        <f>IF(OR(A2420="",H2420=""),"",IF(COUNTIFS(exp_year,C2420,exp_month,D2420,exp_item,E2420,exp_status,"&lt;&gt;❌ Отменено")&gt;0,1,0))</f>
        <v/>
      </c>
    </row>
    <row r="2421">
      <c r="A2421" s="52" t="n"/>
      <c r="B2421" s="53">
        <f>IF(A2421="","",CHOOSE(WEEKDAY(A2421,2),"Пн","Вт","Ср","Чт","Пт","Сб","Вс"))</f>
        <v/>
      </c>
      <c r="C2421" s="53">
        <f>IF(A2421="","",YEAR(A2421))</f>
        <v/>
      </c>
      <c r="D2421" s="54">
        <f>IF(A2421="","",INDEX(lst_months,MONTH(A2421)))</f>
        <v/>
      </c>
      <c r="E2421" s="55" t="n"/>
      <c r="F2421" s="54">
        <f>IF(E2421="","",IFERROR(IF(INDEX(lst_exp_item_cat,MATCH(E2421,lst_exp_items,0))="","❔ Без категории",INDEX(lst_exp_item_cat,MATCH(E2421,lst_exp_items,0))),"❔ Без категории"))</f>
        <v/>
      </c>
      <c r="G2421" s="43" t="n"/>
      <c r="H2421" s="56" t="n"/>
      <c r="I2421" s="43" t="n"/>
      <c r="J2421" s="57">
        <f>IF(OR(A2421="",H2421=""),"",IF(COUNTIFS(exp_year,C2421,exp_month,D2421,exp_item,E2421,exp_status,"&lt;&gt;❌ Отменено")&gt;0,1,0))</f>
        <v/>
      </c>
    </row>
    <row r="2422">
      <c r="A2422" s="52" t="n"/>
      <c r="B2422" s="53">
        <f>IF(A2422="","",CHOOSE(WEEKDAY(A2422,2),"Пн","Вт","Ср","Чт","Пт","Сб","Вс"))</f>
        <v/>
      </c>
      <c r="C2422" s="53">
        <f>IF(A2422="","",YEAR(A2422))</f>
        <v/>
      </c>
      <c r="D2422" s="54">
        <f>IF(A2422="","",INDEX(lst_months,MONTH(A2422)))</f>
        <v/>
      </c>
      <c r="E2422" s="55" t="n"/>
      <c r="F2422" s="54">
        <f>IF(E2422="","",IFERROR(IF(INDEX(lst_exp_item_cat,MATCH(E2422,lst_exp_items,0))="","❔ Без категории",INDEX(lst_exp_item_cat,MATCH(E2422,lst_exp_items,0))),"❔ Без категории"))</f>
        <v/>
      </c>
      <c r="G2422" s="43" t="n"/>
      <c r="H2422" s="56" t="n"/>
      <c r="I2422" s="43" t="n"/>
      <c r="J2422" s="57">
        <f>IF(OR(A2422="",H2422=""),"",IF(COUNTIFS(exp_year,C2422,exp_month,D2422,exp_item,E2422,exp_status,"&lt;&gt;❌ Отменено")&gt;0,1,0))</f>
        <v/>
      </c>
    </row>
    <row r="2423">
      <c r="A2423" s="52" t="n"/>
      <c r="B2423" s="53">
        <f>IF(A2423="","",CHOOSE(WEEKDAY(A2423,2),"Пн","Вт","Ср","Чт","Пт","Сб","Вс"))</f>
        <v/>
      </c>
      <c r="C2423" s="53">
        <f>IF(A2423="","",YEAR(A2423))</f>
        <v/>
      </c>
      <c r="D2423" s="54">
        <f>IF(A2423="","",INDEX(lst_months,MONTH(A2423)))</f>
        <v/>
      </c>
      <c r="E2423" s="55" t="n"/>
      <c r="F2423" s="54">
        <f>IF(E2423="","",IFERROR(IF(INDEX(lst_exp_item_cat,MATCH(E2423,lst_exp_items,0))="","❔ Без категории",INDEX(lst_exp_item_cat,MATCH(E2423,lst_exp_items,0))),"❔ Без категории"))</f>
        <v/>
      </c>
      <c r="G2423" s="43" t="n"/>
      <c r="H2423" s="56" t="n"/>
      <c r="I2423" s="43" t="n"/>
      <c r="J2423" s="57">
        <f>IF(OR(A2423="",H2423=""),"",IF(COUNTIFS(exp_year,C2423,exp_month,D2423,exp_item,E2423,exp_status,"&lt;&gt;❌ Отменено")&gt;0,1,0))</f>
        <v/>
      </c>
    </row>
    <row r="2424">
      <c r="A2424" s="52" t="n"/>
      <c r="B2424" s="53">
        <f>IF(A2424="","",CHOOSE(WEEKDAY(A2424,2),"Пн","Вт","Ср","Чт","Пт","Сб","Вс"))</f>
        <v/>
      </c>
      <c r="C2424" s="53">
        <f>IF(A2424="","",YEAR(A2424))</f>
        <v/>
      </c>
      <c r="D2424" s="54">
        <f>IF(A2424="","",INDEX(lst_months,MONTH(A2424)))</f>
        <v/>
      </c>
      <c r="E2424" s="55" t="n"/>
      <c r="F2424" s="54">
        <f>IF(E2424="","",IFERROR(IF(INDEX(lst_exp_item_cat,MATCH(E2424,lst_exp_items,0))="","❔ Без категории",INDEX(lst_exp_item_cat,MATCH(E2424,lst_exp_items,0))),"❔ Без категории"))</f>
        <v/>
      </c>
      <c r="G2424" s="43" t="n"/>
      <c r="H2424" s="56" t="n"/>
      <c r="I2424" s="43" t="n"/>
      <c r="J2424" s="57">
        <f>IF(OR(A2424="",H2424=""),"",IF(COUNTIFS(exp_year,C2424,exp_month,D2424,exp_item,E2424,exp_status,"&lt;&gt;❌ Отменено")&gt;0,1,0))</f>
        <v/>
      </c>
    </row>
    <row r="2425">
      <c r="A2425" s="52" t="n"/>
      <c r="B2425" s="53">
        <f>IF(A2425="","",CHOOSE(WEEKDAY(A2425,2),"Пн","Вт","Ср","Чт","Пт","Сб","Вс"))</f>
        <v/>
      </c>
      <c r="C2425" s="53">
        <f>IF(A2425="","",YEAR(A2425))</f>
        <v/>
      </c>
      <c r="D2425" s="54">
        <f>IF(A2425="","",INDEX(lst_months,MONTH(A2425)))</f>
        <v/>
      </c>
      <c r="E2425" s="55" t="n"/>
      <c r="F2425" s="54">
        <f>IF(E2425="","",IFERROR(IF(INDEX(lst_exp_item_cat,MATCH(E2425,lst_exp_items,0))="","❔ Без категории",INDEX(lst_exp_item_cat,MATCH(E2425,lst_exp_items,0))),"❔ Без категории"))</f>
        <v/>
      </c>
      <c r="G2425" s="43" t="n"/>
      <c r="H2425" s="56" t="n"/>
      <c r="I2425" s="43" t="n"/>
      <c r="J2425" s="57">
        <f>IF(OR(A2425="",H2425=""),"",IF(COUNTIFS(exp_year,C2425,exp_month,D2425,exp_item,E2425,exp_status,"&lt;&gt;❌ Отменено")&gt;0,1,0))</f>
        <v/>
      </c>
    </row>
    <row r="2426">
      <c r="A2426" s="52" t="n"/>
      <c r="B2426" s="53">
        <f>IF(A2426="","",CHOOSE(WEEKDAY(A2426,2),"Пн","Вт","Ср","Чт","Пт","Сб","Вс"))</f>
        <v/>
      </c>
      <c r="C2426" s="53">
        <f>IF(A2426="","",YEAR(A2426))</f>
        <v/>
      </c>
      <c r="D2426" s="54">
        <f>IF(A2426="","",INDEX(lst_months,MONTH(A2426)))</f>
        <v/>
      </c>
      <c r="E2426" s="55" t="n"/>
      <c r="F2426" s="54">
        <f>IF(E2426="","",IFERROR(IF(INDEX(lst_exp_item_cat,MATCH(E2426,lst_exp_items,0))="","❔ Без категории",INDEX(lst_exp_item_cat,MATCH(E2426,lst_exp_items,0))),"❔ Без категории"))</f>
        <v/>
      </c>
      <c r="G2426" s="43" t="n"/>
      <c r="H2426" s="56" t="n"/>
      <c r="I2426" s="43" t="n"/>
      <c r="J2426" s="57">
        <f>IF(OR(A2426="",H2426=""),"",IF(COUNTIFS(exp_year,C2426,exp_month,D2426,exp_item,E2426,exp_status,"&lt;&gt;❌ Отменено")&gt;0,1,0))</f>
        <v/>
      </c>
    </row>
    <row r="2427">
      <c r="A2427" s="52" t="n"/>
      <c r="B2427" s="53">
        <f>IF(A2427="","",CHOOSE(WEEKDAY(A2427,2),"Пн","Вт","Ср","Чт","Пт","Сб","Вс"))</f>
        <v/>
      </c>
      <c r="C2427" s="53">
        <f>IF(A2427="","",YEAR(A2427))</f>
        <v/>
      </c>
      <c r="D2427" s="54">
        <f>IF(A2427="","",INDEX(lst_months,MONTH(A2427)))</f>
        <v/>
      </c>
      <c r="E2427" s="55" t="n"/>
      <c r="F2427" s="54">
        <f>IF(E2427="","",IFERROR(IF(INDEX(lst_exp_item_cat,MATCH(E2427,lst_exp_items,0))="","❔ Без категории",INDEX(lst_exp_item_cat,MATCH(E2427,lst_exp_items,0))),"❔ Без категории"))</f>
        <v/>
      </c>
      <c r="G2427" s="43" t="n"/>
      <c r="H2427" s="56" t="n"/>
      <c r="I2427" s="43" t="n"/>
      <c r="J2427" s="57">
        <f>IF(OR(A2427="",H2427=""),"",IF(COUNTIFS(exp_year,C2427,exp_month,D2427,exp_item,E2427,exp_status,"&lt;&gt;❌ Отменено")&gt;0,1,0))</f>
        <v/>
      </c>
    </row>
    <row r="2428">
      <c r="A2428" s="52" t="n"/>
      <c r="B2428" s="53">
        <f>IF(A2428="","",CHOOSE(WEEKDAY(A2428,2),"Пн","Вт","Ср","Чт","Пт","Сб","Вс"))</f>
        <v/>
      </c>
      <c r="C2428" s="53">
        <f>IF(A2428="","",YEAR(A2428))</f>
        <v/>
      </c>
      <c r="D2428" s="54">
        <f>IF(A2428="","",INDEX(lst_months,MONTH(A2428)))</f>
        <v/>
      </c>
      <c r="E2428" s="55" t="n"/>
      <c r="F2428" s="54">
        <f>IF(E2428="","",IFERROR(IF(INDEX(lst_exp_item_cat,MATCH(E2428,lst_exp_items,0))="","❔ Без категории",INDEX(lst_exp_item_cat,MATCH(E2428,lst_exp_items,0))),"❔ Без категории"))</f>
        <v/>
      </c>
      <c r="G2428" s="43" t="n"/>
      <c r="H2428" s="56" t="n"/>
      <c r="I2428" s="43" t="n"/>
      <c r="J2428" s="57">
        <f>IF(OR(A2428="",H2428=""),"",IF(COUNTIFS(exp_year,C2428,exp_month,D2428,exp_item,E2428,exp_status,"&lt;&gt;❌ Отменено")&gt;0,1,0))</f>
        <v/>
      </c>
    </row>
    <row r="2429">
      <c r="A2429" s="52" t="n"/>
      <c r="B2429" s="53">
        <f>IF(A2429="","",CHOOSE(WEEKDAY(A2429,2),"Пн","Вт","Ср","Чт","Пт","Сб","Вс"))</f>
        <v/>
      </c>
      <c r="C2429" s="53">
        <f>IF(A2429="","",YEAR(A2429))</f>
        <v/>
      </c>
      <c r="D2429" s="54">
        <f>IF(A2429="","",INDEX(lst_months,MONTH(A2429)))</f>
        <v/>
      </c>
      <c r="E2429" s="55" t="n"/>
      <c r="F2429" s="54">
        <f>IF(E2429="","",IFERROR(IF(INDEX(lst_exp_item_cat,MATCH(E2429,lst_exp_items,0))="","❔ Без категории",INDEX(lst_exp_item_cat,MATCH(E2429,lst_exp_items,0))),"❔ Без категории"))</f>
        <v/>
      </c>
      <c r="G2429" s="43" t="n"/>
      <c r="H2429" s="56" t="n"/>
      <c r="I2429" s="43" t="n"/>
      <c r="J2429" s="57">
        <f>IF(OR(A2429="",H2429=""),"",IF(COUNTIFS(exp_year,C2429,exp_month,D2429,exp_item,E2429,exp_status,"&lt;&gt;❌ Отменено")&gt;0,1,0))</f>
        <v/>
      </c>
    </row>
    <row r="2430">
      <c r="A2430" s="52" t="n"/>
      <c r="B2430" s="53">
        <f>IF(A2430="","",CHOOSE(WEEKDAY(A2430,2),"Пн","Вт","Ср","Чт","Пт","Сб","Вс"))</f>
        <v/>
      </c>
      <c r="C2430" s="53">
        <f>IF(A2430="","",YEAR(A2430))</f>
        <v/>
      </c>
      <c r="D2430" s="54">
        <f>IF(A2430="","",INDEX(lst_months,MONTH(A2430)))</f>
        <v/>
      </c>
      <c r="E2430" s="55" t="n"/>
      <c r="F2430" s="54">
        <f>IF(E2430="","",IFERROR(IF(INDEX(lst_exp_item_cat,MATCH(E2430,lst_exp_items,0))="","❔ Без категории",INDEX(lst_exp_item_cat,MATCH(E2430,lst_exp_items,0))),"❔ Без категории"))</f>
        <v/>
      </c>
      <c r="G2430" s="43" t="n"/>
      <c r="H2430" s="56" t="n"/>
      <c r="I2430" s="43" t="n"/>
      <c r="J2430" s="57">
        <f>IF(OR(A2430="",H2430=""),"",IF(COUNTIFS(exp_year,C2430,exp_month,D2430,exp_item,E2430,exp_status,"&lt;&gt;❌ Отменено")&gt;0,1,0))</f>
        <v/>
      </c>
    </row>
    <row r="2431">
      <c r="A2431" s="52" t="n"/>
      <c r="B2431" s="53">
        <f>IF(A2431="","",CHOOSE(WEEKDAY(A2431,2),"Пн","Вт","Ср","Чт","Пт","Сб","Вс"))</f>
        <v/>
      </c>
      <c r="C2431" s="53">
        <f>IF(A2431="","",YEAR(A2431))</f>
        <v/>
      </c>
      <c r="D2431" s="54">
        <f>IF(A2431="","",INDEX(lst_months,MONTH(A2431)))</f>
        <v/>
      </c>
      <c r="E2431" s="55" t="n"/>
      <c r="F2431" s="54">
        <f>IF(E2431="","",IFERROR(IF(INDEX(lst_exp_item_cat,MATCH(E2431,lst_exp_items,0))="","❔ Без категории",INDEX(lst_exp_item_cat,MATCH(E2431,lst_exp_items,0))),"❔ Без категории"))</f>
        <v/>
      </c>
      <c r="G2431" s="43" t="n"/>
      <c r="H2431" s="56" t="n"/>
      <c r="I2431" s="43" t="n"/>
      <c r="J2431" s="57">
        <f>IF(OR(A2431="",H2431=""),"",IF(COUNTIFS(exp_year,C2431,exp_month,D2431,exp_item,E2431,exp_status,"&lt;&gt;❌ Отменено")&gt;0,1,0))</f>
        <v/>
      </c>
    </row>
    <row r="2432">
      <c r="A2432" s="52" t="n"/>
      <c r="B2432" s="53">
        <f>IF(A2432="","",CHOOSE(WEEKDAY(A2432,2),"Пн","Вт","Ср","Чт","Пт","Сб","Вс"))</f>
        <v/>
      </c>
      <c r="C2432" s="53">
        <f>IF(A2432="","",YEAR(A2432))</f>
        <v/>
      </c>
      <c r="D2432" s="54">
        <f>IF(A2432="","",INDEX(lst_months,MONTH(A2432)))</f>
        <v/>
      </c>
      <c r="E2432" s="55" t="n"/>
      <c r="F2432" s="54">
        <f>IF(E2432="","",IFERROR(IF(INDEX(lst_exp_item_cat,MATCH(E2432,lst_exp_items,0))="","❔ Без категории",INDEX(lst_exp_item_cat,MATCH(E2432,lst_exp_items,0))),"❔ Без категории"))</f>
        <v/>
      </c>
      <c r="G2432" s="43" t="n"/>
      <c r="H2432" s="56" t="n"/>
      <c r="I2432" s="43" t="n"/>
      <c r="J2432" s="57">
        <f>IF(OR(A2432="",H2432=""),"",IF(COUNTIFS(exp_year,C2432,exp_month,D2432,exp_item,E2432,exp_status,"&lt;&gt;❌ Отменено")&gt;0,1,0))</f>
        <v/>
      </c>
    </row>
    <row r="2433">
      <c r="A2433" s="52" t="n"/>
      <c r="B2433" s="53">
        <f>IF(A2433="","",CHOOSE(WEEKDAY(A2433,2),"Пн","Вт","Ср","Чт","Пт","Сб","Вс"))</f>
        <v/>
      </c>
      <c r="C2433" s="53">
        <f>IF(A2433="","",YEAR(A2433))</f>
        <v/>
      </c>
      <c r="D2433" s="54">
        <f>IF(A2433="","",INDEX(lst_months,MONTH(A2433)))</f>
        <v/>
      </c>
      <c r="E2433" s="55" t="n"/>
      <c r="F2433" s="54">
        <f>IF(E2433="","",IFERROR(IF(INDEX(lst_exp_item_cat,MATCH(E2433,lst_exp_items,0))="","❔ Без категории",INDEX(lst_exp_item_cat,MATCH(E2433,lst_exp_items,0))),"❔ Без категории"))</f>
        <v/>
      </c>
      <c r="G2433" s="43" t="n"/>
      <c r="H2433" s="56" t="n"/>
      <c r="I2433" s="43" t="n"/>
      <c r="J2433" s="57">
        <f>IF(OR(A2433="",H2433=""),"",IF(COUNTIFS(exp_year,C2433,exp_month,D2433,exp_item,E2433,exp_status,"&lt;&gt;❌ Отменено")&gt;0,1,0))</f>
        <v/>
      </c>
    </row>
    <row r="2434">
      <c r="A2434" s="52" t="n"/>
      <c r="B2434" s="53">
        <f>IF(A2434="","",CHOOSE(WEEKDAY(A2434,2),"Пн","Вт","Ср","Чт","Пт","Сб","Вс"))</f>
        <v/>
      </c>
      <c r="C2434" s="53">
        <f>IF(A2434="","",YEAR(A2434))</f>
        <v/>
      </c>
      <c r="D2434" s="54">
        <f>IF(A2434="","",INDEX(lst_months,MONTH(A2434)))</f>
        <v/>
      </c>
      <c r="E2434" s="55" t="n"/>
      <c r="F2434" s="54">
        <f>IF(E2434="","",IFERROR(IF(INDEX(lst_exp_item_cat,MATCH(E2434,lst_exp_items,0))="","❔ Без категории",INDEX(lst_exp_item_cat,MATCH(E2434,lst_exp_items,0))),"❔ Без категории"))</f>
        <v/>
      </c>
      <c r="G2434" s="43" t="n"/>
      <c r="H2434" s="56" t="n"/>
      <c r="I2434" s="43" t="n"/>
      <c r="J2434" s="57">
        <f>IF(OR(A2434="",H2434=""),"",IF(COUNTIFS(exp_year,C2434,exp_month,D2434,exp_item,E2434,exp_status,"&lt;&gt;❌ Отменено")&gt;0,1,0))</f>
        <v/>
      </c>
    </row>
    <row r="2435">
      <c r="A2435" s="52" t="n"/>
      <c r="B2435" s="53">
        <f>IF(A2435="","",CHOOSE(WEEKDAY(A2435,2),"Пн","Вт","Ср","Чт","Пт","Сб","Вс"))</f>
        <v/>
      </c>
      <c r="C2435" s="53">
        <f>IF(A2435="","",YEAR(A2435))</f>
        <v/>
      </c>
      <c r="D2435" s="54">
        <f>IF(A2435="","",INDEX(lst_months,MONTH(A2435)))</f>
        <v/>
      </c>
      <c r="E2435" s="55" t="n"/>
      <c r="F2435" s="54">
        <f>IF(E2435="","",IFERROR(IF(INDEX(lst_exp_item_cat,MATCH(E2435,lst_exp_items,0))="","❔ Без категории",INDEX(lst_exp_item_cat,MATCH(E2435,lst_exp_items,0))),"❔ Без категории"))</f>
        <v/>
      </c>
      <c r="G2435" s="43" t="n"/>
      <c r="H2435" s="56" t="n"/>
      <c r="I2435" s="43" t="n"/>
      <c r="J2435" s="57">
        <f>IF(OR(A2435="",H2435=""),"",IF(COUNTIFS(exp_year,C2435,exp_month,D2435,exp_item,E2435,exp_status,"&lt;&gt;❌ Отменено")&gt;0,1,0))</f>
        <v/>
      </c>
    </row>
    <row r="2436">
      <c r="A2436" s="52" t="n"/>
      <c r="B2436" s="53">
        <f>IF(A2436="","",CHOOSE(WEEKDAY(A2436,2),"Пн","Вт","Ср","Чт","Пт","Сб","Вс"))</f>
        <v/>
      </c>
      <c r="C2436" s="53">
        <f>IF(A2436="","",YEAR(A2436))</f>
        <v/>
      </c>
      <c r="D2436" s="54">
        <f>IF(A2436="","",INDEX(lst_months,MONTH(A2436)))</f>
        <v/>
      </c>
      <c r="E2436" s="55" t="n"/>
      <c r="F2436" s="54">
        <f>IF(E2436="","",IFERROR(IF(INDEX(lst_exp_item_cat,MATCH(E2436,lst_exp_items,0))="","❔ Без категории",INDEX(lst_exp_item_cat,MATCH(E2436,lst_exp_items,0))),"❔ Без категории"))</f>
        <v/>
      </c>
      <c r="G2436" s="43" t="n"/>
      <c r="H2436" s="56" t="n"/>
      <c r="I2436" s="43" t="n"/>
      <c r="J2436" s="57">
        <f>IF(OR(A2436="",H2436=""),"",IF(COUNTIFS(exp_year,C2436,exp_month,D2436,exp_item,E2436,exp_status,"&lt;&gt;❌ Отменено")&gt;0,1,0))</f>
        <v/>
      </c>
    </row>
    <row r="2437">
      <c r="A2437" s="52" t="n"/>
      <c r="B2437" s="53">
        <f>IF(A2437="","",CHOOSE(WEEKDAY(A2437,2),"Пн","Вт","Ср","Чт","Пт","Сб","Вс"))</f>
        <v/>
      </c>
      <c r="C2437" s="53">
        <f>IF(A2437="","",YEAR(A2437))</f>
        <v/>
      </c>
      <c r="D2437" s="54">
        <f>IF(A2437="","",INDEX(lst_months,MONTH(A2437)))</f>
        <v/>
      </c>
      <c r="E2437" s="55" t="n"/>
      <c r="F2437" s="54">
        <f>IF(E2437="","",IFERROR(IF(INDEX(lst_exp_item_cat,MATCH(E2437,lst_exp_items,0))="","❔ Без категории",INDEX(lst_exp_item_cat,MATCH(E2437,lst_exp_items,0))),"❔ Без категории"))</f>
        <v/>
      </c>
      <c r="G2437" s="43" t="n"/>
      <c r="H2437" s="56" t="n"/>
      <c r="I2437" s="43" t="n"/>
      <c r="J2437" s="57">
        <f>IF(OR(A2437="",H2437=""),"",IF(COUNTIFS(exp_year,C2437,exp_month,D2437,exp_item,E2437,exp_status,"&lt;&gt;❌ Отменено")&gt;0,1,0))</f>
        <v/>
      </c>
    </row>
    <row r="2438">
      <c r="A2438" s="52" t="n"/>
      <c r="B2438" s="53">
        <f>IF(A2438="","",CHOOSE(WEEKDAY(A2438,2),"Пн","Вт","Ср","Чт","Пт","Сб","Вс"))</f>
        <v/>
      </c>
      <c r="C2438" s="53">
        <f>IF(A2438="","",YEAR(A2438))</f>
        <v/>
      </c>
      <c r="D2438" s="54">
        <f>IF(A2438="","",INDEX(lst_months,MONTH(A2438)))</f>
        <v/>
      </c>
      <c r="E2438" s="55" t="n"/>
      <c r="F2438" s="54">
        <f>IF(E2438="","",IFERROR(IF(INDEX(lst_exp_item_cat,MATCH(E2438,lst_exp_items,0))="","❔ Без категории",INDEX(lst_exp_item_cat,MATCH(E2438,lst_exp_items,0))),"❔ Без категории"))</f>
        <v/>
      </c>
      <c r="G2438" s="43" t="n"/>
      <c r="H2438" s="56" t="n"/>
      <c r="I2438" s="43" t="n"/>
      <c r="J2438" s="57">
        <f>IF(OR(A2438="",H2438=""),"",IF(COUNTIFS(exp_year,C2438,exp_month,D2438,exp_item,E2438,exp_status,"&lt;&gt;❌ Отменено")&gt;0,1,0))</f>
        <v/>
      </c>
    </row>
    <row r="2439">
      <c r="A2439" s="52" t="n"/>
      <c r="B2439" s="53">
        <f>IF(A2439="","",CHOOSE(WEEKDAY(A2439,2),"Пн","Вт","Ср","Чт","Пт","Сб","Вс"))</f>
        <v/>
      </c>
      <c r="C2439" s="53">
        <f>IF(A2439="","",YEAR(A2439))</f>
        <v/>
      </c>
      <c r="D2439" s="54">
        <f>IF(A2439="","",INDEX(lst_months,MONTH(A2439)))</f>
        <v/>
      </c>
      <c r="E2439" s="55" t="n"/>
      <c r="F2439" s="54">
        <f>IF(E2439="","",IFERROR(IF(INDEX(lst_exp_item_cat,MATCH(E2439,lst_exp_items,0))="","❔ Без категории",INDEX(lst_exp_item_cat,MATCH(E2439,lst_exp_items,0))),"❔ Без категории"))</f>
        <v/>
      </c>
      <c r="G2439" s="43" t="n"/>
      <c r="H2439" s="56" t="n"/>
      <c r="I2439" s="43" t="n"/>
      <c r="J2439" s="57">
        <f>IF(OR(A2439="",H2439=""),"",IF(COUNTIFS(exp_year,C2439,exp_month,D2439,exp_item,E2439,exp_status,"&lt;&gt;❌ Отменено")&gt;0,1,0))</f>
        <v/>
      </c>
    </row>
    <row r="2440">
      <c r="A2440" s="52" t="n"/>
      <c r="B2440" s="53">
        <f>IF(A2440="","",CHOOSE(WEEKDAY(A2440,2),"Пн","Вт","Ср","Чт","Пт","Сб","Вс"))</f>
        <v/>
      </c>
      <c r="C2440" s="53">
        <f>IF(A2440="","",YEAR(A2440))</f>
        <v/>
      </c>
      <c r="D2440" s="54">
        <f>IF(A2440="","",INDEX(lst_months,MONTH(A2440)))</f>
        <v/>
      </c>
      <c r="E2440" s="55" t="n"/>
      <c r="F2440" s="54">
        <f>IF(E2440="","",IFERROR(IF(INDEX(lst_exp_item_cat,MATCH(E2440,lst_exp_items,0))="","❔ Без категории",INDEX(lst_exp_item_cat,MATCH(E2440,lst_exp_items,0))),"❔ Без категории"))</f>
        <v/>
      </c>
      <c r="G2440" s="43" t="n"/>
      <c r="H2440" s="56" t="n"/>
      <c r="I2440" s="43" t="n"/>
      <c r="J2440" s="57">
        <f>IF(OR(A2440="",H2440=""),"",IF(COUNTIFS(exp_year,C2440,exp_month,D2440,exp_item,E2440,exp_status,"&lt;&gt;❌ Отменено")&gt;0,1,0))</f>
        <v/>
      </c>
    </row>
    <row r="2441">
      <c r="A2441" s="52" t="n"/>
      <c r="B2441" s="53">
        <f>IF(A2441="","",CHOOSE(WEEKDAY(A2441,2),"Пн","Вт","Ср","Чт","Пт","Сб","Вс"))</f>
        <v/>
      </c>
      <c r="C2441" s="53">
        <f>IF(A2441="","",YEAR(A2441))</f>
        <v/>
      </c>
      <c r="D2441" s="54">
        <f>IF(A2441="","",INDEX(lst_months,MONTH(A2441)))</f>
        <v/>
      </c>
      <c r="E2441" s="55" t="n"/>
      <c r="F2441" s="54">
        <f>IF(E2441="","",IFERROR(IF(INDEX(lst_exp_item_cat,MATCH(E2441,lst_exp_items,0))="","❔ Без категории",INDEX(lst_exp_item_cat,MATCH(E2441,lst_exp_items,0))),"❔ Без категории"))</f>
        <v/>
      </c>
      <c r="G2441" s="43" t="n"/>
      <c r="H2441" s="56" t="n"/>
      <c r="I2441" s="43" t="n"/>
      <c r="J2441" s="57">
        <f>IF(OR(A2441="",H2441=""),"",IF(COUNTIFS(exp_year,C2441,exp_month,D2441,exp_item,E2441,exp_status,"&lt;&gt;❌ Отменено")&gt;0,1,0))</f>
        <v/>
      </c>
    </row>
    <row r="2442">
      <c r="A2442" s="52" t="n"/>
      <c r="B2442" s="53">
        <f>IF(A2442="","",CHOOSE(WEEKDAY(A2442,2),"Пн","Вт","Ср","Чт","Пт","Сб","Вс"))</f>
        <v/>
      </c>
      <c r="C2442" s="53">
        <f>IF(A2442="","",YEAR(A2442))</f>
        <v/>
      </c>
      <c r="D2442" s="54">
        <f>IF(A2442="","",INDEX(lst_months,MONTH(A2442)))</f>
        <v/>
      </c>
      <c r="E2442" s="55" t="n"/>
      <c r="F2442" s="54">
        <f>IF(E2442="","",IFERROR(IF(INDEX(lst_exp_item_cat,MATCH(E2442,lst_exp_items,0))="","❔ Без категории",INDEX(lst_exp_item_cat,MATCH(E2442,lst_exp_items,0))),"❔ Без категории"))</f>
        <v/>
      </c>
      <c r="G2442" s="43" t="n"/>
      <c r="H2442" s="56" t="n"/>
      <c r="I2442" s="43" t="n"/>
      <c r="J2442" s="57">
        <f>IF(OR(A2442="",H2442=""),"",IF(COUNTIFS(exp_year,C2442,exp_month,D2442,exp_item,E2442,exp_status,"&lt;&gt;❌ Отменено")&gt;0,1,0))</f>
        <v/>
      </c>
    </row>
    <row r="2443">
      <c r="A2443" s="52" t="n"/>
      <c r="B2443" s="53">
        <f>IF(A2443="","",CHOOSE(WEEKDAY(A2443,2),"Пн","Вт","Ср","Чт","Пт","Сб","Вс"))</f>
        <v/>
      </c>
      <c r="C2443" s="53">
        <f>IF(A2443="","",YEAR(A2443))</f>
        <v/>
      </c>
      <c r="D2443" s="54">
        <f>IF(A2443="","",INDEX(lst_months,MONTH(A2443)))</f>
        <v/>
      </c>
      <c r="E2443" s="55" t="n"/>
      <c r="F2443" s="54">
        <f>IF(E2443="","",IFERROR(IF(INDEX(lst_exp_item_cat,MATCH(E2443,lst_exp_items,0))="","❔ Без категории",INDEX(lst_exp_item_cat,MATCH(E2443,lst_exp_items,0))),"❔ Без категории"))</f>
        <v/>
      </c>
      <c r="G2443" s="43" t="n"/>
      <c r="H2443" s="56" t="n"/>
      <c r="I2443" s="43" t="n"/>
      <c r="J2443" s="57">
        <f>IF(OR(A2443="",H2443=""),"",IF(COUNTIFS(exp_year,C2443,exp_month,D2443,exp_item,E2443,exp_status,"&lt;&gt;❌ Отменено")&gt;0,1,0))</f>
        <v/>
      </c>
    </row>
    <row r="2444">
      <c r="A2444" s="52" t="n"/>
      <c r="B2444" s="53">
        <f>IF(A2444="","",CHOOSE(WEEKDAY(A2444,2),"Пн","Вт","Ср","Чт","Пт","Сб","Вс"))</f>
        <v/>
      </c>
      <c r="C2444" s="53">
        <f>IF(A2444="","",YEAR(A2444))</f>
        <v/>
      </c>
      <c r="D2444" s="54">
        <f>IF(A2444="","",INDEX(lst_months,MONTH(A2444)))</f>
        <v/>
      </c>
      <c r="E2444" s="55" t="n"/>
      <c r="F2444" s="54">
        <f>IF(E2444="","",IFERROR(IF(INDEX(lst_exp_item_cat,MATCH(E2444,lst_exp_items,0))="","❔ Без категории",INDEX(lst_exp_item_cat,MATCH(E2444,lst_exp_items,0))),"❔ Без категории"))</f>
        <v/>
      </c>
      <c r="G2444" s="43" t="n"/>
      <c r="H2444" s="56" t="n"/>
      <c r="I2444" s="43" t="n"/>
      <c r="J2444" s="57">
        <f>IF(OR(A2444="",H2444=""),"",IF(COUNTIFS(exp_year,C2444,exp_month,D2444,exp_item,E2444,exp_status,"&lt;&gt;❌ Отменено")&gt;0,1,0))</f>
        <v/>
      </c>
    </row>
    <row r="2445">
      <c r="A2445" s="52" t="n"/>
      <c r="B2445" s="53">
        <f>IF(A2445="","",CHOOSE(WEEKDAY(A2445,2),"Пн","Вт","Ср","Чт","Пт","Сб","Вс"))</f>
        <v/>
      </c>
      <c r="C2445" s="53">
        <f>IF(A2445="","",YEAR(A2445))</f>
        <v/>
      </c>
      <c r="D2445" s="54">
        <f>IF(A2445="","",INDEX(lst_months,MONTH(A2445)))</f>
        <v/>
      </c>
      <c r="E2445" s="55" t="n"/>
      <c r="F2445" s="54">
        <f>IF(E2445="","",IFERROR(IF(INDEX(lst_exp_item_cat,MATCH(E2445,lst_exp_items,0))="","❔ Без категории",INDEX(lst_exp_item_cat,MATCH(E2445,lst_exp_items,0))),"❔ Без категории"))</f>
        <v/>
      </c>
      <c r="G2445" s="43" t="n"/>
      <c r="H2445" s="56" t="n"/>
      <c r="I2445" s="43" t="n"/>
      <c r="J2445" s="57">
        <f>IF(OR(A2445="",H2445=""),"",IF(COUNTIFS(exp_year,C2445,exp_month,D2445,exp_item,E2445,exp_status,"&lt;&gt;❌ Отменено")&gt;0,1,0))</f>
        <v/>
      </c>
    </row>
    <row r="2446">
      <c r="A2446" s="52" t="n"/>
      <c r="B2446" s="53">
        <f>IF(A2446="","",CHOOSE(WEEKDAY(A2446,2),"Пн","Вт","Ср","Чт","Пт","Сб","Вс"))</f>
        <v/>
      </c>
      <c r="C2446" s="53">
        <f>IF(A2446="","",YEAR(A2446))</f>
        <v/>
      </c>
      <c r="D2446" s="54">
        <f>IF(A2446="","",INDEX(lst_months,MONTH(A2446)))</f>
        <v/>
      </c>
      <c r="E2446" s="55" t="n"/>
      <c r="F2446" s="54">
        <f>IF(E2446="","",IFERROR(IF(INDEX(lst_exp_item_cat,MATCH(E2446,lst_exp_items,0))="","❔ Без категории",INDEX(lst_exp_item_cat,MATCH(E2446,lst_exp_items,0))),"❔ Без категории"))</f>
        <v/>
      </c>
      <c r="G2446" s="43" t="n"/>
      <c r="H2446" s="56" t="n"/>
      <c r="I2446" s="43" t="n"/>
      <c r="J2446" s="57">
        <f>IF(OR(A2446="",H2446=""),"",IF(COUNTIFS(exp_year,C2446,exp_month,D2446,exp_item,E2446,exp_status,"&lt;&gt;❌ Отменено")&gt;0,1,0))</f>
        <v/>
      </c>
    </row>
    <row r="2447">
      <c r="A2447" s="52" t="n"/>
      <c r="B2447" s="53">
        <f>IF(A2447="","",CHOOSE(WEEKDAY(A2447,2),"Пн","Вт","Ср","Чт","Пт","Сб","Вс"))</f>
        <v/>
      </c>
      <c r="C2447" s="53">
        <f>IF(A2447="","",YEAR(A2447))</f>
        <v/>
      </c>
      <c r="D2447" s="54">
        <f>IF(A2447="","",INDEX(lst_months,MONTH(A2447)))</f>
        <v/>
      </c>
      <c r="E2447" s="55" t="n"/>
      <c r="F2447" s="54">
        <f>IF(E2447="","",IFERROR(IF(INDEX(lst_exp_item_cat,MATCH(E2447,lst_exp_items,0))="","❔ Без категории",INDEX(lst_exp_item_cat,MATCH(E2447,lst_exp_items,0))),"❔ Без категории"))</f>
        <v/>
      </c>
      <c r="G2447" s="43" t="n"/>
      <c r="H2447" s="56" t="n"/>
      <c r="I2447" s="43" t="n"/>
      <c r="J2447" s="57">
        <f>IF(OR(A2447="",H2447=""),"",IF(COUNTIFS(exp_year,C2447,exp_month,D2447,exp_item,E2447,exp_status,"&lt;&gt;❌ Отменено")&gt;0,1,0))</f>
        <v/>
      </c>
    </row>
    <row r="2448">
      <c r="A2448" s="52" t="n"/>
      <c r="B2448" s="53">
        <f>IF(A2448="","",CHOOSE(WEEKDAY(A2448,2),"Пн","Вт","Ср","Чт","Пт","Сб","Вс"))</f>
        <v/>
      </c>
      <c r="C2448" s="53">
        <f>IF(A2448="","",YEAR(A2448))</f>
        <v/>
      </c>
      <c r="D2448" s="54">
        <f>IF(A2448="","",INDEX(lst_months,MONTH(A2448)))</f>
        <v/>
      </c>
      <c r="E2448" s="55" t="n"/>
      <c r="F2448" s="54">
        <f>IF(E2448="","",IFERROR(IF(INDEX(lst_exp_item_cat,MATCH(E2448,lst_exp_items,0))="","❔ Без категории",INDEX(lst_exp_item_cat,MATCH(E2448,lst_exp_items,0))),"❔ Без категории"))</f>
        <v/>
      </c>
      <c r="G2448" s="43" t="n"/>
      <c r="H2448" s="56" t="n"/>
      <c r="I2448" s="43" t="n"/>
      <c r="J2448" s="57">
        <f>IF(OR(A2448="",H2448=""),"",IF(COUNTIFS(exp_year,C2448,exp_month,D2448,exp_item,E2448,exp_status,"&lt;&gt;❌ Отменено")&gt;0,1,0))</f>
        <v/>
      </c>
    </row>
    <row r="2449">
      <c r="A2449" s="52" t="n"/>
      <c r="B2449" s="53">
        <f>IF(A2449="","",CHOOSE(WEEKDAY(A2449,2),"Пн","Вт","Ср","Чт","Пт","Сб","Вс"))</f>
        <v/>
      </c>
      <c r="C2449" s="53">
        <f>IF(A2449="","",YEAR(A2449))</f>
        <v/>
      </c>
      <c r="D2449" s="54">
        <f>IF(A2449="","",INDEX(lst_months,MONTH(A2449)))</f>
        <v/>
      </c>
      <c r="E2449" s="55" t="n"/>
      <c r="F2449" s="54">
        <f>IF(E2449="","",IFERROR(IF(INDEX(lst_exp_item_cat,MATCH(E2449,lst_exp_items,0))="","❔ Без категории",INDEX(lst_exp_item_cat,MATCH(E2449,lst_exp_items,0))),"❔ Без категории"))</f>
        <v/>
      </c>
      <c r="G2449" s="43" t="n"/>
      <c r="H2449" s="56" t="n"/>
      <c r="I2449" s="43" t="n"/>
      <c r="J2449" s="57">
        <f>IF(OR(A2449="",H2449=""),"",IF(COUNTIFS(exp_year,C2449,exp_month,D2449,exp_item,E2449,exp_status,"&lt;&gt;❌ Отменено")&gt;0,1,0))</f>
        <v/>
      </c>
    </row>
    <row r="2450">
      <c r="A2450" s="52" t="n"/>
      <c r="B2450" s="53">
        <f>IF(A2450="","",CHOOSE(WEEKDAY(A2450,2),"Пн","Вт","Ср","Чт","Пт","Сб","Вс"))</f>
        <v/>
      </c>
      <c r="C2450" s="53">
        <f>IF(A2450="","",YEAR(A2450))</f>
        <v/>
      </c>
      <c r="D2450" s="54">
        <f>IF(A2450="","",INDEX(lst_months,MONTH(A2450)))</f>
        <v/>
      </c>
      <c r="E2450" s="55" t="n"/>
      <c r="F2450" s="54">
        <f>IF(E2450="","",IFERROR(IF(INDEX(lst_exp_item_cat,MATCH(E2450,lst_exp_items,0))="","❔ Без категории",INDEX(lst_exp_item_cat,MATCH(E2450,lst_exp_items,0))),"❔ Без категории"))</f>
        <v/>
      </c>
      <c r="G2450" s="43" t="n"/>
      <c r="H2450" s="56" t="n"/>
      <c r="I2450" s="43" t="n"/>
      <c r="J2450" s="57">
        <f>IF(OR(A2450="",H2450=""),"",IF(COUNTIFS(exp_year,C2450,exp_month,D2450,exp_item,E2450,exp_status,"&lt;&gt;❌ Отменено")&gt;0,1,0))</f>
        <v/>
      </c>
    </row>
    <row r="2451">
      <c r="A2451" s="52" t="n"/>
      <c r="B2451" s="53">
        <f>IF(A2451="","",CHOOSE(WEEKDAY(A2451,2),"Пн","Вт","Ср","Чт","Пт","Сб","Вс"))</f>
        <v/>
      </c>
      <c r="C2451" s="53">
        <f>IF(A2451="","",YEAR(A2451))</f>
        <v/>
      </c>
      <c r="D2451" s="54">
        <f>IF(A2451="","",INDEX(lst_months,MONTH(A2451)))</f>
        <v/>
      </c>
      <c r="E2451" s="55" t="n"/>
      <c r="F2451" s="54">
        <f>IF(E2451="","",IFERROR(IF(INDEX(lst_exp_item_cat,MATCH(E2451,lst_exp_items,0))="","❔ Без категории",INDEX(lst_exp_item_cat,MATCH(E2451,lst_exp_items,0))),"❔ Без категории"))</f>
        <v/>
      </c>
      <c r="G2451" s="43" t="n"/>
      <c r="H2451" s="56" t="n"/>
      <c r="I2451" s="43" t="n"/>
      <c r="J2451" s="57">
        <f>IF(OR(A2451="",H2451=""),"",IF(COUNTIFS(exp_year,C2451,exp_month,D2451,exp_item,E2451,exp_status,"&lt;&gt;❌ Отменено")&gt;0,1,0))</f>
        <v/>
      </c>
    </row>
    <row r="2452">
      <c r="A2452" s="52" t="n"/>
      <c r="B2452" s="53">
        <f>IF(A2452="","",CHOOSE(WEEKDAY(A2452,2),"Пн","Вт","Ср","Чт","Пт","Сб","Вс"))</f>
        <v/>
      </c>
      <c r="C2452" s="53">
        <f>IF(A2452="","",YEAR(A2452))</f>
        <v/>
      </c>
      <c r="D2452" s="54">
        <f>IF(A2452="","",INDEX(lst_months,MONTH(A2452)))</f>
        <v/>
      </c>
      <c r="E2452" s="55" t="n"/>
      <c r="F2452" s="54">
        <f>IF(E2452="","",IFERROR(IF(INDEX(lst_exp_item_cat,MATCH(E2452,lst_exp_items,0))="","❔ Без категории",INDEX(lst_exp_item_cat,MATCH(E2452,lst_exp_items,0))),"❔ Без категории"))</f>
        <v/>
      </c>
      <c r="G2452" s="43" t="n"/>
      <c r="H2452" s="56" t="n"/>
      <c r="I2452" s="43" t="n"/>
      <c r="J2452" s="57">
        <f>IF(OR(A2452="",H2452=""),"",IF(COUNTIFS(exp_year,C2452,exp_month,D2452,exp_item,E2452,exp_status,"&lt;&gt;❌ Отменено")&gt;0,1,0))</f>
        <v/>
      </c>
    </row>
    <row r="2453">
      <c r="A2453" s="52" t="n"/>
      <c r="B2453" s="53">
        <f>IF(A2453="","",CHOOSE(WEEKDAY(A2453,2),"Пн","Вт","Ср","Чт","Пт","Сб","Вс"))</f>
        <v/>
      </c>
      <c r="C2453" s="53">
        <f>IF(A2453="","",YEAR(A2453))</f>
        <v/>
      </c>
      <c r="D2453" s="54">
        <f>IF(A2453="","",INDEX(lst_months,MONTH(A2453)))</f>
        <v/>
      </c>
      <c r="E2453" s="55" t="n"/>
      <c r="F2453" s="54">
        <f>IF(E2453="","",IFERROR(IF(INDEX(lst_exp_item_cat,MATCH(E2453,lst_exp_items,0))="","❔ Без категории",INDEX(lst_exp_item_cat,MATCH(E2453,lst_exp_items,0))),"❔ Без категории"))</f>
        <v/>
      </c>
      <c r="G2453" s="43" t="n"/>
      <c r="H2453" s="56" t="n"/>
      <c r="I2453" s="43" t="n"/>
      <c r="J2453" s="57">
        <f>IF(OR(A2453="",H2453=""),"",IF(COUNTIFS(exp_year,C2453,exp_month,D2453,exp_item,E2453,exp_status,"&lt;&gt;❌ Отменено")&gt;0,1,0))</f>
        <v/>
      </c>
    </row>
    <row r="2454">
      <c r="A2454" s="52" t="n"/>
      <c r="B2454" s="53">
        <f>IF(A2454="","",CHOOSE(WEEKDAY(A2454,2),"Пн","Вт","Ср","Чт","Пт","Сб","Вс"))</f>
        <v/>
      </c>
      <c r="C2454" s="53">
        <f>IF(A2454="","",YEAR(A2454))</f>
        <v/>
      </c>
      <c r="D2454" s="54">
        <f>IF(A2454="","",INDEX(lst_months,MONTH(A2454)))</f>
        <v/>
      </c>
      <c r="E2454" s="55" t="n"/>
      <c r="F2454" s="54">
        <f>IF(E2454="","",IFERROR(IF(INDEX(lst_exp_item_cat,MATCH(E2454,lst_exp_items,0))="","❔ Без категории",INDEX(lst_exp_item_cat,MATCH(E2454,lst_exp_items,0))),"❔ Без категории"))</f>
        <v/>
      </c>
      <c r="G2454" s="43" t="n"/>
      <c r="H2454" s="56" t="n"/>
      <c r="I2454" s="43" t="n"/>
      <c r="J2454" s="57">
        <f>IF(OR(A2454="",H2454=""),"",IF(COUNTIFS(exp_year,C2454,exp_month,D2454,exp_item,E2454,exp_status,"&lt;&gt;❌ Отменено")&gt;0,1,0))</f>
        <v/>
      </c>
    </row>
    <row r="2455">
      <c r="A2455" s="52" t="n"/>
      <c r="B2455" s="53">
        <f>IF(A2455="","",CHOOSE(WEEKDAY(A2455,2),"Пн","Вт","Ср","Чт","Пт","Сб","Вс"))</f>
        <v/>
      </c>
      <c r="C2455" s="53">
        <f>IF(A2455="","",YEAR(A2455))</f>
        <v/>
      </c>
      <c r="D2455" s="54">
        <f>IF(A2455="","",INDEX(lst_months,MONTH(A2455)))</f>
        <v/>
      </c>
      <c r="E2455" s="55" t="n"/>
      <c r="F2455" s="54">
        <f>IF(E2455="","",IFERROR(IF(INDEX(lst_exp_item_cat,MATCH(E2455,lst_exp_items,0))="","❔ Без категории",INDEX(lst_exp_item_cat,MATCH(E2455,lst_exp_items,0))),"❔ Без категории"))</f>
        <v/>
      </c>
      <c r="G2455" s="43" t="n"/>
      <c r="H2455" s="56" t="n"/>
      <c r="I2455" s="43" t="n"/>
      <c r="J2455" s="57">
        <f>IF(OR(A2455="",H2455=""),"",IF(COUNTIFS(exp_year,C2455,exp_month,D2455,exp_item,E2455,exp_status,"&lt;&gt;❌ Отменено")&gt;0,1,0))</f>
        <v/>
      </c>
    </row>
    <row r="2456">
      <c r="A2456" s="52" t="n"/>
      <c r="B2456" s="53">
        <f>IF(A2456="","",CHOOSE(WEEKDAY(A2456,2),"Пн","Вт","Ср","Чт","Пт","Сб","Вс"))</f>
        <v/>
      </c>
      <c r="C2456" s="53">
        <f>IF(A2456="","",YEAR(A2456))</f>
        <v/>
      </c>
      <c r="D2456" s="54">
        <f>IF(A2456="","",INDEX(lst_months,MONTH(A2456)))</f>
        <v/>
      </c>
      <c r="E2456" s="55" t="n"/>
      <c r="F2456" s="54">
        <f>IF(E2456="","",IFERROR(IF(INDEX(lst_exp_item_cat,MATCH(E2456,lst_exp_items,0))="","❔ Без категории",INDEX(lst_exp_item_cat,MATCH(E2456,lst_exp_items,0))),"❔ Без категории"))</f>
        <v/>
      </c>
      <c r="G2456" s="43" t="n"/>
      <c r="H2456" s="56" t="n"/>
      <c r="I2456" s="43" t="n"/>
      <c r="J2456" s="57">
        <f>IF(OR(A2456="",H2456=""),"",IF(COUNTIFS(exp_year,C2456,exp_month,D2456,exp_item,E2456,exp_status,"&lt;&gt;❌ Отменено")&gt;0,1,0))</f>
        <v/>
      </c>
    </row>
    <row r="2457">
      <c r="A2457" s="52" t="n"/>
      <c r="B2457" s="53">
        <f>IF(A2457="","",CHOOSE(WEEKDAY(A2457,2),"Пн","Вт","Ср","Чт","Пт","Сб","Вс"))</f>
        <v/>
      </c>
      <c r="C2457" s="53">
        <f>IF(A2457="","",YEAR(A2457))</f>
        <v/>
      </c>
      <c r="D2457" s="54">
        <f>IF(A2457="","",INDEX(lst_months,MONTH(A2457)))</f>
        <v/>
      </c>
      <c r="E2457" s="55" t="n"/>
      <c r="F2457" s="54">
        <f>IF(E2457="","",IFERROR(IF(INDEX(lst_exp_item_cat,MATCH(E2457,lst_exp_items,0))="","❔ Без категории",INDEX(lst_exp_item_cat,MATCH(E2457,lst_exp_items,0))),"❔ Без категории"))</f>
        <v/>
      </c>
      <c r="G2457" s="43" t="n"/>
      <c r="H2457" s="56" t="n"/>
      <c r="I2457" s="43" t="n"/>
      <c r="J2457" s="57">
        <f>IF(OR(A2457="",H2457=""),"",IF(COUNTIFS(exp_year,C2457,exp_month,D2457,exp_item,E2457,exp_status,"&lt;&gt;❌ Отменено")&gt;0,1,0))</f>
        <v/>
      </c>
    </row>
    <row r="2458">
      <c r="A2458" s="52" t="n"/>
      <c r="B2458" s="53">
        <f>IF(A2458="","",CHOOSE(WEEKDAY(A2458,2),"Пн","Вт","Ср","Чт","Пт","Сб","Вс"))</f>
        <v/>
      </c>
      <c r="C2458" s="53">
        <f>IF(A2458="","",YEAR(A2458))</f>
        <v/>
      </c>
      <c r="D2458" s="54">
        <f>IF(A2458="","",INDEX(lst_months,MONTH(A2458)))</f>
        <v/>
      </c>
      <c r="E2458" s="55" t="n"/>
      <c r="F2458" s="54">
        <f>IF(E2458="","",IFERROR(IF(INDEX(lst_exp_item_cat,MATCH(E2458,lst_exp_items,0))="","❔ Без категории",INDEX(lst_exp_item_cat,MATCH(E2458,lst_exp_items,0))),"❔ Без категории"))</f>
        <v/>
      </c>
      <c r="G2458" s="43" t="n"/>
      <c r="H2458" s="56" t="n"/>
      <c r="I2458" s="43" t="n"/>
      <c r="J2458" s="57">
        <f>IF(OR(A2458="",H2458=""),"",IF(COUNTIFS(exp_year,C2458,exp_month,D2458,exp_item,E2458,exp_status,"&lt;&gt;❌ Отменено")&gt;0,1,0))</f>
        <v/>
      </c>
    </row>
    <row r="2459">
      <c r="A2459" s="52" t="n"/>
      <c r="B2459" s="53">
        <f>IF(A2459="","",CHOOSE(WEEKDAY(A2459,2),"Пн","Вт","Ср","Чт","Пт","Сб","Вс"))</f>
        <v/>
      </c>
      <c r="C2459" s="53">
        <f>IF(A2459="","",YEAR(A2459))</f>
        <v/>
      </c>
      <c r="D2459" s="54">
        <f>IF(A2459="","",INDEX(lst_months,MONTH(A2459)))</f>
        <v/>
      </c>
      <c r="E2459" s="55" t="n"/>
      <c r="F2459" s="54">
        <f>IF(E2459="","",IFERROR(IF(INDEX(lst_exp_item_cat,MATCH(E2459,lst_exp_items,0))="","❔ Без категории",INDEX(lst_exp_item_cat,MATCH(E2459,lst_exp_items,0))),"❔ Без категории"))</f>
        <v/>
      </c>
      <c r="G2459" s="43" t="n"/>
      <c r="H2459" s="56" t="n"/>
      <c r="I2459" s="43" t="n"/>
      <c r="J2459" s="57">
        <f>IF(OR(A2459="",H2459=""),"",IF(COUNTIFS(exp_year,C2459,exp_month,D2459,exp_item,E2459,exp_status,"&lt;&gt;❌ Отменено")&gt;0,1,0))</f>
        <v/>
      </c>
    </row>
    <row r="2460">
      <c r="A2460" s="52" t="n"/>
      <c r="B2460" s="53">
        <f>IF(A2460="","",CHOOSE(WEEKDAY(A2460,2),"Пн","Вт","Ср","Чт","Пт","Сб","Вс"))</f>
        <v/>
      </c>
      <c r="C2460" s="53">
        <f>IF(A2460="","",YEAR(A2460))</f>
        <v/>
      </c>
      <c r="D2460" s="54">
        <f>IF(A2460="","",INDEX(lst_months,MONTH(A2460)))</f>
        <v/>
      </c>
      <c r="E2460" s="55" t="n"/>
      <c r="F2460" s="54">
        <f>IF(E2460="","",IFERROR(IF(INDEX(lst_exp_item_cat,MATCH(E2460,lst_exp_items,0))="","❔ Без категории",INDEX(lst_exp_item_cat,MATCH(E2460,lst_exp_items,0))),"❔ Без категории"))</f>
        <v/>
      </c>
      <c r="G2460" s="43" t="n"/>
      <c r="H2460" s="56" t="n"/>
      <c r="I2460" s="43" t="n"/>
      <c r="J2460" s="57">
        <f>IF(OR(A2460="",H2460=""),"",IF(COUNTIFS(exp_year,C2460,exp_month,D2460,exp_item,E2460,exp_status,"&lt;&gt;❌ Отменено")&gt;0,1,0))</f>
        <v/>
      </c>
    </row>
    <row r="2461">
      <c r="A2461" s="52" t="n"/>
      <c r="B2461" s="53">
        <f>IF(A2461="","",CHOOSE(WEEKDAY(A2461,2),"Пн","Вт","Ср","Чт","Пт","Сб","Вс"))</f>
        <v/>
      </c>
      <c r="C2461" s="53">
        <f>IF(A2461="","",YEAR(A2461))</f>
        <v/>
      </c>
      <c r="D2461" s="54">
        <f>IF(A2461="","",INDEX(lst_months,MONTH(A2461)))</f>
        <v/>
      </c>
      <c r="E2461" s="55" t="n"/>
      <c r="F2461" s="54">
        <f>IF(E2461="","",IFERROR(IF(INDEX(lst_exp_item_cat,MATCH(E2461,lst_exp_items,0))="","❔ Без категории",INDEX(lst_exp_item_cat,MATCH(E2461,lst_exp_items,0))),"❔ Без категории"))</f>
        <v/>
      </c>
      <c r="G2461" s="43" t="n"/>
      <c r="H2461" s="56" t="n"/>
      <c r="I2461" s="43" t="n"/>
      <c r="J2461" s="57">
        <f>IF(OR(A2461="",H2461=""),"",IF(COUNTIFS(exp_year,C2461,exp_month,D2461,exp_item,E2461,exp_status,"&lt;&gt;❌ Отменено")&gt;0,1,0))</f>
        <v/>
      </c>
    </row>
    <row r="2462">
      <c r="A2462" s="52" t="n"/>
      <c r="B2462" s="53">
        <f>IF(A2462="","",CHOOSE(WEEKDAY(A2462,2),"Пн","Вт","Ср","Чт","Пт","Сб","Вс"))</f>
        <v/>
      </c>
      <c r="C2462" s="53">
        <f>IF(A2462="","",YEAR(A2462))</f>
        <v/>
      </c>
      <c r="D2462" s="54">
        <f>IF(A2462="","",INDEX(lst_months,MONTH(A2462)))</f>
        <v/>
      </c>
      <c r="E2462" s="55" t="n"/>
      <c r="F2462" s="54">
        <f>IF(E2462="","",IFERROR(IF(INDEX(lst_exp_item_cat,MATCH(E2462,lst_exp_items,0))="","❔ Без категории",INDEX(lst_exp_item_cat,MATCH(E2462,lst_exp_items,0))),"❔ Без категории"))</f>
        <v/>
      </c>
      <c r="G2462" s="43" t="n"/>
      <c r="H2462" s="56" t="n"/>
      <c r="I2462" s="43" t="n"/>
      <c r="J2462" s="57">
        <f>IF(OR(A2462="",H2462=""),"",IF(COUNTIFS(exp_year,C2462,exp_month,D2462,exp_item,E2462,exp_status,"&lt;&gt;❌ Отменено")&gt;0,1,0))</f>
        <v/>
      </c>
    </row>
    <row r="2463">
      <c r="A2463" s="52" t="n"/>
      <c r="B2463" s="53">
        <f>IF(A2463="","",CHOOSE(WEEKDAY(A2463,2),"Пн","Вт","Ср","Чт","Пт","Сб","Вс"))</f>
        <v/>
      </c>
      <c r="C2463" s="53">
        <f>IF(A2463="","",YEAR(A2463))</f>
        <v/>
      </c>
      <c r="D2463" s="54">
        <f>IF(A2463="","",INDEX(lst_months,MONTH(A2463)))</f>
        <v/>
      </c>
      <c r="E2463" s="55" t="n"/>
      <c r="F2463" s="54">
        <f>IF(E2463="","",IFERROR(IF(INDEX(lst_exp_item_cat,MATCH(E2463,lst_exp_items,0))="","❔ Без категории",INDEX(lst_exp_item_cat,MATCH(E2463,lst_exp_items,0))),"❔ Без категории"))</f>
        <v/>
      </c>
      <c r="G2463" s="43" t="n"/>
      <c r="H2463" s="56" t="n"/>
      <c r="I2463" s="43" t="n"/>
      <c r="J2463" s="57">
        <f>IF(OR(A2463="",H2463=""),"",IF(COUNTIFS(exp_year,C2463,exp_month,D2463,exp_item,E2463,exp_status,"&lt;&gt;❌ Отменено")&gt;0,1,0))</f>
        <v/>
      </c>
    </row>
    <row r="2464">
      <c r="A2464" s="52" t="n"/>
      <c r="B2464" s="53">
        <f>IF(A2464="","",CHOOSE(WEEKDAY(A2464,2),"Пн","Вт","Ср","Чт","Пт","Сб","Вс"))</f>
        <v/>
      </c>
      <c r="C2464" s="53">
        <f>IF(A2464="","",YEAR(A2464))</f>
        <v/>
      </c>
      <c r="D2464" s="54">
        <f>IF(A2464="","",INDEX(lst_months,MONTH(A2464)))</f>
        <v/>
      </c>
      <c r="E2464" s="55" t="n"/>
      <c r="F2464" s="54">
        <f>IF(E2464="","",IFERROR(IF(INDEX(lst_exp_item_cat,MATCH(E2464,lst_exp_items,0))="","❔ Без категории",INDEX(lst_exp_item_cat,MATCH(E2464,lst_exp_items,0))),"❔ Без категории"))</f>
        <v/>
      </c>
      <c r="G2464" s="43" t="n"/>
      <c r="H2464" s="56" t="n"/>
      <c r="I2464" s="43" t="n"/>
      <c r="J2464" s="57">
        <f>IF(OR(A2464="",H2464=""),"",IF(COUNTIFS(exp_year,C2464,exp_month,D2464,exp_item,E2464,exp_status,"&lt;&gt;❌ Отменено")&gt;0,1,0))</f>
        <v/>
      </c>
    </row>
    <row r="2465">
      <c r="A2465" s="52" t="n"/>
      <c r="B2465" s="53">
        <f>IF(A2465="","",CHOOSE(WEEKDAY(A2465,2),"Пн","Вт","Ср","Чт","Пт","Сб","Вс"))</f>
        <v/>
      </c>
      <c r="C2465" s="53">
        <f>IF(A2465="","",YEAR(A2465))</f>
        <v/>
      </c>
      <c r="D2465" s="54">
        <f>IF(A2465="","",INDEX(lst_months,MONTH(A2465)))</f>
        <v/>
      </c>
      <c r="E2465" s="55" t="n"/>
      <c r="F2465" s="54">
        <f>IF(E2465="","",IFERROR(IF(INDEX(lst_exp_item_cat,MATCH(E2465,lst_exp_items,0))="","❔ Без категории",INDEX(lst_exp_item_cat,MATCH(E2465,lst_exp_items,0))),"❔ Без категории"))</f>
        <v/>
      </c>
      <c r="G2465" s="43" t="n"/>
      <c r="H2465" s="56" t="n"/>
      <c r="I2465" s="43" t="n"/>
      <c r="J2465" s="57">
        <f>IF(OR(A2465="",H2465=""),"",IF(COUNTIFS(exp_year,C2465,exp_month,D2465,exp_item,E2465,exp_status,"&lt;&gt;❌ Отменено")&gt;0,1,0))</f>
        <v/>
      </c>
    </row>
    <row r="2466">
      <c r="A2466" s="52" t="n"/>
      <c r="B2466" s="53">
        <f>IF(A2466="","",CHOOSE(WEEKDAY(A2466,2),"Пн","Вт","Ср","Чт","Пт","Сб","Вс"))</f>
        <v/>
      </c>
      <c r="C2466" s="53">
        <f>IF(A2466="","",YEAR(A2466))</f>
        <v/>
      </c>
      <c r="D2466" s="54">
        <f>IF(A2466="","",INDEX(lst_months,MONTH(A2466)))</f>
        <v/>
      </c>
      <c r="E2466" s="55" t="n"/>
      <c r="F2466" s="54">
        <f>IF(E2466="","",IFERROR(IF(INDEX(lst_exp_item_cat,MATCH(E2466,lst_exp_items,0))="","❔ Без категории",INDEX(lst_exp_item_cat,MATCH(E2466,lst_exp_items,0))),"❔ Без категории"))</f>
        <v/>
      </c>
      <c r="G2466" s="43" t="n"/>
      <c r="H2466" s="56" t="n"/>
      <c r="I2466" s="43" t="n"/>
      <c r="J2466" s="57">
        <f>IF(OR(A2466="",H2466=""),"",IF(COUNTIFS(exp_year,C2466,exp_month,D2466,exp_item,E2466,exp_status,"&lt;&gt;❌ Отменено")&gt;0,1,0))</f>
        <v/>
      </c>
    </row>
    <row r="2467">
      <c r="A2467" s="52" t="n"/>
      <c r="B2467" s="53">
        <f>IF(A2467="","",CHOOSE(WEEKDAY(A2467,2),"Пн","Вт","Ср","Чт","Пт","Сб","Вс"))</f>
        <v/>
      </c>
      <c r="C2467" s="53">
        <f>IF(A2467="","",YEAR(A2467))</f>
        <v/>
      </c>
      <c r="D2467" s="54">
        <f>IF(A2467="","",INDEX(lst_months,MONTH(A2467)))</f>
        <v/>
      </c>
      <c r="E2467" s="55" t="n"/>
      <c r="F2467" s="54">
        <f>IF(E2467="","",IFERROR(IF(INDEX(lst_exp_item_cat,MATCH(E2467,lst_exp_items,0))="","❔ Без категории",INDEX(lst_exp_item_cat,MATCH(E2467,lst_exp_items,0))),"❔ Без категории"))</f>
        <v/>
      </c>
      <c r="G2467" s="43" t="n"/>
      <c r="H2467" s="56" t="n"/>
      <c r="I2467" s="43" t="n"/>
      <c r="J2467" s="57">
        <f>IF(OR(A2467="",H2467=""),"",IF(COUNTIFS(exp_year,C2467,exp_month,D2467,exp_item,E2467,exp_status,"&lt;&gt;❌ Отменено")&gt;0,1,0))</f>
        <v/>
      </c>
    </row>
    <row r="2468">
      <c r="A2468" s="52" t="n"/>
      <c r="B2468" s="53">
        <f>IF(A2468="","",CHOOSE(WEEKDAY(A2468,2),"Пн","Вт","Ср","Чт","Пт","Сб","Вс"))</f>
        <v/>
      </c>
      <c r="C2468" s="53">
        <f>IF(A2468="","",YEAR(A2468))</f>
        <v/>
      </c>
      <c r="D2468" s="54">
        <f>IF(A2468="","",INDEX(lst_months,MONTH(A2468)))</f>
        <v/>
      </c>
      <c r="E2468" s="55" t="n"/>
      <c r="F2468" s="54">
        <f>IF(E2468="","",IFERROR(IF(INDEX(lst_exp_item_cat,MATCH(E2468,lst_exp_items,0))="","❔ Без категории",INDEX(lst_exp_item_cat,MATCH(E2468,lst_exp_items,0))),"❔ Без категории"))</f>
        <v/>
      </c>
      <c r="G2468" s="43" t="n"/>
      <c r="H2468" s="56" t="n"/>
      <c r="I2468" s="43" t="n"/>
      <c r="J2468" s="57">
        <f>IF(OR(A2468="",H2468=""),"",IF(COUNTIFS(exp_year,C2468,exp_month,D2468,exp_item,E2468,exp_status,"&lt;&gt;❌ Отменено")&gt;0,1,0))</f>
        <v/>
      </c>
    </row>
    <row r="2469">
      <c r="A2469" s="52" t="n"/>
      <c r="B2469" s="53">
        <f>IF(A2469="","",CHOOSE(WEEKDAY(A2469,2),"Пн","Вт","Ср","Чт","Пт","Сб","Вс"))</f>
        <v/>
      </c>
      <c r="C2469" s="53">
        <f>IF(A2469="","",YEAR(A2469))</f>
        <v/>
      </c>
      <c r="D2469" s="54">
        <f>IF(A2469="","",INDEX(lst_months,MONTH(A2469)))</f>
        <v/>
      </c>
      <c r="E2469" s="55" t="n"/>
      <c r="F2469" s="54">
        <f>IF(E2469="","",IFERROR(IF(INDEX(lst_exp_item_cat,MATCH(E2469,lst_exp_items,0))="","❔ Без категории",INDEX(lst_exp_item_cat,MATCH(E2469,lst_exp_items,0))),"❔ Без категории"))</f>
        <v/>
      </c>
      <c r="G2469" s="43" t="n"/>
      <c r="H2469" s="56" t="n"/>
      <c r="I2469" s="43" t="n"/>
      <c r="J2469" s="57">
        <f>IF(OR(A2469="",H2469=""),"",IF(COUNTIFS(exp_year,C2469,exp_month,D2469,exp_item,E2469,exp_status,"&lt;&gt;❌ Отменено")&gt;0,1,0))</f>
        <v/>
      </c>
    </row>
    <row r="2470">
      <c r="A2470" s="52" t="n"/>
      <c r="B2470" s="53">
        <f>IF(A2470="","",CHOOSE(WEEKDAY(A2470,2),"Пн","Вт","Ср","Чт","Пт","Сб","Вс"))</f>
        <v/>
      </c>
      <c r="C2470" s="53">
        <f>IF(A2470="","",YEAR(A2470))</f>
        <v/>
      </c>
      <c r="D2470" s="54">
        <f>IF(A2470="","",INDEX(lst_months,MONTH(A2470)))</f>
        <v/>
      </c>
      <c r="E2470" s="55" t="n"/>
      <c r="F2470" s="54">
        <f>IF(E2470="","",IFERROR(IF(INDEX(lst_exp_item_cat,MATCH(E2470,lst_exp_items,0))="","❔ Без категории",INDEX(lst_exp_item_cat,MATCH(E2470,lst_exp_items,0))),"❔ Без категории"))</f>
        <v/>
      </c>
      <c r="G2470" s="43" t="n"/>
      <c r="H2470" s="56" t="n"/>
      <c r="I2470" s="43" t="n"/>
      <c r="J2470" s="57">
        <f>IF(OR(A2470="",H2470=""),"",IF(COUNTIFS(exp_year,C2470,exp_month,D2470,exp_item,E2470,exp_status,"&lt;&gt;❌ Отменено")&gt;0,1,0))</f>
        <v/>
      </c>
    </row>
    <row r="2471">
      <c r="A2471" s="52" t="n"/>
      <c r="B2471" s="53">
        <f>IF(A2471="","",CHOOSE(WEEKDAY(A2471,2),"Пн","Вт","Ср","Чт","Пт","Сб","Вс"))</f>
        <v/>
      </c>
      <c r="C2471" s="53">
        <f>IF(A2471="","",YEAR(A2471))</f>
        <v/>
      </c>
      <c r="D2471" s="54">
        <f>IF(A2471="","",INDEX(lst_months,MONTH(A2471)))</f>
        <v/>
      </c>
      <c r="E2471" s="55" t="n"/>
      <c r="F2471" s="54">
        <f>IF(E2471="","",IFERROR(IF(INDEX(lst_exp_item_cat,MATCH(E2471,lst_exp_items,0))="","❔ Без категории",INDEX(lst_exp_item_cat,MATCH(E2471,lst_exp_items,0))),"❔ Без категории"))</f>
        <v/>
      </c>
      <c r="G2471" s="43" t="n"/>
      <c r="H2471" s="56" t="n"/>
      <c r="I2471" s="43" t="n"/>
      <c r="J2471" s="57">
        <f>IF(OR(A2471="",H2471=""),"",IF(COUNTIFS(exp_year,C2471,exp_month,D2471,exp_item,E2471,exp_status,"&lt;&gt;❌ Отменено")&gt;0,1,0))</f>
        <v/>
      </c>
    </row>
    <row r="2472">
      <c r="A2472" s="52" t="n"/>
      <c r="B2472" s="53">
        <f>IF(A2472="","",CHOOSE(WEEKDAY(A2472,2),"Пн","Вт","Ср","Чт","Пт","Сб","Вс"))</f>
        <v/>
      </c>
      <c r="C2472" s="53">
        <f>IF(A2472="","",YEAR(A2472))</f>
        <v/>
      </c>
      <c r="D2472" s="54">
        <f>IF(A2472="","",INDEX(lst_months,MONTH(A2472)))</f>
        <v/>
      </c>
      <c r="E2472" s="55" t="n"/>
      <c r="F2472" s="54">
        <f>IF(E2472="","",IFERROR(IF(INDEX(lst_exp_item_cat,MATCH(E2472,lst_exp_items,0))="","❔ Без категории",INDEX(lst_exp_item_cat,MATCH(E2472,lst_exp_items,0))),"❔ Без категории"))</f>
        <v/>
      </c>
      <c r="G2472" s="43" t="n"/>
      <c r="H2472" s="56" t="n"/>
      <c r="I2472" s="43" t="n"/>
      <c r="J2472" s="57">
        <f>IF(OR(A2472="",H2472=""),"",IF(COUNTIFS(exp_year,C2472,exp_month,D2472,exp_item,E2472,exp_status,"&lt;&gt;❌ Отменено")&gt;0,1,0))</f>
        <v/>
      </c>
    </row>
    <row r="2473">
      <c r="A2473" s="52" t="n"/>
      <c r="B2473" s="53">
        <f>IF(A2473="","",CHOOSE(WEEKDAY(A2473,2),"Пн","Вт","Ср","Чт","Пт","Сб","Вс"))</f>
        <v/>
      </c>
      <c r="C2473" s="53">
        <f>IF(A2473="","",YEAR(A2473))</f>
        <v/>
      </c>
      <c r="D2473" s="54">
        <f>IF(A2473="","",INDEX(lst_months,MONTH(A2473)))</f>
        <v/>
      </c>
      <c r="E2473" s="55" t="n"/>
      <c r="F2473" s="54">
        <f>IF(E2473="","",IFERROR(IF(INDEX(lst_exp_item_cat,MATCH(E2473,lst_exp_items,0))="","❔ Без категории",INDEX(lst_exp_item_cat,MATCH(E2473,lst_exp_items,0))),"❔ Без категории"))</f>
        <v/>
      </c>
      <c r="G2473" s="43" t="n"/>
      <c r="H2473" s="56" t="n"/>
      <c r="I2473" s="43" t="n"/>
      <c r="J2473" s="57">
        <f>IF(OR(A2473="",H2473=""),"",IF(COUNTIFS(exp_year,C2473,exp_month,D2473,exp_item,E2473,exp_status,"&lt;&gt;❌ Отменено")&gt;0,1,0))</f>
        <v/>
      </c>
    </row>
    <row r="2474">
      <c r="A2474" s="52" t="n"/>
      <c r="B2474" s="53">
        <f>IF(A2474="","",CHOOSE(WEEKDAY(A2474,2),"Пн","Вт","Ср","Чт","Пт","Сб","Вс"))</f>
        <v/>
      </c>
      <c r="C2474" s="53">
        <f>IF(A2474="","",YEAR(A2474))</f>
        <v/>
      </c>
      <c r="D2474" s="54">
        <f>IF(A2474="","",INDEX(lst_months,MONTH(A2474)))</f>
        <v/>
      </c>
      <c r="E2474" s="55" t="n"/>
      <c r="F2474" s="54">
        <f>IF(E2474="","",IFERROR(IF(INDEX(lst_exp_item_cat,MATCH(E2474,lst_exp_items,0))="","❔ Без категории",INDEX(lst_exp_item_cat,MATCH(E2474,lst_exp_items,0))),"❔ Без категории"))</f>
        <v/>
      </c>
      <c r="G2474" s="43" t="n"/>
      <c r="H2474" s="56" t="n"/>
      <c r="I2474" s="43" t="n"/>
      <c r="J2474" s="57">
        <f>IF(OR(A2474="",H2474=""),"",IF(COUNTIFS(exp_year,C2474,exp_month,D2474,exp_item,E2474,exp_status,"&lt;&gt;❌ Отменено")&gt;0,1,0))</f>
        <v/>
      </c>
    </row>
    <row r="2475">
      <c r="A2475" s="52" t="n"/>
      <c r="B2475" s="53">
        <f>IF(A2475="","",CHOOSE(WEEKDAY(A2475,2),"Пн","Вт","Ср","Чт","Пт","Сб","Вс"))</f>
        <v/>
      </c>
      <c r="C2475" s="53">
        <f>IF(A2475="","",YEAR(A2475))</f>
        <v/>
      </c>
      <c r="D2475" s="54">
        <f>IF(A2475="","",INDEX(lst_months,MONTH(A2475)))</f>
        <v/>
      </c>
      <c r="E2475" s="55" t="n"/>
      <c r="F2475" s="54">
        <f>IF(E2475="","",IFERROR(IF(INDEX(lst_exp_item_cat,MATCH(E2475,lst_exp_items,0))="","❔ Без категории",INDEX(lst_exp_item_cat,MATCH(E2475,lst_exp_items,0))),"❔ Без категории"))</f>
        <v/>
      </c>
      <c r="G2475" s="43" t="n"/>
      <c r="H2475" s="56" t="n"/>
      <c r="I2475" s="43" t="n"/>
      <c r="J2475" s="57">
        <f>IF(OR(A2475="",H2475=""),"",IF(COUNTIFS(exp_year,C2475,exp_month,D2475,exp_item,E2475,exp_status,"&lt;&gt;❌ Отменено")&gt;0,1,0))</f>
        <v/>
      </c>
    </row>
    <row r="2476">
      <c r="A2476" s="52" t="n"/>
      <c r="B2476" s="53">
        <f>IF(A2476="","",CHOOSE(WEEKDAY(A2476,2),"Пн","Вт","Ср","Чт","Пт","Сб","Вс"))</f>
        <v/>
      </c>
      <c r="C2476" s="53">
        <f>IF(A2476="","",YEAR(A2476))</f>
        <v/>
      </c>
      <c r="D2476" s="54">
        <f>IF(A2476="","",INDEX(lst_months,MONTH(A2476)))</f>
        <v/>
      </c>
      <c r="E2476" s="55" t="n"/>
      <c r="F2476" s="54">
        <f>IF(E2476="","",IFERROR(IF(INDEX(lst_exp_item_cat,MATCH(E2476,lst_exp_items,0))="","❔ Без категории",INDEX(lst_exp_item_cat,MATCH(E2476,lst_exp_items,0))),"❔ Без категории"))</f>
        <v/>
      </c>
      <c r="G2476" s="43" t="n"/>
      <c r="H2476" s="56" t="n"/>
      <c r="I2476" s="43" t="n"/>
      <c r="J2476" s="57">
        <f>IF(OR(A2476="",H2476=""),"",IF(COUNTIFS(exp_year,C2476,exp_month,D2476,exp_item,E2476,exp_status,"&lt;&gt;❌ Отменено")&gt;0,1,0))</f>
        <v/>
      </c>
    </row>
    <row r="2477">
      <c r="A2477" s="52" t="n"/>
      <c r="B2477" s="53">
        <f>IF(A2477="","",CHOOSE(WEEKDAY(A2477,2),"Пн","Вт","Ср","Чт","Пт","Сб","Вс"))</f>
        <v/>
      </c>
      <c r="C2477" s="53">
        <f>IF(A2477="","",YEAR(A2477))</f>
        <v/>
      </c>
      <c r="D2477" s="54">
        <f>IF(A2477="","",INDEX(lst_months,MONTH(A2477)))</f>
        <v/>
      </c>
      <c r="E2477" s="55" t="n"/>
      <c r="F2477" s="54">
        <f>IF(E2477="","",IFERROR(IF(INDEX(lst_exp_item_cat,MATCH(E2477,lst_exp_items,0))="","❔ Без категории",INDEX(lst_exp_item_cat,MATCH(E2477,lst_exp_items,0))),"❔ Без категории"))</f>
        <v/>
      </c>
      <c r="G2477" s="43" t="n"/>
      <c r="H2477" s="56" t="n"/>
      <c r="I2477" s="43" t="n"/>
      <c r="J2477" s="57">
        <f>IF(OR(A2477="",H2477=""),"",IF(COUNTIFS(exp_year,C2477,exp_month,D2477,exp_item,E2477,exp_status,"&lt;&gt;❌ Отменено")&gt;0,1,0))</f>
        <v/>
      </c>
    </row>
    <row r="2478">
      <c r="A2478" s="52" t="n"/>
      <c r="B2478" s="53">
        <f>IF(A2478="","",CHOOSE(WEEKDAY(A2478,2),"Пн","Вт","Ср","Чт","Пт","Сб","Вс"))</f>
        <v/>
      </c>
      <c r="C2478" s="53">
        <f>IF(A2478="","",YEAR(A2478))</f>
        <v/>
      </c>
      <c r="D2478" s="54">
        <f>IF(A2478="","",INDEX(lst_months,MONTH(A2478)))</f>
        <v/>
      </c>
      <c r="E2478" s="55" t="n"/>
      <c r="F2478" s="54">
        <f>IF(E2478="","",IFERROR(IF(INDEX(lst_exp_item_cat,MATCH(E2478,lst_exp_items,0))="","❔ Без категории",INDEX(lst_exp_item_cat,MATCH(E2478,lst_exp_items,0))),"❔ Без категории"))</f>
        <v/>
      </c>
      <c r="G2478" s="43" t="n"/>
      <c r="H2478" s="56" t="n"/>
      <c r="I2478" s="43" t="n"/>
      <c r="J2478" s="57">
        <f>IF(OR(A2478="",H2478=""),"",IF(COUNTIFS(exp_year,C2478,exp_month,D2478,exp_item,E2478,exp_status,"&lt;&gt;❌ Отменено")&gt;0,1,0))</f>
        <v/>
      </c>
    </row>
    <row r="2479">
      <c r="A2479" s="52" t="n"/>
      <c r="B2479" s="53">
        <f>IF(A2479="","",CHOOSE(WEEKDAY(A2479,2),"Пн","Вт","Ср","Чт","Пт","Сб","Вс"))</f>
        <v/>
      </c>
      <c r="C2479" s="53">
        <f>IF(A2479="","",YEAR(A2479))</f>
        <v/>
      </c>
      <c r="D2479" s="54">
        <f>IF(A2479="","",INDEX(lst_months,MONTH(A2479)))</f>
        <v/>
      </c>
      <c r="E2479" s="55" t="n"/>
      <c r="F2479" s="54">
        <f>IF(E2479="","",IFERROR(IF(INDEX(lst_exp_item_cat,MATCH(E2479,lst_exp_items,0))="","❔ Без категории",INDEX(lst_exp_item_cat,MATCH(E2479,lst_exp_items,0))),"❔ Без категории"))</f>
        <v/>
      </c>
      <c r="G2479" s="43" t="n"/>
      <c r="H2479" s="56" t="n"/>
      <c r="I2479" s="43" t="n"/>
      <c r="J2479" s="57">
        <f>IF(OR(A2479="",H2479=""),"",IF(COUNTIFS(exp_year,C2479,exp_month,D2479,exp_item,E2479,exp_status,"&lt;&gt;❌ Отменено")&gt;0,1,0))</f>
        <v/>
      </c>
    </row>
    <row r="2480">
      <c r="A2480" s="52" t="n"/>
      <c r="B2480" s="53">
        <f>IF(A2480="","",CHOOSE(WEEKDAY(A2480,2),"Пн","Вт","Ср","Чт","Пт","Сб","Вс"))</f>
        <v/>
      </c>
      <c r="C2480" s="53">
        <f>IF(A2480="","",YEAR(A2480))</f>
        <v/>
      </c>
      <c r="D2480" s="54">
        <f>IF(A2480="","",INDEX(lst_months,MONTH(A2480)))</f>
        <v/>
      </c>
      <c r="E2480" s="55" t="n"/>
      <c r="F2480" s="54">
        <f>IF(E2480="","",IFERROR(IF(INDEX(lst_exp_item_cat,MATCH(E2480,lst_exp_items,0))="","❔ Без категории",INDEX(lst_exp_item_cat,MATCH(E2480,lst_exp_items,0))),"❔ Без категории"))</f>
        <v/>
      </c>
      <c r="G2480" s="43" t="n"/>
      <c r="H2480" s="56" t="n"/>
      <c r="I2480" s="43" t="n"/>
      <c r="J2480" s="57">
        <f>IF(OR(A2480="",H2480=""),"",IF(COUNTIFS(exp_year,C2480,exp_month,D2480,exp_item,E2480,exp_status,"&lt;&gt;❌ Отменено")&gt;0,1,0))</f>
        <v/>
      </c>
    </row>
    <row r="2481">
      <c r="A2481" s="52" t="n"/>
      <c r="B2481" s="53">
        <f>IF(A2481="","",CHOOSE(WEEKDAY(A2481,2),"Пн","Вт","Ср","Чт","Пт","Сб","Вс"))</f>
        <v/>
      </c>
      <c r="C2481" s="53">
        <f>IF(A2481="","",YEAR(A2481))</f>
        <v/>
      </c>
      <c r="D2481" s="54">
        <f>IF(A2481="","",INDEX(lst_months,MONTH(A2481)))</f>
        <v/>
      </c>
      <c r="E2481" s="55" t="n"/>
      <c r="F2481" s="54">
        <f>IF(E2481="","",IFERROR(IF(INDEX(lst_exp_item_cat,MATCH(E2481,lst_exp_items,0))="","❔ Без категории",INDEX(lst_exp_item_cat,MATCH(E2481,lst_exp_items,0))),"❔ Без категории"))</f>
        <v/>
      </c>
      <c r="G2481" s="43" t="n"/>
      <c r="H2481" s="56" t="n"/>
      <c r="I2481" s="43" t="n"/>
      <c r="J2481" s="57">
        <f>IF(OR(A2481="",H2481=""),"",IF(COUNTIFS(exp_year,C2481,exp_month,D2481,exp_item,E2481,exp_status,"&lt;&gt;❌ Отменено")&gt;0,1,0))</f>
        <v/>
      </c>
    </row>
    <row r="2482">
      <c r="A2482" s="52" t="n"/>
      <c r="B2482" s="53">
        <f>IF(A2482="","",CHOOSE(WEEKDAY(A2482,2),"Пн","Вт","Ср","Чт","Пт","Сб","Вс"))</f>
        <v/>
      </c>
      <c r="C2482" s="53">
        <f>IF(A2482="","",YEAR(A2482))</f>
        <v/>
      </c>
      <c r="D2482" s="54">
        <f>IF(A2482="","",INDEX(lst_months,MONTH(A2482)))</f>
        <v/>
      </c>
      <c r="E2482" s="55" t="n"/>
      <c r="F2482" s="54">
        <f>IF(E2482="","",IFERROR(IF(INDEX(lst_exp_item_cat,MATCH(E2482,lst_exp_items,0))="","❔ Без категории",INDEX(lst_exp_item_cat,MATCH(E2482,lst_exp_items,0))),"❔ Без категории"))</f>
        <v/>
      </c>
      <c r="G2482" s="43" t="n"/>
      <c r="H2482" s="56" t="n"/>
      <c r="I2482" s="43" t="n"/>
      <c r="J2482" s="57">
        <f>IF(OR(A2482="",H2482=""),"",IF(COUNTIFS(exp_year,C2482,exp_month,D2482,exp_item,E2482,exp_status,"&lt;&gt;❌ Отменено")&gt;0,1,0))</f>
        <v/>
      </c>
    </row>
    <row r="2483">
      <c r="A2483" s="52" t="n"/>
      <c r="B2483" s="53">
        <f>IF(A2483="","",CHOOSE(WEEKDAY(A2483,2),"Пн","Вт","Ср","Чт","Пт","Сб","Вс"))</f>
        <v/>
      </c>
      <c r="C2483" s="53">
        <f>IF(A2483="","",YEAR(A2483))</f>
        <v/>
      </c>
      <c r="D2483" s="54">
        <f>IF(A2483="","",INDEX(lst_months,MONTH(A2483)))</f>
        <v/>
      </c>
      <c r="E2483" s="55" t="n"/>
      <c r="F2483" s="54">
        <f>IF(E2483="","",IFERROR(IF(INDEX(lst_exp_item_cat,MATCH(E2483,lst_exp_items,0))="","❔ Без категории",INDEX(lst_exp_item_cat,MATCH(E2483,lst_exp_items,0))),"❔ Без категории"))</f>
        <v/>
      </c>
      <c r="G2483" s="43" t="n"/>
      <c r="H2483" s="56" t="n"/>
      <c r="I2483" s="43" t="n"/>
      <c r="J2483" s="57">
        <f>IF(OR(A2483="",H2483=""),"",IF(COUNTIFS(exp_year,C2483,exp_month,D2483,exp_item,E2483,exp_status,"&lt;&gt;❌ Отменено")&gt;0,1,0))</f>
        <v/>
      </c>
    </row>
    <row r="2484">
      <c r="A2484" s="52" t="n"/>
      <c r="B2484" s="53">
        <f>IF(A2484="","",CHOOSE(WEEKDAY(A2484,2),"Пн","Вт","Ср","Чт","Пт","Сб","Вс"))</f>
        <v/>
      </c>
      <c r="C2484" s="53">
        <f>IF(A2484="","",YEAR(A2484))</f>
        <v/>
      </c>
      <c r="D2484" s="54">
        <f>IF(A2484="","",INDEX(lst_months,MONTH(A2484)))</f>
        <v/>
      </c>
      <c r="E2484" s="55" t="n"/>
      <c r="F2484" s="54">
        <f>IF(E2484="","",IFERROR(IF(INDEX(lst_exp_item_cat,MATCH(E2484,lst_exp_items,0))="","❔ Без категории",INDEX(lst_exp_item_cat,MATCH(E2484,lst_exp_items,0))),"❔ Без категории"))</f>
        <v/>
      </c>
      <c r="G2484" s="43" t="n"/>
      <c r="H2484" s="56" t="n"/>
      <c r="I2484" s="43" t="n"/>
      <c r="J2484" s="57">
        <f>IF(OR(A2484="",H2484=""),"",IF(COUNTIFS(exp_year,C2484,exp_month,D2484,exp_item,E2484,exp_status,"&lt;&gt;❌ Отменено")&gt;0,1,0))</f>
        <v/>
      </c>
    </row>
    <row r="2485">
      <c r="A2485" s="52" t="n"/>
      <c r="B2485" s="53">
        <f>IF(A2485="","",CHOOSE(WEEKDAY(A2485,2),"Пн","Вт","Ср","Чт","Пт","Сб","Вс"))</f>
        <v/>
      </c>
      <c r="C2485" s="53">
        <f>IF(A2485="","",YEAR(A2485))</f>
        <v/>
      </c>
      <c r="D2485" s="54">
        <f>IF(A2485="","",INDEX(lst_months,MONTH(A2485)))</f>
        <v/>
      </c>
      <c r="E2485" s="55" t="n"/>
      <c r="F2485" s="54">
        <f>IF(E2485="","",IFERROR(IF(INDEX(lst_exp_item_cat,MATCH(E2485,lst_exp_items,0))="","❔ Без категории",INDEX(lst_exp_item_cat,MATCH(E2485,lst_exp_items,0))),"❔ Без категории"))</f>
        <v/>
      </c>
      <c r="G2485" s="43" t="n"/>
      <c r="H2485" s="56" t="n"/>
      <c r="I2485" s="43" t="n"/>
      <c r="J2485" s="57">
        <f>IF(OR(A2485="",H2485=""),"",IF(COUNTIFS(exp_year,C2485,exp_month,D2485,exp_item,E2485,exp_status,"&lt;&gt;❌ Отменено")&gt;0,1,0))</f>
        <v/>
      </c>
    </row>
    <row r="2486">
      <c r="A2486" s="52" t="n"/>
      <c r="B2486" s="53">
        <f>IF(A2486="","",CHOOSE(WEEKDAY(A2486,2),"Пн","Вт","Ср","Чт","Пт","Сб","Вс"))</f>
        <v/>
      </c>
      <c r="C2486" s="53">
        <f>IF(A2486="","",YEAR(A2486))</f>
        <v/>
      </c>
      <c r="D2486" s="54">
        <f>IF(A2486="","",INDEX(lst_months,MONTH(A2486)))</f>
        <v/>
      </c>
      <c r="E2486" s="55" t="n"/>
      <c r="F2486" s="54">
        <f>IF(E2486="","",IFERROR(IF(INDEX(lst_exp_item_cat,MATCH(E2486,lst_exp_items,0))="","❔ Без категории",INDEX(lst_exp_item_cat,MATCH(E2486,lst_exp_items,0))),"❔ Без категории"))</f>
        <v/>
      </c>
      <c r="G2486" s="43" t="n"/>
      <c r="H2486" s="56" t="n"/>
      <c r="I2486" s="43" t="n"/>
      <c r="J2486" s="57">
        <f>IF(OR(A2486="",H2486=""),"",IF(COUNTIFS(exp_year,C2486,exp_month,D2486,exp_item,E2486,exp_status,"&lt;&gt;❌ Отменено")&gt;0,1,0))</f>
        <v/>
      </c>
    </row>
    <row r="2487">
      <c r="A2487" s="52" t="n"/>
      <c r="B2487" s="53">
        <f>IF(A2487="","",CHOOSE(WEEKDAY(A2487,2),"Пн","Вт","Ср","Чт","Пт","Сб","Вс"))</f>
        <v/>
      </c>
      <c r="C2487" s="53">
        <f>IF(A2487="","",YEAR(A2487))</f>
        <v/>
      </c>
      <c r="D2487" s="54">
        <f>IF(A2487="","",INDEX(lst_months,MONTH(A2487)))</f>
        <v/>
      </c>
      <c r="E2487" s="55" t="n"/>
      <c r="F2487" s="54">
        <f>IF(E2487="","",IFERROR(IF(INDEX(lst_exp_item_cat,MATCH(E2487,lst_exp_items,0))="","❔ Без категории",INDEX(lst_exp_item_cat,MATCH(E2487,lst_exp_items,0))),"❔ Без категории"))</f>
        <v/>
      </c>
      <c r="G2487" s="43" t="n"/>
      <c r="H2487" s="56" t="n"/>
      <c r="I2487" s="43" t="n"/>
      <c r="J2487" s="57">
        <f>IF(OR(A2487="",H2487=""),"",IF(COUNTIFS(exp_year,C2487,exp_month,D2487,exp_item,E2487,exp_status,"&lt;&gt;❌ Отменено")&gt;0,1,0))</f>
        <v/>
      </c>
    </row>
    <row r="2488">
      <c r="A2488" s="52" t="n"/>
      <c r="B2488" s="53">
        <f>IF(A2488="","",CHOOSE(WEEKDAY(A2488,2),"Пн","Вт","Ср","Чт","Пт","Сб","Вс"))</f>
        <v/>
      </c>
      <c r="C2488" s="53">
        <f>IF(A2488="","",YEAR(A2488))</f>
        <v/>
      </c>
      <c r="D2488" s="54">
        <f>IF(A2488="","",INDEX(lst_months,MONTH(A2488)))</f>
        <v/>
      </c>
      <c r="E2488" s="55" t="n"/>
      <c r="F2488" s="54">
        <f>IF(E2488="","",IFERROR(IF(INDEX(lst_exp_item_cat,MATCH(E2488,lst_exp_items,0))="","❔ Без категории",INDEX(lst_exp_item_cat,MATCH(E2488,lst_exp_items,0))),"❔ Без категории"))</f>
        <v/>
      </c>
      <c r="G2488" s="43" t="n"/>
      <c r="H2488" s="56" t="n"/>
      <c r="I2488" s="43" t="n"/>
      <c r="J2488" s="57">
        <f>IF(OR(A2488="",H2488=""),"",IF(COUNTIFS(exp_year,C2488,exp_month,D2488,exp_item,E2488,exp_status,"&lt;&gt;❌ Отменено")&gt;0,1,0))</f>
        <v/>
      </c>
    </row>
    <row r="2489">
      <c r="A2489" s="52" t="n"/>
      <c r="B2489" s="53">
        <f>IF(A2489="","",CHOOSE(WEEKDAY(A2489,2),"Пн","Вт","Ср","Чт","Пт","Сб","Вс"))</f>
        <v/>
      </c>
      <c r="C2489" s="53">
        <f>IF(A2489="","",YEAR(A2489))</f>
        <v/>
      </c>
      <c r="D2489" s="54">
        <f>IF(A2489="","",INDEX(lst_months,MONTH(A2489)))</f>
        <v/>
      </c>
      <c r="E2489" s="55" t="n"/>
      <c r="F2489" s="54">
        <f>IF(E2489="","",IFERROR(IF(INDEX(lst_exp_item_cat,MATCH(E2489,lst_exp_items,0))="","❔ Без категории",INDEX(lst_exp_item_cat,MATCH(E2489,lst_exp_items,0))),"❔ Без категории"))</f>
        <v/>
      </c>
      <c r="G2489" s="43" t="n"/>
      <c r="H2489" s="56" t="n"/>
      <c r="I2489" s="43" t="n"/>
      <c r="J2489" s="57">
        <f>IF(OR(A2489="",H2489=""),"",IF(COUNTIFS(exp_year,C2489,exp_month,D2489,exp_item,E2489,exp_status,"&lt;&gt;❌ Отменено")&gt;0,1,0))</f>
        <v/>
      </c>
    </row>
    <row r="2490">
      <c r="A2490" s="52" t="n"/>
      <c r="B2490" s="53">
        <f>IF(A2490="","",CHOOSE(WEEKDAY(A2490,2),"Пн","Вт","Ср","Чт","Пт","Сб","Вс"))</f>
        <v/>
      </c>
      <c r="C2490" s="53">
        <f>IF(A2490="","",YEAR(A2490))</f>
        <v/>
      </c>
      <c r="D2490" s="54">
        <f>IF(A2490="","",INDEX(lst_months,MONTH(A2490)))</f>
        <v/>
      </c>
      <c r="E2490" s="55" t="n"/>
      <c r="F2490" s="54">
        <f>IF(E2490="","",IFERROR(IF(INDEX(lst_exp_item_cat,MATCH(E2490,lst_exp_items,0))="","❔ Без категории",INDEX(lst_exp_item_cat,MATCH(E2490,lst_exp_items,0))),"❔ Без категории"))</f>
        <v/>
      </c>
      <c r="G2490" s="43" t="n"/>
      <c r="H2490" s="56" t="n"/>
      <c r="I2490" s="43" t="n"/>
      <c r="J2490" s="57">
        <f>IF(OR(A2490="",H2490=""),"",IF(COUNTIFS(exp_year,C2490,exp_month,D2490,exp_item,E2490,exp_status,"&lt;&gt;❌ Отменено")&gt;0,1,0))</f>
        <v/>
      </c>
    </row>
    <row r="2491">
      <c r="A2491" s="52" t="n"/>
      <c r="B2491" s="53">
        <f>IF(A2491="","",CHOOSE(WEEKDAY(A2491,2),"Пн","Вт","Ср","Чт","Пт","Сб","Вс"))</f>
        <v/>
      </c>
      <c r="C2491" s="53">
        <f>IF(A2491="","",YEAR(A2491))</f>
        <v/>
      </c>
      <c r="D2491" s="54">
        <f>IF(A2491="","",INDEX(lst_months,MONTH(A2491)))</f>
        <v/>
      </c>
      <c r="E2491" s="55" t="n"/>
      <c r="F2491" s="54">
        <f>IF(E2491="","",IFERROR(IF(INDEX(lst_exp_item_cat,MATCH(E2491,lst_exp_items,0))="","❔ Без категории",INDEX(lst_exp_item_cat,MATCH(E2491,lst_exp_items,0))),"❔ Без категории"))</f>
        <v/>
      </c>
      <c r="G2491" s="43" t="n"/>
      <c r="H2491" s="56" t="n"/>
      <c r="I2491" s="43" t="n"/>
      <c r="J2491" s="57">
        <f>IF(OR(A2491="",H2491=""),"",IF(COUNTIFS(exp_year,C2491,exp_month,D2491,exp_item,E2491,exp_status,"&lt;&gt;❌ Отменено")&gt;0,1,0))</f>
        <v/>
      </c>
    </row>
    <row r="2492">
      <c r="A2492" s="52" t="n"/>
      <c r="B2492" s="53">
        <f>IF(A2492="","",CHOOSE(WEEKDAY(A2492,2),"Пн","Вт","Ср","Чт","Пт","Сб","Вс"))</f>
        <v/>
      </c>
      <c r="C2492" s="53">
        <f>IF(A2492="","",YEAR(A2492))</f>
        <v/>
      </c>
      <c r="D2492" s="54">
        <f>IF(A2492="","",INDEX(lst_months,MONTH(A2492)))</f>
        <v/>
      </c>
      <c r="E2492" s="55" t="n"/>
      <c r="F2492" s="54">
        <f>IF(E2492="","",IFERROR(IF(INDEX(lst_exp_item_cat,MATCH(E2492,lst_exp_items,0))="","❔ Без категории",INDEX(lst_exp_item_cat,MATCH(E2492,lst_exp_items,0))),"❔ Без категории"))</f>
        <v/>
      </c>
      <c r="G2492" s="43" t="n"/>
      <c r="H2492" s="56" t="n"/>
      <c r="I2492" s="43" t="n"/>
      <c r="J2492" s="57">
        <f>IF(OR(A2492="",H2492=""),"",IF(COUNTIFS(exp_year,C2492,exp_month,D2492,exp_item,E2492,exp_status,"&lt;&gt;❌ Отменено")&gt;0,1,0))</f>
        <v/>
      </c>
    </row>
    <row r="2493">
      <c r="A2493" s="52" t="n"/>
      <c r="B2493" s="53">
        <f>IF(A2493="","",CHOOSE(WEEKDAY(A2493,2),"Пн","Вт","Ср","Чт","Пт","Сб","Вс"))</f>
        <v/>
      </c>
      <c r="C2493" s="53">
        <f>IF(A2493="","",YEAR(A2493))</f>
        <v/>
      </c>
      <c r="D2493" s="54">
        <f>IF(A2493="","",INDEX(lst_months,MONTH(A2493)))</f>
        <v/>
      </c>
      <c r="E2493" s="55" t="n"/>
      <c r="F2493" s="54">
        <f>IF(E2493="","",IFERROR(IF(INDEX(lst_exp_item_cat,MATCH(E2493,lst_exp_items,0))="","❔ Без категории",INDEX(lst_exp_item_cat,MATCH(E2493,lst_exp_items,0))),"❔ Без категории"))</f>
        <v/>
      </c>
      <c r="G2493" s="43" t="n"/>
      <c r="H2493" s="56" t="n"/>
      <c r="I2493" s="43" t="n"/>
      <c r="J2493" s="57">
        <f>IF(OR(A2493="",H2493=""),"",IF(COUNTIFS(exp_year,C2493,exp_month,D2493,exp_item,E2493,exp_status,"&lt;&gt;❌ Отменено")&gt;0,1,0))</f>
        <v/>
      </c>
    </row>
    <row r="2494">
      <c r="A2494" s="52" t="n"/>
      <c r="B2494" s="53">
        <f>IF(A2494="","",CHOOSE(WEEKDAY(A2494,2),"Пн","Вт","Ср","Чт","Пт","Сб","Вс"))</f>
        <v/>
      </c>
      <c r="C2494" s="53">
        <f>IF(A2494="","",YEAR(A2494))</f>
        <v/>
      </c>
      <c r="D2494" s="54">
        <f>IF(A2494="","",INDEX(lst_months,MONTH(A2494)))</f>
        <v/>
      </c>
      <c r="E2494" s="55" t="n"/>
      <c r="F2494" s="54">
        <f>IF(E2494="","",IFERROR(IF(INDEX(lst_exp_item_cat,MATCH(E2494,lst_exp_items,0))="","❔ Без категории",INDEX(lst_exp_item_cat,MATCH(E2494,lst_exp_items,0))),"❔ Без категории"))</f>
        <v/>
      </c>
      <c r="G2494" s="43" t="n"/>
      <c r="H2494" s="56" t="n"/>
      <c r="I2494" s="43" t="n"/>
      <c r="J2494" s="57">
        <f>IF(OR(A2494="",H2494=""),"",IF(COUNTIFS(exp_year,C2494,exp_month,D2494,exp_item,E2494,exp_status,"&lt;&gt;❌ Отменено")&gt;0,1,0))</f>
        <v/>
      </c>
    </row>
    <row r="2495">
      <c r="A2495" s="52" t="n"/>
      <c r="B2495" s="53">
        <f>IF(A2495="","",CHOOSE(WEEKDAY(A2495,2),"Пн","Вт","Ср","Чт","Пт","Сб","Вс"))</f>
        <v/>
      </c>
      <c r="C2495" s="53">
        <f>IF(A2495="","",YEAR(A2495))</f>
        <v/>
      </c>
      <c r="D2495" s="54">
        <f>IF(A2495="","",INDEX(lst_months,MONTH(A2495)))</f>
        <v/>
      </c>
      <c r="E2495" s="55" t="n"/>
      <c r="F2495" s="54">
        <f>IF(E2495="","",IFERROR(IF(INDEX(lst_exp_item_cat,MATCH(E2495,lst_exp_items,0))="","❔ Без категории",INDEX(lst_exp_item_cat,MATCH(E2495,lst_exp_items,0))),"❔ Без категории"))</f>
        <v/>
      </c>
      <c r="G2495" s="43" t="n"/>
      <c r="H2495" s="56" t="n"/>
      <c r="I2495" s="43" t="n"/>
      <c r="J2495" s="57">
        <f>IF(OR(A2495="",H2495=""),"",IF(COUNTIFS(exp_year,C2495,exp_month,D2495,exp_item,E2495,exp_status,"&lt;&gt;❌ Отменено")&gt;0,1,0))</f>
        <v/>
      </c>
    </row>
    <row r="2496">
      <c r="A2496" s="52" t="n"/>
      <c r="B2496" s="53">
        <f>IF(A2496="","",CHOOSE(WEEKDAY(A2496,2),"Пн","Вт","Ср","Чт","Пт","Сб","Вс"))</f>
        <v/>
      </c>
      <c r="C2496" s="53">
        <f>IF(A2496="","",YEAR(A2496))</f>
        <v/>
      </c>
      <c r="D2496" s="54">
        <f>IF(A2496="","",INDEX(lst_months,MONTH(A2496)))</f>
        <v/>
      </c>
      <c r="E2496" s="55" t="n"/>
      <c r="F2496" s="54">
        <f>IF(E2496="","",IFERROR(IF(INDEX(lst_exp_item_cat,MATCH(E2496,lst_exp_items,0))="","❔ Без категории",INDEX(lst_exp_item_cat,MATCH(E2496,lst_exp_items,0))),"❔ Без категории"))</f>
        <v/>
      </c>
      <c r="G2496" s="43" t="n"/>
      <c r="H2496" s="56" t="n"/>
      <c r="I2496" s="43" t="n"/>
      <c r="J2496" s="57">
        <f>IF(OR(A2496="",H2496=""),"",IF(COUNTIFS(exp_year,C2496,exp_month,D2496,exp_item,E2496,exp_status,"&lt;&gt;❌ Отменено")&gt;0,1,0))</f>
        <v/>
      </c>
    </row>
    <row r="2497">
      <c r="A2497" s="52" t="n"/>
      <c r="B2497" s="53">
        <f>IF(A2497="","",CHOOSE(WEEKDAY(A2497,2),"Пн","Вт","Ср","Чт","Пт","Сб","Вс"))</f>
        <v/>
      </c>
      <c r="C2497" s="53">
        <f>IF(A2497="","",YEAR(A2497))</f>
        <v/>
      </c>
      <c r="D2497" s="54">
        <f>IF(A2497="","",INDEX(lst_months,MONTH(A2497)))</f>
        <v/>
      </c>
      <c r="E2497" s="55" t="n"/>
      <c r="F2497" s="54">
        <f>IF(E2497="","",IFERROR(IF(INDEX(lst_exp_item_cat,MATCH(E2497,lst_exp_items,0))="","❔ Без категории",INDEX(lst_exp_item_cat,MATCH(E2497,lst_exp_items,0))),"❔ Без категории"))</f>
        <v/>
      </c>
      <c r="G2497" s="43" t="n"/>
      <c r="H2497" s="56" t="n"/>
      <c r="I2497" s="43" t="n"/>
      <c r="J2497" s="57">
        <f>IF(OR(A2497="",H2497=""),"",IF(COUNTIFS(exp_year,C2497,exp_month,D2497,exp_item,E2497,exp_status,"&lt;&gt;❌ Отменено")&gt;0,1,0))</f>
        <v/>
      </c>
    </row>
    <row r="2498">
      <c r="A2498" s="52" t="n"/>
      <c r="B2498" s="53">
        <f>IF(A2498="","",CHOOSE(WEEKDAY(A2498,2),"Пн","Вт","Ср","Чт","Пт","Сб","Вс"))</f>
        <v/>
      </c>
      <c r="C2498" s="53">
        <f>IF(A2498="","",YEAR(A2498))</f>
        <v/>
      </c>
      <c r="D2498" s="54">
        <f>IF(A2498="","",INDEX(lst_months,MONTH(A2498)))</f>
        <v/>
      </c>
      <c r="E2498" s="55" t="n"/>
      <c r="F2498" s="54">
        <f>IF(E2498="","",IFERROR(IF(INDEX(lst_exp_item_cat,MATCH(E2498,lst_exp_items,0))="","❔ Без категории",INDEX(lst_exp_item_cat,MATCH(E2498,lst_exp_items,0))),"❔ Без категории"))</f>
        <v/>
      </c>
      <c r="G2498" s="43" t="n"/>
      <c r="H2498" s="56" t="n"/>
      <c r="I2498" s="43" t="n"/>
      <c r="J2498" s="57">
        <f>IF(OR(A2498="",H2498=""),"",IF(COUNTIFS(exp_year,C2498,exp_month,D2498,exp_item,E2498,exp_status,"&lt;&gt;❌ Отменено")&gt;0,1,0))</f>
        <v/>
      </c>
    </row>
    <row r="2499">
      <c r="A2499" s="52" t="n"/>
      <c r="B2499" s="53">
        <f>IF(A2499="","",CHOOSE(WEEKDAY(A2499,2),"Пн","Вт","Ср","Чт","Пт","Сб","Вс"))</f>
        <v/>
      </c>
      <c r="C2499" s="53">
        <f>IF(A2499="","",YEAR(A2499))</f>
        <v/>
      </c>
      <c r="D2499" s="54">
        <f>IF(A2499="","",INDEX(lst_months,MONTH(A2499)))</f>
        <v/>
      </c>
      <c r="E2499" s="55" t="n"/>
      <c r="F2499" s="54">
        <f>IF(E2499="","",IFERROR(IF(INDEX(lst_exp_item_cat,MATCH(E2499,lst_exp_items,0))="","❔ Без категории",INDEX(lst_exp_item_cat,MATCH(E2499,lst_exp_items,0))),"❔ Без категории"))</f>
        <v/>
      </c>
      <c r="G2499" s="43" t="n"/>
      <c r="H2499" s="56" t="n"/>
      <c r="I2499" s="43" t="n"/>
      <c r="J2499" s="57">
        <f>IF(OR(A2499="",H2499=""),"",IF(COUNTIFS(exp_year,C2499,exp_month,D2499,exp_item,E2499,exp_status,"&lt;&gt;❌ Отменено")&gt;0,1,0))</f>
        <v/>
      </c>
    </row>
    <row r="2500">
      <c r="A2500" s="52" t="n"/>
      <c r="B2500" s="53">
        <f>IF(A2500="","",CHOOSE(WEEKDAY(A2500,2),"Пн","Вт","Ср","Чт","Пт","Сб","Вс"))</f>
        <v/>
      </c>
      <c r="C2500" s="53">
        <f>IF(A2500="","",YEAR(A2500))</f>
        <v/>
      </c>
      <c r="D2500" s="54">
        <f>IF(A2500="","",INDEX(lst_months,MONTH(A2500)))</f>
        <v/>
      </c>
      <c r="E2500" s="55" t="n"/>
      <c r="F2500" s="54">
        <f>IF(E2500="","",IFERROR(IF(INDEX(lst_exp_item_cat,MATCH(E2500,lst_exp_items,0))="","❔ Без категории",INDEX(lst_exp_item_cat,MATCH(E2500,lst_exp_items,0))),"❔ Без категории"))</f>
        <v/>
      </c>
      <c r="G2500" s="43" t="n"/>
      <c r="H2500" s="56" t="n"/>
      <c r="I2500" s="43" t="n"/>
      <c r="J2500" s="57">
        <f>IF(OR(A2500="",H2500=""),"",IF(COUNTIFS(exp_year,C2500,exp_month,D2500,exp_item,E2500,exp_status,"&lt;&gt;❌ Отменено")&gt;0,1,0))</f>
        <v/>
      </c>
    </row>
    <row r="2501">
      <c r="A2501" s="52" t="n"/>
      <c r="B2501" s="53">
        <f>IF(A2501="","",CHOOSE(WEEKDAY(A2501,2),"Пн","Вт","Ср","Чт","Пт","Сб","Вс"))</f>
        <v/>
      </c>
      <c r="C2501" s="53">
        <f>IF(A2501="","",YEAR(A2501))</f>
        <v/>
      </c>
      <c r="D2501" s="54">
        <f>IF(A2501="","",INDEX(lst_months,MONTH(A2501)))</f>
        <v/>
      </c>
      <c r="E2501" s="55" t="n"/>
      <c r="F2501" s="54">
        <f>IF(E2501="","",IFERROR(IF(INDEX(lst_exp_item_cat,MATCH(E2501,lst_exp_items,0))="","❔ Без категории",INDEX(lst_exp_item_cat,MATCH(E2501,lst_exp_items,0))),"❔ Без категории"))</f>
        <v/>
      </c>
      <c r="G2501" s="43" t="n"/>
      <c r="H2501" s="56" t="n"/>
      <c r="I2501" s="43" t="n"/>
      <c r="J2501" s="57">
        <f>IF(OR(A2501="",H2501=""),"",IF(COUNTIFS(exp_year,C2501,exp_month,D2501,exp_item,E2501,exp_status,"&lt;&gt;❌ Отменено")&gt;0,1,0))</f>
        <v/>
      </c>
    </row>
    <row r="2502">
      <c r="A2502" s="52" t="n"/>
      <c r="B2502" s="53">
        <f>IF(A2502="","",CHOOSE(WEEKDAY(A2502,2),"Пн","Вт","Ср","Чт","Пт","Сб","Вс"))</f>
        <v/>
      </c>
      <c r="C2502" s="53">
        <f>IF(A2502="","",YEAR(A2502))</f>
        <v/>
      </c>
      <c r="D2502" s="54">
        <f>IF(A2502="","",INDEX(lst_months,MONTH(A2502)))</f>
        <v/>
      </c>
      <c r="E2502" s="55" t="n"/>
      <c r="F2502" s="54">
        <f>IF(E2502="","",IFERROR(IF(INDEX(lst_exp_item_cat,MATCH(E2502,lst_exp_items,0))="","❔ Без категории",INDEX(lst_exp_item_cat,MATCH(E2502,lst_exp_items,0))),"❔ Без категории"))</f>
        <v/>
      </c>
      <c r="G2502" s="43" t="n"/>
      <c r="H2502" s="56" t="n"/>
      <c r="I2502" s="43" t="n"/>
      <c r="J2502" s="57">
        <f>IF(OR(A2502="",H2502=""),"",IF(COUNTIFS(exp_year,C2502,exp_month,D2502,exp_item,E2502,exp_status,"&lt;&gt;❌ Отменено")&gt;0,1,0))</f>
        <v/>
      </c>
    </row>
    <row r="2503">
      <c r="A2503" s="52" t="n"/>
      <c r="B2503" s="53">
        <f>IF(A2503="","",CHOOSE(WEEKDAY(A2503,2),"Пн","Вт","Ср","Чт","Пт","Сб","Вс"))</f>
        <v/>
      </c>
      <c r="C2503" s="53">
        <f>IF(A2503="","",YEAR(A2503))</f>
        <v/>
      </c>
      <c r="D2503" s="54">
        <f>IF(A2503="","",INDEX(lst_months,MONTH(A2503)))</f>
        <v/>
      </c>
      <c r="E2503" s="55" t="n"/>
      <c r="F2503" s="54">
        <f>IF(E2503="","",IFERROR(IF(INDEX(lst_exp_item_cat,MATCH(E2503,lst_exp_items,0))="","❔ Без категории",INDEX(lst_exp_item_cat,MATCH(E2503,lst_exp_items,0))),"❔ Без категории"))</f>
        <v/>
      </c>
      <c r="G2503" s="43" t="n"/>
      <c r="H2503" s="56" t="n"/>
      <c r="I2503" s="43" t="n"/>
      <c r="J2503" s="57">
        <f>IF(OR(A2503="",H2503=""),"",IF(COUNTIFS(exp_year,C2503,exp_month,D2503,exp_item,E2503,exp_status,"&lt;&gt;❌ Отменено")&gt;0,1,0))</f>
        <v/>
      </c>
    </row>
    <row r="2504">
      <c r="A2504" s="52" t="n"/>
      <c r="B2504" s="53">
        <f>IF(A2504="","",CHOOSE(WEEKDAY(A2504,2),"Пн","Вт","Ср","Чт","Пт","Сб","Вс"))</f>
        <v/>
      </c>
      <c r="C2504" s="53">
        <f>IF(A2504="","",YEAR(A2504))</f>
        <v/>
      </c>
      <c r="D2504" s="54">
        <f>IF(A2504="","",INDEX(lst_months,MONTH(A2504)))</f>
        <v/>
      </c>
      <c r="E2504" s="55" t="n"/>
      <c r="F2504" s="54">
        <f>IF(E2504="","",IFERROR(IF(INDEX(lst_exp_item_cat,MATCH(E2504,lst_exp_items,0))="","❔ Без категории",INDEX(lst_exp_item_cat,MATCH(E2504,lst_exp_items,0))),"❔ Без категории"))</f>
        <v/>
      </c>
      <c r="G2504" s="43" t="n"/>
      <c r="H2504" s="56" t="n"/>
      <c r="I2504" s="43" t="n"/>
      <c r="J2504" s="57">
        <f>IF(OR(A2504="",H2504=""),"",IF(COUNTIFS(exp_year,C2504,exp_month,D2504,exp_item,E2504,exp_status,"&lt;&gt;❌ Отменено")&gt;0,1,0))</f>
        <v/>
      </c>
    </row>
    <row r="2505">
      <c r="A2505" s="52" t="n"/>
      <c r="B2505" s="53">
        <f>IF(A2505="","",CHOOSE(WEEKDAY(A2505,2),"Пн","Вт","Ср","Чт","Пт","Сб","Вс"))</f>
        <v/>
      </c>
      <c r="C2505" s="53">
        <f>IF(A2505="","",YEAR(A2505))</f>
        <v/>
      </c>
      <c r="D2505" s="54">
        <f>IF(A2505="","",INDEX(lst_months,MONTH(A2505)))</f>
        <v/>
      </c>
      <c r="E2505" s="55" t="n"/>
      <c r="F2505" s="54">
        <f>IF(E2505="","",IFERROR(IF(INDEX(lst_exp_item_cat,MATCH(E2505,lst_exp_items,0))="","❔ Без категории",INDEX(lst_exp_item_cat,MATCH(E2505,lst_exp_items,0))),"❔ Без категории"))</f>
        <v/>
      </c>
      <c r="G2505" s="43" t="n"/>
      <c r="H2505" s="56" t="n"/>
      <c r="I2505" s="43" t="n"/>
      <c r="J2505" s="57">
        <f>IF(OR(A2505="",H2505=""),"",IF(COUNTIFS(exp_year,C2505,exp_month,D2505,exp_item,E2505,exp_status,"&lt;&gt;❌ Отменено")&gt;0,1,0))</f>
        <v/>
      </c>
    </row>
    <row r="2506">
      <c r="A2506" s="52" t="n"/>
      <c r="B2506" s="53">
        <f>IF(A2506="","",CHOOSE(WEEKDAY(A2506,2),"Пн","Вт","Ср","Чт","Пт","Сб","Вс"))</f>
        <v/>
      </c>
      <c r="C2506" s="53">
        <f>IF(A2506="","",YEAR(A2506))</f>
        <v/>
      </c>
      <c r="D2506" s="54">
        <f>IF(A2506="","",INDEX(lst_months,MONTH(A2506)))</f>
        <v/>
      </c>
      <c r="E2506" s="55" t="n"/>
      <c r="F2506" s="54">
        <f>IF(E2506="","",IFERROR(IF(INDEX(lst_exp_item_cat,MATCH(E2506,lst_exp_items,0))="","❔ Без категории",INDEX(lst_exp_item_cat,MATCH(E2506,lst_exp_items,0))),"❔ Без категории"))</f>
        <v/>
      </c>
      <c r="G2506" s="43" t="n"/>
      <c r="H2506" s="56" t="n"/>
      <c r="I2506" s="43" t="n"/>
      <c r="J2506" s="57">
        <f>IF(OR(A2506="",H2506=""),"",IF(COUNTIFS(exp_year,C2506,exp_month,D2506,exp_item,E2506,exp_status,"&lt;&gt;❌ Отменено")&gt;0,1,0))</f>
        <v/>
      </c>
    </row>
    <row r="2507">
      <c r="A2507" s="52" t="n"/>
      <c r="B2507" s="53">
        <f>IF(A2507="","",CHOOSE(WEEKDAY(A2507,2),"Пн","Вт","Ср","Чт","Пт","Сб","Вс"))</f>
        <v/>
      </c>
      <c r="C2507" s="53">
        <f>IF(A2507="","",YEAR(A2507))</f>
        <v/>
      </c>
      <c r="D2507" s="54">
        <f>IF(A2507="","",INDEX(lst_months,MONTH(A2507)))</f>
        <v/>
      </c>
      <c r="E2507" s="55" t="n"/>
      <c r="F2507" s="54">
        <f>IF(E2507="","",IFERROR(IF(INDEX(lst_exp_item_cat,MATCH(E2507,lst_exp_items,0))="","❔ Без категории",INDEX(lst_exp_item_cat,MATCH(E2507,lst_exp_items,0))),"❔ Без категории"))</f>
        <v/>
      </c>
      <c r="G2507" s="43" t="n"/>
      <c r="H2507" s="56" t="n"/>
      <c r="I2507" s="43" t="n"/>
      <c r="J2507" s="57">
        <f>IF(OR(A2507="",H2507=""),"",IF(COUNTIFS(exp_year,C2507,exp_month,D2507,exp_item,E2507,exp_status,"&lt;&gt;❌ Отменено")&gt;0,1,0))</f>
        <v/>
      </c>
    </row>
    <row r="2508">
      <c r="A2508" s="52" t="n"/>
      <c r="B2508" s="53">
        <f>IF(A2508="","",CHOOSE(WEEKDAY(A2508,2),"Пн","Вт","Ср","Чт","Пт","Сб","Вс"))</f>
        <v/>
      </c>
      <c r="C2508" s="53">
        <f>IF(A2508="","",YEAR(A2508))</f>
        <v/>
      </c>
      <c r="D2508" s="54">
        <f>IF(A2508="","",INDEX(lst_months,MONTH(A2508)))</f>
        <v/>
      </c>
      <c r="E2508" s="55" t="n"/>
      <c r="F2508" s="54">
        <f>IF(E2508="","",IFERROR(IF(INDEX(lst_exp_item_cat,MATCH(E2508,lst_exp_items,0))="","❔ Без категории",INDEX(lst_exp_item_cat,MATCH(E2508,lst_exp_items,0))),"❔ Без категории"))</f>
        <v/>
      </c>
      <c r="G2508" s="43" t="n"/>
      <c r="H2508" s="56" t="n"/>
      <c r="I2508" s="43" t="n"/>
      <c r="J2508" s="57">
        <f>IF(OR(A2508="",H2508=""),"",IF(COUNTIFS(exp_year,C2508,exp_month,D2508,exp_item,E2508,exp_status,"&lt;&gt;❌ Отменено")&gt;0,1,0))</f>
        <v/>
      </c>
    </row>
    <row r="2509">
      <c r="A2509" s="52" t="n"/>
      <c r="B2509" s="53">
        <f>IF(A2509="","",CHOOSE(WEEKDAY(A2509,2),"Пн","Вт","Ср","Чт","Пт","Сб","Вс"))</f>
        <v/>
      </c>
      <c r="C2509" s="53">
        <f>IF(A2509="","",YEAR(A2509))</f>
        <v/>
      </c>
      <c r="D2509" s="54">
        <f>IF(A2509="","",INDEX(lst_months,MONTH(A2509)))</f>
        <v/>
      </c>
      <c r="E2509" s="55" t="n"/>
      <c r="F2509" s="54">
        <f>IF(E2509="","",IFERROR(IF(INDEX(lst_exp_item_cat,MATCH(E2509,lst_exp_items,0))="","❔ Без категории",INDEX(lst_exp_item_cat,MATCH(E2509,lst_exp_items,0))),"❔ Без категории"))</f>
        <v/>
      </c>
      <c r="G2509" s="43" t="n"/>
      <c r="H2509" s="56" t="n"/>
      <c r="I2509" s="43" t="n"/>
      <c r="J2509" s="57">
        <f>IF(OR(A2509="",H2509=""),"",IF(COUNTIFS(exp_year,C2509,exp_month,D2509,exp_item,E2509,exp_status,"&lt;&gt;❌ Отменено")&gt;0,1,0))</f>
        <v/>
      </c>
    </row>
    <row r="2510">
      <c r="A2510" s="52" t="n"/>
      <c r="B2510" s="53">
        <f>IF(A2510="","",CHOOSE(WEEKDAY(A2510,2),"Пн","Вт","Ср","Чт","Пт","Сб","Вс"))</f>
        <v/>
      </c>
      <c r="C2510" s="53">
        <f>IF(A2510="","",YEAR(A2510))</f>
        <v/>
      </c>
      <c r="D2510" s="54">
        <f>IF(A2510="","",INDEX(lst_months,MONTH(A2510)))</f>
        <v/>
      </c>
      <c r="E2510" s="55" t="n"/>
      <c r="F2510" s="54">
        <f>IF(E2510="","",IFERROR(IF(INDEX(lst_exp_item_cat,MATCH(E2510,lst_exp_items,0))="","❔ Без категории",INDEX(lst_exp_item_cat,MATCH(E2510,lst_exp_items,0))),"❔ Без категории"))</f>
        <v/>
      </c>
      <c r="G2510" s="43" t="n"/>
      <c r="H2510" s="56" t="n"/>
      <c r="I2510" s="43" t="n"/>
      <c r="J2510" s="57">
        <f>IF(OR(A2510="",H2510=""),"",IF(COUNTIFS(exp_year,C2510,exp_month,D2510,exp_item,E2510,exp_status,"&lt;&gt;❌ Отменено")&gt;0,1,0))</f>
        <v/>
      </c>
    </row>
    <row r="2511">
      <c r="A2511" s="52" t="n"/>
      <c r="B2511" s="53">
        <f>IF(A2511="","",CHOOSE(WEEKDAY(A2511,2),"Пн","Вт","Ср","Чт","Пт","Сб","Вс"))</f>
        <v/>
      </c>
      <c r="C2511" s="53">
        <f>IF(A2511="","",YEAR(A2511))</f>
        <v/>
      </c>
      <c r="D2511" s="54">
        <f>IF(A2511="","",INDEX(lst_months,MONTH(A2511)))</f>
        <v/>
      </c>
      <c r="E2511" s="55" t="n"/>
      <c r="F2511" s="54">
        <f>IF(E2511="","",IFERROR(IF(INDEX(lst_exp_item_cat,MATCH(E2511,lst_exp_items,0))="","❔ Без категории",INDEX(lst_exp_item_cat,MATCH(E2511,lst_exp_items,0))),"❔ Без категории"))</f>
        <v/>
      </c>
      <c r="G2511" s="43" t="n"/>
      <c r="H2511" s="56" t="n"/>
      <c r="I2511" s="43" t="n"/>
      <c r="J2511" s="57">
        <f>IF(OR(A2511="",H2511=""),"",IF(COUNTIFS(exp_year,C2511,exp_month,D2511,exp_item,E2511,exp_status,"&lt;&gt;❌ Отменено")&gt;0,1,0))</f>
        <v/>
      </c>
    </row>
    <row r="2512">
      <c r="A2512" s="52" t="n"/>
      <c r="B2512" s="53">
        <f>IF(A2512="","",CHOOSE(WEEKDAY(A2512,2),"Пн","Вт","Ср","Чт","Пт","Сб","Вс"))</f>
        <v/>
      </c>
      <c r="C2512" s="53">
        <f>IF(A2512="","",YEAR(A2512))</f>
        <v/>
      </c>
      <c r="D2512" s="54">
        <f>IF(A2512="","",INDEX(lst_months,MONTH(A2512)))</f>
        <v/>
      </c>
      <c r="E2512" s="55" t="n"/>
      <c r="F2512" s="54">
        <f>IF(E2512="","",IFERROR(IF(INDEX(lst_exp_item_cat,MATCH(E2512,lst_exp_items,0))="","❔ Без категории",INDEX(lst_exp_item_cat,MATCH(E2512,lst_exp_items,0))),"❔ Без категории"))</f>
        <v/>
      </c>
      <c r="G2512" s="43" t="n"/>
      <c r="H2512" s="56" t="n"/>
      <c r="I2512" s="43" t="n"/>
      <c r="J2512" s="57">
        <f>IF(OR(A2512="",H2512=""),"",IF(COUNTIFS(exp_year,C2512,exp_month,D2512,exp_item,E2512,exp_status,"&lt;&gt;❌ Отменено")&gt;0,1,0))</f>
        <v/>
      </c>
    </row>
    <row r="2513">
      <c r="A2513" s="52" t="n"/>
      <c r="B2513" s="53">
        <f>IF(A2513="","",CHOOSE(WEEKDAY(A2513,2),"Пн","Вт","Ср","Чт","Пт","Сб","Вс"))</f>
        <v/>
      </c>
      <c r="C2513" s="53">
        <f>IF(A2513="","",YEAR(A2513))</f>
        <v/>
      </c>
      <c r="D2513" s="54">
        <f>IF(A2513="","",INDEX(lst_months,MONTH(A2513)))</f>
        <v/>
      </c>
      <c r="E2513" s="55" t="n"/>
      <c r="F2513" s="54">
        <f>IF(E2513="","",IFERROR(IF(INDEX(lst_exp_item_cat,MATCH(E2513,lst_exp_items,0))="","❔ Без категории",INDEX(lst_exp_item_cat,MATCH(E2513,lst_exp_items,0))),"❔ Без категории"))</f>
        <v/>
      </c>
      <c r="G2513" s="43" t="n"/>
      <c r="H2513" s="56" t="n"/>
      <c r="I2513" s="43" t="n"/>
      <c r="J2513" s="57">
        <f>IF(OR(A2513="",H2513=""),"",IF(COUNTIFS(exp_year,C2513,exp_month,D2513,exp_item,E2513,exp_status,"&lt;&gt;❌ Отменено")&gt;0,1,0))</f>
        <v/>
      </c>
    </row>
    <row r="2514">
      <c r="A2514" s="52" t="n"/>
      <c r="B2514" s="53">
        <f>IF(A2514="","",CHOOSE(WEEKDAY(A2514,2),"Пн","Вт","Ср","Чт","Пт","Сб","Вс"))</f>
        <v/>
      </c>
      <c r="C2514" s="53">
        <f>IF(A2514="","",YEAR(A2514))</f>
        <v/>
      </c>
      <c r="D2514" s="54">
        <f>IF(A2514="","",INDEX(lst_months,MONTH(A2514)))</f>
        <v/>
      </c>
      <c r="E2514" s="55" t="n"/>
      <c r="F2514" s="54">
        <f>IF(E2514="","",IFERROR(IF(INDEX(lst_exp_item_cat,MATCH(E2514,lst_exp_items,0))="","❔ Без категории",INDEX(lst_exp_item_cat,MATCH(E2514,lst_exp_items,0))),"❔ Без категории"))</f>
        <v/>
      </c>
      <c r="G2514" s="43" t="n"/>
      <c r="H2514" s="56" t="n"/>
      <c r="I2514" s="43" t="n"/>
      <c r="J2514" s="57">
        <f>IF(OR(A2514="",H2514=""),"",IF(COUNTIFS(exp_year,C2514,exp_month,D2514,exp_item,E2514,exp_status,"&lt;&gt;❌ Отменено")&gt;0,1,0))</f>
        <v/>
      </c>
    </row>
    <row r="2515">
      <c r="A2515" s="52" t="n"/>
      <c r="B2515" s="53">
        <f>IF(A2515="","",CHOOSE(WEEKDAY(A2515,2),"Пн","Вт","Ср","Чт","Пт","Сб","Вс"))</f>
        <v/>
      </c>
      <c r="C2515" s="53">
        <f>IF(A2515="","",YEAR(A2515))</f>
        <v/>
      </c>
      <c r="D2515" s="54">
        <f>IF(A2515="","",INDEX(lst_months,MONTH(A2515)))</f>
        <v/>
      </c>
      <c r="E2515" s="55" t="n"/>
      <c r="F2515" s="54">
        <f>IF(E2515="","",IFERROR(IF(INDEX(lst_exp_item_cat,MATCH(E2515,lst_exp_items,0))="","❔ Без категории",INDEX(lst_exp_item_cat,MATCH(E2515,lst_exp_items,0))),"❔ Без категории"))</f>
        <v/>
      </c>
      <c r="G2515" s="43" t="n"/>
      <c r="H2515" s="56" t="n"/>
      <c r="I2515" s="43" t="n"/>
      <c r="J2515" s="57">
        <f>IF(OR(A2515="",H2515=""),"",IF(COUNTIFS(exp_year,C2515,exp_month,D2515,exp_item,E2515,exp_status,"&lt;&gt;❌ Отменено")&gt;0,1,0))</f>
        <v/>
      </c>
    </row>
    <row r="2516">
      <c r="A2516" s="52" t="n"/>
      <c r="B2516" s="53">
        <f>IF(A2516="","",CHOOSE(WEEKDAY(A2516,2),"Пн","Вт","Ср","Чт","Пт","Сб","Вс"))</f>
        <v/>
      </c>
      <c r="C2516" s="53">
        <f>IF(A2516="","",YEAR(A2516))</f>
        <v/>
      </c>
      <c r="D2516" s="54">
        <f>IF(A2516="","",INDEX(lst_months,MONTH(A2516)))</f>
        <v/>
      </c>
      <c r="E2516" s="55" t="n"/>
      <c r="F2516" s="54">
        <f>IF(E2516="","",IFERROR(IF(INDEX(lst_exp_item_cat,MATCH(E2516,lst_exp_items,0))="","❔ Без категории",INDEX(lst_exp_item_cat,MATCH(E2516,lst_exp_items,0))),"❔ Без категории"))</f>
        <v/>
      </c>
      <c r="G2516" s="43" t="n"/>
      <c r="H2516" s="56" t="n"/>
      <c r="I2516" s="43" t="n"/>
      <c r="J2516" s="57">
        <f>IF(OR(A2516="",H2516=""),"",IF(COUNTIFS(exp_year,C2516,exp_month,D2516,exp_item,E2516,exp_status,"&lt;&gt;❌ Отменено")&gt;0,1,0))</f>
        <v/>
      </c>
    </row>
    <row r="2517">
      <c r="A2517" s="52" t="n"/>
      <c r="B2517" s="53">
        <f>IF(A2517="","",CHOOSE(WEEKDAY(A2517,2),"Пн","Вт","Ср","Чт","Пт","Сб","Вс"))</f>
        <v/>
      </c>
      <c r="C2517" s="53">
        <f>IF(A2517="","",YEAR(A2517))</f>
        <v/>
      </c>
      <c r="D2517" s="54">
        <f>IF(A2517="","",INDEX(lst_months,MONTH(A2517)))</f>
        <v/>
      </c>
      <c r="E2517" s="55" t="n"/>
      <c r="F2517" s="54">
        <f>IF(E2517="","",IFERROR(IF(INDEX(lst_exp_item_cat,MATCH(E2517,lst_exp_items,0))="","❔ Без категории",INDEX(lst_exp_item_cat,MATCH(E2517,lst_exp_items,0))),"❔ Без категории"))</f>
        <v/>
      </c>
      <c r="G2517" s="43" t="n"/>
      <c r="H2517" s="56" t="n"/>
      <c r="I2517" s="43" t="n"/>
      <c r="J2517" s="57">
        <f>IF(OR(A2517="",H2517=""),"",IF(COUNTIFS(exp_year,C2517,exp_month,D2517,exp_item,E2517,exp_status,"&lt;&gt;❌ Отменено")&gt;0,1,0))</f>
        <v/>
      </c>
    </row>
    <row r="2518">
      <c r="A2518" s="52" t="n"/>
      <c r="B2518" s="53">
        <f>IF(A2518="","",CHOOSE(WEEKDAY(A2518,2),"Пн","Вт","Ср","Чт","Пт","Сб","Вс"))</f>
        <v/>
      </c>
      <c r="C2518" s="53">
        <f>IF(A2518="","",YEAR(A2518))</f>
        <v/>
      </c>
      <c r="D2518" s="54">
        <f>IF(A2518="","",INDEX(lst_months,MONTH(A2518)))</f>
        <v/>
      </c>
      <c r="E2518" s="55" t="n"/>
      <c r="F2518" s="54">
        <f>IF(E2518="","",IFERROR(IF(INDEX(lst_exp_item_cat,MATCH(E2518,lst_exp_items,0))="","❔ Без категории",INDEX(lst_exp_item_cat,MATCH(E2518,lst_exp_items,0))),"❔ Без категории"))</f>
        <v/>
      </c>
      <c r="G2518" s="43" t="n"/>
      <c r="H2518" s="56" t="n"/>
      <c r="I2518" s="43" t="n"/>
      <c r="J2518" s="57">
        <f>IF(OR(A2518="",H2518=""),"",IF(COUNTIFS(exp_year,C2518,exp_month,D2518,exp_item,E2518,exp_status,"&lt;&gt;❌ Отменено")&gt;0,1,0))</f>
        <v/>
      </c>
    </row>
    <row r="2519">
      <c r="A2519" s="52" t="n"/>
      <c r="B2519" s="53">
        <f>IF(A2519="","",CHOOSE(WEEKDAY(A2519,2),"Пн","Вт","Ср","Чт","Пт","Сб","Вс"))</f>
        <v/>
      </c>
      <c r="C2519" s="53">
        <f>IF(A2519="","",YEAR(A2519))</f>
        <v/>
      </c>
      <c r="D2519" s="54">
        <f>IF(A2519="","",INDEX(lst_months,MONTH(A2519)))</f>
        <v/>
      </c>
      <c r="E2519" s="55" t="n"/>
      <c r="F2519" s="54">
        <f>IF(E2519="","",IFERROR(IF(INDEX(lst_exp_item_cat,MATCH(E2519,lst_exp_items,0))="","❔ Без категории",INDEX(lst_exp_item_cat,MATCH(E2519,lst_exp_items,0))),"❔ Без категории"))</f>
        <v/>
      </c>
      <c r="G2519" s="43" t="n"/>
      <c r="H2519" s="56" t="n"/>
      <c r="I2519" s="43" t="n"/>
      <c r="J2519" s="57">
        <f>IF(OR(A2519="",H2519=""),"",IF(COUNTIFS(exp_year,C2519,exp_month,D2519,exp_item,E2519,exp_status,"&lt;&gt;❌ Отменено")&gt;0,1,0))</f>
        <v/>
      </c>
    </row>
    <row r="2520">
      <c r="A2520" s="52" t="n"/>
      <c r="B2520" s="53">
        <f>IF(A2520="","",CHOOSE(WEEKDAY(A2520,2),"Пн","Вт","Ср","Чт","Пт","Сб","Вс"))</f>
        <v/>
      </c>
      <c r="C2520" s="53">
        <f>IF(A2520="","",YEAR(A2520))</f>
        <v/>
      </c>
      <c r="D2520" s="54">
        <f>IF(A2520="","",INDEX(lst_months,MONTH(A2520)))</f>
        <v/>
      </c>
      <c r="E2520" s="55" t="n"/>
      <c r="F2520" s="54">
        <f>IF(E2520="","",IFERROR(IF(INDEX(lst_exp_item_cat,MATCH(E2520,lst_exp_items,0))="","❔ Без категории",INDEX(lst_exp_item_cat,MATCH(E2520,lst_exp_items,0))),"❔ Без категории"))</f>
        <v/>
      </c>
      <c r="G2520" s="43" t="n"/>
      <c r="H2520" s="56" t="n"/>
      <c r="I2520" s="43" t="n"/>
      <c r="J2520" s="57">
        <f>IF(OR(A2520="",H2520=""),"",IF(COUNTIFS(exp_year,C2520,exp_month,D2520,exp_item,E2520,exp_status,"&lt;&gt;❌ Отменено")&gt;0,1,0))</f>
        <v/>
      </c>
    </row>
    <row r="2521">
      <c r="A2521" s="52" t="n"/>
      <c r="B2521" s="53">
        <f>IF(A2521="","",CHOOSE(WEEKDAY(A2521,2),"Пн","Вт","Ср","Чт","Пт","Сб","Вс"))</f>
        <v/>
      </c>
      <c r="C2521" s="53">
        <f>IF(A2521="","",YEAR(A2521))</f>
        <v/>
      </c>
      <c r="D2521" s="54">
        <f>IF(A2521="","",INDEX(lst_months,MONTH(A2521)))</f>
        <v/>
      </c>
      <c r="E2521" s="55" t="n"/>
      <c r="F2521" s="54">
        <f>IF(E2521="","",IFERROR(IF(INDEX(lst_exp_item_cat,MATCH(E2521,lst_exp_items,0))="","❔ Без категории",INDEX(lst_exp_item_cat,MATCH(E2521,lst_exp_items,0))),"❔ Без категории"))</f>
        <v/>
      </c>
      <c r="G2521" s="43" t="n"/>
      <c r="H2521" s="56" t="n"/>
      <c r="I2521" s="43" t="n"/>
      <c r="J2521" s="57">
        <f>IF(OR(A2521="",H2521=""),"",IF(COUNTIFS(exp_year,C2521,exp_month,D2521,exp_item,E2521,exp_status,"&lt;&gt;❌ Отменено")&gt;0,1,0))</f>
        <v/>
      </c>
    </row>
    <row r="2522">
      <c r="A2522" s="52" t="n"/>
      <c r="B2522" s="53">
        <f>IF(A2522="","",CHOOSE(WEEKDAY(A2522,2),"Пн","Вт","Ср","Чт","Пт","Сб","Вс"))</f>
        <v/>
      </c>
      <c r="C2522" s="53">
        <f>IF(A2522="","",YEAR(A2522))</f>
        <v/>
      </c>
      <c r="D2522" s="54">
        <f>IF(A2522="","",INDEX(lst_months,MONTH(A2522)))</f>
        <v/>
      </c>
      <c r="E2522" s="55" t="n"/>
      <c r="F2522" s="54">
        <f>IF(E2522="","",IFERROR(IF(INDEX(lst_exp_item_cat,MATCH(E2522,lst_exp_items,0))="","❔ Без категории",INDEX(lst_exp_item_cat,MATCH(E2522,lst_exp_items,0))),"❔ Без категории"))</f>
        <v/>
      </c>
      <c r="G2522" s="43" t="n"/>
      <c r="H2522" s="56" t="n"/>
      <c r="I2522" s="43" t="n"/>
      <c r="J2522" s="57">
        <f>IF(OR(A2522="",H2522=""),"",IF(COUNTIFS(exp_year,C2522,exp_month,D2522,exp_item,E2522,exp_status,"&lt;&gt;❌ Отменено")&gt;0,1,0))</f>
        <v/>
      </c>
    </row>
    <row r="2523">
      <c r="A2523" s="52" t="n"/>
      <c r="B2523" s="53">
        <f>IF(A2523="","",CHOOSE(WEEKDAY(A2523,2),"Пн","Вт","Ср","Чт","Пт","Сб","Вс"))</f>
        <v/>
      </c>
      <c r="C2523" s="53">
        <f>IF(A2523="","",YEAR(A2523))</f>
        <v/>
      </c>
      <c r="D2523" s="54">
        <f>IF(A2523="","",INDEX(lst_months,MONTH(A2523)))</f>
        <v/>
      </c>
      <c r="E2523" s="55" t="n"/>
      <c r="F2523" s="54">
        <f>IF(E2523="","",IFERROR(IF(INDEX(lst_exp_item_cat,MATCH(E2523,lst_exp_items,0))="","❔ Без категории",INDEX(lst_exp_item_cat,MATCH(E2523,lst_exp_items,0))),"❔ Без категории"))</f>
        <v/>
      </c>
      <c r="G2523" s="43" t="n"/>
      <c r="H2523" s="56" t="n"/>
      <c r="I2523" s="43" t="n"/>
      <c r="J2523" s="57">
        <f>IF(OR(A2523="",H2523=""),"",IF(COUNTIFS(exp_year,C2523,exp_month,D2523,exp_item,E2523,exp_status,"&lt;&gt;❌ Отменено")&gt;0,1,0))</f>
        <v/>
      </c>
    </row>
    <row r="2524">
      <c r="A2524" s="52" t="n"/>
      <c r="B2524" s="53">
        <f>IF(A2524="","",CHOOSE(WEEKDAY(A2524,2),"Пн","Вт","Ср","Чт","Пт","Сб","Вс"))</f>
        <v/>
      </c>
      <c r="C2524" s="53">
        <f>IF(A2524="","",YEAR(A2524))</f>
        <v/>
      </c>
      <c r="D2524" s="54">
        <f>IF(A2524="","",INDEX(lst_months,MONTH(A2524)))</f>
        <v/>
      </c>
      <c r="E2524" s="55" t="n"/>
      <c r="F2524" s="54">
        <f>IF(E2524="","",IFERROR(IF(INDEX(lst_exp_item_cat,MATCH(E2524,lst_exp_items,0))="","❔ Без категории",INDEX(lst_exp_item_cat,MATCH(E2524,lst_exp_items,0))),"❔ Без категории"))</f>
        <v/>
      </c>
      <c r="G2524" s="43" t="n"/>
      <c r="H2524" s="56" t="n"/>
      <c r="I2524" s="43" t="n"/>
      <c r="J2524" s="57">
        <f>IF(OR(A2524="",H2524=""),"",IF(COUNTIFS(exp_year,C2524,exp_month,D2524,exp_item,E2524,exp_status,"&lt;&gt;❌ Отменено")&gt;0,1,0))</f>
        <v/>
      </c>
    </row>
    <row r="2525">
      <c r="A2525" s="52" t="n"/>
      <c r="B2525" s="53">
        <f>IF(A2525="","",CHOOSE(WEEKDAY(A2525,2),"Пн","Вт","Ср","Чт","Пт","Сб","Вс"))</f>
        <v/>
      </c>
      <c r="C2525" s="53">
        <f>IF(A2525="","",YEAR(A2525))</f>
        <v/>
      </c>
      <c r="D2525" s="54">
        <f>IF(A2525="","",INDEX(lst_months,MONTH(A2525)))</f>
        <v/>
      </c>
      <c r="E2525" s="55" t="n"/>
      <c r="F2525" s="54">
        <f>IF(E2525="","",IFERROR(IF(INDEX(lst_exp_item_cat,MATCH(E2525,lst_exp_items,0))="","❔ Без категории",INDEX(lst_exp_item_cat,MATCH(E2525,lst_exp_items,0))),"❔ Без категории"))</f>
        <v/>
      </c>
      <c r="G2525" s="43" t="n"/>
      <c r="H2525" s="56" t="n"/>
      <c r="I2525" s="43" t="n"/>
      <c r="J2525" s="57">
        <f>IF(OR(A2525="",H2525=""),"",IF(COUNTIFS(exp_year,C2525,exp_month,D2525,exp_item,E2525,exp_status,"&lt;&gt;❌ Отменено")&gt;0,1,0))</f>
        <v/>
      </c>
    </row>
    <row r="2526">
      <c r="A2526" s="52" t="n"/>
      <c r="B2526" s="53">
        <f>IF(A2526="","",CHOOSE(WEEKDAY(A2526,2),"Пн","Вт","Ср","Чт","Пт","Сб","Вс"))</f>
        <v/>
      </c>
      <c r="C2526" s="53">
        <f>IF(A2526="","",YEAR(A2526))</f>
        <v/>
      </c>
      <c r="D2526" s="54">
        <f>IF(A2526="","",INDEX(lst_months,MONTH(A2526)))</f>
        <v/>
      </c>
      <c r="E2526" s="55" t="n"/>
      <c r="F2526" s="54">
        <f>IF(E2526="","",IFERROR(IF(INDEX(lst_exp_item_cat,MATCH(E2526,lst_exp_items,0))="","❔ Без категории",INDEX(lst_exp_item_cat,MATCH(E2526,lst_exp_items,0))),"❔ Без категории"))</f>
        <v/>
      </c>
      <c r="G2526" s="43" t="n"/>
      <c r="H2526" s="56" t="n"/>
      <c r="I2526" s="43" t="n"/>
      <c r="J2526" s="57">
        <f>IF(OR(A2526="",H2526=""),"",IF(COUNTIFS(exp_year,C2526,exp_month,D2526,exp_item,E2526,exp_status,"&lt;&gt;❌ Отменено")&gt;0,1,0))</f>
        <v/>
      </c>
    </row>
    <row r="2527">
      <c r="A2527" s="52" t="n"/>
      <c r="B2527" s="53">
        <f>IF(A2527="","",CHOOSE(WEEKDAY(A2527,2),"Пн","Вт","Ср","Чт","Пт","Сб","Вс"))</f>
        <v/>
      </c>
      <c r="C2527" s="53">
        <f>IF(A2527="","",YEAR(A2527))</f>
        <v/>
      </c>
      <c r="D2527" s="54">
        <f>IF(A2527="","",INDEX(lst_months,MONTH(A2527)))</f>
        <v/>
      </c>
      <c r="E2527" s="55" t="n"/>
      <c r="F2527" s="54">
        <f>IF(E2527="","",IFERROR(IF(INDEX(lst_exp_item_cat,MATCH(E2527,lst_exp_items,0))="","❔ Без категории",INDEX(lst_exp_item_cat,MATCH(E2527,lst_exp_items,0))),"❔ Без категории"))</f>
        <v/>
      </c>
      <c r="G2527" s="43" t="n"/>
      <c r="H2527" s="56" t="n"/>
      <c r="I2527" s="43" t="n"/>
      <c r="J2527" s="57">
        <f>IF(OR(A2527="",H2527=""),"",IF(COUNTIFS(exp_year,C2527,exp_month,D2527,exp_item,E2527,exp_status,"&lt;&gt;❌ Отменено")&gt;0,1,0))</f>
        <v/>
      </c>
    </row>
    <row r="2528">
      <c r="A2528" s="52" t="n"/>
      <c r="B2528" s="53">
        <f>IF(A2528="","",CHOOSE(WEEKDAY(A2528,2),"Пн","Вт","Ср","Чт","Пт","Сб","Вс"))</f>
        <v/>
      </c>
      <c r="C2528" s="53">
        <f>IF(A2528="","",YEAR(A2528))</f>
        <v/>
      </c>
      <c r="D2528" s="54">
        <f>IF(A2528="","",INDEX(lst_months,MONTH(A2528)))</f>
        <v/>
      </c>
      <c r="E2528" s="55" t="n"/>
      <c r="F2528" s="54">
        <f>IF(E2528="","",IFERROR(IF(INDEX(lst_exp_item_cat,MATCH(E2528,lst_exp_items,0))="","❔ Без категории",INDEX(lst_exp_item_cat,MATCH(E2528,lst_exp_items,0))),"❔ Без категории"))</f>
        <v/>
      </c>
      <c r="G2528" s="43" t="n"/>
      <c r="H2528" s="56" t="n"/>
      <c r="I2528" s="43" t="n"/>
      <c r="J2528" s="57">
        <f>IF(OR(A2528="",H2528=""),"",IF(COUNTIFS(exp_year,C2528,exp_month,D2528,exp_item,E2528,exp_status,"&lt;&gt;❌ Отменено")&gt;0,1,0))</f>
        <v/>
      </c>
    </row>
    <row r="2529">
      <c r="A2529" s="52" t="n"/>
      <c r="B2529" s="53">
        <f>IF(A2529="","",CHOOSE(WEEKDAY(A2529,2),"Пн","Вт","Ср","Чт","Пт","Сб","Вс"))</f>
        <v/>
      </c>
      <c r="C2529" s="53">
        <f>IF(A2529="","",YEAR(A2529))</f>
        <v/>
      </c>
      <c r="D2529" s="54">
        <f>IF(A2529="","",INDEX(lst_months,MONTH(A2529)))</f>
        <v/>
      </c>
      <c r="E2529" s="55" t="n"/>
      <c r="F2529" s="54">
        <f>IF(E2529="","",IFERROR(IF(INDEX(lst_exp_item_cat,MATCH(E2529,lst_exp_items,0))="","❔ Без категории",INDEX(lst_exp_item_cat,MATCH(E2529,lst_exp_items,0))),"❔ Без категории"))</f>
        <v/>
      </c>
      <c r="G2529" s="43" t="n"/>
      <c r="H2529" s="56" t="n"/>
      <c r="I2529" s="43" t="n"/>
      <c r="J2529" s="57">
        <f>IF(OR(A2529="",H2529=""),"",IF(COUNTIFS(exp_year,C2529,exp_month,D2529,exp_item,E2529,exp_status,"&lt;&gt;❌ Отменено")&gt;0,1,0))</f>
        <v/>
      </c>
    </row>
    <row r="2530">
      <c r="A2530" s="52" t="n"/>
      <c r="B2530" s="53">
        <f>IF(A2530="","",CHOOSE(WEEKDAY(A2530,2),"Пн","Вт","Ср","Чт","Пт","Сб","Вс"))</f>
        <v/>
      </c>
      <c r="C2530" s="53">
        <f>IF(A2530="","",YEAR(A2530))</f>
        <v/>
      </c>
      <c r="D2530" s="54">
        <f>IF(A2530="","",INDEX(lst_months,MONTH(A2530)))</f>
        <v/>
      </c>
      <c r="E2530" s="55" t="n"/>
      <c r="F2530" s="54">
        <f>IF(E2530="","",IFERROR(IF(INDEX(lst_exp_item_cat,MATCH(E2530,lst_exp_items,0))="","❔ Без категории",INDEX(lst_exp_item_cat,MATCH(E2530,lst_exp_items,0))),"❔ Без категории"))</f>
        <v/>
      </c>
      <c r="G2530" s="43" t="n"/>
      <c r="H2530" s="56" t="n"/>
      <c r="I2530" s="43" t="n"/>
      <c r="J2530" s="57">
        <f>IF(OR(A2530="",H2530=""),"",IF(COUNTIFS(exp_year,C2530,exp_month,D2530,exp_item,E2530,exp_status,"&lt;&gt;❌ Отменено")&gt;0,1,0))</f>
        <v/>
      </c>
    </row>
    <row r="2531">
      <c r="A2531" s="52" t="n"/>
      <c r="B2531" s="53">
        <f>IF(A2531="","",CHOOSE(WEEKDAY(A2531,2),"Пн","Вт","Ср","Чт","Пт","Сб","Вс"))</f>
        <v/>
      </c>
      <c r="C2531" s="53">
        <f>IF(A2531="","",YEAR(A2531))</f>
        <v/>
      </c>
      <c r="D2531" s="54">
        <f>IF(A2531="","",INDEX(lst_months,MONTH(A2531)))</f>
        <v/>
      </c>
      <c r="E2531" s="55" t="n"/>
      <c r="F2531" s="54">
        <f>IF(E2531="","",IFERROR(IF(INDEX(lst_exp_item_cat,MATCH(E2531,lst_exp_items,0))="","❔ Без категории",INDEX(lst_exp_item_cat,MATCH(E2531,lst_exp_items,0))),"❔ Без категории"))</f>
        <v/>
      </c>
      <c r="G2531" s="43" t="n"/>
      <c r="H2531" s="56" t="n"/>
      <c r="I2531" s="43" t="n"/>
      <c r="J2531" s="57">
        <f>IF(OR(A2531="",H2531=""),"",IF(COUNTIFS(exp_year,C2531,exp_month,D2531,exp_item,E2531,exp_status,"&lt;&gt;❌ Отменено")&gt;0,1,0))</f>
        <v/>
      </c>
    </row>
    <row r="2532">
      <c r="A2532" s="52" t="n"/>
      <c r="B2532" s="53">
        <f>IF(A2532="","",CHOOSE(WEEKDAY(A2532,2),"Пн","Вт","Ср","Чт","Пт","Сб","Вс"))</f>
        <v/>
      </c>
      <c r="C2532" s="53">
        <f>IF(A2532="","",YEAR(A2532))</f>
        <v/>
      </c>
      <c r="D2532" s="54">
        <f>IF(A2532="","",INDEX(lst_months,MONTH(A2532)))</f>
        <v/>
      </c>
      <c r="E2532" s="55" t="n"/>
      <c r="F2532" s="54">
        <f>IF(E2532="","",IFERROR(IF(INDEX(lst_exp_item_cat,MATCH(E2532,lst_exp_items,0))="","❔ Без категории",INDEX(lst_exp_item_cat,MATCH(E2532,lst_exp_items,0))),"❔ Без категории"))</f>
        <v/>
      </c>
      <c r="G2532" s="43" t="n"/>
      <c r="H2532" s="56" t="n"/>
      <c r="I2532" s="43" t="n"/>
      <c r="J2532" s="57">
        <f>IF(OR(A2532="",H2532=""),"",IF(COUNTIFS(exp_year,C2532,exp_month,D2532,exp_item,E2532,exp_status,"&lt;&gt;❌ Отменено")&gt;0,1,0))</f>
        <v/>
      </c>
    </row>
    <row r="2533">
      <c r="A2533" s="52" t="n"/>
      <c r="B2533" s="53">
        <f>IF(A2533="","",CHOOSE(WEEKDAY(A2533,2),"Пн","Вт","Ср","Чт","Пт","Сб","Вс"))</f>
        <v/>
      </c>
      <c r="C2533" s="53">
        <f>IF(A2533="","",YEAR(A2533))</f>
        <v/>
      </c>
      <c r="D2533" s="54">
        <f>IF(A2533="","",INDEX(lst_months,MONTH(A2533)))</f>
        <v/>
      </c>
      <c r="E2533" s="55" t="n"/>
      <c r="F2533" s="54">
        <f>IF(E2533="","",IFERROR(IF(INDEX(lst_exp_item_cat,MATCH(E2533,lst_exp_items,0))="","❔ Без категории",INDEX(lst_exp_item_cat,MATCH(E2533,lst_exp_items,0))),"❔ Без категории"))</f>
        <v/>
      </c>
      <c r="G2533" s="43" t="n"/>
      <c r="H2533" s="56" t="n"/>
      <c r="I2533" s="43" t="n"/>
      <c r="J2533" s="57">
        <f>IF(OR(A2533="",H2533=""),"",IF(COUNTIFS(exp_year,C2533,exp_month,D2533,exp_item,E2533,exp_status,"&lt;&gt;❌ Отменено")&gt;0,1,0))</f>
        <v/>
      </c>
    </row>
    <row r="2534">
      <c r="A2534" s="52" t="n"/>
      <c r="B2534" s="53">
        <f>IF(A2534="","",CHOOSE(WEEKDAY(A2534,2),"Пн","Вт","Ср","Чт","Пт","Сб","Вс"))</f>
        <v/>
      </c>
      <c r="C2534" s="53">
        <f>IF(A2534="","",YEAR(A2534))</f>
        <v/>
      </c>
      <c r="D2534" s="54">
        <f>IF(A2534="","",INDEX(lst_months,MONTH(A2534)))</f>
        <v/>
      </c>
      <c r="E2534" s="55" t="n"/>
      <c r="F2534" s="54">
        <f>IF(E2534="","",IFERROR(IF(INDEX(lst_exp_item_cat,MATCH(E2534,lst_exp_items,0))="","❔ Без категории",INDEX(lst_exp_item_cat,MATCH(E2534,lst_exp_items,0))),"❔ Без категории"))</f>
        <v/>
      </c>
      <c r="G2534" s="43" t="n"/>
      <c r="H2534" s="56" t="n"/>
      <c r="I2534" s="43" t="n"/>
      <c r="J2534" s="57">
        <f>IF(OR(A2534="",H2534=""),"",IF(COUNTIFS(exp_year,C2534,exp_month,D2534,exp_item,E2534,exp_status,"&lt;&gt;❌ Отменено")&gt;0,1,0))</f>
        <v/>
      </c>
    </row>
    <row r="2535">
      <c r="A2535" s="52" t="n"/>
      <c r="B2535" s="53">
        <f>IF(A2535="","",CHOOSE(WEEKDAY(A2535,2),"Пн","Вт","Ср","Чт","Пт","Сб","Вс"))</f>
        <v/>
      </c>
      <c r="C2535" s="53">
        <f>IF(A2535="","",YEAR(A2535))</f>
        <v/>
      </c>
      <c r="D2535" s="54">
        <f>IF(A2535="","",INDEX(lst_months,MONTH(A2535)))</f>
        <v/>
      </c>
      <c r="E2535" s="55" t="n"/>
      <c r="F2535" s="54">
        <f>IF(E2535="","",IFERROR(IF(INDEX(lst_exp_item_cat,MATCH(E2535,lst_exp_items,0))="","❔ Без категории",INDEX(lst_exp_item_cat,MATCH(E2535,lst_exp_items,0))),"❔ Без категории"))</f>
        <v/>
      </c>
      <c r="G2535" s="43" t="n"/>
      <c r="H2535" s="56" t="n"/>
      <c r="I2535" s="43" t="n"/>
      <c r="J2535" s="57">
        <f>IF(OR(A2535="",H2535=""),"",IF(COUNTIFS(exp_year,C2535,exp_month,D2535,exp_item,E2535,exp_status,"&lt;&gt;❌ Отменено")&gt;0,1,0))</f>
        <v/>
      </c>
    </row>
    <row r="2536">
      <c r="A2536" s="52" t="n"/>
      <c r="B2536" s="53">
        <f>IF(A2536="","",CHOOSE(WEEKDAY(A2536,2),"Пн","Вт","Ср","Чт","Пт","Сб","Вс"))</f>
        <v/>
      </c>
      <c r="C2536" s="53">
        <f>IF(A2536="","",YEAR(A2536))</f>
        <v/>
      </c>
      <c r="D2536" s="54">
        <f>IF(A2536="","",INDEX(lst_months,MONTH(A2536)))</f>
        <v/>
      </c>
      <c r="E2536" s="55" t="n"/>
      <c r="F2536" s="54">
        <f>IF(E2536="","",IFERROR(IF(INDEX(lst_exp_item_cat,MATCH(E2536,lst_exp_items,0))="","❔ Без категории",INDEX(lst_exp_item_cat,MATCH(E2536,lst_exp_items,0))),"❔ Без категории"))</f>
        <v/>
      </c>
      <c r="G2536" s="43" t="n"/>
      <c r="H2536" s="56" t="n"/>
      <c r="I2536" s="43" t="n"/>
      <c r="J2536" s="57">
        <f>IF(OR(A2536="",H2536=""),"",IF(COUNTIFS(exp_year,C2536,exp_month,D2536,exp_item,E2536,exp_status,"&lt;&gt;❌ Отменено")&gt;0,1,0))</f>
        <v/>
      </c>
    </row>
    <row r="2537">
      <c r="A2537" s="52" t="n"/>
      <c r="B2537" s="53">
        <f>IF(A2537="","",CHOOSE(WEEKDAY(A2537,2),"Пн","Вт","Ср","Чт","Пт","Сб","Вс"))</f>
        <v/>
      </c>
      <c r="C2537" s="53">
        <f>IF(A2537="","",YEAR(A2537))</f>
        <v/>
      </c>
      <c r="D2537" s="54">
        <f>IF(A2537="","",INDEX(lst_months,MONTH(A2537)))</f>
        <v/>
      </c>
      <c r="E2537" s="55" t="n"/>
      <c r="F2537" s="54">
        <f>IF(E2537="","",IFERROR(IF(INDEX(lst_exp_item_cat,MATCH(E2537,lst_exp_items,0))="","❔ Без категории",INDEX(lst_exp_item_cat,MATCH(E2537,lst_exp_items,0))),"❔ Без категории"))</f>
        <v/>
      </c>
      <c r="G2537" s="43" t="n"/>
      <c r="H2537" s="56" t="n"/>
      <c r="I2537" s="43" t="n"/>
      <c r="J2537" s="57">
        <f>IF(OR(A2537="",H2537=""),"",IF(COUNTIFS(exp_year,C2537,exp_month,D2537,exp_item,E2537,exp_status,"&lt;&gt;❌ Отменено")&gt;0,1,0))</f>
        <v/>
      </c>
    </row>
    <row r="2538">
      <c r="A2538" s="52" t="n"/>
      <c r="B2538" s="53">
        <f>IF(A2538="","",CHOOSE(WEEKDAY(A2538,2),"Пн","Вт","Ср","Чт","Пт","Сб","Вс"))</f>
        <v/>
      </c>
      <c r="C2538" s="53">
        <f>IF(A2538="","",YEAR(A2538))</f>
        <v/>
      </c>
      <c r="D2538" s="54">
        <f>IF(A2538="","",INDEX(lst_months,MONTH(A2538)))</f>
        <v/>
      </c>
      <c r="E2538" s="55" t="n"/>
      <c r="F2538" s="54">
        <f>IF(E2538="","",IFERROR(IF(INDEX(lst_exp_item_cat,MATCH(E2538,lst_exp_items,0))="","❔ Без категории",INDEX(lst_exp_item_cat,MATCH(E2538,lst_exp_items,0))),"❔ Без категории"))</f>
        <v/>
      </c>
      <c r="G2538" s="43" t="n"/>
      <c r="H2538" s="56" t="n"/>
      <c r="I2538" s="43" t="n"/>
      <c r="J2538" s="57">
        <f>IF(OR(A2538="",H2538=""),"",IF(COUNTIFS(exp_year,C2538,exp_month,D2538,exp_item,E2538,exp_status,"&lt;&gt;❌ Отменено")&gt;0,1,0))</f>
        <v/>
      </c>
    </row>
    <row r="2539">
      <c r="A2539" s="52" t="n"/>
      <c r="B2539" s="53">
        <f>IF(A2539="","",CHOOSE(WEEKDAY(A2539,2),"Пн","Вт","Ср","Чт","Пт","Сб","Вс"))</f>
        <v/>
      </c>
      <c r="C2539" s="53">
        <f>IF(A2539="","",YEAR(A2539))</f>
        <v/>
      </c>
      <c r="D2539" s="54">
        <f>IF(A2539="","",INDEX(lst_months,MONTH(A2539)))</f>
        <v/>
      </c>
      <c r="E2539" s="55" t="n"/>
      <c r="F2539" s="54">
        <f>IF(E2539="","",IFERROR(IF(INDEX(lst_exp_item_cat,MATCH(E2539,lst_exp_items,0))="","❔ Без категории",INDEX(lst_exp_item_cat,MATCH(E2539,lst_exp_items,0))),"❔ Без категории"))</f>
        <v/>
      </c>
      <c r="G2539" s="43" t="n"/>
      <c r="H2539" s="56" t="n"/>
      <c r="I2539" s="43" t="n"/>
      <c r="J2539" s="57">
        <f>IF(OR(A2539="",H2539=""),"",IF(COUNTIFS(exp_year,C2539,exp_month,D2539,exp_item,E2539,exp_status,"&lt;&gt;❌ Отменено")&gt;0,1,0))</f>
        <v/>
      </c>
    </row>
    <row r="2540">
      <c r="A2540" s="52" t="n"/>
      <c r="B2540" s="53">
        <f>IF(A2540="","",CHOOSE(WEEKDAY(A2540,2),"Пн","Вт","Ср","Чт","Пт","Сб","Вс"))</f>
        <v/>
      </c>
      <c r="C2540" s="53">
        <f>IF(A2540="","",YEAR(A2540))</f>
        <v/>
      </c>
      <c r="D2540" s="54">
        <f>IF(A2540="","",INDEX(lst_months,MONTH(A2540)))</f>
        <v/>
      </c>
      <c r="E2540" s="55" t="n"/>
      <c r="F2540" s="54">
        <f>IF(E2540="","",IFERROR(IF(INDEX(lst_exp_item_cat,MATCH(E2540,lst_exp_items,0))="","❔ Без категории",INDEX(lst_exp_item_cat,MATCH(E2540,lst_exp_items,0))),"❔ Без категории"))</f>
        <v/>
      </c>
      <c r="G2540" s="43" t="n"/>
      <c r="H2540" s="56" t="n"/>
      <c r="I2540" s="43" t="n"/>
      <c r="J2540" s="57">
        <f>IF(OR(A2540="",H2540=""),"",IF(COUNTIFS(exp_year,C2540,exp_month,D2540,exp_item,E2540,exp_status,"&lt;&gt;❌ Отменено")&gt;0,1,0))</f>
        <v/>
      </c>
    </row>
    <row r="2541">
      <c r="A2541" s="52" t="n"/>
      <c r="B2541" s="53">
        <f>IF(A2541="","",CHOOSE(WEEKDAY(A2541,2),"Пн","Вт","Ср","Чт","Пт","Сб","Вс"))</f>
        <v/>
      </c>
      <c r="C2541" s="53">
        <f>IF(A2541="","",YEAR(A2541))</f>
        <v/>
      </c>
      <c r="D2541" s="54">
        <f>IF(A2541="","",INDEX(lst_months,MONTH(A2541)))</f>
        <v/>
      </c>
      <c r="E2541" s="55" t="n"/>
      <c r="F2541" s="54">
        <f>IF(E2541="","",IFERROR(IF(INDEX(lst_exp_item_cat,MATCH(E2541,lst_exp_items,0))="","❔ Без категории",INDEX(lst_exp_item_cat,MATCH(E2541,lst_exp_items,0))),"❔ Без категории"))</f>
        <v/>
      </c>
      <c r="G2541" s="43" t="n"/>
      <c r="H2541" s="56" t="n"/>
      <c r="I2541" s="43" t="n"/>
      <c r="J2541" s="57">
        <f>IF(OR(A2541="",H2541=""),"",IF(COUNTIFS(exp_year,C2541,exp_month,D2541,exp_item,E2541,exp_status,"&lt;&gt;❌ Отменено")&gt;0,1,0))</f>
        <v/>
      </c>
    </row>
    <row r="2542">
      <c r="A2542" s="52" t="n"/>
      <c r="B2542" s="53">
        <f>IF(A2542="","",CHOOSE(WEEKDAY(A2542,2),"Пн","Вт","Ср","Чт","Пт","Сб","Вс"))</f>
        <v/>
      </c>
      <c r="C2542" s="53">
        <f>IF(A2542="","",YEAR(A2542))</f>
        <v/>
      </c>
      <c r="D2542" s="54">
        <f>IF(A2542="","",INDEX(lst_months,MONTH(A2542)))</f>
        <v/>
      </c>
      <c r="E2542" s="55" t="n"/>
      <c r="F2542" s="54">
        <f>IF(E2542="","",IFERROR(IF(INDEX(lst_exp_item_cat,MATCH(E2542,lst_exp_items,0))="","❔ Без категории",INDEX(lst_exp_item_cat,MATCH(E2542,lst_exp_items,0))),"❔ Без категории"))</f>
        <v/>
      </c>
      <c r="G2542" s="43" t="n"/>
      <c r="H2542" s="56" t="n"/>
      <c r="I2542" s="43" t="n"/>
      <c r="J2542" s="57">
        <f>IF(OR(A2542="",H2542=""),"",IF(COUNTIFS(exp_year,C2542,exp_month,D2542,exp_item,E2542,exp_status,"&lt;&gt;❌ Отменено")&gt;0,1,0))</f>
        <v/>
      </c>
    </row>
    <row r="2543">
      <c r="A2543" s="52" t="n"/>
      <c r="B2543" s="53">
        <f>IF(A2543="","",CHOOSE(WEEKDAY(A2543,2),"Пн","Вт","Ср","Чт","Пт","Сб","Вс"))</f>
        <v/>
      </c>
      <c r="C2543" s="53">
        <f>IF(A2543="","",YEAR(A2543))</f>
        <v/>
      </c>
      <c r="D2543" s="54">
        <f>IF(A2543="","",INDEX(lst_months,MONTH(A2543)))</f>
        <v/>
      </c>
      <c r="E2543" s="55" t="n"/>
      <c r="F2543" s="54">
        <f>IF(E2543="","",IFERROR(IF(INDEX(lst_exp_item_cat,MATCH(E2543,lst_exp_items,0))="","❔ Без категории",INDEX(lst_exp_item_cat,MATCH(E2543,lst_exp_items,0))),"❔ Без категории"))</f>
        <v/>
      </c>
      <c r="G2543" s="43" t="n"/>
      <c r="H2543" s="56" t="n"/>
      <c r="I2543" s="43" t="n"/>
      <c r="J2543" s="57">
        <f>IF(OR(A2543="",H2543=""),"",IF(COUNTIFS(exp_year,C2543,exp_month,D2543,exp_item,E2543,exp_status,"&lt;&gt;❌ Отменено")&gt;0,1,0))</f>
        <v/>
      </c>
    </row>
    <row r="2544">
      <c r="A2544" s="52" t="n"/>
      <c r="B2544" s="53">
        <f>IF(A2544="","",CHOOSE(WEEKDAY(A2544,2),"Пн","Вт","Ср","Чт","Пт","Сб","Вс"))</f>
        <v/>
      </c>
      <c r="C2544" s="53">
        <f>IF(A2544="","",YEAR(A2544))</f>
        <v/>
      </c>
      <c r="D2544" s="54">
        <f>IF(A2544="","",INDEX(lst_months,MONTH(A2544)))</f>
        <v/>
      </c>
      <c r="E2544" s="55" t="n"/>
      <c r="F2544" s="54">
        <f>IF(E2544="","",IFERROR(IF(INDEX(lst_exp_item_cat,MATCH(E2544,lst_exp_items,0))="","❔ Без категории",INDEX(lst_exp_item_cat,MATCH(E2544,lst_exp_items,0))),"❔ Без категории"))</f>
        <v/>
      </c>
      <c r="G2544" s="43" t="n"/>
      <c r="H2544" s="56" t="n"/>
      <c r="I2544" s="43" t="n"/>
      <c r="J2544" s="57">
        <f>IF(OR(A2544="",H2544=""),"",IF(COUNTIFS(exp_year,C2544,exp_month,D2544,exp_item,E2544,exp_status,"&lt;&gt;❌ Отменено")&gt;0,1,0))</f>
        <v/>
      </c>
    </row>
    <row r="2545">
      <c r="A2545" s="52" t="n"/>
      <c r="B2545" s="53">
        <f>IF(A2545="","",CHOOSE(WEEKDAY(A2545,2),"Пн","Вт","Ср","Чт","Пт","Сб","Вс"))</f>
        <v/>
      </c>
      <c r="C2545" s="53">
        <f>IF(A2545="","",YEAR(A2545))</f>
        <v/>
      </c>
      <c r="D2545" s="54">
        <f>IF(A2545="","",INDEX(lst_months,MONTH(A2545)))</f>
        <v/>
      </c>
      <c r="E2545" s="55" t="n"/>
      <c r="F2545" s="54">
        <f>IF(E2545="","",IFERROR(IF(INDEX(lst_exp_item_cat,MATCH(E2545,lst_exp_items,0))="","❔ Без категории",INDEX(lst_exp_item_cat,MATCH(E2545,lst_exp_items,0))),"❔ Без категории"))</f>
        <v/>
      </c>
      <c r="G2545" s="43" t="n"/>
      <c r="H2545" s="56" t="n"/>
      <c r="I2545" s="43" t="n"/>
      <c r="J2545" s="57">
        <f>IF(OR(A2545="",H2545=""),"",IF(COUNTIFS(exp_year,C2545,exp_month,D2545,exp_item,E2545,exp_status,"&lt;&gt;❌ Отменено")&gt;0,1,0))</f>
        <v/>
      </c>
    </row>
    <row r="2546">
      <c r="A2546" s="52" t="n"/>
      <c r="B2546" s="53">
        <f>IF(A2546="","",CHOOSE(WEEKDAY(A2546,2),"Пн","Вт","Ср","Чт","Пт","Сб","Вс"))</f>
        <v/>
      </c>
      <c r="C2546" s="53">
        <f>IF(A2546="","",YEAR(A2546))</f>
        <v/>
      </c>
      <c r="D2546" s="54">
        <f>IF(A2546="","",INDEX(lst_months,MONTH(A2546)))</f>
        <v/>
      </c>
      <c r="E2546" s="55" t="n"/>
      <c r="F2546" s="54">
        <f>IF(E2546="","",IFERROR(IF(INDEX(lst_exp_item_cat,MATCH(E2546,lst_exp_items,0))="","❔ Без категории",INDEX(lst_exp_item_cat,MATCH(E2546,lst_exp_items,0))),"❔ Без категории"))</f>
        <v/>
      </c>
      <c r="G2546" s="43" t="n"/>
      <c r="H2546" s="56" t="n"/>
      <c r="I2546" s="43" t="n"/>
      <c r="J2546" s="57">
        <f>IF(OR(A2546="",H2546=""),"",IF(COUNTIFS(exp_year,C2546,exp_month,D2546,exp_item,E2546,exp_status,"&lt;&gt;❌ Отменено")&gt;0,1,0))</f>
        <v/>
      </c>
    </row>
    <row r="2547">
      <c r="A2547" s="52" t="n"/>
      <c r="B2547" s="53">
        <f>IF(A2547="","",CHOOSE(WEEKDAY(A2547,2),"Пн","Вт","Ср","Чт","Пт","Сб","Вс"))</f>
        <v/>
      </c>
      <c r="C2547" s="53">
        <f>IF(A2547="","",YEAR(A2547))</f>
        <v/>
      </c>
      <c r="D2547" s="54">
        <f>IF(A2547="","",INDEX(lst_months,MONTH(A2547)))</f>
        <v/>
      </c>
      <c r="E2547" s="55" t="n"/>
      <c r="F2547" s="54">
        <f>IF(E2547="","",IFERROR(IF(INDEX(lst_exp_item_cat,MATCH(E2547,lst_exp_items,0))="","❔ Без категории",INDEX(lst_exp_item_cat,MATCH(E2547,lst_exp_items,0))),"❔ Без категории"))</f>
        <v/>
      </c>
      <c r="G2547" s="43" t="n"/>
      <c r="H2547" s="56" t="n"/>
      <c r="I2547" s="43" t="n"/>
      <c r="J2547" s="57">
        <f>IF(OR(A2547="",H2547=""),"",IF(COUNTIFS(exp_year,C2547,exp_month,D2547,exp_item,E2547,exp_status,"&lt;&gt;❌ Отменено")&gt;0,1,0))</f>
        <v/>
      </c>
    </row>
    <row r="2548">
      <c r="A2548" s="52" t="n"/>
      <c r="B2548" s="53">
        <f>IF(A2548="","",CHOOSE(WEEKDAY(A2548,2),"Пн","Вт","Ср","Чт","Пт","Сб","Вс"))</f>
        <v/>
      </c>
      <c r="C2548" s="53">
        <f>IF(A2548="","",YEAR(A2548))</f>
        <v/>
      </c>
      <c r="D2548" s="54">
        <f>IF(A2548="","",INDEX(lst_months,MONTH(A2548)))</f>
        <v/>
      </c>
      <c r="E2548" s="55" t="n"/>
      <c r="F2548" s="54">
        <f>IF(E2548="","",IFERROR(IF(INDEX(lst_exp_item_cat,MATCH(E2548,lst_exp_items,0))="","❔ Без категории",INDEX(lst_exp_item_cat,MATCH(E2548,lst_exp_items,0))),"❔ Без категории"))</f>
        <v/>
      </c>
      <c r="G2548" s="43" t="n"/>
      <c r="H2548" s="56" t="n"/>
      <c r="I2548" s="43" t="n"/>
      <c r="J2548" s="57">
        <f>IF(OR(A2548="",H2548=""),"",IF(COUNTIFS(exp_year,C2548,exp_month,D2548,exp_item,E2548,exp_status,"&lt;&gt;❌ Отменено")&gt;0,1,0))</f>
        <v/>
      </c>
    </row>
    <row r="2549">
      <c r="A2549" s="52" t="n"/>
      <c r="B2549" s="53">
        <f>IF(A2549="","",CHOOSE(WEEKDAY(A2549,2),"Пн","Вт","Ср","Чт","Пт","Сб","Вс"))</f>
        <v/>
      </c>
      <c r="C2549" s="53">
        <f>IF(A2549="","",YEAR(A2549))</f>
        <v/>
      </c>
      <c r="D2549" s="54">
        <f>IF(A2549="","",INDEX(lst_months,MONTH(A2549)))</f>
        <v/>
      </c>
      <c r="E2549" s="55" t="n"/>
      <c r="F2549" s="54">
        <f>IF(E2549="","",IFERROR(IF(INDEX(lst_exp_item_cat,MATCH(E2549,lst_exp_items,0))="","❔ Без категории",INDEX(lst_exp_item_cat,MATCH(E2549,lst_exp_items,0))),"❔ Без категории"))</f>
        <v/>
      </c>
      <c r="G2549" s="43" t="n"/>
      <c r="H2549" s="56" t="n"/>
      <c r="I2549" s="43" t="n"/>
      <c r="J2549" s="57">
        <f>IF(OR(A2549="",H2549=""),"",IF(COUNTIFS(exp_year,C2549,exp_month,D2549,exp_item,E2549,exp_status,"&lt;&gt;❌ Отменено")&gt;0,1,0))</f>
        <v/>
      </c>
    </row>
    <row r="2550">
      <c r="A2550" s="52" t="n"/>
      <c r="B2550" s="53">
        <f>IF(A2550="","",CHOOSE(WEEKDAY(A2550,2),"Пн","Вт","Ср","Чт","Пт","Сб","Вс"))</f>
        <v/>
      </c>
      <c r="C2550" s="53">
        <f>IF(A2550="","",YEAR(A2550))</f>
        <v/>
      </c>
      <c r="D2550" s="54">
        <f>IF(A2550="","",INDEX(lst_months,MONTH(A2550)))</f>
        <v/>
      </c>
      <c r="E2550" s="55" t="n"/>
      <c r="F2550" s="54">
        <f>IF(E2550="","",IFERROR(IF(INDEX(lst_exp_item_cat,MATCH(E2550,lst_exp_items,0))="","❔ Без категории",INDEX(lst_exp_item_cat,MATCH(E2550,lst_exp_items,0))),"❔ Без категории"))</f>
        <v/>
      </c>
      <c r="G2550" s="43" t="n"/>
      <c r="H2550" s="56" t="n"/>
      <c r="I2550" s="43" t="n"/>
      <c r="J2550" s="57">
        <f>IF(OR(A2550="",H2550=""),"",IF(COUNTIFS(exp_year,C2550,exp_month,D2550,exp_item,E2550,exp_status,"&lt;&gt;❌ Отменено")&gt;0,1,0))</f>
        <v/>
      </c>
    </row>
    <row r="2551">
      <c r="A2551" s="52" t="n"/>
      <c r="B2551" s="53">
        <f>IF(A2551="","",CHOOSE(WEEKDAY(A2551,2),"Пн","Вт","Ср","Чт","Пт","Сб","Вс"))</f>
        <v/>
      </c>
      <c r="C2551" s="53">
        <f>IF(A2551="","",YEAR(A2551))</f>
        <v/>
      </c>
      <c r="D2551" s="54">
        <f>IF(A2551="","",INDEX(lst_months,MONTH(A2551)))</f>
        <v/>
      </c>
      <c r="E2551" s="55" t="n"/>
      <c r="F2551" s="54">
        <f>IF(E2551="","",IFERROR(IF(INDEX(lst_exp_item_cat,MATCH(E2551,lst_exp_items,0))="","❔ Без категории",INDEX(lst_exp_item_cat,MATCH(E2551,lst_exp_items,0))),"❔ Без категории"))</f>
        <v/>
      </c>
      <c r="G2551" s="43" t="n"/>
      <c r="H2551" s="56" t="n"/>
      <c r="I2551" s="43" t="n"/>
      <c r="J2551" s="57">
        <f>IF(OR(A2551="",H2551=""),"",IF(COUNTIFS(exp_year,C2551,exp_month,D2551,exp_item,E2551,exp_status,"&lt;&gt;❌ Отменено")&gt;0,1,0))</f>
        <v/>
      </c>
    </row>
    <row r="2552">
      <c r="A2552" s="52" t="n"/>
      <c r="B2552" s="53">
        <f>IF(A2552="","",CHOOSE(WEEKDAY(A2552,2),"Пн","Вт","Ср","Чт","Пт","Сб","Вс"))</f>
        <v/>
      </c>
      <c r="C2552" s="53">
        <f>IF(A2552="","",YEAR(A2552))</f>
        <v/>
      </c>
      <c r="D2552" s="54">
        <f>IF(A2552="","",INDEX(lst_months,MONTH(A2552)))</f>
        <v/>
      </c>
      <c r="E2552" s="55" t="n"/>
      <c r="F2552" s="54">
        <f>IF(E2552="","",IFERROR(IF(INDEX(lst_exp_item_cat,MATCH(E2552,lst_exp_items,0))="","❔ Без категории",INDEX(lst_exp_item_cat,MATCH(E2552,lst_exp_items,0))),"❔ Без категории"))</f>
        <v/>
      </c>
      <c r="G2552" s="43" t="n"/>
      <c r="H2552" s="56" t="n"/>
      <c r="I2552" s="43" t="n"/>
      <c r="J2552" s="57">
        <f>IF(OR(A2552="",H2552=""),"",IF(COUNTIFS(exp_year,C2552,exp_month,D2552,exp_item,E2552,exp_status,"&lt;&gt;❌ Отменено")&gt;0,1,0))</f>
        <v/>
      </c>
    </row>
    <row r="2553">
      <c r="A2553" s="52" t="n"/>
      <c r="B2553" s="53">
        <f>IF(A2553="","",CHOOSE(WEEKDAY(A2553,2),"Пн","Вт","Ср","Чт","Пт","Сб","Вс"))</f>
        <v/>
      </c>
      <c r="C2553" s="53">
        <f>IF(A2553="","",YEAR(A2553))</f>
        <v/>
      </c>
      <c r="D2553" s="54">
        <f>IF(A2553="","",INDEX(lst_months,MONTH(A2553)))</f>
        <v/>
      </c>
      <c r="E2553" s="55" t="n"/>
      <c r="F2553" s="54">
        <f>IF(E2553="","",IFERROR(IF(INDEX(lst_exp_item_cat,MATCH(E2553,lst_exp_items,0))="","❔ Без категории",INDEX(lst_exp_item_cat,MATCH(E2553,lst_exp_items,0))),"❔ Без категории"))</f>
        <v/>
      </c>
      <c r="G2553" s="43" t="n"/>
      <c r="H2553" s="56" t="n"/>
      <c r="I2553" s="43" t="n"/>
      <c r="J2553" s="57">
        <f>IF(OR(A2553="",H2553=""),"",IF(COUNTIFS(exp_year,C2553,exp_month,D2553,exp_item,E2553,exp_status,"&lt;&gt;❌ Отменено")&gt;0,1,0))</f>
        <v/>
      </c>
    </row>
    <row r="2554">
      <c r="A2554" s="52" t="n"/>
      <c r="B2554" s="53">
        <f>IF(A2554="","",CHOOSE(WEEKDAY(A2554,2),"Пн","Вт","Ср","Чт","Пт","Сб","Вс"))</f>
        <v/>
      </c>
      <c r="C2554" s="53">
        <f>IF(A2554="","",YEAR(A2554))</f>
        <v/>
      </c>
      <c r="D2554" s="54">
        <f>IF(A2554="","",INDEX(lst_months,MONTH(A2554)))</f>
        <v/>
      </c>
      <c r="E2554" s="55" t="n"/>
      <c r="F2554" s="54">
        <f>IF(E2554="","",IFERROR(IF(INDEX(lst_exp_item_cat,MATCH(E2554,lst_exp_items,0))="","❔ Без категории",INDEX(lst_exp_item_cat,MATCH(E2554,lst_exp_items,0))),"❔ Без категории"))</f>
        <v/>
      </c>
      <c r="G2554" s="43" t="n"/>
      <c r="H2554" s="56" t="n"/>
      <c r="I2554" s="43" t="n"/>
      <c r="J2554" s="57">
        <f>IF(OR(A2554="",H2554=""),"",IF(COUNTIFS(exp_year,C2554,exp_month,D2554,exp_item,E2554,exp_status,"&lt;&gt;❌ Отменено")&gt;0,1,0))</f>
        <v/>
      </c>
    </row>
    <row r="2555">
      <c r="A2555" s="52" t="n"/>
      <c r="B2555" s="53">
        <f>IF(A2555="","",CHOOSE(WEEKDAY(A2555,2),"Пн","Вт","Ср","Чт","Пт","Сб","Вс"))</f>
        <v/>
      </c>
      <c r="C2555" s="53">
        <f>IF(A2555="","",YEAR(A2555))</f>
        <v/>
      </c>
      <c r="D2555" s="54">
        <f>IF(A2555="","",INDEX(lst_months,MONTH(A2555)))</f>
        <v/>
      </c>
      <c r="E2555" s="55" t="n"/>
      <c r="F2555" s="54">
        <f>IF(E2555="","",IFERROR(IF(INDEX(lst_exp_item_cat,MATCH(E2555,lst_exp_items,0))="","❔ Без категории",INDEX(lst_exp_item_cat,MATCH(E2555,lst_exp_items,0))),"❔ Без категории"))</f>
        <v/>
      </c>
      <c r="G2555" s="43" t="n"/>
      <c r="H2555" s="56" t="n"/>
      <c r="I2555" s="43" t="n"/>
      <c r="J2555" s="57">
        <f>IF(OR(A2555="",H2555=""),"",IF(COUNTIFS(exp_year,C2555,exp_month,D2555,exp_item,E2555,exp_status,"&lt;&gt;❌ Отменено")&gt;0,1,0))</f>
        <v/>
      </c>
    </row>
    <row r="2556">
      <c r="A2556" s="52" t="n"/>
      <c r="B2556" s="53">
        <f>IF(A2556="","",CHOOSE(WEEKDAY(A2556,2),"Пн","Вт","Ср","Чт","Пт","Сб","Вс"))</f>
        <v/>
      </c>
      <c r="C2556" s="53">
        <f>IF(A2556="","",YEAR(A2556))</f>
        <v/>
      </c>
      <c r="D2556" s="54">
        <f>IF(A2556="","",INDEX(lst_months,MONTH(A2556)))</f>
        <v/>
      </c>
      <c r="E2556" s="55" t="n"/>
      <c r="F2556" s="54">
        <f>IF(E2556="","",IFERROR(IF(INDEX(lst_exp_item_cat,MATCH(E2556,lst_exp_items,0))="","❔ Без категории",INDEX(lst_exp_item_cat,MATCH(E2556,lst_exp_items,0))),"❔ Без категории"))</f>
        <v/>
      </c>
      <c r="G2556" s="43" t="n"/>
      <c r="H2556" s="56" t="n"/>
      <c r="I2556" s="43" t="n"/>
      <c r="J2556" s="57">
        <f>IF(OR(A2556="",H2556=""),"",IF(COUNTIFS(exp_year,C2556,exp_month,D2556,exp_item,E2556,exp_status,"&lt;&gt;❌ Отменено")&gt;0,1,0))</f>
        <v/>
      </c>
    </row>
    <row r="2557">
      <c r="A2557" s="52" t="n"/>
      <c r="B2557" s="53">
        <f>IF(A2557="","",CHOOSE(WEEKDAY(A2557,2),"Пн","Вт","Ср","Чт","Пт","Сб","Вс"))</f>
        <v/>
      </c>
      <c r="C2557" s="53">
        <f>IF(A2557="","",YEAR(A2557))</f>
        <v/>
      </c>
      <c r="D2557" s="54">
        <f>IF(A2557="","",INDEX(lst_months,MONTH(A2557)))</f>
        <v/>
      </c>
      <c r="E2557" s="55" t="n"/>
      <c r="F2557" s="54">
        <f>IF(E2557="","",IFERROR(IF(INDEX(lst_exp_item_cat,MATCH(E2557,lst_exp_items,0))="","❔ Без категории",INDEX(lst_exp_item_cat,MATCH(E2557,lst_exp_items,0))),"❔ Без категории"))</f>
        <v/>
      </c>
      <c r="G2557" s="43" t="n"/>
      <c r="H2557" s="56" t="n"/>
      <c r="I2557" s="43" t="n"/>
      <c r="J2557" s="57">
        <f>IF(OR(A2557="",H2557=""),"",IF(COUNTIFS(exp_year,C2557,exp_month,D2557,exp_item,E2557,exp_status,"&lt;&gt;❌ Отменено")&gt;0,1,0))</f>
        <v/>
      </c>
    </row>
    <row r="2558">
      <c r="A2558" s="52" t="n"/>
      <c r="B2558" s="53">
        <f>IF(A2558="","",CHOOSE(WEEKDAY(A2558,2),"Пн","Вт","Ср","Чт","Пт","Сб","Вс"))</f>
        <v/>
      </c>
      <c r="C2558" s="53">
        <f>IF(A2558="","",YEAR(A2558))</f>
        <v/>
      </c>
      <c r="D2558" s="54">
        <f>IF(A2558="","",INDEX(lst_months,MONTH(A2558)))</f>
        <v/>
      </c>
      <c r="E2558" s="55" t="n"/>
      <c r="F2558" s="54">
        <f>IF(E2558="","",IFERROR(IF(INDEX(lst_exp_item_cat,MATCH(E2558,lst_exp_items,0))="","❔ Без категории",INDEX(lst_exp_item_cat,MATCH(E2558,lst_exp_items,0))),"❔ Без категории"))</f>
        <v/>
      </c>
      <c r="G2558" s="43" t="n"/>
      <c r="H2558" s="56" t="n"/>
      <c r="I2558" s="43" t="n"/>
      <c r="J2558" s="57">
        <f>IF(OR(A2558="",H2558=""),"",IF(COUNTIFS(exp_year,C2558,exp_month,D2558,exp_item,E2558,exp_status,"&lt;&gt;❌ Отменено")&gt;0,1,0))</f>
        <v/>
      </c>
    </row>
    <row r="2559">
      <c r="A2559" s="52" t="n"/>
      <c r="B2559" s="53">
        <f>IF(A2559="","",CHOOSE(WEEKDAY(A2559,2),"Пн","Вт","Ср","Чт","Пт","Сб","Вс"))</f>
        <v/>
      </c>
      <c r="C2559" s="53">
        <f>IF(A2559="","",YEAR(A2559))</f>
        <v/>
      </c>
      <c r="D2559" s="54">
        <f>IF(A2559="","",INDEX(lst_months,MONTH(A2559)))</f>
        <v/>
      </c>
      <c r="E2559" s="55" t="n"/>
      <c r="F2559" s="54">
        <f>IF(E2559="","",IFERROR(IF(INDEX(lst_exp_item_cat,MATCH(E2559,lst_exp_items,0))="","❔ Без категории",INDEX(lst_exp_item_cat,MATCH(E2559,lst_exp_items,0))),"❔ Без категории"))</f>
        <v/>
      </c>
      <c r="G2559" s="43" t="n"/>
      <c r="H2559" s="56" t="n"/>
      <c r="I2559" s="43" t="n"/>
      <c r="J2559" s="57">
        <f>IF(OR(A2559="",H2559=""),"",IF(COUNTIFS(exp_year,C2559,exp_month,D2559,exp_item,E2559,exp_status,"&lt;&gt;❌ Отменено")&gt;0,1,0))</f>
        <v/>
      </c>
    </row>
    <row r="2560">
      <c r="A2560" s="52" t="n"/>
      <c r="B2560" s="53">
        <f>IF(A2560="","",CHOOSE(WEEKDAY(A2560,2),"Пн","Вт","Ср","Чт","Пт","Сб","Вс"))</f>
        <v/>
      </c>
      <c r="C2560" s="53">
        <f>IF(A2560="","",YEAR(A2560))</f>
        <v/>
      </c>
      <c r="D2560" s="54">
        <f>IF(A2560="","",INDEX(lst_months,MONTH(A2560)))</f>
        <v/>
      </c>
      <c r="E2560" s="55" t="n"/>
      <c r="F2560" s="54">
        <f>IF(E2560="","",IFERROR(IF(INDEX(lst_exp_item_cat,MATCH(E2560,lst_exp_items,0))="","❔ Без категории",INDEX(lst_exp_item_cat,MATCH(E2560,lst_exp_items,0))),"❔ Без категории"))</f>
        <v/>
      </c>
      <c r="G2560" s="43" t="n"/>
      <c r="H2560" s="56" t="n"/>
      <c r="I2560" s="43" t="n"/>
      <c r="J2560" s="57">
        <f>IF(OR(A2560="",H2560=""),"",IF(COUNTIFS(exp_year,C2560,exp_month,D2560,exp_item,E2560,exp_status,"&lt;&gt;❌ Отменено")&gt;0,1,0))</f>
        <v/>
      </c>
    </row>
    <row r="2561">
      <c r="A2561" s="52" t="n"/>
      <c r="B2561" s="53">
        <f>IF(A2561="","",CHOOSE(WEEKDAY(A2561,2),"Пн","Вт","Ср","Чт","Пт","Сб","Вс"))</f>
        <v/>
      </c>
      <c r="C2561" s="53">
        <f>IF(A2561="","",YEAR(A2561))</f>
        <v/>
      </c>
      <c r="D2561" s="54">
        <f>IF(A2561="","",INDEX(lst_months,MONTH(A2561)))</f>
        <v/>
      </c>
      <c r="E2561" s="55" t="n"/>
      <c r="F2561" s="54">
        <f>IF(E2561="","",IFERROR(IF(INDEX(lst_exp_item_cat,MATCH(E2561,lst_exp_items,0))="","❔ Без категории",INDEX(lst_exp_item_cat,MATCH(E2561,lst_exp_items,0))),"❔ Без категории"))</f>
        <v/>
      </c>
      <c r="G2561" s="43" t="n"/>
      <c r="H2561" s="56" t="n"/>
      <c r="I2561" s="43" t="n"/>
      <c r="J2561" s="57">
        <f>IF(OR(A2561="",H2561=""),"",IF(COUNTIFS(exp_year,C2561,exp_month,D2561,exp_item,E2561,exp_status,"&lt;&gt;❌ Отменено")&gt;0,1,0))</f>
        <v/>
      </c>
    </row>
    <row r="2562">
      <c r="A2562" s="52" t="n"/>
      <c r="B2562" s="53">
        <f>IF(A2562="","",CHOOSE(WEEKDAY(A2562,2),"Пн","Вт","Ср","Чт","Пт","Сб","Вс"))</f>
        <v/>
      </c>
      <c r="C2562" s="53">
        <f>IF(A2562="","",YEAR(A2562))</f>
        <v/>
      </c>
      <c r="D2562" s="54">
        <f>IF(A2562="","",INDEX(lst_months,MONTH(A2562)))</f>
        <v/>
      </c>
      <c r="E2562" s="55" t="n"/>
      <c r="F2562" s="54">
        <f>IF(E2562="","",IFERROR(IF(INDEX(lst_exp_item_cat,MATCH(E2562,lst_exp_items,0))="","❔ Без категории",INDEX(lst_exp_item_cat,MATCH(E2562,lst_exp_items,0))),"❔ Без категории"))</f>
        <v/>
      </c>
      <c r="G2562" s="43" t="n"/>
      <c r="H2562" s="56" t="n"/>
      <c r="I2562" s="43" t="n"/>
      <c r="J2562" s="57">
        <f>IF(OR(A2562="",H2562=""),"",IF(COUNTIFS(exp_year,C2562,exp_month,D2562,exp_item,E2562,exp_status,"&lt;&gt;❌ Отменено")&gt;0,1,0))</f>
        <v/>
      </c>
    </row>
    <row r="2563">
      <c r="A2563" s="52" t="n"/>
      <c r="B2563" s="53">
        <f>IF(A2563="","",CHOOSE(WEEKDAY(A2563,2),"Пн","Вт","Ср","Чт","Пт","Сб","Вс"))</f>
        <v/>
      </c>
      <c r="C2563" s="53">
        <f>IF(A2563="","",YEAR(A2563))</f>
        <v/>
      </c>
      <c r="D2563" s="54">
        <f>IF(A2563="","",INDEX(lst_months,MONTH(A2563)))</f>
        <v/>
      </c>
      <c r="E2563" s="55" t="n"/>
      <c r="F2563" s="54">
        <f>IF(E2563="","",IFERROR(IF(INDEX(lst_exp_item_cat,MATCH(E2563,lst_exp_items,0))="","❔ Без категории",INDEX(lst_exp_item_cat,MATCH(E2563,lst_exp_items,0))),"❔ Без категории"))</f>
        <v/>
      </c>
      <c r="G2563" s="43" t="n"/>
      <c r="H2563" s="56" t="n"/>
      <c r="I2563" s="43" t="n"/>
      <c r="J2563" s="57">
        <f>IF(OR(A2563="",H2563=""),"",IF(COUNTIFS(exp_year,C2563,exp_month,D2563,exp_item,E2563,exp_status,"&lt;&gt;❌ Отменено")&gt;0,1,0))</f>
        <v/>
      </c>
    </row>
    <row r="2564">
      <c r="A2564" s="52" t="n"/>
      <c r="B2564" s="53">
        <f>IF(A2564="","",CHOOSE(WEEKDAY(A2564,2),"Пн","Вт","Ср","Чт","Пт","Сб","Вс"))</f>
        <v/>
      </c>
      <c r="C2564" s="53">
        <f>IF(A2564="","",YEAR(A2564))</f>
        <v/>
      </c>
      <c r="D2564" s="54">
        <f>IF(A2564="","",INDEX(lst_months,MONTH(A2564)))</f>
        <v/>
      </c>
      <c r="E2564" s="55" t="n"/>
      <c r="F2564" s="54">
        <f>IF(E2564="","",IFERROR(IF(INDEX(lst_exp_item_cat,MATCH(E2564,lst_exp_items,0))="","❔ Без категории",INDEX(lst_exp_item_cat,MATCH(E2564,lst_exp_items,0))),"❔ Без категории"))</f>
        <v/>
      </c>
      <c r="G2564" s="43" t="n"/>
      <c r="H2564" s="56" t="n"/>
      <c r="I2564" s="43" t="n"/>
      <c r="J2564" s="57">
        <f>IF(OR(A2564="",H2564=""),"",IF(COUNTIFS(exp_year,C2564,exp_month,D2564,exp_item,E2564,exp_status,"&lt;&gt;❌ Отменено")&gt;0,1,0))</f>
        <v/>
      </c>
    </row>
    <row r="2565">
      <c r="A2565" s="52" t="n"/>
      <c r="B2565" s="53">
        <f>IF(A2565="","",CHOOSE(WEEKDAY(A2565,2),"Пн","Вт","Ср","Чт","Пт","Сб","Вс"))</f>
        <v/>
      </c>
      <c r="C2565" s="53">
        <f>IF(A2565="","",YEAR(A2565))</f>
        <v/>
      </c>
      <c r="D2565" s="54">
        <f>IF(A2565="","",INDEX(lst_months,MONTH(A2565)))</f>
        <v/>
      </c>
      <c r="E2565" s="55" t="n"/>
      <c r="F2565" s="54">
        <f>IF(E2565="","",IFERROR(IF(INDEX(lst_exp_item_cat,MATCH(E2565,lst_exp_items,0))="","❔ Без категории",INDEX(lst_exp_item_cat,MATCH(E2565,lst_exp_items,0))),"❔ Без категории"))</f>
        <v/>
      </c>
      <c r="G2565" s="43" t="n"/>
      <c r="H2565" s="56" t="n"/>
      <c r="I2565" s="43" t="n"/>
      <c r="J2565" s="57">
        <f>IF(OR(A2565="",H2565=""),"",IF(COUNTIFS(exp_year,C2565,exp_month,D2565,exp_item,E2565,exp_status,"&lt;&gt;❌ Отменено")&gt;0,1,0))</f>
        <v/>
      </c>
    </row>
    <row r="2566">
      <c r="A2566" s="52" t="n"/>
      <c r="B2566" s="53">
        <f>IF(A2566="","",CHOOSE(WEEKDAY(A2566,2),"Пн","Вт","Ср","Чт","Пт","Сб","Вс"))</f>
        <v/>
      </c>
      <c r="C2566" s="53">
        <f>IF(A2566="","",YEAR(A2566))</f>
        <v/>
      </c>
      <c r="D2566" s="54">
        <f>IF(A2566="","",INDEX(lst_months,MONTH(A2566)))</f>
        <v/>
      </c>
      <c r="E2566" s="55" t="n"/>
      <c r="F2566" s="54">
        <f>IF(E2566="","",IFERROR(IF(INDEX(lst_exp_item_cat,MATCH(E2566,lst_exp_items,0))="","❔ Без категории",INDEX(lst_exp_item_cat,MATCH(E2566,lst_exp_items,0))),"❔ Без категории"))</f>
        <v/>
      </c>
      <c r="G2566" s="43" t="n"/>
      <c r="H2566" s="56" t="n"/>
      <c r="I2566" s="43" t="n"/>
      <c r="J2566" s="57">
        <f>IF(OR(A2566="",H2566=""),"",IF(COUNTIFS(exp_year,C2566,exp_month,D2566,exp_item,E2566,exp_status,"&lt;&gt;❌ Отменено")&gt;0,1,0))</f>
        <v/>
      </c>
    </row>
    <row r="2567">
      <c r="A2567" s="52" t="n"/>
      <c r="B2567" s="53">
        <f>IF(A2567="","",CHOOSE(WEEKDAY(A2567,2),"Пн","Вт","Ср","Чт","Пт","Сб","Вс"))</f>
        <v/>
      </c>
      <c r="C2567" s="53">
        <f>IF(A2567="","",YEAR(A2567))</f>
        <v/>
      </c>
      <c r="D2567" s="54">
        <f>IF(A2567="","",INDEX(lst_months,MONTH(A2567)))</f>
        <v/>
      </c>
      <c r="E2567" s="55" t="n"/>
      <c r="F2567" s="54">
        <f>IF(E2567="","",IFERROR(IF(INDEX(lst_exp_item_cat,MATCH(E2567,lst_exp_items,0))="","❔ Без категории",INDEX(lst_exp_item_cat,MATCH(E2567,lst_exp_items,0))),"❔ Без категории"))</f>
        <v/>
      </c>
      <c r="G2567" s="43" t="n"/>
      <c r="H2567" s="56" t="n"/>
      <c r="I2567" s="43" t="n"/>
      <c r="J2567" s="57">
        <f>IF(OR(A2567="",H2567=""),"",IF(COUNTIFS(exp_year,C2567,exp_month,D2567,exp_item,E2567,exp_status,"&lt;&gt;❌ Отменено")&gt;0,1,0))</f>
        <v/>
      </c>
    </row>
    <row r="2568">
      <c r="A2568" s="52" t="n"/>
      <c r="B2568" s="53">
        <f>IF(A2568="","",CHOOSE(WEEKDAY(A2568,2),"Пн","Вт","Ср","Чт","Пт","Сб","Вс"))</f>
        <v/>
      </c>
      <c r="C2568" s="53">
        <f>IF(A2568="","",YEAR(A2568))</f>
        <v/>
      </c>
      <c r="D2568" s="54">
        <f>IF(A2568="","",INDEX(lst_months,MONTH(A2568)))</f>
        <v/>
      </c>
      <c r="E2568" s="55" t="n"/>
      <c r="F2568" s="54">
        <f>IF(E2568="","",IFERROR(IF(INDEX(lst_exp_item_cat,MATCH(E2568,lst_exp_items,0))="","❔ Без категории",INDEX(lst_exp_item_cat,MATCH(E2568,lst_exp_items,0))),"❔ Без категории"))</f>
        <v/>
      </c>
      <c r="G2568" s="43" t="n"/>
      <c r="H2568" s="56" t="n"/>
      <c r="I2568" s="43" t="n"/>
      <c r="J2568" s="57">
        <f>IF(OR(A2568="",H2568=""),"",IF(COUNTIFS(exp_year,C2568,exp_month,D2568,exp_item,E2568,exp_status,"&lt;&gt;❌ Отменено")&gt;0,1,0))</f>
        <v/>
      </c>
    </row>
    <row r="2569">
      <c r="A2569" s="52" t="n"/>
      <c r="B2569" s="53">
        <f>IF(A2569="","",CHOOSE(WEEKDAY(A2569,2),"Пн","Вт","Ср","Чт","Пт","Сб","Вс"))</f>
        <v/>
      </c>
      <c r="C2569" s="53">
        <f>IF(A2569="","",YEAR(A2569))</f>
        <v/>
      </c>
      <c r="D2569" s="54">
        <f>IF(A2569="","",INDEX(lst_months,MONTH(A2569)))</f>
        <v/>
      </c>
      <c r="E2569" s="55" t="n"/>
      <c r="F2569" s="54">
        <f>IF(E2569="","",IFERROR(IF(INDEX(lst_exp_item_cat,MATCH(E2569,lst_exp_items,0))="","❔ Без категории",INDEX(lst_exp_item_cat,MATCH(E2569,lst_exp_items,0))),"❔ Без категории"))</f>
        <v/>
      </c>
      <c r="G2569" s="43" t="n"/>
      <c r="H2569" s="56" t="n"/>
      <c r="I2569" s="43" t="n"/>
      <c r="J2569" s="57">
        <f>IF(OR(A2569="",H2569=""),"",IF(COUNTIFS(exp_year,C2569,exp_month,D2569,exp_item,E2569,exp_status,"&lt;&gt;❌ Отменено")&gt;0,1,0))</f>
        <v/>
      </c>
    </row>
    <row r="2570">
      <c r="A2570" s="52" t="n"/>
      <c r="B2570" s="53">
        <f>IF(A2570="","",CHOOSE(WEEKDAY(A2570,2),"Пн","Вт","Ср","Чт","Пт","Сб","Вс"))</f>
        <v/>
      </c>
      <c r="C2570" s="53">
        <f>IF(A2570="","",YEAR(A2570))</f>
        <v/>
      </c>
      <c r="D2570" s="54">
        <f>IF(A2570="","",INDEX(lst_months,MONTH(A2570)))</f>
        <v/>
      </c>
      <c r="E2570" s="55" t="n"/>
      <c r="F2570" s="54">
        <f>IF(E2570="","",IFERROR(IF(INDEX(lst_exp_item_cat,MATCH(E2570,lst_exp_items,0))="","❔ Без категории",INDEX(lst_exp_item_cat,MATCH(E2570,lst_exp_items,0))),"❔ Без категории"))</f>
        <v/>
      </c>
      <c r="G2570" s="43" t="n"/>
      <c r="H2570" s="56" t="n"/>
      <c r="I2570" s="43" t="n"/>
      <c r="J2570" s="57">
        <f>IF(OR(A2570="",H2570=""),"",IF(COUNTIFS(exp_year,C2570,exp_month,D2570,exp_item,E2570,exp_status,"&lt;&gt;❌ Отменено")&gt;0,1,0))</f>
        <v/>
      </c>
    </row>
    <row r="2571">
      <c r="A2571" s="52" t="n"/>
      <c r="B2571" s="53">
        <f>IF(A2571="","",CHOOSE(WEEKDAY(A2571,2),"Пн","Вт","Ср","Чт","Пт","Сб","Вс"))</f>
        <v/>
      </c>
      <c r="C2571" s="53">
        <f>IF(A2571="","",YEAR(A2571))</f>
        <v/>
      </c>
      <c r="D2571" s="54">
        <f>IF(A2571="","",INDEX(lst_months,MONTH(A2571)))</f>
        <v/>
      </c>
      <c r="E2571" s="55" t="n"/>
      <c r="F2571" s="54">
        <f>IF(E2571="","",IFERROR(IF(INDEX(lst_exp_item_cat,MATCH(E2571,lst_exp_items,0))="","❔ Без категории",INDEX(lst_exp_item_cat,MATCH(E2571,lst_exp_items,0))),"❔ Без категории"))</f>
        <v/>
      </c>
      <c r="G2571" s="43" t="n"/>
      <c r="H2571" s="56" t="n"/>
      <c r="I2571" s="43" t="n"/>
      <c r="J2571" s="57">
        <f>IF(OR(A2571="",H2571=""),"",IF(COUNTIFS(exp_year,C2571,exp_month,D2571,exp_item,E2571,exp_status,"&lt;&gt;❌ Отменено")&gt;0,1,0))</f>
        <v/>
      </c>
    </row>
    <row r="2572">
      <c r="A2572" s="52" t="n"/>
      <c r="B2572" s="53">
        <f>IF(A2572="","",CHOOSE(WEEKDAY(A2572,2),"Пн","Вт","Ср","Чт","Пт","Сб","Вс"))</f>
        <v/>
      </c>
      <c r="C2572" s="53">
        <f>IF(A2572="","",YEAR(A2572))</f>
        <v/>
      </c>
      <c r="D2572" s="54">
        <f>IF(A2572="","",INDEX(lst_months,MONTH(A2572)))</f>
        <v/>
      </c>
      <c r="E2572" s="55" t="n"/>
      <c r="F2572" s="54">
        <f>IF(E2572="","",IFERROR(IF(INDEX(lst_exp_item_cat,MATCH(E2572,lst_exp_items,0))="","❔ Без категории",INDEX(lst_exp_item_cat,MATCH(E2572,lst_exp_items,0))),"❔ Без категории"))</f>
        <v/>
      </c>
      <c r="G2572" s="43" t="n"/>
      <c r="H2572" s="56" t="n"/>
      <c r="I2572" s="43" t="n"/>
      <c r="J2572" s="57">
        <f>IF(OR(A2572="",H2572=""),"",IF(COUNTIFS(exp_year,C2572,exp_month,D2572,exp_item,E2572,exp_status,"&lt;&gt;❌ Отменено")&gt;0,1,0))</f>
        <v/>
      </c>
    </row>
    <row r="2573">
      <c r="A2573" s="52" t="n"/>
      <c r="B2573" s="53">
        <f>IF(A2573="","",CHOOSE(WEEKDAY(A2573,2),"Пн","Вт","Ср","Чт","Пт","Сб","Вс"))</f>
        <v/>
      </c>
      <c r="C2573" s="53">
        <f>IF(A2573="","",YEAR(A2573))</f>
        <v/>
      </c>
      <c r="D2573" s="54">
        <f>IF(A2573="","",INDEX(lst_months,MONTH(A2573)))</f>
        <v/>
      </c>
      <c r="E2573" s="55" t="n"/>
      <c r="F2573" s="54">
        <f>IF(E2573="","",IFERROR(IF(INDEX(lst_exp_item_cat,MATCH(E2573,lst_exp_items,0))="","❔ Без категории",INDEX(lst_exp_item_cat,MATCH(E2573,lst_exp_items,0))),"❔ Без категории"))</f>
        <v/>
      </c>
      <c r="G2573" s="43" t="n"/>
      <c r="H2573" s="56" t="n"/>
      <c r="I2573" s="43" t="n"/>
      <c r="J2573" s="57">
        <f>IF(OR(A2573="",H2573=""),"",IF(COUNTIFS(exp_year,C2573,exp_month,D2573,exp_item,E2573,exp_status,"&lt;&gt;❌ Отменено")&gt;0,1,0))</f>
        <v/>
      </c>
    </row>
    <row r="2574">
      <c r="A2574" s="52" t="n"/>
      <c r="B2574" s="53">
        <f>IF(A2574="","",CHOOSE(WEEKDAY(A2574,2),"Пн","Вт","Ср","Чт","Пт","Сб","Вс"))</f>
        <v/>
      </c>
      <c r="C2574" s="53">
        <f>IF(A2574="","",YEAR(A2574))</f>
        <v/>
      </c>
      <c r="D2574" s="54">
        <f>IF(A2574="","",INDEX(lst_months,MONTH(A2574)))</f>
        <v/>
      </c>
      <c r="E2574" s="55" t="n"/>
      <c r="F2574" s="54">
        <f>IF(E2574="","",IFERROR(IF(INDEX(lst_exp_item_cat,MATCH(E2574,lst_exp_items,0))="","❔ Без категории",INDEX(lst_exp_item_cat,MATCH(E2574,lst_exp_items,0))),"❔ Без категории"))</f>
        <v/>
      </c>
      <c r="G2574" s="43" t="n"/>
      <c r="H2574" s="56" t="n"/>
      <c r="I2574" s="43" t="n"/>
      <c r="J2574" s="57">
        <f>IF(OR(A2574="",H2574=""),"",IF(COUNTIFS(exp_year,C2574,exp_month,D2574,exp_item,E2574,exp_status,"&lt;&gt;❌ Отменено")&gt;0,1,0))</f>
        <v/>
      </c>
    </row>
    <row r="2575">
      <c r="A2575" s="52" t="n"/>
      <c r="B2575" s="53">
        <f>IF(A2575="","",CHOOSE(WEEKDAY(A2575,2),"Пн","Вт","Ср","Чт","Пт","Сб","Вс"))</f>
        <v/>
      </c>
      <c r="C2575" s="53">
        <f>IF(A2575="","",YEAR(A2575))</f>
        <v/>
      </c>
      <c r="D2575" s="54">
        <f>IF(A2575="","",INDEX(lst_months,MONTH(A2575)))</f>
        <v/>
      </c>
      <c r="E2575" s="55" t="n"/>
      <c r="F2575" s="54">
        <f>IF(E2575="","",IFERROR(IF(INDEX(lst_exp_item_cat,MATCH(E2575,lst_exp_items,0))="","❔ Без категории",INDEX(lst_exp_item_cat,MATCH(E2575,lst_exp_items,0))),"❔ Без категории"))</f>
        <v/>
      </c>
      <c r="G2575" s="43" t="n"/>
      <c r="H2575" s="56" t="n"/>
      <c r="I2575" s="43" t="n"/>
      <c r="J2575" s="57">
        <f>IF(OR(A2575="",H2575=""),"",IF(COUNTIFS(exp_year,C2575,exp_month,D2575,exp_item,E2575,exp_status,"&lt;&gt;❌ Отменено")&gt;0,1,0))</f>
        <v/>
      </c>
    </row>
    <row r="2576">
      <c r="A2576" s="52" t="n"/>
      <c r="B2576" s="53">
        <f>IF(A2576="","",CHOOSE(WEEKDAY(A2576,2),"Пн","Вт","Ср","Чт","Пт","Сб","Вс"))</f>
        <v/>
      </c>
      <c r="C2576" s="53">
        <f>IF(A2576="","",YEAR(A2576))</f>
        <v/>
      </c>
      <c r="D2576" s="54">
        <f>IF(A2576="","",INDEX(lst_months,MONTH(A2576)))</f>
        <v/>
      </c>
      <c r="E2576" s="55" t="n"/>
      <c r="F2576" s="54">
        <f>IF(E2576="","",IFERROR(IF(INDEX(lst_exp_item_cat,MATCH(E2576,lst_exp_items,0))="","❔ Без категории",INDEX(lst_exp_item_cat,MATCH(E2576,lst_exp_items,0))),"❔ Без категории"))</f>
        <v/>
      </c>
      <c r="G2576" s="43" t="n"/>
      <c r="H2576" s="56" t="n"/>
      <c r="I2576" s="43" t="n"/>
      <c r="J2576" s="57">
        <f>IF(OR(A2576="",H2576=""),"",IF(COUNTIFS(exp_year,C2576,exp_month,D2576,exp_item,E2576,exp_status,"&lt;&gt;❌ Отменено")&gt;0,1,0))</f>
        <v/>
      </c>
    </row>
    <row r="2577">
      <c r="A2577" s="52" t="n"/>
      <c r="B2577" s="53">
        <f>IF(A2577="","",CHOOSE(WEEKDAY(A2577,2),"Пн","Вт","Ср","Чт","Пт","Сб","Вс"))</f>
        <v/>
      </c>
      <c r="C2577" s="53">
        <f>IF(A2577="","",YEAR(A2577))</f>
        <v/>
      </c>
      <c r="D2577" s="54">
        <f>IF(A2577="","",INDEX(lst_months,MONTH(A2577)))</f>
        <v/>
      </c>
      <c r="E2577" s="55" t="n"/>
      <c r="F2577" s="54">
        <f>IF(E2577="","",IFERROR(IF(INDEX(lst_exp_item_cat,MATCH(E2577,lst_exp_items,0))="","❔ Без категории",INDEX(lst_exp_item_cat,MATCH(E2577,lst_exp_items,0))),"❔ Без категории"))</f>
        <v/>
      </c>
      <c r="G2577" s="43" t="n"/>
      <c r="H2577" s="56" t="n"/>
      <c r="I2577" s="43" t="n"/>
      <c r="J2577" s="57">
        <f>IF(OR(A2577="",H2577=""),"",IF(COUNTIFS(exp_year,C2577,exp_month,D2577,exp_item,E2577,exp_status,"&lt;&gt;❌ Отменено")&gt;0,1,0))</f>
        <v/>
      </c>
    </row>
    <row r="2578">
      <c r="A2578" s="52" t="n"/>
      <c r="B2578" s="53">
        <f>IF(A2578="","",CHOOSE(WEEKDAY(A2578,2),"Пн","Вт","Ср","Чт","Пт","Сб","Вс"))</f>
        <v/>
      </c>
      <c r="C2578" s="53">
        <f>IF(A2578="","",YEAR(A2578))</f>
        <v/>
      </c>
      <c r="D2578" s="54">
        <f>IF(A2578="","",INDEX(lst_months,MONTH(A2578)))</f>
        <v/>
      </c>
      <c r="E2578" s="55" t="n"/>
      <c r="F2578" s="54">
        <f>IF(E2578="","",IFERROR(IF(INDEX(lst_exp_item_cat,MATCH(E2578,lst_exp_items,0))="","❔ Без категории",INDEX(lst_exp_item_cat,MATCH(E2578,lst_exp_items,0))),"❔ Без категории"))</f>
        <v/>
      </c>
      <c r="G2578" s="43" t="n"/>
      <c r="H2578" s="56" t="n"/>
      <c r="I2578" s="43" t="n"/>
      <c r="J2578" s="57">
        <f>IF(OR(A2578="",H2578=""),"",IF(COUNTIFS(exp_year,C2578,exp_month,D2578,exp_item,E2578,exp_status,"&lt;&gt;❌ Отменено")&gt;0,1,0))</f>
        <v/>
      </c>
    </row>
    <row r="2579">
      <c r="A2579" s="52" t="n"/>
      <c r="B2579" s="53">
        <f>IF(A2579="","",CHOOSE(WEEKDAY(A2579,2),"Пн","Вт","Ср","Чт","Пт","Сб","Вс"))</f>
        <v/>
      </c>
      <c r="C2579" s="53">
        <f>IF(A2579="","",YEAR(A2579))</f>
        <v/>
      </c>
      <c r="D2579" s="54">
        <f>IF(A2579="","",INDEX(lst_months,MONTH(A2579)))</f>
        <v/>
      </c>
      <c r="E2579" s="55" t="n"/>
      <c r="F2579" s="54">
        <f>IF(E2579="","",IFERROR(IF(INDEX(lst_exp_item_cat,MATCH(E2579,lst_exp_items,0))="","❔ Без категории",INDEX(lst_exp_item_cat,MATCH(E2579,lst_exp_items,0))),"❔ Без категории"))</f>
        <v/>
      </c>
      <c r="G2579" s="43" t="n"/>
      <c r="H2579" s="56" t="n"/>
      <c r="I2579" s="43" t="n"/>
      <c r="J2579" s="57">
        <f>IF(OR(A2579="",H2579=""),"",IF(COUNTIFS(exp_year,C2579,exp_month,D2579,exp_item,E2579,exp_status,"&lt;&gt;❌ Отменено")&gt;0,1,0))</f>
        <v/>
      </c>
    </row>
    <row r="2580">
      <c r="A2580" s="52" t="n"/>
      <c r="B2580" s="53">
        <f>IF(A2580="","",CHOOSE(WEEKDAY(A2580,2),"Пн","Вт","Ср","Чт","Пт","Сб","Вс"))</f>
        <v/>
      </c>
      <c r="C2580" s="53">
        <f>IF(A2580="","",YEAR(A2580))</f>
        <v/>
      </c>
      <c r="D2580" s="54">
        <f>IF(A2580="","",INDEX(lst_months,MONTH(A2580)))</f>
        <v/>
      </c>
      <c r="E2580" s="55" t="n"/>
      <c r="F2580" s="54">
        <f>IF(E2580="","",IFERROR(IF(INDEX(lst_exp_item_cat,MATCH(E2580,lst_exp_items,0))="","❔ Без категории",INDEX(lst_exp_item_cat,MATCH(E2580,lst_exp_items,0))),"❔ Без категории"))</f>
        <v/>
      </c>
      <c r="G2580" s="43" t="n"/>
      <c r="H2580" s="56" t="n"/>
      <c r="I2580" s="43" t="n"/>
      <c r="J2580" s="57">
        <f>IF(OR(A2580="",H2580=""),"",IF(COUNTIFS(exp_year,C2580,exp_month,D2580,exp_item,E2580,exp_status,"&lt;&gt;❌ Отменено")&gt;0,1,0))</f>
        <v/>
      </c>
    </row>
    <row r="2581">
      <c r="A2581" s="52" t="n"/>
      <c r="B2581" s="53">
        <f>IF(A2581="","",CHOOSE(WEEKDAY(A2581,2),"Пн","Вт","Ср","Чт","Пт","Сб","Вс"))</f>
        <v/>
      </c>
      <c r="C2581" s="53">
        <f>IF(A2581="","",YEAR(A2581))</f>
        <v/>
      </c>
      <c r="D2581" s="54">
        <f>IF(A2581="","",INDEX(lst_months,MONTH(A2581)))</f>
        <v/>
      </c>
      <c r="E2581" s="55" t="n"/>
      <c r="F2581" s="54">
        <f>IF(E2581="","",IFERROR(IF(INDEX(lst_exp_item_cat,MATCH(E2581,lst_exp_items,0))="","❔ Без категории",INDEX(lst_exp_item_cat,MATCH(E2581,lst_exp_items,0))),"❔ Без категории"))</f>
        <v/>
      </c>
      <c r="G2581" s="43" t="n"/>
      <c r="H2581" s="56" t="n"/>
      <c r="I2581" s="43" t="n"/>
      <c r="J2581" s="57">
        <f>IF(OR(A2581="",H2581=""),"",IF(COUNTIFS(exp_year,C2581,exp_month,D2581,exp_item,E2581,exp_status,"&lt;&gt;❌ Отменено")&gt;0,1,0))</f>
        <v/>
      </c>
    </row>
    <row r="2582">
      <c r="A2582" s="52" t="n"/>
      <c r="B2582" s="53">
        <f>IF(A2582="","",CHOOSE(WEEKDAY(A2582,2),"Пн","Вт","Ср","Чт","Пт","Сб","Вс"))</f>
        <v/>
      </c>
      <c r="C2582" s="53">
        <f>IF(A2582="","",YEAR(A2582))</f>
        <v/>
      </c>
      <c r="D2582" s="54">
        <f>IF(A2582="","",INDEX(lst_months,MONTH(A2582)))</f>
        <v/>
      </c>
      <c r="E2582" s="55" t="n"/>
      <c r="F2582" s="54">
        <f>IF(E2582="","",IFERROR(IF(INDEX(lst_exp_item_cat,MATCH(E2582,lst_exp_items,0))="","❔ Без категории",INDEX(lst_exp_item_cat,MATCH(E2582,lst_exp_items,0))),"❔ Без категории"))</f>
        <v/>
      </c>
      <c r="G2582" s="43" t="n"/>
      <c r="H2582" s="56" t="n"/>
      <c r="I2582" s="43" t="n"/>
      <c r="J2582" s="57">
        <f>IF(OR(A2582="",H2582=""),"",IF(COUNTIFS(exp_year,C2582,exp_month,D2582,exp_item,E2582,exp_status,"&lt;&gt;❌ Отменено")&gt;0,1,0))</f>
        <v/>
      </c>
    </row>
    <row r="2583">
      <c r="A2583" s="52" t="n"/>
      <c r="B2583" s="53">
        <f>IF(A2583="","",CHOOSE(WEEKDAY(A2583,2),"Пн","Вт","Ср","Чт","Пт","Сб","Вс"))</f>
        <v/>
      </c>
      <c r="C2583" s="53">
        <f>IF(A2583="","",YEAR(A2583))</f>
        <v/>
      </c>
      <c r="D2583" s="54">
        <f>IF(A2583="","",INDEX(lst_months,MONTH(A2583)))</f>
        <v/>
      </c>
      <c r="E2583" s="55" t="n"/>
      <c r="F2583" s="54">
        <f>IF(E2583="","",IFERROR(IF(INDEX(lst_exp_item_cat,MATCH(E2583,lst_exp_items,0))="","❔ Без категории",INDEX(lst_exp_item_cat,MATCH(E2583,lst_exp_items,0))),"❔ Без категории"))</f>
        <v/>
      </c>
      <c r="G2583" s="43" t="n"/>
      <c r="H2583" s="56" t="n"/>
      <c r="I2583" s="43" t="n"/>
      <c r="J2583" s="57">
        <f>IF(OR(A2583="",H2583=""),"",IF(COUNTIFS(exp_year,C2583,exp_month,D2583,exp_item,E2583,exp_status,"&lt;&gt;❌ Отменено")&gt;0,1,0))</f>
        <v/>
      </c>
    </row>
    <row r="2584">
      <c r="A2584" s="52" t="n"/>
      <c r="B2584" s="53">
        <f>IF(A2584="","",CHOOSE(WEEKDAY(A2584,2),"Пн","Вт","Ср","Чт","Пт","Сб","Вс"))</f>
        <v/>
      </c>
      <c r="C2584" s="53">
        <f>IF(A2584="","",YEAR(A2584))</f>
        <v/>
      </c>
      <c r="D2584" s="54">
        <f>IF(A2584="","",INDEX(lst_months,MONTH(A2584)))</f>
        <v/>
      </c>
      <c r="E2584" s="55" t="n"/>
      <c r="F2584" s="54">
        <f>IF(E2584="","",IFERROR(IF(INDEX(lst_exp_item_cat,MATCH(E2584,lst_exp_items,0))="","❔ Без категории",INDEX(lst_exp_item_cat,MATCH(E2584,lst_exp_items,0))),"❔ Без категории"))</f>
        <v/>
      </c>
      <c r="G2584" s="43" t="n"/>
      <c r="H2584" s="56" t="n"/>
      <c r="I2584" s="43" t="n"/>
      <c r="J2584" s="57">
        <f>IF(OR(A2584="",H2584=""),"",IF(COUNTIFS(exp_year,C2584,exp_month,D2584,exp_item,E2584,exp_status,"&lt;&gt;❌ Отменено")&gt;0,1,0))</f>
        <v/>
      </c>
    </row>
    <row r="2585">
      <c r="A2585" s="52" t="n"/>
      <c r="B2585" s="53">
        <f>IF(A2585="","",CHOOSE(WEEKDAY(A2585,2),"Пн","Вт","Ср","Чт","Пт","Сб","Вс"))</f>
        <v/>
      </c>
      <c r="C2585" s="53">
        <f>IF(A2585="","",YEAR(A2585))</f>
        <v/>
      </c>
      <c r="D2585" s="54">
        <f>IF(A2585="","",INDEX(lst_months,MONTH(A2585)))</f>
        <v/>
      </c>
      <c r="E2585" s="55" t="n"/>
      <c r="F2585" s="54">
        <f>IF(E2585="","",IFERROR(IF(INDEX(lst_exp_item_cat,MATCH(E2585,lst_exp_items,0))="","❔ Без категории",INDEX(lst_exp_item_cat,MATCH(E2585,lst_exp_items,0))),"❔ Без категории"))</f>
        <v/>
      </c>
      <c r="G2585" s="43" t="n"/>
      <c r="H2585" s="56" t="n"/>
      <c r="I2585" s="43" t="n"/>
      <c r="J2585" s="57">
        <f>IF(OR(A2585="",H2585=""),"",IF(COUNTIFS(exp_year,C2585,exp_month,D2585,exp_item,E2585,exp_status,"&lt;&gt;❌ Отменено")&gt;0,1,0))</f>
        <v/>
      </c>
    </row>
    <row r="2586">
      <c r="A2586" s="52" t="n"/>
      <c r="B2586" s="53">
        <f>IF(A2586="","",CHOOSE(WEEKDAY(A2586,2),"Пн","Вт","Ср","Чт","Пт","Сб","Вс"))</f>
        <v/>
      </c>
      <c r="C2586" s="53">
        <f>IF(A2586="","",YEAR(A2586))</f>
        <v/>
      </c>
      <c r="D2586" s="54">
        <f>IF(A2586="","",INDEX(lst_months,MONTH(A2586)))</f>
        <v/>
      </c>
      <c r="E2586" s="55" t="n"/>
      <c r="F2586" s="54">
        <f>IF(E2586="","",IFERROR(IF(INDEX(lst_exp_item_cat,MATCH(E2586,lst_exp_items,0))="","❔ Без категории",INDEX(lst_exp_item_cat,MATCH(E2586,lst_exp_items,0))),"❔ Без категории"))</f>
        <v/>
      </c>
      <c r="G2586" s="43" t="n"/>
      <c r="H2586" s="56" t="n"/>
      <c r="I2586" s="43" t="n"/>
      <c r="J2586" s="57">
        <f>IF(OR(A2586="",H2586=""),"",IF(COUNTIFS(exp_year,C2586,exp_month,D2586,exp_item,E2586,exp_status,"&lt;&gt;❌ Отменено")&gt;0,1,0))</f>
        <v/>
      </c>
    </row>
    <row r="2587">
      <c r="A2587" s="52" t="n"/>
      <c r="B2587" s="53">
        <f>IF(A2587="","",CHOOSE(WEEKDAY(A2587,2),"Пн","Вт","Ср","Чт","Пт","Сб","Вс"))</f>
        <v/>
      </c>
      <c r="C2587" s="53">
        <f>IF(A2587="","",YEAR(A2587))</f>
        <v/>
      </c>
      <c r="D2587" s="54">
        <f>IF(A2587="","",INDEX(lst_months,MONTH(A2587)))</f>
        <v/>
      </c>
      <c r="E2587" s="55" t="n"/>
      <c r="F2587" s="54">
        <f>IF(E2587="","",IFERROR(IF(INDEX(lst_exp_item_cat,MATCH(E2587,lst_exp_items,0))="","❔ Без категории",INDEX(lst_exp_item_cat,MATCH(E2587,lst_exp_items,0))),"❔ Без категории"))</f>
        <v/>
      </c>
      <c r="G2587" s="43" t="n"/>
      <c r="H2587" s="56" t="n"/>
      <c r="I2587" s="43" t="n"/>
      <c r="J2587" s="57">
        <f>IF(OR(A2587="",H2587=""),"",IF(COUNTIFS(exp_year,C2587,exp_month,D2587,exp_item,E2587,exp_status,"&lt;&gt;❌ Отменено")&gt;0,1,0))</f>
        <v/>
      </c>
    </row>
    <row r="2588">
      <c r="A2588" s="52" t="n"/>
      <c r="B2588" s="53">
        <f>IF(A2588="","",CHOOSE(WEEKDAY(A2588,2),"Пн","Вт","Ср","Чт","Пт","Сб","Вс"))</f>
        <v/>
      </c>
      <c r="C2588" s="53">
        <f>IF(A2588="","",YEAR(A2588))</f>
        <v/>
      </c>
      <c r="D2588" s="54">
        <f>IF(A2588="","",INDEX(lst_months,MONTH(A2588)))</f>
        <v/>
      </c>
      <c r="E2588" s="55" t="n"/>
      <c r="F2588" s="54">
        <f>IF(E2588="","",IFERROR(IF(INDEX(lst_exp_item_cat,MATCH(E2588,lst_exp_items,0))="","❔ Без категории",INDEX(lst_exp_item_cat,MATCH(E2588,lst_exp_items,0))),"❔ Без категории"))</f>
        <v/>
      </c>
      <c r="G2588" s="43" t="n"/>
      <c r="H2588" s="56" t="n"/>
      <c r="I2588" s="43" t="n"/>
      <c r="J2588" s="57">
        <f>IF(OR(A2588="",H2588=""),"",IF(COUNTIFS(exp_year,C2588,exp_month,D2588,exp_item,E2588,exp_status,"&lt;&gt;❌ Отменено")&gt;0,1,0))</f>
        <v/>
      </c>
    </row>
    <row r="2589">
      <c r="A2589" s="52" t="n"/>
      <c r="B2589" s="53">
        <f>IF(A2589="","",CHOOSE(WEEKDAY(A2589,2),"Пн","Вт","Ср","Чт","Пт","Сб","Вс"))</f>
        <v/>
      </c>
      <c r="C2589" s="53">
        <f>IF(A2589="","",YEAR(A2589))</f>
        <v/>
      </c>
      <c r="D2589" s="54">
        <f>IF(A2589="","",INDEX(lst_months,MONTH(A2589)))</f>
        <v/>
      </c>
      <c r="E2589" s="55" t="n"/>
      <c r="F2589" s="54">
        <f>IF(E2589="","",IFERROR(IF(INDEX(lst_exp_item_cat,MATCH(E2589,lst_exp_items,0))="","❔ Без категории",INDEX(lst_exp_item_cat,MATCH(E2589,lst_exp_items,0))),"❔ Без категории"))</f>
        <v/>
      </c>
      <c r="G2589" s="43" t="n"/>
      <c r="H2589" s="56" t="n"/>
      <c r="I2589" s="43" t="n"/>
      <c r="J2589" s="57">
        <f>IF(OR(A2589="",H2589=""),"",IF(COUNTIFS(exp_year,C2589,exp_month,D2589,exp_item,E2589,exp_status,"&lt;&gt;❌ Отменено")&gt;0,1,0))</f>
        <v/>
      </c>
    </row>
    <row r="2590">
      <c r="A2590" s="52" t="n"/>
      <c r="B2590" s="53">
        <f>IF(A2590="","",CHOOSE(WEEKDAY(A2590,2),"Пн","Вт","Ср","Чт","Пт","Сб","Вс"))</f>
        <v/>
      </c>
      <c r="C2590" s="53">
        <f>IF(A2590="","",YEAR(A2590))</f>
        <v/>
      </c>
      <c r="D2590" s="54">
        <f>IF(A2590="","",INDEX(lst_months,MONTH(A2590)))</f>
        <v/>
      </c>
      <c r="E2590" s="55" t="n"/>
      <c r="F2590" s="54">
        <f>IF(E2590="","",IFERROR(IF(INDEX(lst_exp_item_cat,MATCH(E2590,lst_exp_items,0))="","❔ Без категории",INDEX(lst_exp_item_cat,MATCH(E2590,lst_exp_items,0))),"❔ Без категории"))</f>
        <v/>
      </c>
      <c r="G2590" s="43" t="n"/>
      <c r="H2590" s="56" t="n"/>
      <c r="I2590" s="43" t="n"/>
      <c r="J2590" s="57">
        <f>IF(OR(A2590="",H2590=""),"",IF(COUNTIFS(exp_year,C2590,exp_month,D2590,exp_item,E2590,exp_status,"&lt;&gt;❌ Отменено")&gt;0,1,0))</f>
        <v/>
      </c>
    </row>
    <row r="2591">
      <c r="A2591" s="52" t="n"/>
      <c r="B2591" s="53">
        <f>IF(A2591="","",CHOOSE(WEEKDAY(A2591,2),"Пн","Вт","Ср","Чт","Пт","Сб","Вс"))</f>
        <v/>
      </c>
      <c r="C2591" s="53">
        <f>IF(A2591="","",YEAR(A2591))</f>
        <v/>
      </c>
      <c r="D2591" s="54">
        <f>IF(A2591="","",INDEX(lst_months,MONTH(A2591)))</f>
        <v/>
      </c>
      <c r="E2591" s="55" t="n"/>
      <c r="F2591" s="54">
        <f>IF(E2591="","",IFERROR(IF(INDEX(lst_exp_item_cat,MATCH(E2591,lst_exp_items,0))="","❔ Без категории",INDEX(lst_exp_item_cat,MATCH(E2591,lst_exp_items,0))),"❔ Без категории"))</f>
        <v/>
      </c>
      <c r="G2591" s="43" t="n"/>
      <c r="H2591" s="56" t="n"/>
      <c r="I2591" s="43" t="n"/>
      <c r="J2591" s="57">
        <f>IF(OR(A2591="",H2591=""),"",IF(COUNTIFS(exp_year,C2591,exp_month,D2591,exp_item,E2591,exp_status,"&lt;&gt;❌ Отменено")&gt;0,1,0))</f>
        <v/>
      </c>
    </row>
    <row r="2592">
      <c r="A2592" s="52" t="n"/>
      <c r="B2592" s="53">
        <f>IF(A2592="","",CHOOSE(WEEKDAY(A2592,2),"Пн","Вт","Ср","Чт","Пт","Сб","Вс"))</f>
        <v/>
      </c>
      <c r="C2592" s="53">
        <f>IF(A2592="","",YEAR(A2592))</f>
        <v/>
      </c>
      <c r="D2592" s="54">
        <f>IF(A2592="","",INDEX(lst_months,MONTH(A2592)))</f>
        <v/>
      </c>
      <c r="E2592" s="55" t="n"/>
      <c r="F2592" s="54">
        <f>IF(E2592="","",IFERROR(IF(INDEX(lst_exp_item_cat,MATCH(E2592,lst_exp_items,0))="","❔ Без категории",INDEX(lst_exp_item_cat,MATCH(E2592,lst_exp_items,0))),"❔ Без категории"))</f>
        <v/>
      </c>
      <c r="G2592" s="43" t="n"/>
      <c r="H2592" s="56" t="n"/>
      <c r="I2592" s="43" t="n"/>
      <c r="J2592" s="57">
        <f>IF(OR(A2592="",H2592=""),"",IF(COUNTIFS(exp_year,C2592,exp_month,D2592,exp_item,E2592,exp_status,"&lt;&gt;❌ Отменено")&gt;0,1,0))</f>
        <v/>
      </c>
    </row>
    <row r="2593">
      <c r="A2593" s="52" t="n"/>
      <c r="B2593" s="53">
        <f>IF(A2593="","",CHOOSE(WEEKDAY(A2593,2),"Пн","Вт","Ср","Чт","Пт","Сб","Вс"))</f>
        <v/>
      </c>
      <c r="C2593" s="53">
        <f>IF(A2593="","",YEAR(A2593))</f>
        <v/>
      </c>
      <c r="D2593" s="54">
        <f>IF(A2593="","",INDEX(lst_months,MONTH(A2593)))</f>
        <v/>
      </c>
      <c r="E2593" s="55" t="n"/>
      <c r="F2593" s="54">
        <f>IF(E2593="","",IFERROR(IF(INDEX(lst_exp_item_cat,MATCH(E2593,lst_exp_items,0))="","❔ Без категории",INDEX(lst_exp_item_cat,MATCH(E2593,lst_exp_items,0))),"❔ Без категории"))</f>
        <v/>
      </c>
      <c r="G2593" s="43" t="n"/>
      <c r="H2593" s="56" t="n"/>
      <c r="I2593" s="43" t="n"/>
      <c r="J2593" s="57">
        <f>IF(OR(A2593="",H2593=""),"",IF(COUNTIFS(exp_year,C2593,exp_month,D2593,exp_item,E2593,exp_status,"&lt;&gt;❌ Отменено")&gt;0,1,0))</f>
        <v/>
      </c>
    </row>
    <row r="2594">
      <c r="A2594" s="52" t="n"/>
      <c r="B2594" s="53">
        <f>IF(A2594="","",CHOOSE(WEEKDAY(A2594,2),"Пн","Вт","Ср","Чт","Пт","Сб","Вс"))</f>
        <v/>
      </c>
      <c r="C2594" s="53">
        <f>IF(A2594="","",YEAR(A2594))</f>
        <v/>
      </c>
      <c r="D2594" s="54">
        <f>IF(A2594="","",INDEX(lst_months,MONTH(A2594)))</f>
        <v/>
      </c>
      <c r="E2594" s="55" t="n"/>
      <c r="F2594" s="54">
        <f>IF(E2594="","",IFERROR(IF(INDEX(lst_exp_item_cat,MATCH(E2594,lst_exp_items,0))="","❔ Без категории",INDEX(lst_exp_item_cat,MATCH(E2594,lst_exp_items,0))),"❔ Без категории"))</f>
        <v/>
      </c>
      <c r="G2594" s="43" t="n"/>
      <c r="H2594" s="56" t="n"/>
      <c r="I2594" s="43" t="n"/>
      <c r="J2594" s="57">
        <f>IF(OR(A2594="",H2594=""),"",IF(COUNTIFS(exp_year,C2594,exp_month,D2594,exp_item,E2594,exp_status,"&lt;&gt;❌ Отменено")&gt;0,1,0))</f>
        <v/>
      </c>
    </row>
    <row r="2595">
      <c r="A2595" s="52" t="n"/>
      <c r="B2595" s="53">
        <f>IF(A2595="","",CHOOSE(WEEKDAY(A2595,2),"Пн","Вт","Ср","Чт","Пт","Сб","Вс"))</f>
        <v/>
      </c>
      <c r="C2595" s="53">
        <f>IF(A2595="","",YEAR(A2595))</f>
        <v/>
      </c>
      <c r="D2595" s="54">
        <f>IF(A2595="","",INDEX(lst_months,MONTH(A2595)))</f>
        <v/>
      </c>
      <c r="E2595" s="55" t="n"/>
      <c r="F2595" s="54">
        <f>IF(E2595="","",IFERROR(IF(INDEX(lst_exp_item_cat,MATCH(E2595,lst_exp_items,0))="","❔ Без категории",INDEX(lst_exp_item_cat,MATCH(E2595,lst_exp_items,0))),"❔ Без категории"))</f>
        <v/>
      </c>
      <c r="G2595" s="43" t="n"/>
      <c r="H2595" s="56" t="n"/>
      <c r="I2595" s="43" t="n"/>
      <c r="J2595" s="57">
        <f>IF(OR(A2595="",H2595=""),"",IF(COUNTIFS(exp_year,C2595,exp_month,D2595,exp_item,E2595,exp_status,"&lt;&gt;❌ Отменено")&gt;0,1,0))</f>
        <v/>
      </c>
    </row>
    <row r="2596">
      <c r="A2596" s="52" t="n"/>
      <c r="B2596" s="53">
        <f>IF(A2596="","",CHOOSE(WEEKDAY(A2596,2),"Пн","Вт","Ср","Чт","Пт","Сб","Вс"))</f>
        <v/>
      </c>
      <c r="C2596" s="53">
        <f>IF(A2596="","",YEAR(A2596))</f>
        <v/>
      </c>
      <c r="D2596" s="54">
        <f>IF(A2596="","",INDEX(lst_months,MONTH(A2596)))</f>
        <v/>
      </c>
      <c r="E2596" s="55" t="n"/>
      <c r="F2596" s="54">
        <f>IF(E2596="","",IFERROR(IF(INDEX(lst_exp_item_cat,MATCH(E2596,lst_exp_items,0))="","❔ Без категории",INDEX(lst_exp_item_cat,MATCH(E2596,lst_exp_items,0))),"❔ Без категории"))</f>
        <v/>
      </c>
      <c r="G2596" s="43" t="n"/>
      <c r="H2596" s="56" t="n"/>
      <c r="I2596" s="43" t="n"/>
      <c r="J2596" s="57">
        <f>IF(OR(A2596="",H2596=""),"",IF(COUNTIFS(exp_year,C2596,exp_month,D2596,exp_item,E2596,exp_status,"&lt;&gt;❌ Отменено")&gt;0,1,0))</f>
        <v/>
      </c>
    </row>
    <row r="2597">
      <c r="A2597" s="52" t="n"/>
      <c r="B2597" s="53">
        <f>IF(A2597="","",CHOOSE(WEEKDAY(A2597,2),"Пн","Вт","Ср","Чт","Пт","Сб","Вс"))</f>
        <v/>
      </c>
      <c r="C2597" s="53">
        <f>IF(A2597="","",YEAR(A2597))</f>
        <v/>
      </c>
      <c r="D2597" s="54">
        <f>IF(A2597="","",INDEX(lst_months,MONTH(A2597)))</f>
        <v/>
      </c>
      <c r="E2597" s="55" t="n"/>
      <c r="F2597" s="54">
        <f>IF(E2597="","",IFERROR(IF(INDEX(lst_exp_item_cat,MATCH(E2597,lst_exp_items,0))="","❔ Без категории",INDEX(lst_exp_item_cat,MATCH(E2597,lst_exp_items,0))),"❔ Без категории"))</f>
        <v/>
      </c>
      <c r="G2597" s="43" t="n"/>
      <c r="H2597" s="56" t="n"/>
      <c r="I2597" s="43" t="n"/>
      <c r="J2597" s="57">
        <f>IF(OR(A2597="",H2597=""),"",IF(COUNTIFS(exp_year,C2597,exp_month,D2597,exp_item,E2597,exp_status,"&lt;&gt;❌ Отменено")&gt;0,1,0))</f>
        <v/>
      </c>
    </row>
    <row r="2598">
      <c r="A2598" s="52" t="n"/>
      <c r="B2598" s="53">
        <f>IF(A2598="","",CHOOSE(WEEKDAY(A2598,2),"Пн","Вт","Ср","Чт","Пт","Сб","Вс"))</f>
        <v/>
      </c>
      <c r="C2598" s="53">
        <f>IF(A2598="","",YEAR(A2598))</f>
        <v/>
      </c>
      <c r="D2598" s="54">
        <f>IF(A2598="","",INDEX(lst_months,MONTH(A2598)))</f>
        <v/>
      </c>
      <c r="E2598" s="55" t="n"/>
      <c r="F2598" s="54">
        <f>IF(E2598="","",IFERROR(IF(INDEX(lst_exp_item_cat,MATCH(E2598,lst_exp_items,0))="","❔ Без категории",INDEX(lst_exp_item_cat,MATCH(E2598,lst_exp_items,0))),"❔ Без категории"))</f>
        <v/>
      </c>
      <c r="G2598" s="43" t="n"/>
      <c r="H2598" s="56" t="n"/>
      <c r="I2598" s="43" t="n"/>
      <c r="J2598" s="57">
        <f>IF(OR(A2598="",H2598=""),"",IF(COUNTIFS(exp_year,C2598,exp_month,D2598,exp_item,E2598,exp_status,"&lt;&gt;❌ Отменено")&gt;0,1,0))</f>
        <v/>
      </c>
    </row>
    <row r="2599">
      <c r="A2599" s="52" t="n"/>
      <c r="B2599" s="53">
        <f>IF(A2599="","",CHOOSE(WEEKDAY(A2599,2),"Пн","Вт","Ср","Чт","Пт","Сб","Вс"))</f>
        <v/>
      </c>
      <c r="C2599" s="53">
        <f>IF(A2599="","",YEAR(A2599))</f>
        <v/>
      </c>
      <c r="D2599" s="54">
        <f>IF(A2599="","",INDEX(lst_months,MONTH(A2599)))</f>
        <v/>
      </c>
      <c r="E2599" s="55" t="n"/>
      <c r="F2599" s="54">
        <f>IF(E2599="","",IFERROR(IF(INDEX(lst_exp_item_cat,MATCH(E2599,lst_exp_items,0))="","❔ Без категории",INDEX(lst_exp_item_cat,MATCH(E2599,lst_exp_items,0))),"❔ Без категории"))</f>
        <v/>
      </c>
      <c r="G2599" s="43" t="n"/>
      <c r="H2599" s="56" t="n"/>
      <c r="I2599" s="43" t="n"/>
      <c r="J2599" s="57">
        <f>IF(OR(A2599="",H2599=""),"",IF(COUNTIFS(exp_year,C2599,exp_month,D2599,exp_item,E2599,exp_status,"&lt;&gt;❌ Отменено")&gt;0,1,0))</f>
        <v/>
      </c>
    </row>
    <row r="2600">
      <c r="A2600" s="52" t="n"/>
      <c r="B2600" s="53">
        <f>IF(A2600="","",CHOOSE(WEEKDAY(A2600,2),"Пн","Вт","Ср","Чт","Пт","Сб","Вс"))</f>
        <v/>
      </c>
      <c r="C2600" s="53">
        <f>IF(A2600="","",YEAR(A2600))</f>
        <v/>
      </c>
      <c r="D2600" s="54">
        <f>IF(A2600="","",INDEX(lst_months,MONTH(A2600)))</f>
        <v/>
      </c>
      <c r="E2600" s="55" t="n"/>
      <c r="F2600" s="54">
        <f>IF(E2600="","",IFERROR(IF(INDEX(lst_exp_item_cat,MATCH(E2600,lst_exp_items,0))="","❔ Без категории",INDEX(lst_exp_item_cat,MATCH(E2600,lst_exp_items,0))),"❔ Без категории"))</f>
        <v/>
      </c>
      <c r="G2600" s="43" t="n"/>
      <c r="H2600" s="56" t="n"/>
      <c r="I2600" s="43" t="n"/>
      <c r="J2600" s="57">
        <f>IF(OR(A2600="",H2600=""),"",IF(COUNTIFS(exp_year,C2600,exp_month,D2600,exp_item,E2600,exp_status,"&lt;&gt;❌ Отменено")&gt;0,1,0))</f>
        <v/>
      </c>
    </row>
    <row r="2601">
      <c r="A2601" s="52" t="n"/>
      <c r="B2601" s="53">
        <f>IF(A2601="","",CHOOSE(WEEKDAY(A2601,2),"Пн","Вт","Ср","Чт","Пт","Сб","Вс"))</f>
        <v/>
      </c>
      <c r="C2601" s="53">
        <f>IF(A2601="","",YEAR(A2601))</f>
        <v/>
      </c>
      <c r="D2601" s="54">
        <f>IF(A2601="","",INDEX(lst_months,MONTH(A2601)))</f>
        <v/>
      </c>
      <c r="E2601" s="55" t="n"/>
      <c r="F2601" s="54">
        <f>IF(E2601="","",IFERROR(IF(INDEX(lst_exp_item_cat,MATCH(E2601,lst_exp_items,0))="","❔ Без категории",INDEX(lst_exp_item_cat,MATCH(E2601,lst_exp_items,0))),"❔ Без категории"))</f>
        <v/>
      </c>
      <c r="G2601" s="43" t="n"/>
      <c r="H2601" s="56" t="n"/>
      <c r="I2601" s="43" t="n"/>
      <c r="J2601" s="57">
        <f>IF(OR(A2601="",H2601=""),"",IF(COUNTIFS(exp_year,C2601,exp_month,D2601,exp_item,E2601,exp_status,"&lt;&gt;❌ Отменено")&gt;0,1,0))</f>
        <v/>
      </c>
    </row>
    <row r="2602">
      <c r="A2602" s="52" t="n"/>
      <c r="B2602" s="53">
        <f>IF(A2602="","",CHOOSE(WEEKDAY(A2602,2),"Пн","Вт","Ср","Чт","Пт","Сб","Вс"))</f>
        <v/>
      </c>
      <c r="C2602" s="53">
        <f>IF(A2602="","",YEAR(A2602))</f>
        <v/>
      </c>
      <c r="D2602" s="54">
        <f>IF(A2602="","",INDEX(lst_months,MONTH(A2602)))</f>
        <v/>
      </c>
      <c r="E2602" s="55" t="n"/>
      <c r="F2602" s="54">
        <f>IF(E2602="","",IFERROR(IF(INDEX(lst_exp_item_cat,MATCH(E2602,lst_exp_items,0))="","❔ Без категории",INDEX(lst_exp_item_cat,MATCH(E2602,lst_exp_items,0))),"❔ Без категории"))</f>
        <v/>
      </c>
      <c r="G2602" s="43" t="n"/>
      <c r="H2602" s="56" t="n"/>
      <c r="I2602" s="43" t="n"/>
      <c r="J2602" s="57">
        <f>IF(OR(A2602="",H2602=""),"",IF(COUNTIFS(exp_year,C2602,exp_month,D2602,exp_item,E2602,exp_status,"&lt;&gt;❌ Отменено")&gt;0,1,0))</f>
        <v/>
      </c>
    </row>
    <row r="2603">
      <c r="A2603" s="52" t="n"/>
      <c r="B2603" s="53">
        <f>IF(A2603="","",CHOOSE(WEEKDAY(A2603,2),"Пн","Вт","Ср","Чт","Пт","Сб","Вс"))</f>
        <v/>
      </c>
      <c r="C2603" s="53">
        <f>IF(A2603="","",YEAR(A2603))</f>
        <v/>
      </c>
      <c r="D2603" s="54">
        <f>IF(A2603="","",INDEX(lst_months,MONTH(A2603)))</f>
        <v/>
      </c>
      <c r="E2603" s="55" t="n"/>
      <c r="F2603" s="54">
        <f>IF(E2603="","",IFERROR(IF(INDEX(lst_exp_item_cat,MATCH(E2603,lst_exp_items,0))="","❔ Без категории",INDEX(lst_exp_item_cat,MATCH(E2603,lst_exp_items,0))),"❔ Без категории"))</f>
        <v/>
      </c>
      <c r="G2603" s="43" t="n"/>
      <c r="H2603" s="56" t="n"/>
      <c r="I2603" s="43" t="n"/>
      <c r="J2603" s="57">
        <f>IF(OR(A2603="",H2603=""),"",IF(COUNTIFS(exp_year,C2603,exp_month,D2603,exp_item,E2603,exp_status,"&lt;&gt;❌ Отменено")&gt;0,1,0))</f>
        <v/>
      </c>
    </row>
    <row r="2604">
      <c r="A2604" s="52" t="n"/>
      <c r="B2604" s="53">
        <f>IF(A2604="","",CHOOSE(WEEKDAY(A2604,2),"Пн","Вт","Ср","Чт","Пт","Сб","Вс"))</f>
        <v/>
      </c>
      <c r="C2604" s="53">
        <f>IF(A2604="","",YEAR(A2604))</f>
        <v/>
      </c>
      <c r="D2604" s="54">
        <f>IF(A2604="","",INDEX(lst_months,MONTH(A2604)))</f>
        <v/>
      </c>
      <c r="E2604" s="55" t="n"/>
      <c r="F2604" s="54">
        <f>IF(E2604="","",IFERROR(IF(INDEX(lst_exp_item_cat,MATCH(E2604,lst_exp_items,0))="","❔ Без категории",INDEX(lst_exp_item_cat,MATCH(E2604,lst_exp_items,0))),"❔ Без категории"))</f>
        <v/>
      </c>
      <c r="G2604" s="43" t="n"/>
      <c r="H2604" s="56" t="n"/>
      <c r="I2604" s="43" t="n"/>
      <c r="J2604" s="57">
        <f>IF(OR(A2604="",H2604=""),"",IF(COUNTIFS(exp_year,C2604,exp_month,D2604,exp_item,E2604,exp_status,"&lt;&gt;❌ Отменено")&gt;0,1,0))</f>
        <v/>
      </c>
    </row>
    <row r="2605">
      <c r="A2605" s="52" t="n"/>
      <c r="B2605" s="53">
        <f>IF(A2605="","",CHOOSE(WEEKDAY(A2605,2),"Пн","Вт","Ср","Чт","Пт","Сб","Вс"))</f>
        <v/>
      </c>
      <c r="C2605" s="53">
        <f>IF(A2605="","",YEAR(A2605))</f>
        <v/>
      </c>
      <c r="D2605" s="54">
        <f>IF(A2605="","",INDEX(lst_months,MONTH(A2605)))</f>
        <v/>
      </c>
      <c r="E2605" s="55" t="n"/>
      <c r="F2605" s="54">
        <f>IF(E2605="","",IFERROR(IF(INDEX(lst_exp_item_cat,MATCH(E2605,lst_exp_items,0))="","❔ Без категории",INDEX(lst_exp_item_cat,MATCH(E2605,lst_exp_items,0))),"❔ Без категории"))</f>
        <v/>
      </c>
      <c r="G2605" s="43" t="n"/>
      <c r="H2605" s="56" t="n"/>
      <c r="I2605" s="43" t="n"/>
      <c r="J2605" s="57">
        <f>IF(OR(A2605="",H2605=""),"",IF(COUNTIFS(exp_year,C2605,exp_month,D2605,exp_item,E2605,exp_status,"&lt;&gt;❌ Отменено")&gt;0,1,0))</f>
        <v/>
      </c>
    </row>
    <row r="2606">
      <c r="A2606" s="52" t="n"/>
      <c r="B2606" s="53">
        <f>IF(A2606="","",CHOOSE(WEEKDAY(A2606,2),"Пн","Вт","Ср","Чт","Пт","Сб","Вс"))</f>
        <v/>
      </c>
      <c r="C2606" s="53">
        <f>IF(A2606="","",YEAR(A2606))</f>
        <v/>
      </c>
      <c r="D2606" s="54">
        <f>IF(A2606="","",INDEX(lst_months,MONTH(A2606)))</f>
        <v/>
      </c>
      <c r="E2606" s="55" t="n"/>
      <c r="F2606" s="54">
        <f>IF(E2606="","",IFERROR(IF(INDEX(lst_exp_item_cat,MATCH(E2606,lst_exp_items,0))="","❔ Без категории",INDEX(lst_exp_item_cat,MATCH(E2606,lst_exp_items,0))),"❔ Без категории"))</f>
        <v/>
      </c>
      <c r="G2606" s="43" t="n"/>
      <c r="H2606" s="56" t="n"/>
      <c r="I2606" s="43" t="n"/>
      <c r="J2606" s="57">
        <f>IF(OR(A2606="",H2606=""),"",IF(COUNTIFS(exp_year,C2606,exp_month,D2606,exp_item,E2606,exp_status,"&lt;&gt;❌ Отменено")&gt;0,1,0))</f>
        <v/>
      </c>
    </row>
    <row r="2607">
      <c r="A2607" s="52" t="n"/>
      <c r="B2607" s="53">
        <f>IF(A2607="","",CHOOSE(WEEKDAY(A2607,2),"Пн","Вт","Ср","Чт","Пт","Сб","Вс"))</f>
        <v/>
      </c>
      <c r="C2607" s="53">
        <f>IF(A2607="","",YEAR(A2607))</f>
        <v/>
      </c>
      <c r="D2607" s="54">
        <f>IF(A2607="","",INDEX(lst_months,MONTH(A2607)))</f>
        <v/>
      </c>
      <c r="E2607" s="55" t="n"/>
      <c r="F2607" s="54">
        <f>IF(E2607="","",IFERROR(IF(INDEX(lst_exp_item_cat,MATCH(E2607,lst_exp_items,0))="","❔ Без категории",INDEX(lst_exp_item_cat,MATCH(E2607,lst_exp_items,0))),"❔ Без категории"))</f>
        <v/>
      </c>
      <c r="G2607" s="43" t="n"/>
      <c r="H2607" s="56" t="n"/>
      <c r="I2607" s="43" t="n"/>
      <c r="J2607" s="57">
        <f>IF(OR(A2607="",H2607=""),"",IF(COUNTIFS(exp_year,C2607,exp_month,D2607,exp_item,E2607,exp_status,"&lt;&gt;❌ Отменено")&gt;0,1,0))</f>
        <v/>
      </c>
    </row>
    <row r="2608">
      <c r="A2608" s="52" t="n"/>
      <c r="B2608" s="53">
        <f>IF(A2608="","",CHOOSE(WEEKDAY(A2608,2),"Пн","Вт","Ср","Чт","Пт","Сб","Вс"))</f>
        <v/>
      </c>
      <c r="C2608" s="53">
        <f>IF(A2608="","",YEAR(A2608))</f>
        <v/>
      </c>
      <c r="D2608" s="54">
        <f>IF(A2608="","",INDEX(lst_months,MONTH(A2608)))</f>
        <v/>
      </c>
      <c r="E2608" s="55" t="n"/>
      <c r="F2608" s="54">
        <f>IF(E2608="","",IFERROR(IF(INDEX(lst_exp_item_cat,MATCH(E2608,lst_exp_items,0))="","❔ Без категории",INDEX(lst_exp_item_cat,MATCH(E2608,lst_exp_items,0))),"❔ Без категории"))</f>
        <v/>
      </c>
      <c r="G2608" s="43" t="n"/>
      <c r="H2608" s="56" t="n"/>
      <c r="I2608" s="43" t="n"/>
      <c r="J2608" s="57">
        <f>IF(OR(A2608="",H2608=""),"",IF(COUNTIFS(exp_year,C2608,exp_month,D2608,exp_item,E2608,exp_status,"&lt;&gt;❌ Отменено")&gt;0,1,0))</f>
        <v/>
      </c>
    </row>
    <row r="2609">
      <c r="A2609" s="52" t="n"/>
      <c r="B2609" s="53">
        <f>IF(A2609="","",CHOOSE(WEEKDAY(A2609,2),"Пн","Вт","Ср","Чт","Пт","Сб","Вс"))</f>
        <v/>
      </c>
      <c r="C2609" s="53">
        <f>IF(A2609="","",YEAR(A2609))</f>
        <v/>
      </c>
      <c r="D2609" s="54">
        <f>IF(A2609="","",INDEX(lst_months,MONTH(A2609)))</f>
        <v/>
      </c>
      <c r="E2609" s="55" t="n"/>
      <c r="F2609" s="54">
        <f>IF(E2609="","",IFERROR(IF(INDEX(lst_exp_item_cat,MATCH(E2609,lst_exp_items,0))="","❔ Без категории",INDEX(lst_exp_item_cat,MATCH(E2609,lst_exp_items,0))),"❔ Без категории"))</f>
        <v/>
      </c>
      <c r="G2609" s="43" t="n"/>
      <c r="H2609" s="56" t="n"/>
      <c r="I2609" s="43" t="n"/>
      <c r="J2609" s="57">
        <f>IF(OR(A2609="",H2609=""),"",IF(COUNTIFS(exp_year,C2609,exp_month,D2609,exp_item,E2609,exp_status,"&lt;&gt;❌ Отменено")&gt;0,1,0))</f>
        <v/>
      </c>
    </row>
    <row r="2610">
      <c r="A2610" s="52" t="n"/>
      <c r="B2610" s="53">
        <f>IF(A2610="","",CHOOSE(WEEKDAY(A2610,2),"Пн","Вт","Ср","Чт","Пт","Сб","Вс"))</f>
        <v/>
      </c>
      <c r="C2610" s="53">
        <f>IF(A2610="","",YEAR(A2610))</f>
        <v/>
      </c>
      <c r="D2610" s="54">
        <f>IF(A2610="","",INDEX(lst_months,MONTH(A2610)))</f>
        <v/>
      </c>
      <c r="E2610" s="55" t="n"/>
      <c r="F2610" s="54">
        <f>IF(E2610="","",IFERROR(IF(INDEX(lst_exp_item_cat,MATCH(E2610,lst_exp_items,0))="","❔ Без категории",INDEX(lst_exp_item_cat,MATCH(E2610,lst_exp_items,0))),"❔ Без категории"))</f>
        <v/>
      </c>
      <c r="G2610" s="43" t="n"/>
      <c r="H2610" s="56" t="n"/>
      <c r="I2610" s="43" t="n"/>
      <c r="J2610" s="57">
        <f>IF(OR(A2610="",H2610=""),"",IF(COUNTIFS(exp_year,C2610,exp_month,D2610,exp_item,E2610,exp_status,"&lt;&gt;❌ Отменено")&gt;0,1,0))</f>
        <v/>
      </c>
    </row>
    <row r="2611">
      <c r="A2611" s="52" t="n"/>
      <c r="B2611" s="53">
        <f>IF(A2611="","",CHOOSE(WEEKDAY(A2611,2),"Пн","Вт","Ср","Чт","Пт","Сб","Вс"))</f>
        <v/>
      </c>
      <c r="C2611" s="53">
        <f>IF(A2611="","",YEAR(A2611))</f>
        <v/>
      </c>
      <c r="D2611" s="54">
        <f>IF(A2611="","",INDEX(lst_months,MONTH(A2611)))</f>
        <v/>
      </c>
      <c r="E2611" s="55" t="n"/>
      <c r="F2611" s="54">
        <f>IF(E2611="","",IFERROR(IF(INDEX(lst_exp_item_cat,MATCH(E2611,lst_exp_items,0))="","❔ Без категории",INDEX(lst_exp_item_cat,MATCH(E2611,lst_exp_items,0))),"❔ Без категории"))</f>
        <v/>
      </c>
      <c r="G2611" s="43" t="n"/>
      <c r="H2611" s="56" t="n"/>
      <c r="I2611" s="43" t="n"/>
      <c r="J2611" s="57">
        <f>IF(OR(A2611="",H2611=""),"",IF(COUNTIFS(exp_year,C2611,exp_month,D2611,exp_item,E2611,exp_status,"&lt;&gt;❌ Отменено")&gt;0,1,0))</f>
        <v/>
      </c>
    </row>
    <row r="2612">
      <c r="A2612" s="52" t="n"/>
      <c r="B2612" s="53">
        <f>IF(A2612="","",CHOOSE(WEEKDAY(A2612,2),"Пн","Вт","Ср","Чт","Пт","Сб","Вс"))</f>
        <v/>
      </c>
      <c r="C2612" s="53">
        <f>IF(A2612="","",YEAR(A2612))</f>
        <v/>
      </c>
      <c r="D2612" s="54">
        <f>IF(A2612="","",INDEX(lst_months,MONTH(A2612)))</f>
        <v/>
      </c>
      <c r="E2612" s="55" t="n"/>
      <c r="F2612" s="54">
        <f>IF(E2612="","",IFERROR(IF(INDEX(lst_exp_item_cat,MATCH(E2612,lst_exp_items,0))="","❔ Без категории",INDEX(lst_exp_item_cat,MATCH(E2612,lst_exp_items,0))),"❔ Без категории"))</f>
        <v/>
      </c>
      <c r="G2612" s="43" t="n"/>
      <c r="H2612" s="56" t="n"/>
      <c r="I2612" s="43" t="n"/>
      <c r="J2612" s="57">
        <f>IF(OR(A2612="",H2612=""),"",IF(COUNTIFS(exp_year,C2612,exp_month,D2612,exp_item,E2612,exp_status,"&lt;&gt;❌ Отменено")&gt;0,1,0))</f>
        <v/>
      </c>
    </row>
    <row r="2613">
      <c r="A2613" s="52" t="n"/>
      <c r="B2613" s="53">
        <f>IF(A2613="","",CHOOSE(WEEKDAY(A2613,2),"Пн","Вт","Ср","Чт","Пт","Сб","Вс"))</f>
        <v/>
      </c>
      <c r="C2613" s="53">
        <f>IF(A2613="","",YEAR(A2613))</f>
        <v/>
      </c>
      <c r="D2613" s="54">
        <f>IF(A2613="","",INDEX(lst_months,MONTH(A2613)))</f>
        <v/>
      </c>
      <c r="E2613" s="55" t="n"/>
      <c r="F2613" s="54">
        <f>IF(E2613="","",IFERROR(IF(INDEX(lst_exp_item_cat,MATCH(E2613,lst_exp_items,0))="","❔ Без категории",INDEX(lst_exp_item_cat,MATCH(E2613,lst_exp_items,0))),"❔ Без категории"))</f>
        <v/>
      </c>
      <c r="G2613" s="43" t="n"/>
      <c r="H2613" s="56" t="n"/>
      <c r="I2613" s="43" t="n"/>
      <c r="J2613" s="57">
        <f>IF(OR(A2613="",H2613=""),"",IF(COUNTIFS(exp_year,C2613,exp_month,D2613,exp_item,E2613,exp_status,"&lt;&gt;❌ Отменено")&gt;0,1,0))</f>
        <v/>
      </c>
    </row>
    <row r="2614">
      <c r="A2614" s="52" t="n"/>
      <c r="B2614" s="53">
        <f>IF(A2614="","",CHOOSE(WEEKDAY(A2614,2),"Пн","Вт","Ср","Чт","Пт","Сб","Вс"))</f>
        <v/>
      </c>
      <c r="C2614" s="53">
        <f>IF(A2614="","",YEAR(A2614))</f>
        <v/>
      </c>
      <c r="D2614" s="54">
        <f>IF(A2614="","",INDEX(lst_months,MONTH(A2614)))</f>
        <v/>
      </c>
      <c r="E2614" s="55" t="n"/>
      <c r="F2614" s="54">
        <f>IF(E2614="","",IFERROR(IF(INDEX(lst_exp_item_cat,MATCH(E2614,lst_exp_items,0))="","❔ Без категории",INDEX(lst_exp_item_cat,MATCH(E2614,lst_exp_items,0))),"❔ Без категории"))</f>
        <v/>
      </c>
      <c r="G2614" s="43" t="n"/>
      <c r="H2614" s="56" t="n"/>
      <c r="I2614" s="43" t="n"/>
      <c r="J2614" s="57">
        <f>IF(OR(A2614="",H2614=""),"",IF(COUNTIFS(exp_year,C2614,exp_month,D2614,exp_item,E2614,exp_status,"&lt;&gt;❌ Отменено")&gt;0,1,0))</f>
        <v/>
      </c>
    </row>
    <row r="2615">
      <c r="A2615" s="52" t="n"/>
      <c r="B2615" s="53">
        <f>IF(A2615="","",CHOOSE(WEEKDAY(A2615,2),"Пн","Вт","Ср","Чт","Пт","Сб","Вс"))</f>
        <v/>
      </c>
      <c r="C2615" s="53">
        <f>IF(A2615="","",YEAR(A2615))</f>
        <v/>
      </c>
      <c r="D2615" s="54">
        <f>IF(A2615="","",INDEX(lst_months,MONTH(A2615)))</f>
        <v/>
      </c>
      <c r="E2615" s="55" t="n"/>
      <c r="F2615" s="54">
        <f>IF(E2615="","",IFERROR(IF(INDEX(lst_exp_item_cat,MATCH(E2615,lst_exp_items,0))="","❔ Без категории",INDEX(lst_exp_item_cat,MATCH(E2615,lst_exp_items,0))),"❔ Без категории"))</f>
        <v/>
      </c>
      <c r="G2615" s="43" t="n"/>
      <c r="H2615" s="56" t="n"/>
      <c r="I2615" s="43" t="n"/>
      <c r="J2615" s="57">
        <f>IF(OR(A2615="",H2615=""),"",IF(COUNTIFS(exp_year,C2615,exp_month,D2615,exp_item,E2615,exp_status,"&lt;&gt;❌ Отменено")&gt;0,1,0))</f>
        <v/>
      </c>
    </row>
    <row r="2616">
      <c r="A2616" s="52" t="n"/>
      <c r="B2616" s="53">
        <f>IF(A2616="","",CHOOSE(WEEKDAY(A2616,2),"Пн","Вт","Ср","Чт","Пт","Сб","Вс"))</f>
        <v/>
      </c>
      <c r="C2616" s="53">
        <f>IF(A2616="","",YEAR(A2616))</f>
        <v/>
      </c>
      <c r="D2616" s="54">
        <f>IF(A2616="","",INDEX(lst_months,MONTH(A2616)))</f>
        <v/>
      </c>
      <c r="E2616" s="55" t="n"/>
      <c r="F2616" s="54">
        <f>IF(E2616="","",IFERROR(IF(INDEX(lst_exp_item_cat,MATCH(E2616,lst_exp_items,0))="","❔ Без категории",INDEX(lst_exp_item_cat,MATCH(E2616,lst_exp_items,0))),"❔ Без категории"))</f>
        <v/>
      </c>
      <c r="G2616" s="43" t="n"/>
      <c r="H2616" s="56" t="n"/>
      <c r="I2616" s="43" t="n"/>
      <c r="J2616" s="57">
        <f>IF(OR(A2616="",H2616=""),"",IF(COUNTIFS(exp_year,C2616,exp_month,D2616,exp_item,E2616,exp_status,"&lt;&gt;❌ Отменено")&gt;0,1,0))</f>
        <v/>
      </c>
    </row>
    <row r="2617">
      <c r="A2617" s="52" t="n"/>
      <c r="B2617" s="53">
        <f>IF(A2617="","",CHOOSE(WEEKDAY(A2617,2),"Пн","Вт","Ср","Чт","Пт","Сб","Вс"))</f>
        <v/>
      </c>
      <c r="C2617" s="53">
        <f>IF(A2617="","",YEAR(A2617))</f>
        <v/>
      </c>
      <c r="D2617" s="54">
        <f>IF(A2617="","",INDEX(lst_months,MONTH(A2617)))</f>
        <v/>
      </c>
      <c r="E2617" s="55" t="n"/>
      <c r="F2617" s="54">
        <f>IF(E2617="","",IFERROR(IF(INDEX(lst_exp_item_cat,MATCH(E2617,lst_exp_items,0))="","❔ Без категории",INDEX(lst_exp_item_cat,MATCH(E2617,lst_exp_items,0))),"❔ Без категории"))</f>
        <v/>
      </c>
      <c r="G2617" s="43" t="n"/>
      <c r="H2617" s="56" t="n"/>
      <c r="I2617" s="43" t="n"/>
      <c r="J2617" s="57">
        <f>IF(OR(A2617="",H2617=""),"",IF(COUNTIFS(exp_year,C2617,exp_month,D2617,exp_item,E2617,exp_status,"&lt;&gt;❌ Отменено")&gt;0,1,0))</f>
        <v/>
      </c>
    </row>
    <row r="2618">
      <c r="A2618" s="52" t="n"/>
      <c r="B2618" s="53">
        <f>IF(A2618="","",CHOOSE(WEEKDAY(A2618,2),"Пн","Вт","Ср","Чт","Пт","Сб","Вс"))</f>
        <v/>
      </c>
      <c r="C2618" s="53">
        <f>IF(A2618="","",YEAR(A2618))</f>
        <v/>
      </c>
      <c r="D2618" s="54">
        <f>IF(A2618="","",INDEX(lst_months,MONTH(A2618)))</f>
        <v/>
      </c>
      <c r="E2618" s="55" t="n"/>
      <c r="F2618" s="54">
        <f>IF(E2618="","",IFERROR(IF(INDEX(lst_exp_item_cat,MATCH(E2618,lst_exp_items,0))="","❔ Без категории",INDEX(lst_exp_item_cat,MATCH(E2618,lst_exp_items,0))),"❔ Без категории"))</f>
        <v/>
      </c>
      <c r="G2618" s="43" t="n"/>
      <c r="H2618" s="56" t="n"/>
      <c r="I2618" s="43" t="n"/>
      <c r="J2618" s="57">
        <f>IF(OR(A2618="",H2618=""),"",IF(COUNTIFS(exp_year,C2618,exp_month,D2618,exp_item,E2618,exp_status,"&lt;&gt;❌ Отменено")&gt;0,1,0))</f>
        <v/>
      </c>
    </row>
    <row r="2619">
      <c r="A2619" s="52" t="n"/>
      <c r="B2619" s="53">
        <f>IF(A2619="","",CHOOSE(WEEKDAY(A2619,2),"Пн","Вт","Ср","Чт","Пт","Сб","Вс"))</f>
        <v/>
      </c>
      <c r="C2619" s="53">
        <f>IF(A2619="","",YEAR(A2619))</f>
        <v/>
      </c>
      <c r="D2619" s="54">
        <f>IF(A2619="","",INDEX(lst_months,MONTH(A2619)))</f>
        <v/>
      </c>
      <c r="E2619" s="55" t="n"/>
      <c r="F2619" s="54">
        <f>IF(E2619="","",IFERROR(IF(INDEX(lst_exp_item_cat,MATCH(E2619,lst_exp_items,0))="","❔ Без категории",INDEX(lst_exp_item_cat,MATCH(E2619,lst_exp_items,0))),"❔ Без категории"))</f>
        <v/>
      </c>
      <c r="G2619" s="43" t="n"/>
      <c r="H2619" s="56" t="n"/>
      <c r="I2619" s="43" t="n"/>
      <c r="J2619" s="57">
        <f>IF(OR(A2619="",H2619=""),"",IF(COUNTIFS(exp_year,C2619,exp_month,D2619,exp_item,E2619,exp_status,"&lt;&gt;❌ Отменено")&gt;0,1,0))</f>
        <v/>
      </c>
    </row>
    <row r="2620">
      <c r="A2620" s="52" t="n"/>
      <c r="B2620" s="53">
        <f>IF(A2620="","",CHOOSE(WEEKDAY(A2620,2),"Пн","Вт","Ср","Чт","Пт","Сб","Вс"))</f>
        <v/>
      </c>
      <c r="C2620" s="53">
        <f>IF(A2620="","",YEAR(A2620))</f>
        <v/>
      </c>
      <c r="D2620" s="54">
        <f>IF(A2620="","",INDEX(lst_months,MONTH(A2620)))</f>
        <v/>
      </c>
      <c r="E2620" s="55" t="n"/>
      <c r="F2620" s="54">
        <f>IF(E2620="","",IFERROR(IF(INDEX(lst_exp_item_cat,MATCH(E2620,lst_exp_items,0))="","❔ Без категории",INDEX(lst_exp_item_cat,MATCH(E2620,lst_exp_items,0))),"❔ Без категории"))</f>
        <v/>
      </c>
      <c r="G2620" s="43" t="n"/>
      <c r="H2620" s="56" t="n"/>
      <c r="I2620" s="43" t="n"/>
      <c r="J2620" s="57">
        <f>IF(OR(A2620="",H2620=""),"",IF(COUNTIFS(exp_year,C2620,exp_month,D2620,exp_item,E2620,exp_status,"&lt;&gt;❌ Отменено")&gt;0,1,0))</f>
        <v/>
      </c>
    </row>
    <row r="2621">
      <c r="A2621" s="52" t="n"/>
      <c r="B2621" s="53">
        <f>IF(A2621="","",CHOOSE(WEEKDAY(A2621,2),"Пн","Вт","Ср","Чт","Пт","Сб","Вс"))</f>
        <v/>
      </c>
      <c r="C2621" s="53">
        <f>IF(A2621="","",YEAR(A2621))</f>
        <v/>
      </c>
      <c r="D2621" s="54">
        <f>IF(A2621="","",INDEX(lst_months,MONTH(A2621)))</f>
        <v/>
      </c>
      <c r="E2621" s="55" t="n"/>
      <c r="F2621" s="54">
        <f>IF(E2621="","",IFERROR(IF(INDEX(lst_exp_item_cat,MATCH(E2621,lst_exp_items,0))="","❔ Без категории",INDEX(lst_exp_item_cat,MATCH(E2621,lst_exp_items,0))),"❔ Без категории"))</f>
        <v/>
      </c>
      <c r="G2621" s="43" t="n"/>
      <c r="H2621" s="56" t="n"/>
      <c r="I2621" s="43" t="n"/>
      <c r="J2621" s="57">
        <f>IF(OR(A2621="",H2621=""),"",IF(COUNTIFS(exp_year,C2621,exp_month,D2621,exp_item,E2621,exp_status,"&lt;&gt;❌ Отменено")&gt;0,1,0))</f>
        <v/>
      </c>
    </row>
    <row r="2622">
      <c r="A2622" s="52" t="n"/>
      <c r="B2622" s="53">
        <f>IF(A2622="","",CHOOSE(WEEKDAY(A2622,2),"Пн","Вт","Ср","Чт","Пт","Сб","Вс"))</f>
        <v/>
      </c>
      <c r="C2622" s="53">
        <f>IF(A2622="","",YEAR(A2622))</f>
        <v/>
      </c>
      <c r="D2622" s="54">
        <f>IF(A2622="","",INDEX(lst_months,MONTH(A2622)))</f>
        <v/>
      </c>
      <c r="E2622" s="55" t="n"/>
      <c r="F2622" s="54">
        <f>IF(E2622="","",IFERROR(IF(INDEX(lst_exp_item_cat,MATCH(E2622,lst_exp_items,0))="","❔ Без категории",INDEX(lst_exp_item_cat,MATCH(E2622,lst_exp_items,0))),"❔ Без категории"))</f>
        <v/>
      </c>
      <c r="G2622" s="43" t="n"/>
      <c r="H2622" s="56" t="n"/>
      <c r="I2622" s="43" t="n"/>
      <c r="J2622" s="57">
        <f>IF(OR(A2622="",H2622=""),"",IF(COUNTIFS(exp_year,C2622,exp_month,D2622,exp_item,E2622,exp_status,"&lt;&gt;❌ Отменено")&gt;0,1,0))</f>
        <v/>
      </c>
    </row>
    <row r="2623">
      <c r="A2623" s="52" t="n"/>
      <c r="B2623" s="53">
        <f>IF(A2623="","",CHOOSE(WEEKDAY(A2623,2),"Пн","Вт","Ср","Чт","Пт","Сб","Вс"))</f>
        <v/>
      </c>
      <c r="C2623" s="53">
        <f>IF(A2623="","",YEAR(A2623))</f>
        <v/>
      </c>
      <c r="D2623" s="54">
        <f>IF(A2623="","",INDEX(lst_months,MONTH(A2623)))</f>
        <v/>
      </c>
      <c r="E2623" s="55" t="n"/>
      <c r="F2623" s="54">
        <f>IF(E2623="","",IFERROR(IF(INDEX(lst_exp_item_cat,MATCH(E2623,lst_exp_items,0))="","❔ Без категории",INDEX(lst_exp_item_cat,MATCH(E2623,lst_exp_items,0))),"❔ Без категории"))</f>
        <v/>
      </c>
      <c r="G2623" s="43" t="n"/>
      <c r="H2623" s="56" t="n"/>
      <c r="I2623" s="43" t="n"/>
      <c r="J2623" s="57">
        <f>IF(OR(A2623="",H2623=""),"",IF(COUNTIFS(exp_year,C2623,exp_month,D2623,exp_item,E2623,exp_status,"&lt;&gt;❌ Отменено")&gt;0,1,0))</f>
        <v/>
      </c>
    </row>
    <row r="2624">
      <c r="A2624" s="52" t="n"/>
      <c r="B2624" s="53">
        <f>IF(A2624="","",CHOOSE(WEEKDAY(A2624,2),"Пн","Вт","Ср","Чт","Пт","Сб","Вс"))</f>
        <v/>
      </c>
      <c r="C2624" s="53">
        <f>IF(A2624="","",YEAR(A2624))</f>
        <v/>
      </c>
      <c r="D2624" s="54">
        <f>IF(A2624="","",INDEX(lst_months,MONTH(A2624)))</f>
        <v/>
      </c>
      <c r="E2624" s="55" t="n"/>
      <c r="F2624" s="54">
        <f>IF(E2624="","",IFERROR(IF(INDEX(lst_exp_item_cat,MATCH(E2624,lst_exp_items,0))="","❔ Без категории",INDEX(lst_exp_item_cat,MATCH(E2624,lst_exp_items,0))),"❔ Без категории"))</f>
        <v/>
      </c>
      <c r="G2624" s="43" t="n"/>
      <c r="H2624" s="56" t="n"/>
      <c r="I2624" s="43" t="n"/>
      <c r="J2624" s="57">
        <f>IF(OR(A2624="",H2624=""),"",IF(COUNTIFS(exp_year,C2624,exp_month,D2624,exp_item,E2624,exp_status,"&lt;&gt;❌ Отменено")&gt;0,1,0))</f>
        <v/>
      </c>
    </row>
    <row r="2625">
      <c r="A2625" s="52" t="n"/>
      <c r="B2625" s="53">
        <f>IF(A2625="","",CHOOSE(WEEKDAY(A2625,2),"Пн","Вт","Ср","Чт","Пт","Сб","Вс"))</f>
        <v/>
      </c>
      <c r="C2625" s="53">
        <f>IF(A2625="","",YEAR(A2625))</f>
        <v/>
      </c>
      <c r="D2625" s="54">
        <f>IF(A2625="","",INDEX(lst_months,MONTH(A2625)))</f>
        <v/>
      </c>
      <c r="E2625" s="55" t="n"/>
      <c r="F2625" s="54">
        <f>IF(E2625="","",IFERROR(IF(INDEX(lst_exp_item_cat,MATCH(E2625,lst_exp_items,0))="","❔ Без категории",INDEX(lst_exp_item_cat,MATCH(E2625,lst_exp_items,0))),"❔ Без категории"))</f>
        <v/>
      </c>
      <c r="G2625" s="43" t="n"/>
      <c r="H2625" s="56" t="n"/>
      <c r="I2625" s="43" t="n"/>
      <c r="J2625" s="57">
        <f>IF(OR(A2625="",H2625=""),"",IF(COUNTIFS(exp_year,C2625,exp_month,D2625,exp_item,E2625,exp_status,"&lt;&gt;❌ Отменено")&gt;0,1,0))</f>
        <v/>
      </c>
    </row>
    <row r="2626">
      <c r="A2626" s="52" t="n"/>
      <c r="B2626" s="53">
        <f>IF(A2626="","",CHOOSE(WEEKDAY(A2626,2),"Пн","Вт","Ср","Чт","Пт","Сб","Вс"))</f>
        <v/>
      </c>
      <c r="C2626" s="53">
        <f>IF(A2626="","",YEAR(A2626))</f>
        <v/>
      </c>
      <c r="D2626" s="54">
        <f>IF(A2626="","",INDEX(lst_months,MONTH(A2626)))</f>
        <v/>
      </c>
      <c r="E2626" s="55" t="n"/>
      <c r="F2626" s="54">
        <f>IF(E2626="","",IFERROR(IF(INDEX(lst_exp_item_cat,MATCH(E2626,lst_exp_items,0))="","❔ Без категории",INDEX(lst_exp_item_cat,MATCH(E2626,lst_exp_items,0))),"❔ Без категории"))</f>
        <v/>
      </c>
      <c r="G2626" s="43" t="n"/>
      <c r="H2626" s="56" t="n"/>
      <c r="I2626" s="43" t="n"/>
      <c r="J2626" s="57">
        <f>IF(OR(A2626="",H2626=""),"",IF(COUNTIFS(exp_year,C2626,exp_month,D2626,exp_item,E2626,exp_status,"&lt;&gt;❌ Отменено")&gt;0,1,0))</f>
        <v/>
      </c>
    </row>
    <row r="2627">
      <c r="A2627" s="52" t="n"/>
      <c r="B2627" s="53">
        <f>IF(A2627="","",CHOOSE(WEEKDAY(A2627,2),"Пн","Вт","Ср","Чт","Пт","Сб","Вс"))</f>
        <v/>
      </c>
      <c r="C2627" s="53">
        <f>IF(A2627="","",YEAR(A2627))</f>
        <v/>
      </c>
      <c r="D2627" s="54">
        <f>IF(A2627="","",INDEX(lst_months,MONTH(A2627)))</f>
        <v/>
      </c>
      <c r="E2627" s="55" t="n"/>
      <c r="F2627" s="54">
        <f>IF(E2627="","",IFERROR(IF(INDEX(lst_exp_item_cat,MATCH(E2627,lst_exp_items,0))="","❔ Без категории",INDEX(lst_exp_item_cat,MATCH(E2627,lst_exp_items,0))),"❔ Без категории"))</f>
        <v/>
      </c>
      <c r="G2627" s="43" t="n"/>
      <c r="H2627" s="56" t="n"/>
      <c r="I2627" s="43" t="n"/>
      <c r="J2627" s="57">
        <f>IF(OR(A2627="",H2627=""),"",IF(COUNTIFS(exp_year,C2627,exp_month,D2627,exp_item,E2627,exp_status,"&lt;&gt;❌ Отменено")&gt;0,1,0))</f>
        <v/>
      </c>
    </row>
    <row r="2628">
      <c r="A2628" s="52" t="n"/>
      <c r="B2628" s="53">
        <f>IF(A2628="","",CHOOSE(WEEKDAY(A2628,2),"Пн","Вт","Ср","Чт","Пт","Сб","Вс"))</f>
        <v/>
      </c>
      <c r="C2628" s="53">
        <f>IF(A2628="","",YEAR(A2628))</f>
        <v/>
      </c>
      <c r="D2628" s="54">
        <f>IF(A2628="","",INDEX(lst_months,MONTH(A2628)))</f>
        <v/>
      </c>
      <c r="E2628" s="55" t="n"/>
      <c r="F2628" s="54">
        <f>IF(E2628="","",IFERROR(IF(INDEX(lst_exp_item_cat,MATCH(E2628,lst_exp_items,0))="","❔ Без категории",INDEX(lst_exp_item_cat,MATCH(E2628,lst_exp_items,0))),"❔ Без категории"))</f>
        <v/>
      </c>
      <c r="G2628" s="43" t="n"/>
      <c r="H2628" s="56" t="n"/>
      <c r="I2628" s="43" t="n"/>
      <c r="J2628" s="57">
        <f>IF(OR(A2628="",H2628=""),"",IF(COUNTIFS(exp_year,C2628,exp_month,D2628,exp_item,E2628,exp_status,"&lt;&gt;❌ Отменено")&gt;0,1,0))</f>
        <v/>
      </c>
    </row>
    <row r="2629">
      <c r="A2629" s="52" t="n"/>
      <c r="B2629" s="53">
        <f>IF(A2629="","",CHOOSE(WEEKDAY(A2629,2),"Пн","Вт","Ср","Чт","Пт","Сб","Вс"))</f>
        <v/>
      </c>
      <c r="C2629" s="53">
        <f>IF(A2629="","",YEAR(A2629))</f>
        <v/>
      </c>
      <c r="D2629" s="54">
        <f>IF(A2629="","",INDEX(lst_months,MONTH(A2629)))</f>
        <v/>
      </c>
      <c r="E2629" s="55" t="n"/>
      <c r="F2629" s="54">
        <f>IF(E2629="","",IFERROR(IF(INDEX(lst_exp_item_cat,MATCH(E2629,lst_exp_items,0))="","❔ Без категории",INDEX(lst_exp_item_cat,MATCH(E2629,lst_exp_items,0))),"❔ Без категории"))</f>
        <v/>
      </c>
      <c r="G2629" s="43" t="n"/>
      <c r="H2629" s="56" t="n"/>
      <c r="I2629" s="43" t="n"/>
      <c r="J2629" s="57">
        <f>IF(OR(A2629="",H2629=""),"",IF(COUNTIFS(exp_year,C2629,exp_month,D2629,exp_item,E2629,exp_status,"&lt;&gt;❌ Отменено")&gt;0,1,0))</f>
        <v/>
      </c>
    </row>
    <row r="2630">
      <c r="A2630" s="52" t="n"/>
      <c r="B2630" s="53">
        <f>IF(A2630="","",CHOOSE(WEEKDAY(A2630,2),"Пн","Вт","Ср","Чт","Пт","Сб","Вс"))</f>
        <v/>
      </c>
      <c r="C2630" s="53">
        <f>IF(A2630="","",YEAR(A2630))</f>
        <v/>
      </c>
      <c r="D2630" s="54">
        <f>IF(A2630="","",INDEX(lst_months,MONTH(A2630)))</f>
        <v/>
      </c>
      <c r="E2630" s="55" t="n"/>
      <c r="F2630" s="54">
        <f>IF(E2630="","",IFERROR(IF(INDEX(lst_exp_item_cat,MATCH(E2630,lst_exp_items,0))="","❔ Без категории",INDEX(lst_exp_item_cat,MATCH(E2630,lst_exp_items,0))),"❔ Без категории"))</f>
        <v/>
      </c>
      <c r="G2630" s="43" t="n"/>
      <c r="H2630" s="56" t="n"/>
      <c r="I2630" s="43" t="n"/>
      <c r="J2630" s="57">
        <f>IF(OR(A2630="",H2630=""),"",IF(COUNTIFS(exp_year,C2630,exp_month,D2630,exp_item,E2630,exp_status,"&lt;&gt;❌ Отменено")&gt;0,1,0))</f>
        <v/>
      </c>
    </row>
    <row r="2631">
      <c r="A2631" s="52" t="n"/>
      <c r="B2631" s="53">
        <f>IF(A2631="","",CHOOSE(WEEKDAY(A2631,2),"Пн","Вт","Ср","Чт","Пт","Сб","Вс"))</f>
        <v/>
      </c>
      <c r="C2631" s="53">
        <f>IF(A2631="","",YEAR(A2631))</f>
        <v/>
      </c>
      <c r="D2631" s="54">
        <f>IF(A2631="","",INDEX(lst_months,MONTH(A2631)))</f>
        <v/>
      </c>
      <c r="E2631" s="55" t="n"/>
      <c r="F2631" s="54">
        <f>IF(E2631="","",IFERROR(IF(INDEX(lst_exp_item_cat,MATCH(E2631,lst_exp_items,0))="","❔ Без категории",INDEX(lst_exp_item_cat,MATCH(E2631,lst_exp_items,0))),"❔ Без категории"))</f>
        <v/>
      </c>
      <c r="G2631" s="43" t="n"/>
      <c r="H2631" s="56" t="n"/>
      <c r="I2631" s="43" t="n"/>
      <c r="J2631" s="57">
        <f>IF(OR(A2631="",H2631=""),"",IF(COUNTIFS(exp_year,C2631,exp_month,D2631,exp_item,E2631,exp_status,"&lt;&gt;❌ Отменено")&gt;0,1,0))</f>
        <v/>
      </c>
    </row>
    <row r="2632">
      <c r="A2632" s="52" t="n"/>
      <c r="B2632" s="53">
        <f>IF(A2632="","",CHOOSE(WEEKDAY(A2632,2),"Пн","Вт","Ср","Чт","Пт","Сб","Вс"))</f>
        <v/>
      </c>
      <c r="C2632" s="53">
        <f>IF(A2632="","",YEAR(A2632))</f>
        <v/>
      </c>
      <c r="D2632" s="54">
        <f>IF(A2632="","",INDEX(lst_months,MONTH(A2632)))</f>
        <v/>
      </c>
      <c r="E2632" s="55" t="n"/>
      <c r="F2632" s="54">
        <f>IF(E2632="","",IFERROR(IF(INDEX(lst_exp_item_cat,MATCH(E2632,lst_exp_items,0))="","❔ Без категории",INDEX(lst_exp_item_cat,MATCH(E2632,lst_exp_items,0))),"❔ Без категории"))</f>
        <v/>
      </c>
      <c r="G2632" s="43" t="n"/>
      <c r="H2632" s="56" t="n"/>
      <c r="I2632" s="43" t="n"/>
      <c r="J2632" s="57">
        <f>IF(OR(A2632="",H2632=""),"",IF(COUNTIFS(exp_year,C2632,exp_month,D2632,exp_item,E2632,exp_status,"&lt;&gt;❌ Отменено")&gt;0,1,0))</f>
        <v/>
      </c>
    </row>
    <row r="2633">
      <c r="A2633" s="52" t="n"/>
      <c r="B2633" s="53">
        <f>IF(A2633="","",CHOOSE(WEEKDAY(A2633,2),"Пн","Вт","Ср","Чт","Пт","Сб","Вс"))</f>
        <v/>
      </c>
      <c r="C2633" s="53">
        <f>IF(A2633="","",YEAR(A2633))</f>
        <v/>
      </c>
      <c r="D2633" s="54">
        <f>IF(A2633="","",INDEX(lst_months,MONTH(A2633)))</f>
        <v/>
      </c>
      <c r="E2633" s="55" t="n"/>
      <c r="F2633" s="54">
        <f>IF(E2633="","",IFERROR(IF(INDEX(lst_exp_item_cat,MATCH(E2633,lst_exp_items,0))="","❔ Без категории",INDEX(lst_exp_item_cat,MATCH(E2633,lst_exp_items,0))),"❔ Без категории"))</f>
        <v/>
      </c>
      <c r="G2633" s="43" t="n"/>
      <c r="H2633" s="56" t="n"/>
      <c r="I2633" s="43" t="n"/>
      <c r="J2633" s="57">
        <f>IF(OR(A2633="",H2633=""),"",IF(COUNTIFS(exp_year,C2633,exp_month,D2633,exp_item,E2633,exp_status,"&lt;&gt;❌ Отменено")&gt;0,1,0))</f>
        <v/>
      </c>
    </row>
    <row r="2634">
      <c r="A2634" s="52" t="n"/>
      <c r="B2634" s="53">
        <f>IF(A2634="","",CHOOSE(WEEKDAY(A2634,2),"Пн","Вт","Ср","Чт","Пт","Сб","Вс"))</f>
        <v/>
      </c>
      <c r="C2634" s="53">
        <f>IF(A2634="","",YEAR(A2634))</f>
        <v/>
      </c>
      <c r="D2634" s="54">
        <f>IF(A2634="","",INDEX(lst_months,MONTH(A2634)))</f>
        <v/>
      </c>
      <c r="E2634" s="55" t="n"/>
      <c r="F2634" s="54">
        <f>IF(E2634="","",IFERROR(IF(INDEX(lst_exp_item_cat,MATCH(E2634,lst_exp_items,0))="","❔ Без категории",INDEX(lst_exp_item_cat,MATCH(E2634,lst_exp_items,0))),"❔ Без категории"))</f>
        <v/>
      </c>
      <c r="G2634" s="43" t="n"/>
      <c r="H2634" s="56" t="n"/>
      <c r="I2634" s="43" t="n"/>
      <c r="J2634" s="57">
        <f>IF(OR(A2634="",H2634=""),"",IF(COUNTIFS(exp_year,C2634,exp_month,D2634,exp_item,E2634,exp_status,"&lt;&gt;❌ Отменено")&gt;0,1,0))</f>
        <v/>
      </c>
    </row>
    <row r="2635">
      <c r="A2635" s="52" t="n"/>
      <c r="B2635" s="53">
        <f>IF(A2635="","",CHOOSE(WEEKDAY(A2635,2),"Пн","Вт","Ср","Чт","Пт","Сб","Вс"))</f>
        <v/>
      </c>
      <c r="C2635" s="53">
        <f>IF(A2635="","",YEAR(A2635))</f>
        <v/>
      </c>
      <c r="D2635" s="54">
        <f>IF(A2635="","",INDEX(lst_months,MONTH(A2635)))</f>
        <v/>
      </c>
      <c r="E2635" s="55" t="n"/>
      <c r="F2635" s="54">
        <f>IF(E2635="","",IFERROR(IF(INDEX(lst_exp_item_cat,MATCH(E2635,lst_exp_items,0))="","❔ Без категории",INDEX(lst_exp_item_cat,MATCH(E2635,lst_exp_items,0))),"❔ Без категории"))</f>
        <v/>
      </c>
      <c r="G2635" s="43" t="n"/>
      <c r="H2635" s="56" t="n"/>
      <c r="I2635" s="43" t="n"/>
      <c r="J2635" s="57">
        <f>IF(OR(A2635="",H2635=""),"",IF(COUNTIFS(exp_year,C2635,exp_month,D2635,exp_item,E2635,exp_status,"&lt;&gt;❌ Отменено")&gt;0,1,0))</f>
        <v/>
      </c>
    </row>
    <row r="2636">
      <c r="A2636" s="52" t="n"/>
      <c r="B2636" s="53">
        <f>IF(A2636="","",CHOOSE(WEEKDAY(A2636,2),"Пн","Вт","Ср","Чт","Пт","Сб","Вс"))</f>
        <v/>
      </c>
      <c r="C2636" s="53">
        <f>IF(A2636="","",YEAR(A2636))</f>
        <v/>
      </c>
      <c r="D2636" s="54">
        <f>IF(A2636="","",INDEX(lst_months,MONTH(A2636)))</f>
        <v/>
      </c>
      <c r="E2636" s="55" t="n"/>
      <c r="F2636" s="54">
        <f>IF(E2636="","",IFERROR(IF(INDEX(lst_exp_item_cat,MATCH(E2636,lst_exp_items,0))="","❔ Без категории",INDEX(lst_exp_item_cat,MATCH(E2636,lst_exp_items,0))),"❔ Без категории"))</f>
        <v/>
      </c>
      <c r="G2636" s="43" t="n"/>
      <c r="H2636" s="56" t="n"/>
      <c r="I2636" s="43" t="n"/>
      <c r="J2636" s="57">
        <f>IF(OR(A2636="",H2636=""),"",IF(COUNTIFS(exp_year,C2636,exp_month,D2636,exp_item,E2636,exp_status,"&lt;&gt;❌ Отменено")&gt;0,1,0))</f>
        <v/>
      </c>
    </row>
    <row r="2637">
      <c r="A2637" s="52" t="n"/>
      <c r="B2637" s="53">
        <f>IF(A2637="","",CHOOSE(WEEKDAY(A2637,2),"Пн","Вт","Ср","Чт","Пт","Сб","Вс"))</f>
        <v/>
      </c>
      <c r="C2637" s="53">
        <f>IF(A2637="","",YEAR(A2637))</f>
        <v/>
      </c>
      <c r="D2637" s="54">
        <f>IF(A2637="","",INDEX(lst_months,MONTH(A2637)))</f>
        <v/>
      </c>
      <c r="E2637" s="55" t="n"/>
      <c r="F2637" s="54">
        <f>IF(E2637="","",IFERROR(IF(INDEX(lst_exp_item_cat,MATCH(E2637,lst_exp_items,0))="","❔ Без категории",INDEX(lst_exp_item_cat,MATCH(E2637,lst_exp_items,0))),"❔ Без категории"))</f>
        <v/>
      </c>
      <c r="G2637" s="43" t="n"/>
      <c r="H2637" s="56" t="n"/>
      <c r="I2637" s="43" t="n"/>
      <c r="J2637" s="57">
        <f>IF(OR(A2637="",H2637=""),"",IF(COUNTIFS(exp_year,C2637,exp_month,D2637,exp_item,E2637,exp_status,"&lt;&gt;❌ Отменено")&gt;0,1,0))</f>
        <v/>
      </c>
    </row>
    <row r="2638">
      <c r="A2638" s="52" t="n"/>
      <c r="B2638" s="53">
        <f>IF(A2638="","",CHOOSE(WEEKDAY(A2638,2),"Пн","Вт","Ср","Чт","Пт","Сб","Вс"))</f>
        <v/>
      </c>
      <c r="C2638" s="53">
        <f>IF(A2638="","",YEAR(A2638))</f>
        <v/>
      </c>
      <c r="D2638" s="54">
        <f>IF(A2638="","",INDEX(lst_months,MONTH(A2638)))</f>
        <v/>
      </c>
      <c r="E2638" s="55" t="n"/>
      <c r="F2638" s="54">
        <f>IF(E2638="","",IFERROR(IF(INDEX(lst_exp_item_cat,MATCH(E2638,lst_exp_items,0))="","❔ Без категории",INDEX(lst_exp_item_cat,MATCH(E2638,lst_exp_items,0))),"❔ Без категории"))</f>
        <v/>
      </c>
      <c r="G2638" s="43" t="n"/>
      <c r="H2638" s="56" t="n"/>
      <c r="I2638" s="43" t="n"/>
      <c r="J2638" s="57">
        <f>IF(OR(A2638="",H2638=""),"",IF(COUNTIFS(exp_year,C2638,exp_month,D2638,exp_item,E2638,exp_status,"&lt;&gt;❌ Отменено")&gt;0,1,0))</f>
        <v/>
      </c>
    </row>
    <row r="2639">
      <c r="A2639" s="52" t="n"/>
      <c r="B2639" s="53">
        <f>IF(A2639="","",CHOOSE(WEEKDAY(A2639,2),"Пн","Вт","Ср","Чт","Пт","Сб","Вс"))</f>
        <v/>
      </c>
      <c r="C2639" s="53">
        <f>IF(A2639="","",YEAR(A2639))</f>
        <v/>
      </c>
      <c r="D2639" s="54">
        <f>IF(A2639="","",INDEX(lst_months,MONTH(A2639)))</f>
        <v/>
      </c>
      <c r="E2639" s="55" t="n"/>
      <c r="F2639" s="54">
        <f>IF(E2639="","",IFERROR(IF(INDEX(lst_exp_item_cat,MATCH(E2639,lst_exp_items,0))="","❔ Без категории",INDEX(lst_exp_item_cat,MATCH(E2639,lst_exp_items,0))),"❔ Без категории"))</f>
        <v/>
      </c>
      <c r="G2639" s="43" t="n"/>
      <c r="H2639" s="56" t="n"/>
      <c r="I2639" s="43" t="n"/>
      <c r="J2639" s="57">
        <f>IF(OR(A2639="",H2639=""),"",IF(COUNTIFS(exp_year,C2639,exp_month,D2639,exp_item,E2639,exp_status,"&lt;&gt;❌ Отменено")&gt;0,1,0))</f>
        <v/>
      </c>
    </row>
    <row r="2640">
      <c r="A2640" s="52" t="n"/>
      <c r="B2640" s="53">
        <f>IF(A2640="","",CHOOSE(WEEKDAY(A2640,2),"Пн","Вт","Ср","Чт","Пт","Сб","Вс"))</f>
        <v/>
      </c>
      <c r="C2640" s="53">
        <f>IF(A2640="","",YEAR(A2640))</f>
        <v/>
      </c>
      <c r="D2640" s="54">
        <f>IF(A2640="","",INDEX(lst_months,MONTH(A2640)))</f>
        <v/>
      </c>
      <c r="E2640" s="55" t="n"/>
      <c r="F2640" s="54">
        <f>IF(E2640="","",IFERROR(IF(INDEX(lst_exp_item_cat,MATCH(E2640,lst_exp_items,0))="","❔ Без категории",INDEX(lst_exp_item_cat,MATCH(E2640,lst_exp_items,0))),"❔ Без категории"))</f>
        <v/>
      </c>
      <c r="G2640" s="43" t="n"/>
      <c r="H2640" s="56" t="n"/>
      <c r="I2640" s="43" t="n"/>
      <c r="J2640" s="57">
        <f>IF(OR(A2640="",H2640=""),"",IF(COUNTIFS(exp_year,C2640,exp_month,D2640,exp_item,E2640,exp_status,"&lt;&gt;❌ Отменено")&gt;0,1,0))</f>
        <v/>
      </c>
    </row>
    <row r="2641">
      <c r="A2641" s="52" t="n"/>
      <c r="B2641" s="53">
        <f>IF(A2641="","",CHOOSE(WEEKDAY(A2641,2),"Пн","Вт","Ср","Чт","Пт","Сб","Вс"))</f>
        <v/>
      </c>
      <c r="C2641" s="53">
        <f>IF(A2641="","",YEAR(A2641))</f>
        <v/>
      </c>
      <c r="D2641" s="54">
        <f>IF(A2641="","",INDEX(lst_months,MONTH(A2641)))</f>
        <v/>
      </c>
      <c r="E2641" s="55" t="n"/>
      <c r="F2641" s="54">
        <f>IF(E2641="","",IFERROR(IF(INDEX(lst_exp_item_cat,MATCH(E2641,lst_exp_items,0))="","❔ Без категории",INDEX(lst_exp_item_cat,MATCH(E2641,lst_exp_items,0))),"❔ Без категории"))</f>
        <v/>
      </c>
      <c r="G2641" s="43" t="n"/>
      <c r="H2641" s="56" t="n"/>
      <c r="I2641" s="43" t="n"/>
      <c r="J2641" s="57">
        <f>IF(OR(A2641="",H2641=""),"",IF(COUNTIFS(exp_year,C2641,exp_month,D2641,exp_item,E2641,exp_status,"&lt;&gt;❌ Отменено")&gt;0,1,0))</f>
        <v/>
      </c>
    </row>
    <row r="2642">
      <c r="A2642" s="52" t="n"/>
      <c r="B2642" s="53">
        <f>IF(A2642="","",CHOOSE(WEEKDAY(A2642,2),"Пн","Вт","Ср","Чт","Пт","Сб","Вс"))</f>
        <v/>
      </c>
      <c r="C2642" s="53">
        <f>IF(A2642="","",YEAR(A2642))</f>
        <v/>
      </c>
      <c r="D2642" s="54">
        <f>IF(A2642="","",INDEX(lst_months,MONTH(A2642)))</f>
        <v/>
      </c>
      <c r="E2642" s="55" t="n"/>
      <c r="F2642" s="54">
        <f>IF(E2642="","",IFERROR(IF(INDEX(lst_exp_item_cat,MATCH(E2642,lst_exp_items,0))="","❔ Без категории",INDEX(lst_exp_item_cat,MATCH(E2642,lst_exp_items,0))),"❔ Без категории"))</f>
        <v/>
      </c>
      <c r="G2642" s="43" t="n"/>
      <c r="H2642" s="56" t="n"/>
      <c r="I2642" s="43" t="n"/>
      <c r="J2642" s="57">
        <f>IF(OR(A2642="",H2642=""),"",IF(COUNTIFS(exp_year,C2642,exp_month,D2642,exp_item,E2642,exp_status,"&lt;&gt;❌ Отменено")&gt;0,1,0))</f>
        <v/>
      </c>
    </row>
    <row r="2643">
      <c r="A2643" s="52" t="n"/>
      <c r="B2643" s="53">
        <f>IF(A2643="","",CHOOSE(WEEKDAY(A2643,2),"Пн","Вт","Ср","Чт","Пт","Сб","Вс"))</f>
        <v/>
      </c>
      <c r="C2643" s="53">
        <f>IF(A2643="","",YEAR(A2643))</f>
        <v/>
      </c>
      <c r="D2643" s="54">
        <f>IF(A2643="","",INDEX(lst_months,MONTH(A2643)))</f>
        <v/>
      </c>
      <c r="E2643" s="55" t="n"/>
      <c r="F2643" s="54">
        <f>IF(E2643="","",IFERROR(IF(INDEX(lst_exp_item_cat,MATCH(E2643,lst_exp_items,0))="","❔ Без категории",INDEX(lst_exp_item_cat,MATCH(E2643,lst_exp_items,0))),"❔ Без категории"))</f>
        <v/>
      </c>
      <c r="G2643" s="43" t="n"/>
      <c r="H2643" s="56" t="n"/>
      <c r="I2643" s="43" t="n"/>
      <c r="J2643" s="57">
        <f>IF(OR(A2643="",H2643=""),"",IF(COUNTIFS(exp_year,C2643,exp_month,D2643,exp_item,E2643,exp_status,"&lt;&gt;❌ Отменено")&gt;0,1,0))</f>
        <v/>
      </c>
    </row>
    <row r="2644">
      <c r="A2644" s="52" t="n"/>
      <c r="B2644" s="53">
        <f>IF(A2644="","",CHOOSE(WEEKDAY(A2644,2),"Пн","Вт","Ср","Чт","Пт","Сб","Вс"))</f>
        <v/>
      </c>
      <c r="C2644" s="53">
        <f>IF(A2644="","",YEAR(A2644))</f>
        <v/>
      </c>
      <c r="D2644" s="54">
        <f>IF(A2644="","",INDEX(lst_months,MONTH(A2644)))</f>
        <v/>
      </c>
      <c r="E2644" s="55" t="n"/>
      <c r="F2644" s="54">
        <f>IF(E2644="","",IFERROR(IF(INDEX(lst_exp_item_cat,MATCH(E2644,lst_exp_items,0))="","❔ Без категории",INDEX(lst_exp_item_cat,MATCH(E2644,lst_exp_items,0))),"❔ Без категории"))</f>
        <v/>
      </c>
      <c r="G2644" s="43" t="n"/>
      <c r="H2644" s="56" t="n"/>
      <c r="I2644" s="43" t="n"/>
      <c r="J2644" s="57">
        <f>IF(OR(A2644="",H2644=""),"",IF(COUNTIFS(exp_year,C2644,exp_month,D2644,exp_item,E2644,exp_status,"&lt;&gt;❌ Отменено")&gt;0,1,0))</f>
        <v/>
      </c>
    </row>
    <row r="2645">
      <c r="A2645" s="52" t="n"/>
      <c r="B2645" s="53">
        <f>IF(A2645="","",CHOOSE(WEEKDAY(A2645,2),"Пн","Вт","Ср","Чт","Пт","Сб","Вс"))</f>
        <v/>
      </c>
      <c r="C2645" s="53">
        <f>IF(A2645="","",YEAR(A2645))</f>
        <v/>
      </c>
      <c r="D2645" s="54">
        <f>IF(A2645="","",INDEX(lst_months,MONTH(A2645)))</f>
        <v/>
      </c>
      <c r="E2645" s="55" t="n"/>
      <c r="F2645" s="54">
        <f>IF(E2645="","",IFERROR(IF(INDEX(lst_exp_item_cat,MATCH(E2645,lst_exp_items,0))="","❔ Без категории",INDEX(lst_exp_item_cat,MATCH(E2645,lst_exp_items,0))),"❔ Без категории"))</f>
        <v/>
      </c>
      <c r="G2645" s="43" t="n"/>
      <c r="H2645" s="56" t="n"/>
      <c r="I2645" s="43" t="n"/>
      <c r="J2645" s="57">
        <f>IF(OR(A2645="",H2645=""),"",IF(COUNTIFS(exp_year,C2645,exp_month,D2645,exp_item,E2645,exp_status,"&lt;&gt;❌ Отменено")&gt;0,1,0))</f>
        <v/>
      </c>
    </row>
    <row r="2646">
      <c r="A2646" s="52" t="n"/>
      <c r="B2646" s="53">
        <f>IF(A2646="","",CHOOSE(WEEKDAY(A2646,2),"Пн","Вт","Ср","Чт","Пт","Сб","Вс"))</f>
        <v/>
      </c>
      <c r="C2646" s="53">
        <f>IF(A2646="","",YEAR(A2646))</f>
        <v/>
      </c>
      <c r="D2646" s="54">
        <f>IF(A2646="","",INDEX(lst_months,MONTH(A2646)))</f>
        <v/>
      </c>
      <c r="E2646" s="55" t="n"/>
      <c r="F2646" s="54">
        <f>IF(E2646="","",IFERROR(IF(INDEX(lst_exp_item_cat,MATCH(E2646,lst_exp_items,0))="","❔ Без категории",INDEX(lst_exp_item_cat,MATCH(E2646,lst_exp_items,0))),"❔ Без категории"))</f>
        <v/>
      </c>
      <c r="G2646" s="43" t="n"/>
      <c r="H2646" s="56" t="n"/>
      <c r="I2646" s="43" t="n"/>
      <c r="J2646" s="57">
        <f>IF(OR(A2646="",H2646=""),"",IF(COUNTIFS(exp_year,C2646,exp_month,D2646,exp_item,E2646,exp_status,"&lt;&gt;❌ Отменено")&gt;0,1,0))</f>
        <v/>
      </c>
    </row>
    <row r="2647">
      <c r="A2647" s="52" t="n"/>
      <c r="B2647" s="53">
        <f>IF(A2647="","",CHOOSE(WEEKDAY(A2647,2),"Пн","Вт","Ср","Чт","Пт","Сб","Вс"))</f>
        <v/>
      </c>
      <c r="C2647" s="53">
        <f>IF(A2647="","",YEAR(A2647))</f>
        <v/>
      </c>
      <c r="D2647" s="54">
        <f>IF(A2647="","",INDEX(lst_months,MONTH(A2647)))</f>
        <v/>
      </c>
      <c r="E2647" s="55" t="n"/>
      <c r="F2647" s="54">
        <f>IF(E2647="","",IFERROR(IF(INDEX(lst_exp_item_cat,MATCH(E2647,lst_exp_items,0))="","❔ Без категории",INDEX(lst_exp_item_cat,MATCH(E2647,lst_exp_items,0))),"❔ Без категории"))</f>
        <v/>
      </c>
      <c r="G2647" s="43" t="n"/>
      <c r="H2647" s="56" t="n"/>
      <c r="I2647" s="43" t="n"/>
      <c r="J2647" s="57">
        <f>IF(OR(A2647="",H2647=""),"",IF(COUNTIFS(exp_year,C2647,exp_month,D2647,exp_item,E2647,exp_status,"&lt;&gt;❌ Отменено")&gt;0,1,0))</f>
        <v/>
      </c>
    </row>
    <row r="2648">
      <c r="A2648" s="52" t="n"/>
      <c r="B2648" s="53">
        <f>IF(A2648="","",CHOOSE(WEEKDAY(A2648,2),"Пн","Вт","Ср","Чт","Пт","Сб","Вс"))</f>
        <v/>
      </c>
      <c r="C2648" s="53">
        <f>IF(A2648="","",YEAR(A2648))</f>
        <v/>
      </c>
      <c r="D2648" s="54">
        <f>IF(A2648="","",INDEX(lst_months,MONTH(A2648)))</f>
        <v/>
      </c>
      <c r="E2648" s="55" t="n"/>
      <c r="F2648" s="54">
        <f>IF(E2648="","",IFERROR(IF(INDEX(lst_exp_item_cat,MATCH(E2648,lst_exp_items,0))="","❔ Без категории",INDEX(lst_exp_item_cat,MATCH(E2648,lst_exp_items,0))),"❔ Без категории"))</f>
        <v/>
      </c>
      <c r="G2648" s="43" t="n"/>
      <c r="H2648" s="56" t="n"/>
      <c r="I2648" s="43" t="n"/>
      <c r="J2648" s="57">
        <f>IF(OR(A2648="",H2648=""),"",IF(COUNTIFS(exp_year,C2648,exp_month,D2648,exp_item,E2648,exp_status,"&lt;&gt;❌ Отменено")&gt;0,1,0))</f>
        <v/>
      </c>
    </row>
    <row r="2649">
      <c r="A2649" s="52" t="n"/>
      <c r="B2649" s="53">
        <f>IF(A2649="","",CHOOSE(WEEKDAY(A2649,2),"Пн","Вт","Ср","Чт","Пт","Сб","Вс"))</f>
        <v/>
      </c>
      <c r="C2649" s="53">
        <f>IF(A2649="","",YEAR(A2649))</f>
        <v/>
      </c>
      <c r="D2649" s="54">
        <f>IF(A2649="","",INDEX(lst_months,MONTH(A2649)))</f>
        <v/>
      </c>
      <c r="E2649" s="55" t="n"/>
      <c r="F2649" s="54">
        <f>IF(E2649="","",IFERROR(IF(INDEX(lst_exp_item_cat,MATCH(E2649,lst_exp_items,0))="","❔ Без категории",INDEX(lst_exp_item_cat,MATCH(E2649,lst_exp_items,0))),"❔ Без категории"))</f>
        <v/>
      </c>
      <c r="G2649" s="43" t="n"/>
      <c r="H2649" s="56" t="n"/>
      <c r="I2649" s="43" t="n"/>
      <c r="J2649" s="57">
        <f>IF(OR(A2649="",H2649=""),"",IF(COUNTIFS(exp_year,C2649,exp_month,D2649,exp_item,E2649,exp_status,"&lt;&gt;❌ Отменено")&gt;0,1,0))</f>
        <v/>
      </c>
    </row>
    <row r="2650">
      <c r="A2650" s="52" t="n"/>
      <c r="B2650" s="53">
        <f>IF(A2650="","",CHOOSE(WEEKDAY(A2650,2),"Пн","Вт","Ср","Чт","Пт","Сб","Вс"))</f>
        <v/>
      </c>
      <c r="C2650" s="53">
        <f>IF(A2650="","",YEAR(A2650))</f>
        <v/>
      </c>
      <c r="D2650" s="54">
        <f>IF(A2650="","",INDEX(lst_months,MONTH(A2650)))</f>
        <v/>
      </c>
      <c r="E2650" s="55" t="n"/>
      <c r="F2650" s="54">
        <f>IF(E2650="","",IFERROR(IF(INDEX(lst_exp_item_cat,MATCH(E2650,lst_exp_items,0))="","❔ Без категории",INDEX(lst_exp_item_cat,MATCH(E2650,lst_exp_items,0))),"❔ Без категории"))</f>
        <v/>
      </c>
      <c r="G2650" s="43" t="n"/>
      <c r="H2650" s="56" t="n"/>
      <c r="I2650" s="43" t="n"/>
      <c r="J2650" s="57">
        <f>IF(OR(A2650="",H2650=""),"",IF(COUNTIFS(exp_year,C2650,exp_month,D2650,exp_item,E2650,exp_status,"&lt;&gt;❌ Отменено")&gt;0,1,0))</f>
        <v/>
      </c>
    </row>
    <row r="2651">
      <c r="A2651" s="52" t="n"/>
      <c r="B2651" s="53">
        <f>IF(A2651="","",CHOOSE(WEEKDAY(A2651,2),"Пн","Вт","Ср","Чт","Пт","Сб","Вс"))</f>
        <v/>
      </c>
      <c r="C2651" s="53">
        <f>IF(A2651="","",YEAR(A2651))</f>
        <v/>
      </c>
      <c r="D2651" s="54">
        <f>IF(A2651="","",INDEX(lst_months,MONTH(A2651)))</f>
        <v/>
      </c>
      <c r="E2651" s="55" t="n"/>
      <c r="F2651" s="54">
        <f>IF(E2651="","",IFERROR(IF(INDEX(lst_exp_item_cat,MATCH(E2651,lst_exp_items,0))="","❔ Без категории",INDEX(lst_exp_item_cat,MATCH(E2651,lst_exp_items,0))),"❔ Без категории"))</f>
        <v/>
      </c>
      <c r="G2651" s="43" t="n"/>
      <c r="H2651" s="56" t="n"/>
      <c r="I2651" s="43" t="n"/>
      <c r="J2651" s="57">
        <f>IF(OR(A2651="",H2651=""),"",IF(COUNTIFS(exp_year,C2651,exp_month,D2651,exp_item,E2651,exp_status,"&lt;&gt;❌ Отменено")&gt;0,1,0))</f>
        <v/>
      </c>
    </row>
    <row r="2652">
      <c r="A2652" s="52" t="n"/>
      <c r="B2652" s="53">
        <f>IF(A2652="","",CHOOSE(WEEKDAY(A2652,2),"Пн","Вт","Ср","Чт","Пт","Сб","Вс"))</f>
        <v/>
      </c>
      <c r="C2652" s="53">
        <f>IF(A2652="","",YEAR(A2652))</f>
        <v/>
      </c>
      <c r="D2652" s="54">
        <f>IF(A2652="","",INDEX(lst_months,MONTH(A2652)))</f>
        <v/>
      </c>
      <c r="E2652" s="55" t="n"/>
      <c r="F2652" s="54">
        <f>IF(E2652="","",IFERROR(IF(INDEX(lst_exp_item_cat,MATCH(E2652,lst_exp_items,0))="","❔ Без категории",INDEX(lst_exp_item_cat,MATCH(E2652,lst_exp_items,0))),"❔ Без категории"))</f>
        <v/>
      </c>
      <c r="G2652" s="43" t="n"/>
      <c r="H2652" s="56" t="n"/>
      <c r="I2652" s="43" t="n"/>
      <c r="J2652" s="57">
        <f>IF(OR(A2652="",H2652=""),"",IF(COUNTIFS(exp_year,C2652,exp_month,D2652,exp_item,E2652,exp_status,"&lt;&gt;❌ Отменено")&gt;0,1,0))</f>
        <v/>
      </c>
    </row>
    <row r="2653">
      <c r="A2653" s="52" t="n"/>
      <c r="B2653" s="53">
        <f>IF(A2653="","",CHOOSE(WEEKDAY(A2653,2),"Пн","Вт","Ср","Чт","Пт","Сб","Вс"))</f>
        <v/>
      </c>
      <c r="C2653" s="53">
        <f>IF(A2653="","",YEAR(A2653))</f>
        <v/>
      </c>
      <c r="D2653" s="54">
        <f>IF(A2653="","",INDEX(lst_months,MONTH(A2653)))</f>
        <v/>
      </c>
      <c r="E2653" s="55" t="n"/>
      <c r="F2653" s="54">
        <f>IF(E2653="","",IFERROR(IF(INDEX(lst_exp_item_cat,MATCH(E2653,lst_exp_items,0))="","❔ Без категории",INDEX(lst_exp_item_cat,MATCH(E2653,lst_exp_items,0))),"❔ Без категории"))</f>
        <v/>
      </c>
      <c r="G2653" s="43" t="n"/>
      <c r="H2653" s="56" t="n"/>
      <c r="I2653" s="43" t="n"/>
      <c r="J2653" s="57">
        <f>IF(OR(A2653="",H2653=""),"",IF(COUNTIFS(exp_year,C2653,exp_month,D2653,exp_item,E2653,exp_status,"&lt;&gt;❌ Отменено")&gt;0,1,0))</f>
        <v/>
      </c>
    </row>
    <row r="2654">
      <c r="A2654" s="52" t="n"/>
      <c r="B2654" s="53">
        <f>IF(A2654="","",CHOOSE(WEEKDAY(A2654,2),"Пн","Вт","Ср","Чт","Пт","Сб","Вс"))</f>
        <v/>
      </c>
      <c r="C2654" s="53">
        <f>IF(A2654="","",YEAR(A2654))</f>
        <v/>
      </c>
      <c r="D2654" s="54">
        <f>IF(A2654="","",INDEX(lst_months,MONTH(A2654)))</f>
        <v/>
      </c>
      <c r="E2654" s="55" t="n"/>
      <c r="F2654" s="54">
        <f>IF(E2654="","",IFERROR(IF(INDEX(lst_exp_item_cat,MATCH(E2654,lst_exp_items,0))="","❔ Без категории",INDEX(lst_exp_item_cat,MATCH(E2654,lst_exp_items,0))),"❔ Без категории"))</f>
        <v/>
      </c>
      <c r="G2654" s="43" t="n"/>
      <c r="H2654" s="56" t="n"/>
      <c r="I2654" s="43" t="n"/>
      <c r="J2654" s="57">
        <f>IF(OR(A2654="",H2654=""),"",IF(COUNTIFS(exp_year,C2654,exp_month,D2654,exp_item,E2654,exp_status,"&lt;&gt;❌ Отменено")&gt;0,1,0))</f>
        <v/>
      </c>
    </row>
    <row r="2655">
      <c r="A2655" s="52" t="n"/>
      <c r="B2655" s="53">
        <f>IF(A2655="","",CHOOSE(WEEKDAY(A2655,2),"Пн","Вт","Ср","Чт","Пт","Сб","Вс"))</f>
        <v/>
      </c>
      <c r="C2655" s="53">
        <f>IF(A2655="","",YEAR(A2655))</f>
        <v/>
      </c>
      <c r="D2655" s="54">
        <f>IF(A2655="","",INDEX(lst_months,MONTH(A2655)))</f>
        <v/>
      </c>
      <c r="E2655" s="55" t="n"/>
      <c r="F2655" s="54">
        <f>IF(E2655="","",IFERROR(IF(INDEX(lst_exp_item_cat,MATCH(E2655,lst_exp_items,0))="","❔ Без категории",INDEX(lst_exp_item_cat,MATCH(E2655,lst_exp_items,0))),"❔ Без категории"))</f>
        <v/>
      </c>
      <c r="G2655" s="43" t="n"/>
      <c r="H2655" s="56" t="n"/>
      <c r="I2655" s="43" t="n"/>
      <c r="J2655" s="57">
        <f>IF(OR(A2655="",H2655=""),"",IF(COUNTIFS(exp_year,C2655,exp_month,D2655,exp_item,E2655,exp_status,"&lt;&gt;❌ Отменено")&gt;0,1,0))</f>
        <v/>
      </c>
    </row>
    <row r="2656">
      <c r="A2656" s="52" t="n"/>
      <c r="B2656" s="53">
        <f>IF(A2656="","",CHOOSE(WEEKDAY(A2656,2),"Пн","Вт","Ср","Чт","Пт","Сб","Вс"))</f>
        <v/>
      </c>
      <c r="C2656" s="53">
        <f>IF(A2656="","",YEAR(A2656))</f>
        <v/>
      </c>
      <c r="D2656" s="54">
        <f>IF(A2656="","",INDEX(lst_months,MONTH(A2656)))</f>
        <v/>
      </c>
      <c r="E2656" s="55" t="n"/>
      <c r="F2656" s="54">
        <f>IF(E2656="","",IFERROR(IF(INDEX(lst_exp_item_cat,MATCH(E2656,lst_exp_items,0))="","❔ Без категории",INDEX(lst_exp_item_cat,MATCH(E2656,lst_exp_items,0))),"❔ Без категории"))</f>
        <v/>
      </c>
      <c r="G2656" s="43" t="n"/>
      <c r="H2656" s="56" t="n"/>
      <c r="I2656" s="43" t="n"/>
      <c r="J2656" s="57">
        <f>IF(OR(A2656="",H2656=""),"",IF(COUNTIFS(exp_year,C2656,exp_month,D2656,exp_item,E2656,exp_status,"&lt;&gt;❌ Отменено")&gt;0,1,0))</f>
        <v/>
      </c>
    </row>
    <row r="2657">
      <c r="A2657" s="52" t="n"/>
      <c r="B2657" s="53">
        <f>IF(A2657="","",CHOOSE(WEEKDAY(A2657,2),"Пн","Вт","Ср","Чт","Пт","Сб","Вс"))</f>
        <v/>
      </c>
      <c r="C2657" s="53">
        <f>IF(A2657="","",YEAR(A2657))</f>
        <v/>
      </c>
      <c r="D2657" s="54">
        <f>IF(A2657="","",INDEX(lst_months,MONTH(A2657)))</f>
        <v/>
      </c>
      <c r="E2657" s="55" t="n"/>
      <c r="F2657" s="54">
        <f>IF(E2657="","",IFERROR(IF(INDEX(lst_exp_item_cat,MATCH(E2657,lst_exp_items,0))="","❔ Без категории",INDEX(lst_exp_item_cat,MATCH(E2657,lst_exp_items,0))),"❔ Без категории"))</f>
        <v/>
      </c>
      <c r="G2657" s="43" t="n"/>
      <c r="H2657" s="56" t="n"/>
      <c r="I2657" s="43" t="n"/>
      <c r="J2657" s="57">
        <f>IF(OR(A2657="",H2657=""),"",IF(COUNTIFS(exp_year,C2657,exp_month,D2657,exp_item,E2657,exp_status,"&lt;&gt;❌ Отменено")&gt;0,1,0))</f>
        <v/>
      </c>
    </row>
    <row r="2658">
      <c r="A2658" s="52" t="n"/>
      <c r="B2658" s="53">
        <f>IF(A2658="","",CHOOSE(WEEKDAY(A2658,2),"Пн","Вт","Ср","Чт","Пт","Сб","Вс"))</f>
        <v/>
      </c>
      <c r="C2658" s="53">
        <f>IF(A2658="","",YEAR(A2658))</f>
        <v/>
      </c>
      <c r="D2658" s="54">
        <f>IF(A2658="","",INDEX(lst_months,MONTH(A2658)))</f>
        <v/>
      </c>
      <c r="E2658" s="55" t="n"/>
      <c r="F2658" s="54">
        <f>IF(E2658="","",IFERROR(IF(INDEX(lst_exp_item_cat,MATCH(E2658,lst_exp_items,0))="","❔ Без категории",INDEX(lst_exp_item_cat,MATCH(E2658,lst_exp_items,0))),"❔ Без категории"))</f>
        <v/>
      </c>
      <c r="G2658" s="43" t="n"/>
      <c r="H2658" s="56" t="n"/>
      <c r="I2658" s="43" t="n"/>
      <c r="J2658" s="57">
        <f>IF(OR(A2658="",H2658=""),"",IF(COUNTIFS(exp_year,C2658,exp_month,D2658,exp_item,E2658,exp_status,"&lt;&gt;❌ Отменено")&gt;0,1,0))</f>
        <v/>
      </c>
    </row>
    <row r="2659">
      <c r="A2659" s="52" t="n"/>
      <c r="B2659" s="53">
        <f>IF(A2659="","",CHOOSE(WEEKDAY(A2659,2),"Пн","Вт","Ср","Чт","Пт","Сб","Вс"))</f>
        <v/>
      </c>
      <c r="C2659" s="53">
        <f>IF(A2659="","",YEAR(A2659))</f>
        <v/>
      </c>
      <c r="D2659" s="54">
        <f>IF(A2659="","",INDEX(lst_months,MONTH(A2659)))</f>
        <v/>
      </c>
      <c r="E2659" s="55" t="n"/>
      <c r="F2659" s="54">
        <f>IF(E2659="","",IFERROR(IF(INDEX(lst_exp_item_cat,MATCH(E2659,lst_exp_items,0))="","❔ Без категории",INDEX(lst_exp_item_cat,MATCH(E2659,lst_exp_items,0))),"❔ Без категории"))</f>
        <v/>
      </c>
      <c r="G2659" s="43" t="n"/>
      <c r="H2659" s="56" t="n"/>
      <c r="I2659" s="43" t="n"/>
      <c r="J2659" s="57">
        <f>IF(OR(A2659="",H2659=""),"",IF(COUNTIFS(exp_year,C2659,exp_month,D2659,exp_item,E2659,exp_status,"&lt;&gt;❌ Отменено")&gt;0,1,0))</f>
        <v/>
      </c>
    </row>
    <row r="2660">
      <c r="A2660" s="52" t="n"/>
      <c r="B2660" s="53">
        <f>IF(A2660="","",CHOOSE(WEEKDAY(A2660,2),"Пн","Вт","Ср","Чт","Пт","Сб","Вс"))</f>
        <v/>
      </c>
      <c r="C2660" s="53">
        <f>IF(A2660="","",YEAR(A2660))</f>
        <v/>
      </c>
      <c r="D2660" s="54">
        <f>IF(A2660="","",INDEX(lst_months,MONTH(A2660)))</f>
        <v/>
      </c>
      <c r="E2660" s="55" t="n"/>
      <c r="F2660" s="54">
        <f>IF(E2660="","",IFERROR(IF(INDEX(lst_exp_item_cat,MATCH(E2660,lst_exp_items,0))="","❔ Без категории",INDEX(lst_exp_item_cat,MATCH(E2660,lst_exp_items,0))),"❔ Без категории"))</f>
        <v/>
      </c>
      <c r="G2660" s="43" t="n"/>
      <c r="H2660" s="56" t="n"/>
      <c r="I2660" s="43" t="n"/>
      <c r="J2660" s="57">
        <f>IF(OR(A2660="",H2660=""),"",IF(COUNTIFS(exp_year,C2660,exp_month,D2660,exp_item,E2660,exp_status,"&lt;&gt;❌ Отменено")&gt;0,1,0))</f>
        <v/>
      </c>
    </row>
    <row r="2661">
      <c r="A2661" s="52" t="n"/>
      <c r="B2661" s="53">
        <f>IF(A2661="","",CHOOSE(WEEKDAY(A2661,2),"Пн","Вт","Ср","Чт","Пт","Сб","Вс"))</f>
        <v/>
      </c>
      <c r="C2661" s="53">
        <f>IF(A2661="","",YEAR(A2661))</f>
        <v/>
      </c>
      <c r="D2661" s="54">
        <f>IF(A2661="","",INDEX(lst_months,MONTH(A2661)))</f>
        <v/>
      </c>
      <c r="E2661" s="55" t="n"/>
      <c r="F2661" s="54">
        <f>IF(E2661="","",IFERROR(IF(INDEX(lst_exp_item_cat,MATCH(E2661,lst_exp_items,0))="","❔ Без категории",INDEX(lst_exp_item_cat,MATCH(E2661,lst_exp_items,0))),"❔ Без категории"))</f>
        <v/>
      </c>
      <c r="G2661" s="43" t="n"/>
      <c r="H2661" s="56" t="n"/>
      <c r="I2661" s="43" t="n"/>
      <c r="J2661" s="57">
        <f>IF(OR(A2661="",H2661=""),"",IF(COUNTIFS(exp_year,C2661,exp_month,D2661,exp_item,E2661,exp_status,"&lt;&gt;❌ Отменено")&gt;0,1,0))</f>
        <v/>
      </c>
    </row>
    <row r="2662">
      <c r="A2662" s="52" t="n"/>
      <c r="B2662" s="53">
        <f>IF(A2662="","",CHOOSE(WEEKDAY(A2662,2),"Пн","Вт","Ср","Чт","Пт","Сб","Вс"))</f>
        <v/>
      </c>
      <c r="C2662" s="53">
        <f>IF(A2662="","",YEAR(A2662))</f>
        <v/>
      </c>
      <c r="D2662" s="54">
        <f>IF(A2662="","",INDEX(lst_months,MONTH(A2662)))</f>
        <v/>
      </c>
      <c r="E2662" s="55" t="n"/>
      <c r="F2662" s="54">
        <f>IF(E2662="","",IFERROR(IF(INDEX(lst_exp_item_cat,MATCH(E2662,lst_exp_items,0))="","❔ Без категории",INDEX(lst_exp_item_cat,MATCH(E2662,lst_exp_items,0))),"❔ Без категории"))</f>
        <v/>
      </c>
      <c r="G2662" s="43" t="n"/>
      <c r="H2662" s="56" t="n"/>
      <c r="I2662" s="43" t="n"/>
      <c r="J2662" s="57">
        <f>IF(OR(A2662="",H2662=""),"",IF(COUNTIFS(exp_year,C2662,exp_month,D2662,exp_item,E2662,exp_status,"&lt;&gt;❌ Отменено")&gt;0,1,0))</f>
        <v/>
      </c>
    </row>
    <row r="2663">
      <c r="A2663" s="52" t="n"/>
      <c r="B2663" s="53">
        <f>IF(A2663="","",CHOOSE(WEEKDAY(A2663,2),"Пн","Вт","Ср","Чт","Пт","Сб","Вс"))</f>
        <v/>
      </c>
      <c r="C2663" s="53">
        <f>IF(A2663="","",YEAR(A2663))</f>
        <v/>
      </c>
      <c r="D2663" s="54">
        <f>IF(A2663="","",INDEX(lst_months,MONTH(A2663)))</f>
        <v/>
      </c>
      <c r="E2663" s="55" t="n"/>
      <c r="F2663" s="54">
        <f>IF(E2663="","",IFERROR(IF(INDEX(lst_exp_item_cat,MATCH(E2663,lst_exp_items,0))="","❔ Без категории",INDEX(lst_exp_item_cat,MATCH(E2663,lst_exp_items,0))),"❔ Без категории"))</f>
        <v/>
      </c>
      <c r="G2663" s="43" t="n"/>
      <c r="H2663" s="56" t="n"/>
      <c r="I2663" s="43" t="n"/>
      <c r="J2663" s="57">
        <f>IF(OR(A2663="",H2663=""),"",IF(COUNTIFS(exp_year,C2663,exp_month,D2663,exp_item,E2663,exp_status,"&lt;&gt;❌ Отменено")&gt;0,1,0))</f>
        <v/>
      </c>
    </row>
    <row r="2664">
      <c r="A2664" s="52" t="n"/>
      <c r="B2664" s="53">
        <f>IF(A2664="","",CHOOSE(WEEKDAY(A2664,2),"Пн","Вт","Ср","Чт","Пт","Сб","Вс"))</f>
        <v/>
      </c>
      <c r="C2664" s="53">
        <f>IF(A2664="","",YEAR(A2664))</f>
        <v/>
      </c>
      <c r="D2664" s="54">
        <f>IF(A2664="","",INDEX(lst_months,MONTH(A2664)))</f>
        <v/>
      </c>
      <c r="E2664" s="55" t="n"/>
      <c r="F2664" s="54">
        <f>IF(E2664="","",IFERROR(IF(INDEX(lst_exp_item_cat,MATCH(E2664,lst_exp_items,0))="","❔ Без категории",INDEX(lst_exp_item_cat,MATCH(E2664,lst_exp_items,0))),"❔ Без категории"))</f>
        <v/>
      </c>
      <c r="G2664" s="43" t="n"/>
      <c r="H2664" s="56" t="n"/>
      <c r="I2664" s="43" t="n"/>
      <c r="J2664" s="57">
        <f>IF(OR(A2664="",H2664=""),"",IF(COUNTIFS(exp_year,C2664,exp_month,D2664,exp_item,E2664,exp_status,"&lt;&gt;❌ Отменено")&gt;0,1,0))</f>
        <v/>
      </c>
    </row>
    <row r="2665">
      <c r="A2665" s="52" t="n"/>
      <c r="B2665" s="53">
        <f>IF(A2665="","",CHOOSE(WEEKDAY(A2665,2),"Пн","Вт","Ср","Чт","Пт","Сб","Вс"))</f>
        <v/>
      </c>
      <c r="C2665" s="53">
        <f>IF(A2665="","",YEAR(A2665))</f>
        <v/>
      </c>
      <c r="D2665" s="54">
        <f>IF(A2665="","",INDEX(lst_months,MONTH(A2665)))</f>
        <v/>
      </c>
      <c r="E2665" s="55" t="n"/>
      <c r="F2665" s="54">
        <f>IF(E2665="","",IFERROR(IF(INDEX(lst_exp_item_cat,MATCH(E2665,lst_exp_items,0))="","❔ Без категории",INDEX(lst_exp_item_cat,MATCH(E2665,lst_exp_items,0))),"❔ Без категории"))</f>
        <v/>
      </c>
      <c r="G2665" s="43" t="n"/>
      <c r="H2665" s="56" t="n"/>
      <c r="I2665" s="43" t="n"/>
      <c r="J2665" s="57">
        <f>IF(OR(A2665="",H2665=""),"",IF(COUNTIFS(exp_year,C2665,exp_month,D2665,exp_item,E2665,exp_status,"&lt;&gt;❌ Отменено")&gt;0,1,0))</f>
        <v/>
      </c>
    </row>
    <row r="2666">
      <c r="A2666" s="52" t="n"/>
      <c r="B2666" s="53">
        <f>IF(A2666="","",CHOOSE(WEEKDAY(A2666,2),"Пн","Вт","Ср","Чт","Пт","Сб","Вс"))</f>
        <v/>
      </c>
      <c r="C2666" s="53">
        <f>IF(A2666="","",YEAR(A2666))</f>
        <v/>
      </c>
      <c r="D2666" s="54">
        <f>IF(A2666="","",INDEX(lst_months,MONTH(A2666)))</f>
        <v/>
      </c>
      <c r="E2666" s="55" t="n"/>
      <c r="F2666" s="54">
        <f>IF(E2666="","",IFERROR(IF(INDEX(lst_exp_item_cat,MATCH(E2666,lst_exp_items,0))="","❔ Без категории",INDEX(lst_exp_item_cat,MATCH(E2666,lst_exp_items,0))),"❔ Без категории"))</f>
        <v/>
      </c>
      <c r="G2666" s="43" t="n"/>
      <c r="H2666" s="56" t="n"/>
      <c r="I2666" s="43" t="n"/>
      <c r="J2666" s="57">
        <f>IF(OR(A2666="",H2666=""),"",IF(COUNTIFS(exp_year,C2666,exp_month,D2666,exp_item,E2666,exp_status,"&lt;&gt;❌ Отменено")&gt;0,1,0))</f>
        <v/>
      </c>
    </row>
    <row r="2667">
      <c r="A2667" s="52" t="n"/>
      <c r="B2667" s="53">
        <f>IF(A2667="","",CHOOSE(WEEKDAY(A2667,2),"Пн","Вт","Ср","Чт","Пт","Сб","Вс"))</f>
        <v/>
      </c>
      <c r="C2667" s="53">
        <f>IF(A2667="","",YEAR(A2667))</f>
        <v/>
      </c>
      <c r="D2667" s="54">
        <f>IF(A2667="","",INDEX(lst_months,MONTH(A2667)))</f>
        <v/>
      </c>
      <c r="E2667" s="55" t="n"/>
      <c r="F2667" s="54">
        <f>IF(E2667="","",IFERROR(IF(INDEX(lst_exp_item_cat,MATCH(E2667,lst_exp_items,0))="","❔ Без категории",INDEX(lst_exp_item_cat,MATCH(E2667,lst_exp_items,0))),"❔ Без категории"))</f>
        <v/>
      </c>
      <c r="G2667" s="43" t="n"/>
      <c r="H2667" s="56" t="n"/>
      <c r="I2667" s="43" t="n"/>
      <c r="J2667" s="57">
        <f>IF(OR(A2667="",H2667=""),"",IF(COUNTIFS(exp_year,C2667,exp_month,D2667,exp_item,E2667,exp_status,"&lt;&gt;❌ Отменено")&gt;0,1,0))</f>
        <v/>
      </c>
    </row>
    <row r="2668">
      <c r="A2668" s="52" t="n"/>
      <c r="B2668" s="53">
        <f>IF(A2668="","",CHOOSE(WEEKDAY(A2668,2),"Пн","Вт","Ср","Чт","Пт","Сб","Вс"))</f>
        <v/>
      </c>
      <c r="C2668" s="53">
        <f>IF(A2668="","",YEAR(A2668))</f>
        <v/>
      </c>
      <c r="D2668" s="54">
        <f>IF(A2668="","",INDEX(lst_months,MONTH(A2668)))</f>
        <v/>
      </c>
      <c r="E2668" s="55" t="n"/>
      <c r="F2668" s="54">
        <f>IF(E2668="","",IFERROR(IF(INDEX(lst_exp_item_cat,MATCH(E2668,lst_exp_items,0))="","❔ Без категории",INDEX(lst_exp_item_cat,MATCH(E2668,lst_exp_items,0))),"❔ Без категории"))</f>
        <v/>
      </c>
      <c r="G2668" s="43" t="n"/>
      <c r="H2668" s="56" t="n"/>
      <c r="I2668" s="43" t="n"/>
      <c r="J2668" s="57">
        <f>IF(OR(A2668="",H2668=""),"",IF(COUNTIFS(exp_year,C2668,exp_month,D2668,exp_item,E2668,exp_status,"&lt;&gt;❌ Отменено")&gt;0,1,0))</f>
        <v/>
      </c>
    </row>
    <row r="2669">
      <c r="A2669" s="52" t="n"/>
      <c r="B2669" s="53">
        <f>IF(A2669="","",CHOOSE(WEEKDAY(A2669,2),"Пн","Вт","Ср","Чт","Пт","Сб","Вс"))</f>
        <v/>
      </c>
      <c r="C2669" s="53">
        <f>IF(A2669="","",YEAR(A2669))</f>
        <v/>
      </c>
      <c r="D2669" s="54">
        <f>IF(A2669="","",INDEX(lst_months,MONTH(A2669)))</f>
        <v/>
      </c>
      <c r="E2669" s="55" t="n"/>
      <c r="F2669" s="54">
        <f>IF(E2669="","",IFERROR(IF(INDEX(lst_exp_item_cat,MATCH(E2669,lst_exp_items,0))="","❔ Без категории",INDEX(lst_exp_item_cat,MATCH(E2669,lst_exp_items,0))),"❔ Без категории"))</f>
        <v/>
      </c>
      <c r="G2669" s="43" t="n"/>
      <c r="H2669" s="56" t="n"/>
      <c r="I2669" s="43" t="n"/>
      <c r="J2669" s="57">
        <f>IF(OR(A2669="",H2669=""),"",IF(COUNTIFS(exp_year,C2669,exp_month,D2669,exp_item,E2669,exp_status,"&lt;&gt;❌ Отменено")&gt;0,1,0))</f>
        <v/>
      </c>
    </row>
    <row r="2670">
      <c r="A2670" s="52" t="n"/>
      <c r="B2670" s="53">
        <f>IF(A2670="","",CHOOSE(WEEKDAY(A2670,2),"Пн","Вт","Ср","Чт","Пт","Сб","Вс"))</f>
        <v/>
      </c>
      <c r="C2670" s="53">
        <f>IF(A2670="","",YEAR(A2670))</f>
        <v/>
      </c>
      <c r="D2670" s="54">
        <f>IF(A2670="","",INDEX(lst_months,MONTH(A2670)))</f>
        <v/>
      </c>
      <c r="E2670" s="55" t="n"/>
      <c r="F2670" s="54">
        <f>IF(E2670="","",IFERROR(IF(INDEX(lst_exp_item_cat,MATCH(E2670,lst_exp_items,0))="","❔ Без категории",INDEX(lst_exp_item_cat,MATCH(E2670,lst_exp_items,0))),"❔ Без категории"))</f>
        <v/>
      </c>
      <c r="G2670" s="43" t="n"/>
      <c r="H2670" s="56" t="n"/>
      <c r="I2670" s="43" t="n"/>
      <c r="J2670" s="57">
        <f>IF(OR(A2670="",H2670=""),"",IF(COUNTIFS(exp_year,C2670,exp_month,D2670,exp_item,E2670,exp_status,"&lt;&gt;❌ Отменено")&gt;0,1,0))</f>
        <v/>
      </c>
    </row>
    <row r="2671">
      <c r="A2671" s="52" t="n"/>
      <c r="B2671" s="53">
        <f>IF(A2671="","",CHOOSE(WEEKDAY(A2671,2),"Пн","Вт","Ср","Чт","Пт","Сб","Вс"))</f>
        <v/>
      </c>
      <c r="C2671" s="53">
        <f>IF(A2671="","",YEAR(A2671))</f>
        <v/>
      </c>
      <c r="D2671" s="54">
        <f>IF(A2671="","",INDEX(lst_months,MONTH(A2671)))</f>
        <v/>
      </c>
      <c r="E2671" s="55" t="n"/>
      <c r="F2671" s="54">
        <f>IF(E2671="","",IFERROR(IF(INDEX(lst_exp_item_cat,MATCH(E2671,lst_exp_items,0))="","❔ Без категории",INDEX(lst_exp_item_cat,MATCH(E2671,lst_exp_items,0))),"❔ Без категории"))</f>
        <v/>
      </c>
      <c r="G2671" s="43" t="n"/>
      <c r="H2671" s="56" t="n"/>
      <c r="I2671" s="43" t="n"/>
      <c r="J2671" s="57">
        <f>IF(OR(A2671="",H2671=""),"",IF(COUNTIFS(exp_year,C2671,exp_month,D2671,exp_item,E2671,exp_status,"&lt;&gt;❌ Отменено")&gt;0,1,0))</f>
        <v/>
      </c>
    </row>
    <row r="2672">
      <c r="A2672" s="52" t="n"/>
      <c r="B2672" s="53">
        <f>IF(A2672="","",CHOOSE(WEEKDAY(A2672,2),"Пн","Вт","Ср","Чт","Пт","Сб","Вс"))</f>
        <v/>
      </c>
      <c r="C2672" s="53">
        <f>IF(A2672="","",YEAR(A2672))</f>
        <v/>
      </c>
      <c r="D2672" s="54">
        <f>IF(A2672="","",INDEX(lst_months,MONTH(A2672)))</f>
        <v/>
      </c>
      <c r="E2672" s="55" t="n"/>
      <c r="F2672" s="54">
        <f>IF(E2672="","",IFERROR(IF(INDEX(lst_exp_item_cat,MATCH(E2672,lst_exp_items,0))="","❔ Без категории",INDEX(lst_exp_item_cat,MATCH(E2672,lst_exp_items,0))),"❔ Без категории"))</f>
        <v/>
      </c>
      <c r="G2672" s="43" t="n"/>
      <c r="H2672" s="56" t="n"/>
      <c r="I2672" s="43" t="n"/>
      <c r="J2672" s="57">
        <f>IF(OR(A2672="",H2672=""),"",IF(COUNTIFS(exp_year,C2672,exp_month,D2672,exp_item,E2672,exp_status,"&lt;&gt;❌ Отменено")&gt;0,1,0))</f>
        <v/>
      </c>
    </row>
    <row r="2673">
      <c r="A2673" s="52" t="n"/>
      <c r="B2673" s="53">
        <f>IF(A2673="","",CHOOSE(WEEKDAY(A2673,2),"Пн","Вт","Ср","Чт","Пт","Сб","Вс"))</f>
        <v/>
      </c>
      <c r="C2673" s="53">
        <f>IF(A2673="","",YEAR(A2673))</f>
        <v/>
      </c>
      <c r="D2673" s="54">
        <f>IF(A2673="","",INDEX(lst_months,MONTH(A2673)))</f>
        <v/>
      </c>
      <c r="E2673" s="55" t="n"/>
      <c r="F2673" s="54">
        <f>IF(E2673="","",IFERROR(IF(INDEX(lst_exp_item_cat,MATCH(E2673,lst_exp_items,0))="","❔ Без категории",INDEX(lst_exp_item_cat,MATCH(E2673,lst_exp_items,0))),"❔ Без категории"))</f>
        <v/>
      </c>
      <c r="G2673" s="43" t="n"/>
      <c r="H2673" s="56" t="n"/>
      <c r="I2673" s="43" t="n"/>
      <c r="J2673" s="57">
        <f>IF(OR(A2673="",H2673=""),"",IF(COUNTIFS(exp_year,C2673,exp_month,D2673,exp_item,E2673,exp_status,"&lt;&gt;❌ Отменено")&gt;0,1,0))</f>
        <v/>
      </c>
    </row>
    <row r="2674">
      <c r="A2674" s="52" t="n"/>
      <c r="B2674" s="53">
        <f>IF(A2674="","",CHOOSE(WEEKDAY(A2674,2),"Пн","Вт","Ср","Чт","Пт","Сб","Вс"))</f>
        <v/>
      </c>
      <c r="C2674" s="53">
        <f>IF(A2674="","",YEAR(A2674))</f>
        <v/>
      </c>
      <c r="D2674" s="54">
        <f>IF(A2674="","",INDEX(lst_months,MONTH(A2674)))</f>
        <v/>
      </c>
      <c r="E2674" s="55" t="n"/>
      <c r="F2674" s="54">
        <f>IF(E2674="","",IFERROR(IF(INDEX(lst_exp_item_cat,MATCH(E2674,lst_exp_items,0))="","❔ Без категории",INDEX(lst_exp_item_cat,MATCH(E2674,lst_exp_items,0))),"❔ Без категории"))</f>
        <v/>
      </c>
      <c r="G2674" s="43" t="n"/>
      <c r="H2674" s="56" t="n"/>
      <c r="I2674" s="43" t="n"/>
      <c r="J2674" s="57">
        <f>IF(OR(A2674="",H2674=""),"",IF(COUNTIFS(exp_year,C2674,exp_month,D2674,exp_item,E2674,exp_status,"&lt;&gt;❌ Отменено")&gt;0,1,0))</f>
        <v/>
      </c>
    </row>
    <row r="2675">
      <c r="A2675" s="52" t="n"/>
      <c r="B2675" s="53">
        <f>IF(A2675="","",CHOOSE(WEEKDAY(A2675,2),"Пн","Вт","Ср","Чт","Пт","Сб","Вс"))</f>
        <v/>
      </c>
      <c r="C2675" s="53">
        <f>IF(A2675="","",YEAR(A2675))</f>
        <v/>
      </c>
      <c r="D2675" s="54">
        <f>IF(A2675="","",INDEX(lst_months,MONTH(A2675)))</f>
        <v/>
      </c>
      <c r="E2675" s="55" t="n"/>
      <c r="F2675" s="54">
        <f>IF(E2675="","",IFERROR(IF(INDEX(lst_exp_item_cat,MATCH(E2675,lst_exp_items,0))="","❔ Без категории",INDEX(lst_exp_item_cat,MATCH(E2675,lst_exp_items,0))),"❔ Без категории"))</f>
        <v/>
      </c>
      <c r="G2675" s="43" t="n"/>
      <c r="H2675" s="56" t="n"/>
      <c r="I2675" s="43" t="n"/>
      <c r="J2675" s="57">
        <f>IF(OR(A2675="",H2675=""),"",IF(COUNTIFS(exp_year,C2675,exp_month,D2675,exp_item,E2675,exp_status,"&lt;&gt;❌ Отменено")&gt;0,1,0))</f>
        <v/>
      </c>
    </row>
    <row r="2676">
      <c r="A2676" s="52" t="n"/>
      <c r="B2676" s="53">
        <f>IF(A2676="","",CHOOSE(WEEKDAY(A2676,2),"Пн","Вт","Ср","Чт","Пт","Сб","Вс"))</f>
        <v/>
      </c>
      <c r="C2676" s="53">
        <f>IF(A2676="","",YEAR(A2676))</f>
        <v/>
      </c>
      <c r="D2676" s="54">
        <f>IF(A2676="","",INDEX(lst_months,MONTH(A2676)))</f>
        <v/>
      </c>
      <c r="E2676" s="55" t="n"/>
      <c r="F2676" s="54">
        <f>IF(E2676="","",IFERROR(IF(INDEX(lst_exp_item_cat,MATCH(E2676,lst_exp_items,0))="","❔ Без категории",INDEX(lst_exp_item_cat,MATCH(E2676,lst_exp_items,0))),"❔ Без категории"))</f>
        <v/>
      </c>
      <c r="G2676" s="43" t="n"/>
      <c r="H2676" s="56" t="n"/>
      <c r="I2676" s="43" t="n"/>
      <c r="J2676" s="57">
        <f>IF(OR(A2676="",H2676=""),"",IF(COUNTIFS(exp_year,C2676,exp_month,D2676,exp_item,E2676,exp_status,"&lt;&gt;❌ Отменено")&gt;0,1,0))</f>
        <v/>
      </c>
    </row>
    <row r="2677">
      <c r="A2677" s="52" t="n"/>
      <c r="B2677" s="53">
        <f>IF(A2677="","",CHOOSE(WEEKDAY(A2677,2),"Пн","Вт","Ср","Чт","Пт","Сб","Вс"))</f>
        <v/>
      </c>
      <c r="C2677" s="53">
        <f>IF(A2677="","",YEAR(A2677))</f>
        <v/>
      </c>
      <c r="D2677" s="54">
        <f>IF(A2677="","",INDEX(lst_months,MONTH(A2677)))</f>
        <v/>
      </c>
      <c r="E2677" s="55" t="n"/>
      <c r="F2677" s="54">
        <f>IF(E2677="","",IFERROR(IF(INDEX(lst_exp_item_cat,MATCH(E2677,lst_exp_items,0))="","❔ Без категории",INDEX(lst_exp_item_cat,MATCH(E2677,lst_exp_items,0))),"❔ Без категории"))</f>
        <v/>
      </c>
      <c r="G2677" s="43" t="n"/>
      <c r="H2677" s="56" t="n"/>
      <c r="I2677" s="43" t="n"/>
      <c r="J2677" s="57">
        <f>IF(OR(A2677="",H2677=""),"",IF(COUNTIFS(exp_year,C2677,exp_month,D2677,exp_item,E2677,exp_status,"&lt;&gt;❌ Отменено")&gt;0,1,0))</f>
        <v/>
      </c>
    </row>
    <row r="2678">
      <c r="A2678" s="52" t="n"/>
      <c r="B2678" s="53">
        <f>IF(A2678="","",CHOOSE(WEEKDAY(A2678,2),"Пн","Вт","Ср","Чт","Пт","Сб","Вс"))</f>
        <v/>
      </c>
      <c r="C2678" s="53">
        <f>IF(A2678="","",YEAR(A2678))</f>
        <v/>
      </c>
      <c r="D2678" s="54">
        <f>IF(A2678="","",INDEX(lst_months,MONTH(A2678)))</f>
        <v/>
      </c>
      <c r="E2678" s="55" t="n"/>
      <c r="F2678" s="54">
        <f>IF(E2678="","",IFERROR(IF(INDEX(lst_exp_item_cat,MATCH(E2678,lst_exp_items,0))="","❔ Без категории",INDEX(lst_exp_item_cat,MATCH(E2678,lst_exp_items,0))),"❔ Без категории"))</f>
        <v/>
      </c>
      <c r="G2678" s="43" t="n"/>
      <c r="H2678" s="56" t="n"/>
      <c r="I2678" s="43" t="n"/>
      <c r="J2678" s="57">
        <f>IF(OR(A2678="",H2678=""),"",IF(COUNTIFS(exp_year,C2678,exp_month,D2678,exp_item,E2678,exp_status,"&lt;&gt;❌ Отменено")&gt;0,1,0))</f>
        <v/>
      </c>
    </row>
    <row r="2679">
      <c r="A2679" s="52" t="n"/>
      <c r="B2679" s="53">
        <f>IF(A2679="","",CHOOSE(WEEKDAY(A2679,2),"Пн","Вт","Ср","Чт","Пт","Сб","Вс"))</f>
        <v/>
      </c>
      <c r="C2679" s="53">
        <f>IF(A2679="","",YEAR(A2679))</f>
        <v/>
      </c>
      <c r="D2679" s="54">
        <f>IF(A2679="","",INDEX(lst_months,MONTH(A2679)))</f>
        <v/>
      </c>
      <c r="E2679" s="55" t="n"/>
      <c r="F2679" s="54">
        <f>IF(E2679="","",IFERROR(IF(INDEX(lst_exp_item_cat,MATCH(E2679,lst_exp_items,0))="","❔ Без категории",INDEX(lst_exp_item_cat,MATCH(E2679,lst_exp_items,0))),"❔ Без категории"))</f>
        <v/>
      </c>
      <c r="G2679" s="43" t="n"/>
      <c r="H2679" s="56" t="n"/>
      <c r="I2679" s="43" t="n"/>
      <c r="J2679" s="57">
        <f>IF(OR(A2679="",H2679=""),"",IF(COUNTIFS(exp_year,C2679,exp_month,D2679,exp_item,E2679,exp_status,"&lt;&gt;❌ Отменено")&gt;0,1,0))</f>
        <v/>
      </c>
    </row>
    <row r="2680">
      <c r="A2680" s="52" t="n"/>
      <c r="B2680" s="53">
        <f>IF(A2680="","",CHOOSE(WEEKDAY(A2680,2),"Пн","Вт","Ср","Чт","Пт","Сб","Вс"))</f>
        <v/>
      </c>
      <c r="C2680" s="53">
        <f>IF(A2680="","",YEAR(A2680))</f>
        <v/>
      </c>
      <c r="D2680" s="54">
        <f>IF(A2680="","",INDEX(lst_months,MONTH(A2680)))</f>
        <v/>
      </c>
      <c r="E2680" s="55" t="n"/>
      <c r="F2680" s="54">
        <f>IF(E2680="","",IFERROR(IF(INDEX(lst_exp_item_cat,MATCH(E2680,lst_exp_items,0))="","❔ Без категории",INDEX(lst_exp_item_cat,MATCH(E2680,lst_exp_items,0))),"❔ Без категории"))</f>
        <v/>
      </c>
      <c r="G2680" s="43" t="n"/>
      <c r="H2680" s="56" t="n"/>
      <c r="I2680" s="43" t="n"/>
      <c r="J2680" s="57">
        <f>IF(OR(A2680="",H2680=""),"",IF(COUNTIFS(exp_year,C2680,exp_month,D2680,exp_item,E2680,exp_status,"&lt;&gt;❌ Отменено")&gt;0,1,0))</f>
        <v/>
      </c>
    </row>
    <row r="2681">
      <c r="A2681" s="52" t="n"/>
      <c r="B2681" s="53">
        <f>IF(A2681="","",CHOOSE(WEEKDAY(A2681,2),"Пн","Вт","Ср","Чт","Пт","Сб","Вс"))</f>
        <v/>
      </c>
      <c r="C2681" s="53">
        <f>IF(A2681="","",YEAR(A2681))</f>
        <v/>
      </c>
      <c r="D2681" s="54">
        <f>IF(A2681="","",INDEX(lst_months,MONTH(A2681)))</f>
        <v/>
      </c>
      <c r="E2681" s="55" t="n"/>
      <c r="F2681" s="54">
        <f>IF(E2681="","",IFERROR(IF(INDEX(lst_exp_item_cat,MATCH(E2681,lst_exp_items,0))="","❔ Без категории",INDEX(lst_exp_item_cat,MATCH(E2681,lst_exp_items,0))),"❔ Без категории"))</f>
        <v/>
      </c>
      <c r="G2681" s="43" t="n"/>
      <c r="H2681" s="56" t="n"/>
      <c r="I2681" s="43" t="n"/>
      <c r="J2681" s="57">
        <f>IF(OR(A2681="",H2681=""),"",IF(COUNTIFS(exp_year,C2681,exp_month,D2681,exp_item,E2681,exp_status,"&lt;&gt;❌ Отменено")&gt;0,1,0))</f>
        <v/>
      </c>
    </row>
    <row r="2682">
      <c r="A2682" s="52" t="n"/>
      <c r="B2682" s="53">
        <f>IF(A2682="","",CHOOSE(WEEKDAY(A2682,2),"Пн","Вт","Ср","Чт","Пт","Сб","Вс"))</f>
        <v/>
      </c>
      <c r="C2682" s="53">
        <f>IF(A2682="","",YEAR(A2682))</f>
        <v/>
      </c>
      <c r="D2682" s="54">
        <f>IF(A2682="","",INDEX(lst_months,MONTH(A2682)))</f>
        <v/>
      </c>
      <c r="E2682" s="55" t="n"/>
      <c r="F2682" s="54">
        <f>IF(E2682="","",IFERROR(IF(INDEX(lst_exp_item_cat,MATCH(E2682,lst_exp_items,0))="","❔ Без категории",INDEX(lst_exp_item_cat,MATCH(E2682,lst_exp_items,0))),"❔ Без категории"))</f>
        <v/>
      </c>
      <c r="G2682" s="43" t="n"/>
      <c r="H2682" s="56" t="n"/>
      <c r="I2682" s="43" t="n"/>
      <c r="J2682" s="57">
        <f>IF(OR(A2682="",H2682=""),"",IF(COUNTIFS(exp_year,C2682,exp_month,D2682,exp_item,E2682,exp_status,"&lt;&gt;❌ Отменено")&gt;0,1,0))</f>
        <v/>
      </c>
    </row>
    <row r="2683">
      <c r="A2683" s="52" t="n"/>
      <c r="B2683" s="53">
        <f>IF(A2683="","",CHOOSE(WEEKDAY(A2683,2),"Пн","Вт","Ср","Чт","Пт","Сб","Вс"))</f>
        <v/>
      </c>
      <c r="C2683" s="53">
        <f>IF(A2683="","",YEAR(A2683))</f>
        <v/>
      </c>
      <c r="D2683" s="54">
        <f>IF(A2683="","",INDEX(lst_months,MONTH(A2683)))</f>
        <v/>
      </c>
      <c r="E2683" s="55" t="n"/>
      <c r="F2683" s="54">
        <f>IF(E2683="","",IFERROR(IF(INDEX(lst_exp_item_cat,MATCH(E2683,lst_exp_items,0))="","❔ Без категории",INDEX(lst_exp_item_cat,MATCH(E2683,lst_exp_items,0))),"❔ Без категории"))</f>
        <v/>
      </c>
      <c r="G2683" s="43" t="n"/>
      <c r="H2683" s="56" t="n"/>
      <c r="I2683" s="43" t="n"/>
      <c r="J2683" s="57">
        <f>IF(OR(A2683="",H2683=""),"",IF(COUNTIFS(exp_year,C2683,exp_month,D2683,exp_item,E2683,exp_status,"&lt;&gt;❌ Отменено")&gt;0,1,0))</f>
        <v/>
      </c>
    </row>
    <row r="2684">
      <c r="A2684" s="52" t="n"/>
      <c r="B2684" s="53">
        <f>IF(A2684="","",CHOOSE(WEEKDAY(A2684,2),"Пн","Вт","Ср","Чт","Пт","Сб","Вс"))</f>
        <v/>
      </c>
      <c r="C2684" s="53">
        <f>IF(A2684="","",YEAR(A2684))</f>
        <v/>
      </c>
      <c r="D2684" s="54">
        <f>IF(A2684="","",INDEX(lst_months,MONTH(A2684)))</f>
        <v/>
      </c>
      <c r="E2684" s="55" t="n"/>
      <c r="F2684" s="54">
        <f>IF(E2684="","",IFERROR(IF(INDEX(lst_exp_item_cat,MATCH(E2684,lst_exp_items,0))="","❔ Без категории",INDEX(lst_exp_item_cat,MATCH(E2684,lst_exp_items,0))),"❔ Без категории"))</f>
        <v/>
      </c>
      <c r="G2684" s="43" t="n"/>
      <c r="H2684" s="56" t="n"/>
      <c r="I2684" s="43" t="n"/>
      <c r="J2684" s="57">
        <f>IF(OR(A2684="",H2684=""),"",IF(COUNTIFS(exp_year,C2684,exp_month,D2684,exp_item,E2684,exp_status,"&lt;&gt;❌ Отменено")&gt;0,1,0))</f>
        <v/>
      </c>
    </row>
    <row r="2685">
      <c r="A2685" s="52" t="n"/>
      <c r="B2685" s="53">
        <f>IF(A2685="","",CHOOSE(WEEKDAY(A2685,2),"Пн","Вт","Ср","Чт","Пт","Сб","Вс"))</f>
        <v/>
      </c>
      <c r="C2685" s="53">
        <f>IF(A2685="","",YEAR(A2685))</f>
        <v/>
      </c>
      <c r="D2685" s="54">
        <f>IF(A2685="","",INDEX(lst_months,MONTH(A2685)))</f>
        <v/>
      </c>
      <c r="E2685" s="55" t="n"/>
      <c r="F2685" s="54">
        <f>IF(E2685="","",IFERROR(IF(INDEX(lst_exp_item_cat,MATCH(E2685,lst_exp_items,0))="","❔ Без категории",INDEX(lst_exp_item_cat,MATCH(E2685,lst_exp_items,0))),"❔ Без категории"))</f>
        <v/>
      </c>
      <c r="G2685" s="43" t="n"/>
      <c r="H2685" s="56" t="n"/>
      <c r="I2685" s="43" t="n"/>
      <c r="J2685" s="57">
        <f>IF(OR(A2685="",H2685=""),"",IF(COUNTIFS(exp_year,C2685,exp_month,D2685,exp_item,E2685,exp_status,"&lt;&gt;❌ Отменено")&gt;0,1,0))</f>
        <v/>
      </c>
    </row>
    <row r="2686">
      <c r="A2686" s="52" t="n"/>
      <c r="B2686" s="53">
        <f>IF(A2686="","",CHOOSE(WEEKDAY(A2686,2),"Пн","Вт","Ср","Чт","Пт","Сб","Вс"))</f>
        <v/>
      </c>
      <c r="C2686" s="53">
        <f>IF(A2686="","",YEAR(A2686))</f>
        <v/>
      </c>
      <c r="D2686" s="54">
        <f>IF(A2686="","",INDEX(lst_months,MONTH(A2686)))</f>
        <v/>
      </c>
      <c r="E2686" s="55" t="n"/>
      <c r="F2686" s="54">
        <f>IF(E2686="","",IFERROR(IF(INDEX(lst_exp_item_cat,MATCH(E2686,lst_exp_items,0))="","❔ Без категории",INDEX(lst_exp_item_cat,MATCH(E2686,lst_exp_items,0))),"❔ Без категории"))</f>
        <v/>
      </c>
      <c r="G2686" s="43" t="n"/>
      <c r="H2686" s="56" t="n"/>
      <c r="I2686" s="43" t="n"/>
      <c r="J2686" s="57">
        <f>IF(OR(A2686="",H2686=""),"",IF(COUNTIFS(exp_year,C2686,exp_month,D2686,exp_item,E2686,exp_status,"&lt;&gt;❌ Отменено")&gt;0,1,0))</f>
        <v/>
      </c>
    </row>
    <row r="2687">
      <c r="A2687" s="52" t="n"/>
      <c r="B2687" s="53">
        <f>IF(A2687="","",CHOOSE(WEEKDAY(A2687,2),"Пн","Вт","Ср","Чт","Пт","Сб","Вс"))</f>
        <v/>
      </c>
      <c r="C2687" s="53">
        <f>IF(A2687="","",YEAR(A2687))</f>
        <v/>
      </c>
      <c r="D2687" s="54">
        <f>IF(A2687="","",INDEX(lst_months,MONTH(A2687)))</f>
        <v/>
      </c>
      <c r="E2687" s="55" t="n"/>
      <c r="F2687" s="54">
        <f>IF(E2687="","",IFERROR(IF(INDEX(lst_exp_item_cat,MATCH(E2687,lst_exp_items,0))="","❔ Без категории",INDEX(lst_exp_item_cat,MATCH(E2687,lst_exp_items,0))),"❔ Без категории"))</f>
        <v/>
      </c>
      <c r="G2687" s="43" t="n"/>
      <c r="H2687" s="56" t="n"/>
      <c r="I2687" s="43" t="n"/>
      <c r="J2687" s="57">
        <f>IF(OR(A2687="",H2687=""),"",IF(COUNTIFS(exp_year,C2687,exp_month,D2687,exp_item,E2687,exp_status,"&lt;&gt;❌ Отменено")&gt;0,1,0))</f>
        <v/>
      </c>
    </row>
    <row r="2688">
      <c r="A2688" s="52" t="n"/>
      <c r="B2688" s="53">
        <f>IF(A2688="","",CHOOSE(WEEKDAY(A2688,2),"Пн","Вт","Ср","Чт","Пт","Сб","Вс"))</f>
        <v/>
      </c>
      <c r="C2688" s="53">
        <f>IF(A2688="","",YEAR(A2688))</f>
        <v/>
      </c>
      <c r="D2688" s="54">
        <f>IF(A2688="","",INDEX(lst_months,MONTH(A2688)))</f>
        <v/>
      </c>
      <c r="E2688" s="55" t="n"/>
      <c r="F2688" s="54">
        <f>IF(E2688="","",IFERROR(IF(INDEX(lst_exp_item_cat,MATCH(E2688,lst_exp_items,0))="","❔ Без категории",INDEX(lst_exp_item_cat,MATCH(E2688,lst_exp_items,0))),"❔ Без категории"))</f>
        <v/>
      </c>
      <c r="G2688" s="43" t="n"/>
      <c r="H2688" s="56" t="n"/>
      <c r="I2688" s="43" t="n"/>
      <c r="J2688" s="57">
        <f>IF(OR(A2688="",H2688=""),"",IF(COUNTIFS(exp_year,C2688,exp_month,D2688,exp_item,E2688,exp_status,"&lt;&gt;❌ Отменено")&gt;0,1,0))</f>
        <v/>
      </c>
    </row>
    <row r="2689">
      <c r="A2689" s="52" t="n"/>
      <c r="B2689" s="53">
        <f>IF(A2689="","",CHOOSE(WEEKDAY(A2689,2),"Пн","Вт","Ср","Чт","Пт","Сб","Вс"))</f>
        <v/>
      </c>
      <c r="C2689" s="53">
        <f>IF(A2689="","",YEAR(A2689))</f>
        <v/>
      </c>
      <c r="D2689" s="54">
        <f>IF(A2689="","",INDEX(lst_months,MONTH(A2689)))</f>
        <v/>
      </c>
      <c r="E2689" s="55" t="n"/>
      <c r="F2689" s="54">
        <f>IF(E2689="","",IFERROR(IF(INDEX(lst_exp_item_cat,MATCH(E2689,lst_exp_items,0))="","❔ Без категории",INDEX(lst_exp_item_cat,MATCH(E2689,lst_exp_items,0))),"❔ Без категории"))</f>
        <v/>
      </c>
      <c r="G2689" s="43" t="n"/>
      <c r="H2689" s="56" t="n"/>
      <c r="I2689" s="43" t="n"/>
      <c r="J2689" s="57">
        <f>IF(OR(A2689="",H2689=""),"",IF(COUNTIFS(exp_year,C2689,exp_month,D2689,exp_item,E2689,exp_status,"&lt;&gt;❌ Отменено")&gt;0,1,0))</f>
        <v/>
      </c>
    </row>
    <row r="2690">
      <c r="A2690" s="52" t="n"/>
      <c r="B2690" s="53">
        <f>IF(A2690="","",CHOOSE(WEEKDAY(A2690,2),"Пн","Вт","Ср","Чт","Пт","Сб","Вс"))</f>
        <v/>
      </c>
      <c r="C2690" s="53">
        <f>IF(A2690="","",YEAR(A2690))</f>
        <v/>
      </c>
      <c r="D2690" s="54">
        <f>IF(A2690="","",INDEX(lst_months,MONTH(A2690)))</f>
        <v/>
      </c>
      <c r="E2690" s="55" t="n"/>
      <c r="F2690" s="54">
        <f>IF(E2690="","",IFERROR(IF(INDEX(lst_exp_item_cat,MATCH(E2690,lst_exp_items,0))="","❔ Без категории",INDEX(lst_exp_item_cat,MATCH(E2690,lst_exp_items,0))),"❔ Без категории"))</f>
        <v/>
      </c>
      <c r="G2690" s="43" t="n"/>
      <c r="H2690" s="56" t="n"/>
      <c r="I2690" s="43" t="n"/>
      <c r="J2690" s="57">
        <f>IF(OR(A2690="",H2690=""),"",IF(COUNTIFS(exp_year,C2690,exp_month,D2690,exp_item,E2690,exp_status,"&lt;&gt;❌ Отменено")&gt;0,1,0))</f>
        <v/>
      </c>
    </row>
    <row r="2691">
      <c r="A2691" s="52" t="n"/>
      <c r="B2691" s="53">
        <f>IF(A2691="","",CHOOSE(WEEKDAY(A2691,2),"Пн","Вт","Ср","Чт","Пт","Сб","Вс"))</f>
        <v/>
      </c>
      <c r="C2691" s="53">
        <f>IF(A2691="","",YEAR(A2691))</f>
        <v/>
      </c>
      <c r="D2691" s="54">
        <f>IF(A2691="","",INDEX(lst_months,MONTH(A2691)))</f>
        <v/>
      </c>
      <c r="E2691" s="55" t="n"/>
      <c r="F2691" s="54">
        <f>IF(E2691="","",IFERROR(IF(INDEX(lst_exp_item_cat,MATCH(E2691,lst_exp_items,0))="","❔ Без категории",INDEX(lst_exp_item_cat,MATCH(E2691,lst_exp_items,0))),"❔ Без категории"))</f>
        <v/>
      </c>
      <c r="G2691" s="43" t="n"/>
      <c r="H2691" s="56" t="n"/>
      <c r="I2691" s="43" t="n"/>
      <c r="J2691" s="57">
        <f>IF(OR(A2691="",H2691=""),"",IF(COUNTIFS(exp_year,C2691,exp_month,D2691,exp_item,E2691,exp_status,"&lt;&gt;❌ Отменено")&gt;0,1,0))</f>
        <v/>
      </c>
    </row>
    <row r="2692">
      <c r="A2692" s="52" t="n"/>
      <c r="B2692" s="53">
        <f>IF(A2692="","",CHOOSE(WEEKDAY(A2692,2),"Пн","Вт","Ср","Чт","Пт","Сб","Вс"))</f>
        <v/>
      </c>
      <c r="C2692" s="53">
        <f>IF(A2692="","",YEAR(A2692))</f>
        <v/>
      </c>
      <c r="D2692" s="54">
        <f>IF(A2692="","",INDEX(lst_months,MONTH(A2692)))</f>
        <v/>
      </c>
      <c r="E2692" s="55" t="n"/>
      <c r="F2692" s="54">
        <f>IF(E2692="","",IFERROR(IF(INDEX(lst_exp_item_cat,MATCH(E2692,lst_exp_items,0))="","❔ Без категории",INDEX(lst_exp_item_cat,MATCH(E2692,lst_exp_items,0))),"❔ Без категории"))</f>
        <v/>
      </c>
      <c r="G2692" s="43" t="n"/>
      <c r="H2692" s="56" t="n"/>
      <c r="I2692" s="43" t="n"/>
      <c r="J2692" s="57">
        <f>IF(OR(A2692="",H2692=""),"",IF(COUNTIFS(exp_year,C2692,exp_month,D2692,exp_item,E2692,exp_status,"&lt;&gt;❌ Отменено")&gt;0,1,0))</f>
        <v/>
      </c>
    </row>
    <row r="2693">
      <c r="A2693" s="52" t="n"/>
      <c r="B2693" s="53">
        <f>IF(A2693="","",CHOOSE(WEEKDAY(A2693,2),"Пн","Вт","Ср","Чт","Пт","Сб","Вс"))</f>
        <v/>
      </c>
      <c r="C2693" s="53">
        <f>IF(A2693="","",YEAR(A2693))</f>
        <v/>
      </c>
      <c r="D2693" s="54">
        <f>IF(A2693="","",INDEX(lst_months,MONTH(A2693)))</f>
        <v/>
      </c>
      <c r="E2693" s="55" t="n"/>
      <c r="F2693" s="54">
        <f>IF(E2693="","",IFERROR(IF(INDEX(lst_exp_item_cat,MATCH(E2693,lst_exp_items,0))="","❔ Без категории",INDEX(lst_exp_item_cat,MATCH(E2693,lst_exp_items,0))),"❔ Без категории"))</f>
        <v/>
      </c>
      <c r="G2693" s="43" t="n"/>
      <c r="H2693" s="56" t="n"/>
      <c r="I2693" s="43" t="n"/>
      <c r="J2693" s="57">
        <f>IF(OR(A2693="",H2693=""),"",IF(COUNTIFS(exp_year,C2693,exp_month,D2693,exp_item,E2693,exp_status,"&lt;&gt;❌ Отменено")&gt;0,1,0))</f>
        <v/>
      </c>
    </row>
    <row r="2694">
      <c r="A2694" s="52" t="n"/>
      <c r="B2694" s="53">
        <f>IF(A2694="","",CHOOSE(WEEKDAY(A2694,2),"Пн","Вт","Ср","Чт","Пт","Сб","Вс"))</f>
        <v/>
      </c>
      <c r="C2694" s="53">
        <f>IF(A2694="","",YEAR(A2694))</f>
        <v/>
      </c>
      <c r="D2694" s="54">
        <f>IF(A2694="","",INDEX(lst_months,MONTH(A2694)))</f>
        <v/>
      </c>
      <c r="E2694" s="55" t="n"/>
      <c r="F2694" s="54">
        <f>IF(E2694="","",IFERROR(IF(INDEX(lst_exp_item_cat,MATCH(E2694,lst_exp_items,0))="","❔ Без категории",INDEX(lst_exp_item_cat,MATCH(E2694,lst_exp_items,0))),"❔ Без категории"))</f>
        <v/>
      </c>
      <c r="G2694" s="43" t="n"/>
      <c r="H2694" s="56" t="n"/>
      <c r="I2694" s="43" t="n"/>
      <c r="J2694" s="57">
        <f>IF(OR(A2694="",H2694=""),"",IF(COUNTIFS(exp_year,C2694,exp_month,D2694,exp_item,E2694,exp_status,"&lt;&gt;❌ Отменено")&gt;0,1,0))</f>
        <v/>
      </c>
    </row>
    <row r="2695">
      <c r="A2695" s="52" t="n"/>
      <c r="B2695" s="53">
        <f>IF(A2695="","",CHOOSE(WEEKDAY(A2695,2),"Пн","Вт","Ср","Чт","Пт","Сб","Вс"))</f>
        <v/>
      </c>
      <c r="C2695" s="53">
        <f>IF(A2695="","",YEAR(A2695))</f>
        <v/>
      </c>
      <c r="D2695" s="54">
        <f>IF(A2695="","",INDEX(lst_months,MONTH(A2695)))</f>
        <v/>
      </c>
      <c r="E2695" s="55" t="n"/>
      <c r="F2695" s="54">
        <f>IF(E2695="","",IFERROR(IF(INDEX(lst_exp_item_cat,MATCH(E2695,lst_exp_items,0))="","❔ Без категории",INDEX(lst_exp_item_cat,MATCH(E2695,lst_exp_items,0))),"❔ Без категории"))</f>
        <v/>
      </c>
      <c r="G2695" s="43" t="n"/>
      <c r="H2695" s="56" t="n"/>
      <c r="I2695" s="43" t="n"/>
      <c r="J2695" s="57">
        <f>IF(OR(A2695="",H2695=""),"",IF(COUNTIFS(exp_year,C2695,exp_month,D2695,exp_item,E2695,exp_status,"&lt;&gt;❌ Отменено")&gt;0,1,0))</f>
        <v/>
      </c>
    </row>
    <row r="2696">
      <c r="A2696" s="52" t="n"/>
      <c r="B2696" s="53">
        <f>IF(A2696="","",CHOOSE(WEEKDAY(A2696,2),"Пн","Вт","Ср","Чт","Пт","Сб","Вс"))</f>
        <v/>
      </c>
      <c r="C2696" s="53">
        <f>IF(A2696="","",YEAR(A2696))</f>
        <v/>
      </c>
      <c r="D2696" s="54">
        <f>IF(A2696="","",INDEX(lst_months,MONTH(A2696)))</f>
        <v/>
      </c>
      <c r="E2696" s="55" t="n"/>
      <c r="F2696" s="54">
        <f>IF(E2696="","",IFERROR(IF(INDEX(lst_exp_item_cat,MATCH(E2696,lst_exp_items,0))="","❔ Без категории",INDEX(lst_exp_item_cat,MATCH(E2696,lst_exp_items,0))),"❔ Без категории"))</f>
        <v/>
      </c>
      <c r="G2696" s="43" t="n"/>
      <c r="H2696" s="56" t="n"/>
      <c r="I2696" s="43" t="n"/>
      <c r="J2696" s="57">
        <f>IF(OR(A2696="",H2696=""),"",IF(COUNTIFS(exp_year,C2696,exp_month,D2696,exp_item,E2696,exp_status,"&lt;&gt;❌ Отменено")&gt;0,1,0))</f>
        <v/>
      </c>
    </row>
    <row r="2697">
      <c r="A2697" s="52" t="n"/>
      <c r="B2697" s="53">
        <f>IF(A2697="","",CHOOSE(WEEKDAY(A2697,2),"Пн","Вт","Ср","Чт","Пт","Сб","Вс"))</f>
        <v/>
      </c>
      <c r="C2697" s="53">
        <f>IF(A2697="","",YEAR(A2697))</f>
        <v/>
      </c>
      <c r="D2697" s="54">
        <f>IF(A2697="","",INDEX(lst_months,MONTH(A2697)))</f>
        <v/>
      </c>
      <c r="E2697" s="55" t="n"/>
      <c r="F2697" s="54">
        <f>IF(E2697="","",IFERROR(IF(INDEX(lst_exp_item_cat,MATCH(E2697,lst_exp_items,0))="","❔ Без категории",INDEX(lst_exp_item_cat,MATCH(E2697,lst_exp_items,0))),"❔ Без категории"))</f>
        <v/>
      </c>
      <c r="G2697" s="43" t="n"/>
      <c r="H2697" s="56" t="n"/>
      <c r="I2697" s="43" t="n"/>
      <c r="J2697" s="57">
        <f>IF(OR(A2697="",H2697=""),"",IF(COUNTIFS(exp_year,C2697,exp_month,D2697,exp_item,E2697,exp_status,"&lt;&gt;❌ Отменено")&gt;0,1,0))</f>
        <v/>
      </c>
    </row>
    <row r="2698">
      <c r="A2698" s="52" t="n"/>
      <c r="B2698" s="53">
        <f>IF(A2698="","",CHOOSE(WEEKDAY(A2698,2),"Пн","Вт","Ср","Чт","Пт","Сб","Вс"))</f>
        <v/>
      </c>
      <c r="C2698" s="53">
        <f>IF(A2698="","",YEAR(A2698))</f>
        <v/>
      </c>
      <c r="D2698" s="54">
        <f>IF(A2698="","",INDEX(lst_months,MONTH(A2698)))</f>
        <v/>
      </c>
      <c r="E2698" s="55" t="n"/>
      <c r="F2698" s="54">
        <f>IF(E2698="","",IFERROR(IF(INDEX(lst_exp_item_cat,MATCH(E2698,lst_exp_items,0))="","❔ Без категории",INDEX(lst_exp_item_cat,MATCH(E2698,lst_exp_items,0))),"❔ Без категории"))</f>
        <v/>
      </c>
      <c r="G2698" s="43" t="n"/>
      <c r="H2698" s="56" t="n"/>
      <c r="I2698" s="43" t="n"/>
      <c r="J2698" s="57">
        <f>IF(OR(A2698="",H2698=""),"",IF(COUNTIFS(exp_year,C2698,exp_month,D2698,exp_item,E2698,exp_status,"&lt;&gt;❌ Отменено")&gt;0,1,0))</f>
        <v/>
      </c>
    </row>
    <row r="2699">
      <c r="A2699" s="52" t="n"/>
      <c r="B2699" s="53">
        <f>IF(A2699="","",CHOOSE(WEEKDAY(A2699,2),"Пн","Вт","Ср","Чт","Пт","Сб","Вс"))</f>
        <v/>
      </c>
      <c r="C2699" s="53">
        <f>IF(A2699="","",YEAR(A2699))</f>
        <v/>
      </c>
      <c r="D2699" s="54">
        <f>IF(A2699="","",INDEX(lst_months,MONTH(A2699)))</f>
        <v/>
      </c>
      <c r="E2699" s="55" t="n"/>
      <c r="F2699" s="54">
        <f>IF(E2699="","",IFERROR(IF(INDEX(lst_exp_item_cat,MATCH(E2699,lst_exp_items,0))="","❔ Без категории",INDEX(lst_exp_item_cat,MATCH(E2699,lst_exp_items,0))),"❔ Без категории"))</f>
        <v/>
      </c>
      <c r="G2699" s="43" t="n"/>
      <c r="H2699" s="56" t="n"/>
      <c r="I2699" s="43" t="n"/>
      <c r="J2699" s="57">
        <f>IF(OR(A2699="",H2699=""),"",IF(COUNTIFS(exp_year,C2699,exp_month,D2699,exp_item,E2699,exp_status,"&lt;&gt;❌ Отменено")&gt;0,1,0))</f>
        <v/>
      </c>
    </row>
    <row r="2700">
      <c r="A2700" s="52" t="n"/>
      <c r="B2700" s="53">
        <f>IF(A2700="","",CHOOSE(WEEKDAY(A2700,2),"Пн","Вт","Ср","Чт","Пт","Сб","Вс"))</f>
        <v/>
      </c>
      <c r="C2700" s="53">
        <f>IF(A2700="","",YEAR(A2700))</f>
        <v/>
      </c>
      <c r="D2700" s="54">
        <f>IF(A2700="","",INDEX(lst_months,MONTH(A2700)))</f>
        <v/>
      </c>
      <c r="E2700" s="55" t="n"/>
      <c r="F2700" s="54">
        <f>IF(E2700="","",IFERROR(IF(INDEX(lst_exp_item_cat,MATCH(E2700,lst_exp_items,0))="","❔ Без категории",INDEX(lst_exp_item_cat,MATCH(E2700,lst_exp_items,0))),"❔ Без категории"))</f>
        <v/>
      </c>
      <c r="G2700" s="43" t="n"/>
      <c r="H2700" s="56" t="n"/>
      <c r="I2700" s="43" t="n"/>
      <c r="J2700" s="57">
        <f>IF(OR(A2700="",H2700=""),"",IF(COUNTIFS(exp_year,C2700,exp_month,D2700,exp_item,E2700,exp_status,"&lt;&gt;❌ Отменено")&gt;0,1,0))</f>
        <v/>
      </c>
    </row>
    <row r="2701">
      <c r="A2701" s="52" t="n"/>
      <c r="B2701" s="53">
        <f>IF(A2701="","",CHOOSE(WEEKDAY(A2701,2),"Пн","Вт","Ср","Чт","Пт","Сб","Вс"))</f>
        <v/>
      </c>
      <c r="C2701" s="53">
        <f>IF(A2701="","",YEAR(A2701))</f>
        <v/>
      </c>
      <c r="D2701" s="54">
        <f>IF(A2701="","",INDEX(lst_months,MONTH(A2701)))</f>
        <v/>
      </c>
      <c r="E2701" s="55" t="n"/>
      <c r="F2701" s="54">
        <f>IF(E2701="","",IFERROR(IF(INDEX(lst_exp_item_cat,MATCH(E2701,lst_exp_items,0))="","❔ Без категории",INDEX(lst_exp_item_cat,MATCH(E2701,lst_exp_items,0))),"❔ Без категории"))</f>
        <v/>
      </c>
      <c r="G2701" s="43" t="n"/>
      <c r="H2701" s="56" t="n"/>
      <c r="I2701" s="43" t="n"/>
      <c r="J2701" s="57">
        <f>IF(OR(A2701="",H2701=""),"",IF(COUNTIFS(exp_year,C2701,exp_month,D2701,exp_item,E2701,exp_status,"&lt;&gt;❌ Отменено")&gt;0,1,0))</f>
        <v/>
      </c>
    </row>
    <row r="2702">
      <c r="A2702" s="52" t="n"/>
      <c r="B2702" s="53">
        <f>IF(A2702="","",CHOOSE(WEEKDAY(A2702,2),"Пн","Вт","Ср","Чт","Пт","Сб","Вс"))</f>
        <v/>
      </c>
      <c r="C2702" s="53">
        <f>IF(A2702="","",YEAR(A2702))</f>
        <v/>
      </c>
      <c r="D2702" s="54">
        <f>IF(A2702="","",INDEX(lst_months,MONTH(A2702)))</f>
        <v/>
      </c>
      <c r="E2702" s="55" t="n"/>
      <c r="F2702" s="54">
        <f>IF(E2702="","",IFERROR(IF(INDEX(lst_exp_item_cat,MATCH(E2702,lst_exp_items,0))="","❔ Без категории",INDEX(lst_exp_item_cat,MATCH(E2702,lst_exp_items,0))),"❔ Без категории"))</f>
        <v/>
      </c>
      <c r="G2702" s="43" t="n"/>
      <c r="H2702" s="56" t="n"/>
      <c r="I2702" s="43" t="n"/>
      <c r="J2702" s="57">
        <f>IF(OR(A2702="",H2702=""),"",IF(COUNTIFS(exp_year,C2702,exp_month,D2702,exp_item,E2702,exp_status,"&lt;&gt;❌ Отменено")&gt;0,1,0))</f>
        <v/>
      </c>
    </row>
    <row r="2703">
      <c r="A2703" s="52" t="n"/>
      <c r="B2703" s="53">
        <f>IF(A2703="","",CHOOSE(WEEKDAY(A2703,2),"Пн","Вт","Ср","Чт","Пт","Сб","Вс"))</f>
        <v/>
      </c>
      <c r="C2703" s="53">
        <f>IF(A2703="","",YEAR(A2703))</f>
        <v/>
      </c>
      <c r="D2703" s="54">
        <f>IF(A2703="","",INDEX(lst_months,MONTH(A2703)))</f>
        <v/>
      </c>
      <c r="E2703" s="55" t="n"/>
      <c r="F2703" s="54">
        <f>IF(E2703="","",IFERROR(IF(INDEX(lst_exp_item_cat,MATCH(E2703,lst_exp_items,0))="","❔ Без категории",INDEX(lst_exp_item_cat,MATCH(E2703,lst_exp_items,0))),"❔ Без категории"))</f>
        <v/>
      </c>
      <c r="G2703" s="43" t="n"/>
      <c r="H2703" s="56" t="n"/>
      <c r="I2703" s="43" t="n"/>
      <c r="J2703" s="57">
        <f>IF(OR(A2703="",H2703=""),"",IF(COUNTIFS(exp_year,C2703,exp_month,D2703,exp_item,E2703,exp_status,"&lt;&gt;❌ Отменено")&gt;0,1,0))</f>
        <v/>
      </c>
    </row>
    <row r="2704">
      <c r="A2704" s="52" t="n"/>
      <c r="B2704" s="53">
        <f>IF(A2704="","",CHOOSE(WEEKDAY(A2704,2),"Пн","Вт","Ср","Чт","Пт","Сб","Вс"))</f>
        <v/>
      </c>
      <c r="C2704" s="53">
        <f>IF(A2704="","",YEAR(A2704))</f>
        <v/>
      </c>
      <c r="D2704" s="54">
        <f>IF(A2704="","",INDEX(lst_months,MONTH(A2704)))</f>
        <v/>
      </c>
      <c r="E2704" s="55" t="n"/>
      <c r="F2704" s="54">
        <f>IF(E2704="","",IFERROR(IF(INDEX(lst_exp_item_cat,MATCH(E2704,lst_exp_items,0))="","❔ Без категории",INDEX(lst_exp_item_cat,MATCH(E2704,lst_exp_items,0))),"❔ Без категории"))</f>
        <v/>
      </c>
      <c r="G2704" s="43" t="n"/>
      <c r="H2704" s="56" t="n"/>
      <c r="I2704" s="43" t="n"/>
      <c r="J2704" s="57">
        <f>IF(OR(A2704="",H2704=""),"",IF(COUNTIFS(exp_year,C2704,exp_month,D2704,exp_item,E2704,exp_status,"&lt;&gt;❌ Отменено")&gt;0,1,0))</f>
        <v/>
      </c>
    </row>
    <row r="2705">
      <c r="A2705" s="52" t="n"/>
      <c r="B2705" s="53">
        <f>IF(A2705="","",CHOOSE(WEEKDAY(A2705,2),"Пн","Вт","Ср","Чт","Пт","Сб","Вс"))</f>
        <v/>
      </c>
      <c r="C2705" s="53">
        <f>IF(A2705="","",YEAR(A2705))</f>
        <v/>
      </c>
      <c r="D2705" s="54">
        <f>IF(A2705="","",INDEX(lst_months,MONTH(A2705)))</f>
        <v/>
      </c>
      <c r="E2705" s="55" t="n"/>
      <c r="F2705" s="54">
        <f>IF(E2705="","",IFERROR(IF(INDEX(lst_exp_item_cat,MATCH(E2705,lst_exp_items,0))="","❔ Без категории",INDEX(lst_exp_item_cat,MATCH(E2705,lst_exp_items,0))),"❔ Без категории"))</f>
        <v/>
      </c>
      <c r="G2705" s="43" t="n"/>
      <c r="H2705" s="56" t="n"/>
      <c r="I2705" s="43" t="n"/>
      <c r="J2705" s="57">
        <f>IF(OR(A2705="",H2705=""),"",IF(COUNTIFS(exp_year,C2705,exp_month,D2705,exp_item,E2705,exp_status,"&lt;&gt;❌ Отменено")&gt;0,1,0))</f>
        <v/>
      </c>
    </row>
    <row r="2706">
      <c r="A2706" s="52" t="n"/>
      <c r="B2706" s="53">
        <f>IF(A2706="","",CHOOSE(WEEKDAY(A2706,2),"Пн","Вт","Ср","Чт","Пт","Сб","Вс"))</f>
        <v/>
      </c>
      <c r="C2706" s="53">
        <f>IF(A2706="","",YEAR(A2706))</f>
        <v/>
      </c>
      <c r="D2706" s="54">
        <f>IF(A2706="","",INDEX(lst_months,MONTH(A2706)))</f>
        <v/>
      </c>
      <c r="E2706" s="55" t="n"/>
      <c r="F2706" s="54">
        <f>IF(E2706="","",IFERROR(IF(INDEX(lst_exp_item_cat,MATCH(E2706,lst_exp_items,0))="","❔ Без категории",INDEX(lst_exp_item_cat,MATCH(E2706,lst_exp_items,0))),"❔ Без категории"))</f>
        <v/>
      </c>
      <c r="G2706" s="43" t="n"/>
      <c r="H2706" s="56" t="n"/>
      <c r="I2706" s="43" t="n"/>
      <c r="J2706" s="57">
        <f>IF(OR(A2706="",H2706=""),"",IF(COUNTIFS(exp_year,C2706,exp_month,D2706,exp_item,E2706,exp_status,"&lt;&gt;❌ Отменено")&gt;0,1,0))</f>
        <v/>
      </c>
    </row>
    <row r="2707">
      <c r="A2707" s="52" t="n"/>
      <c r="B2707" s="53">
        <f>IF(A2707="","",CHOOSE(WEEKDAY(A2707,2),"Пн","Вт","Ср","Чт","Пт","Сб","Вс"))</f>
        <v/>
      </c>
      <c r="C2707" s="53">
        <f>IF(A2707="","",YEAR(A2707))</f>
        <v/>
      </c>
      <c r="D2707" s="54">
        <f>IF(A2707="","",INDEX(lst_months,MONTH(A2707)))</f>
        <v/>
      </c>
      <c r="E2707" s="55" t="n"/>
      <c r="F2707" s="54">
        <f>IF(E2707="","",IFERROR(IF(INDEX(lst_exp_item_cat,MATCH(E2707,lst_exp_items,0))="","❔ Без категории",INDEX(lst_exp_item_cat,MATCH(E2707,lst_exp_items,0))),"❔ Без категории"))</f>
        <v/>
      </c>
      <c r="G2707" s="43" t="n"/>
      <c r="H2707" s="56" t="n"/>
      <c r="I2707" s="43" t="n"/>
      <c r="J2707" s="57">
        <f>IF(OR(A2707="",H2707=""),"",IF(COUNTIFS(exp_year,C2707,exp_month,D2707,exp_item,E2707,exp_status,"&lt;&gt;❌ Отменено")&gt;0,1,0))</f>
        <v/>
      </c>
    </row>
    <row r="2708">
      <c r="A2708" s="52" t="n"/>
      <c r="B2708" s="53">
        <f>IF(A2708="","",CHOOSE(WEEKDAY(A2708,2),"Пн","Вт","Ср","Чт","Пт","Сб","Вс"))</f>
        <v/>
      </c>
      <c r="C2708" s="53">
        <f>IF(A2708="","",YEAR(A2708))</f>
        <v/>
      </c>
      <c r="D2708" s="54">
        <f>IF(A2708="","",INDEX(lst_months,MONTH(A2708)))</f>
        <v/>
      </c>
      <c r="E2708" s="55" t="n"/>
      <c r="F2708" s="54">
        <f>IF(E2708="","",IFERROR(IF(INDEX(lst_exp_item_cat,MATCH(E2708,lst_exp_items,0))="","❔ Без категории",INDEX(lst_exp_item_cat,MATCH(E2708,lst_exp_items,0))),"❔ Без категории"))</f>
        <v/>
      </c>
      <c r="G2708" s="43" t="n"/>
      <c r="H2708" s="56" t="n"/>
      <c r="I2708" s="43" t="n"/>
      <c r="J2708" s="57">
        <f>IF(OR(A2708="",H2708=""),"",IF(COUNTIFS(exp_year,C2708,exp_month,D2708,exp_item,E2708,exp_status,"&lt;&gt;❌ Отменено")&gt;0,1,0))</f>
        <v/>
      </c>
    </row>
    <row r="2709">
      <c r="A2709" s="52" t="n"/>
      <c r="B2709" s="53">
        <f>IF(A2709="","",CHOOSE(WEEKDAY(A2709,2),"Пн","Вт","Ср","Чт","Пт","Сб","Вс"))</f>
        <v/>
      </c>
      <c r="C2709" s="53">
        <f>IF(A2709="","",YEAR(A2709))</f>
        <v/>
      </c>
      <c r="D2709" s="54">
        <f>IF(A2709="","",INDEX(lst_months,MONTH(A2709)))</f>
        <v/>
      </c>
      <c r="E2709" s="55" t="n"/>
      <c r="F2709" s="54">
        <f>IF(E2709="","",IFERROR(IF(INDEX(lst_exp_item_cat,MATCH(E2709,lst_exp_items,0))="","❔ Без категории",INDEX(lst_exp_item_cat,MATCH(E2709,lst_exp_items,0))),"❔ Без категории"))</f>
        <v/>
      </c>
      <c r="G2709" s="43" t="n"/>
      <c r="H2709" s="56" t="n"/>
      <c r="I2709" s="43" t="n"/>
      <c r="J2709" s="57">
        <f>IF(OR(A2709="",H2709=""),"",IF(COUNTIFS(exp_year,C2709,exp_month,D2709,exp_item,E2709,exp_status,"&lt;&gt;❌ Отменено")&gt;0,1,0))</f>
        <v/>
      </c>
    </row>
    <row r="2710">
      <c r="A2710" s="52" t="n"/>
      <c r="B2710" s="53">
        <f>IF(A2710="","",CHOOSE(WEEKDAY(A2710,2),"Пн","Вт","Ср","Чт","Пт","Сб","Вс"))</f>
        <v/>
      </c>
      <c r="C2710" s="53">
        <f>IF(A2710="","",YEAR(A2710))</f>
        <v/>
      </c>
      <c r="D2710" s="54">
        <f>IF(A2710="","",INDEX(lst_months,MONTH(A2710)))</f>
        <v/>
      </c>
      <c r="E2710" s="55" t="n"/>
      <c r="F2710" s="54">
        <f>IF(E2710="","",IFERROR(IF(INDEX(lst_exp_item_cat,MATCH(E2710,lst_exp_items,0))="","❔ Без категории",INDEX(lst_exp_item_cat,MATCH(E2710,lst_exp_items,0))),"❔ Без категории"))</f>
        <v/>
      </c>
      <c r="G2710" s="43" t="n"/>
      <c r="H2710" s="56" t="n"/>
      <c r="I2710" s="43" t="n"/>
      <c r="J2710" s="57">
        <f>IF(OR(A2710="",H2710=""),"",IF(COUNTIFS(exp_year,C2710,exp_month,D2710,exp_item,E2710,exp_status,"&lt;&gt;❌ Отменено")&gt;0,1,0))</f>
        <v/>
      </c>
    </row>
    <row r="2711">
      <c r="A2711" s="52" t="n"/>
      <c r="B2711" s="53">
        <f>IF(A2711="","",CHOOSE(WEEKDAY(A2711,2),"Пн","Вт","Ср","Чт","Пт","Сб","Вс"))</f>
        <v/>
      </c>
      <c r="C2711" s="53">
        <f>IF(A2711="","",YEAR(A2711))</f>
        <v/>
      </c>
      <c r="D2711" s="54">
        <f>IF(A2711="","",INDEX(lst_months,MONTH(A2711)))</f>
        <v/>
      </c>
      <c r="E2711" s="55" t="n"/>
      <c r="F2711" s="54">
        <f>IF(E2711="","",IFERROR(IF(INDEX(lst_exp_item_cat,MATCH(E2711,lst_exp_items,0))="","❔ Без категории",INDEX(lst_exp_item_cat,MATCH(E2711,lst_exp_items,0))),"❔ Без категории"))</f>
        <v/>
      </c>
      <c r="G2711" s="43" t="n"/>
      <c r="H2711" s="56" t="n"/>
      <c r="I2711" s="43" t="n"/>
      <c r="J2711" s="57">
        <f>IF(OR(A2711="",H2711=""),"",IF(COUNTIFS(exp_year,C2711,exp_month,D2711,exp_item,E2711,exp_status,"&lt;&gt;❌ Отменено")&gt;0,1,0))</f>
        <v/>
      </c>
    </row>
    <row r="2712">
      <c r="A2712" s="52" t="n"/>
      <c r="B2712" s="53">
        <f>IF(A2712="","",CHOOSE(WEEKDAY(A2712,2),"Пн","Вт","Ср","Чт","Пт","Сб","Вс"))</f>
        <v/>
      </c>
      <c r="C2712" s="53">
        <f>IF(A2712="","",YEAR(A2712))</f>
        <v/>
      </c>
      <c r="D2712" s="54">
        <f>IF(A2712="","",INDEX(lst_months,MONTH(A2712)))</f>
        <v/>
      </c>
      <c r="E2712" s="55" t="n"/>
      <c r="F2712" s="54">
        <f>IF(E2712="","",IFERROR(IF(INDEX(lst_exp_item_cat,MATCH(E2712,lst_exp_items,0))="","❔ Без категории",INDEX(lst_exp_item_cat,MATCH(E2712,lst_exp_items,0))),"❔ Без категории"))</f>
        <v/>
      </c>
      <c r="G2712" s="43" t="n"/>
      <c r="H2712" s="56" t="n"/>
      <c r="I2712" s="43" t="n"/>
      <c r="J2712" s="57">
        <f>IF(OR(A2712="",H2712=""),"",IF(COUNTIFS(exp_year,C2712,exp_month,D2712,exp_item,E2712,exp_status,"&lt;&gt;❌ Отменено")&gt;0,1,0))</f>
        <v/>
      </c>
    </row>
    <row r="2713">
      <c r="A2713" s="52" t="n"/>
      <c r="B2713" s="53">
        <f>IF(A2713="","",CHOOSE(WEEKDAY(A2713,2),"Пн","Вт","Ср","Чт","Пт","Сб","Вс"))</f>
        <v/>
      </c>
      <c r="C2713" s="53">
        <f>IF(A2713="","",YEAR(A2713))</f>
        <v/>
      </c>
      <c r="D2713" s="54">
        <f>IF(A2713="","",INDEX(lst_months,MONTH(A2713)))</f>
        <v/>
      </c>
      <c r="E2713" s="55" t="n"/>
      <c r="F2713" s="54">
        <f>IF(E2713="","",IFERROR(IF(INDEX(lst_exp_item_cat,MATCH(E2713,lst_exp_items,0))="","❔ Без категории",INDEX(lst_exp_item_cat,MATCH(E2713,lst_exp_items,0))),"❔ Без категории"))</f>
        <v/>
      </c>
      <c r="G2713" s="43" t="n"/>
      <c r="H2713" s="56" t="n"/>
      <c r="I2713" s="43" t="n"/>
      <c r="J2713" s="57">
        <f>IF(OR(A2713="",H2713=""),"",IF(COUNTIFS(exp_year,C2713,exp_month,D2713,exp_item,E2713,exp_status,"&lt;&gt;❌ Отменено")&gt;0,1,0))</f>
        <v/>
      </c>
    </row>
    <row r="2714">
      <c r="A2714" s="52" t="n"/>
      <c r="B2714" s="53">
        <f>IF(A2714="","",CHOOSE(WEEKDAY(A2714,2),"Пн","Вт","Ср","Чт","Пт","Сб","Вс"))</f>
        <v/>
      </c>
      <c r="C2714" s="53">
        <f>IF(A2714="","",YEAR(A2714))</f>
        <v/>
      </c>
      <c r="D2714" s="54">
        <f>IF(A2714="","",INDEX(lst_months,MONTH(A2714)))</f>
        <v/>
      </c>
      <c r="E2714" s="55" t="n"/>
      <c r="F2714" s="54">
        <f>IF(E2714="","",IFERROR(IF(INDEX(lst_exp_item_cat,MATCH(E2714,lst_exp_items,0))="","❔ Без категории",INDEX(lst_exp_item_cat,MATCH(E2714,lst_exp_items,0))),"❔ Без категории"))</f>
        <v/>
      </c>
      <c r="G2714" s="43" t="n"/>
      <c r="H2714" s="56" t="n"/>
      <c r="I2714" s="43" t="n"/>
      <c r="J2714" s="57">
        <f>IF(OR(A2714="",H2714=""),"",IF(COUNTIFS(exp_year,C2714,exp_month,D2714,exp_item,E2714,exp_status,"&lt;&gt;❌ Отменено")&gt;0,1,0))</f>
        <v/>
      </c>
    </row>
    <row r="2715">
      <c r="A2715" s="52" t="n"/>
      <c r="B2715" s="53">
        <f>IF(A2715="","",CHOOSE(WEEKDAY(A2715,2),"Пн","Вт","Ср","Чт","Пт","Сб","Вс"))</f>
        <v/>
      </c>
      <c r="C2715" s="53">
        <f>IF(A2715="","",YEAR(A2715))</f>
        <v/>
      </c>
      <c r="D2715" s="54">
        <f>IF(A2715="","",INDEX(lst_months,MONTH(A2715)))</f>
        <v/>
      </c>
      <c r="E2715" s="55" t="n"/>
      <c r="F2715" s="54">
        <f>IF(E2715="","",IFERROR(IF(INDEX(lst_exp_item_cat,MATCH(E2715,lst_exp_items,0))="","❔ Без категории",INDEX(lst_exp_item_cat,MATCH(E2715,lst_exp_items,0))),"❔ Без категории"))</f>
        <v/>
      </c>
      <c r="G2715" s="43" t="n"/>
      <c r="H2715" s="56" t="n"/>
      <c r="I2715" s="43" t="n"/>
      <c r="J2715" s="57">
        <f>IF(OR(A2715="",H2715=""),"",IF(COUNTIFS(exp_year,C2715,exp_month,D2715,exp_item,E2715,exp_status,"&lt;&gt;❌ Отменено")&gt;0,1,0))</f>
        <v/>
      </c>
    </row>
    <row r="2716">
      <c r="A2716" s="52" t="n"/>
      <c r="B2716" s="53">
        <f>IF(A2716="","",CHOOSE(WEEKDAY(A2716,2),"Пн","Вт","Ср","Чт","Пт","Сб","Вс"))</f>
        <v/>
      </c>
      <c r="C2716" s="53">
        <f>IF(A2716="","",YEAR(A2716))</f>
        <v/>
      </c>
      <c r="D2716" s="54">
        <f>IF(A2716="","",INDEX(lst_months,MONTH(A2716)))</f>
        <v/>
      </c>
      <c r="E2716" s="55" t="n"/>
      <c r="F2716" s="54">
        <f>IF(E2716="","",IFERROR(IF(INDEX(lst_exp_item_cat,MATCH(E2716,lst_exp_items,0))="","❔ Без категории",INDEX(lst_exp_item_cat,MATCH(E2716,lst_exp_items,0))),"❔ Без категории"))</f>
        <v/>
      </c>
      <c r="G2716" s="43" t="n"/>
      <c r="H2716" s="56" t="n"/>
      <c r="I2716" s="43" t="n"/>
      <c r="J2716" s="57">
        <f>IF(OR(A2716="",H2716=""),"",IF(COUNTIFS(exp_year,C2716,exp_month,D2716,exp_item,E2716,exp_status,"&lt;&gt;❌ Отменено")&gt;0,1,0))</f>
        <v/>
      </c>
    </row>
    <row r="2717">
      <c r="A2717" s="52" t="n"/>
      <c r="B2717" s="53">
        <f>IF(A2717="","",CHOOSE(WEEKDAY(A2717,2),"Пн","Вт","Ср","Чт","Пт","Сб","Вс"))</f>
        <v/>
      </c>
      <c r="C2717" s="53">
        <f>IF(A2717="","",YEAR(A2717))</f>
        <v/>
      </c>
      <c r="D2717" s="54">
        <f>IF(A2717="","",INDEX(lst_months,MONTH(A2717)))</f>
        <v/>
      </c>
      <c r="E2717" s="55" t="n"/>
      <c r="F2717" s="54">
        <f>IF(E2717="","",IFERROR(IF(INDEX(lst_exp_item_cat,MATCH(E2717,lst_exp_items,0))="","❔ Без категории",INDEX(lst_exp_item_cat,MATCH(E2717,lst_exp_items,0))),"❔ Без категории"))</f>
        <v/>
      </c>
      <c r="G2717" s="43" t="n"/>
      <c r="H2717" s="56" t="n"/>
      <c r="I2717" s="43" t="n"/>
      <c r="J2717" s="57">
        <f>IF(OR(A2717="",H2717=""),"",IF(COUNTIFS(exp_year,C2717,exp_month,D2717,exp_item,E2717,exp_status,"&lt;&gt;❌ Отменено")&gt;0,1,0))</f>
        <v/>
      </c>
    </row>
    <row r="2718">
      <c r="A2718" s="52" t="n"/>
      <c r="B2718" s="53">
        <f>IF(A2718="","",CHOOSE(WEEKDAY(A2718,2),"Пн","Вт","Ср","Чт","Пт","Сб","Вс"))</f>
        <v/>
      </c>
      <c r="C2718" s="53">
        <f>IF(A2718="","",YEAR(A2718))</f>
        <v/>
      </c>
      <c r="D2718" s="54">
        <f>IF(A2718="","",INDEX(lst_months,MONTH(A2718)))</f>
        <v/>
      </c>
      <c r="E2718" s="55" t="n"/>
      <c r="F2718" s="54">
        <f>IF(E2718="","",IFERROR(IF(INDEX(lst_exp_item_cat,MATCH(E2718,lst_exp_items,0))="","❔ Без категории",INDEX(lst_exp_item_cat,MATCH(E2718,lst_exp_items,0))),"❔ Без категории"))</f>
        <v/>
      </c>
      <c r="G2718" s="43" t="n"/>
      <c r="H2718" s="56" t="n"/>
      <c r="I2718" s="43" t="n"/>
      <c r="J2718" s="57">
        <f>IF(OR(A2718="",H2718=""),"",IF(COUNTIFS(exp_year,C2718,exp_month,D2718,exp_item,E2718,exp_status,"&lt;&gt;❌ Отменено")&gt;0,1,0))</f>
        <v/>
      </c>
    </row>
    <row r="2719">
      <c r="A2719" s="52" t="n"/>
      <c r="B2719" s="53">
        <f>IF(A2719="","",CHOOSE(WEEKDAY(A2719,2),"Пн","Вт","Ср","Чт","Пт","Сб","Вс"))</f>
        <v/>
      </c>
      <c r="C2719" s="53">
        <f>IF(A2719="","",YEAR(A2719))</f>
        <v/>
      </c>
      <c r="D2719" s="54">
        <f>IF(A2719="","",INDEX(lst_months,MONTH(A2719)))</f>
        <v/>
      </c>
      <c r="E2719" s="55" t="n"/>
      <c r="F2719" s="54">
        <f>IF(E2719="","",IFERROR(IF(INDEX(lst_exp_item_cat,MATCH(E2719,lst_exp_items,0))="","❔ Без категории",INDEX(lst_exp_item_cat,MATCH(E2719,lst_exp_items,0))),"❔ Без категории"))</f>
        <v/>
      </c>
      <c r="G2719" s="43" t="n"/>
      <c r="H2719" s="56" t="n"/>
      <c r="I2719" s="43" t="n"/>
      <c r="J2719" s="57">
        <f>IF(OR(A2719="",H2719=""),"",IF(COUNTIFS(exp_year,C2719,exp_month,D2719,exp_item,E2719,exp_status,"&lt;&gt;❌ Отменено")&gt;0,1,0))</f>
        <v/>
      </c>
    </row>
    <row r="2720">
      <c r="A2720" s="52" t="n"/>
      <c r="B2720" s="53">
        <f>IF(A2720="","",CHOOSE(WEEKDAY(A2720,2),"Пн","Вт","Ср","Чт","Пт","Сб","Вс"))</f>
        <v/>
      </c>
      <c r="C2720" s="53">
        <f>IF(A2720="","",YEAR(A2720))</f>
        <v/>
      </c>
      <c r="D2720" s="54">
        <f>IF(A2720="","",INDEX(lst_months,MONTH(A2720)))</f>
        <v/>
      </c>
      <c r="E2720" s="55" t="n"/>
      <c r="F2720" s="54">
        <f>IF(E2720="","",IFERROR(IF(INDEX(lst_exp_item_cat,MATCH(E2720,lst_exp_items,0))="","❔ Без категории",INDEX(lst_exp_item_cat,MATCH(E2720,lst_exp_items,0))),"❔ Без категории"))</f>
        <v/>
      </c>
      <c r="G2720" s="43" t="n"/>
      <c r="H2720" s="56" t="n"/>
      <c r="I2720" s="43" t="n"/>
      <c r="J2720" s="57">
        <f>IF(OR(A2720="",H2720=""),"",IF(COUNTIFS(exp_year,C2720,exp_month,D2720,exp_item,E2720,exp_status,"&lt;&gt;❌ Отменено")&gt;0,1,0))</f>
        <v/>
      </c>
    </row>
    <row r="2721">
      <c r="A2721" s="52" t="n"/>
      <c r="B2721" s="53">
        <f>IF(A2721="","",CHOOSE(WEEKDAY(A2721,2),"Пн","Вт","Ср","Чт","Пт","Сб","Вс"))</f>
        <v/>
      </c>
      <c r="C2721" s="53">
        <f>IF(A2721="","",YEAR(A2721))</f>
        <v/>
      </c>
      <c r="D2721" s="54">
        <f>IF(A2721="","",INDEX(lst_months,MONTH(A2721)))</f>
        <v/>
      </c>
      <c r="E2721" s="55" t="n"/>
      <c r="F2721" s="54">
        <f>IF(E2721="","",IFERROR(IF(INDEX(lst_exp_item_cat,MATCH(E2721,lst_exp_items,0))="","❔ Без категории",INDEX(lst_exp_item_cat,MATCH(E2721,lst_exp_items,0))),"❔ Без категории"))</f>
        <v/>
      </c>
      <c r="G2721" s="43" t="n"/>
      <c r="H2721" s="56" t="n"/>
      <c r="I2721" s="43" t="n"/>
      <c r="J2721" s="57">
        <f>IF(OR(A2721="",H2721=""),"",IF(COUNTIFS(exp_year,C2721,exp_month,D2721,exp_item,E2721,exp_status,"&lt;&gt;❌ Отменено")&gt;0,1,0))</f>
        <v/>
      </c>
    </row>
    <row r="2722">
      <c r="A2722" s="52" t="n"/>
      <c r="B2722" s="53">
        <f>IF(A2722="","",CHOOSE(WEEKDAY(A2722,2),"Пн","Вт","Ср","Чт","Пт","Сб","Вс"))</f>
        <v/>
      </c>
      <c r="C2722" s="53">
        <f>IF(A2722="","",YEAR(A2722))</f>
        <v/>
      </c>
      <c r="D2722" s="54">
        <f>IF(A2722="","",INDEX(lst_months,MONTH(A2722)))</f>
        <v/>
      </c>
      <c r="E2722" s="55" t="n"/>
      <c r="F2722" s="54">
        <f>IF(E2722="","",IFERROR(IF(INDEX(lst_exp_item_cat,MATCH(E2722,lst_exp_items,0))="","❔ Без категории",INDEX(lst_exp_item_cat,MATCH(E2722,lst_exp_items,0))),"❔ Без категории"))</f>
        <v/>
      </c>
      <c r="G2722" s="43" t="n"/>
      <c r="H2722" s="56" t="n"/>
      <c r="I2722" s="43" t="n"/>
      <c r="J2722" s="57">
        <f>IF(OR(A2722="",H2722=""),"",IF(COUNTIFS(exp_year,C2722,exp_month,D2722,exp_item,E2722,exp_status,"&lt;&gt;❌ Отменено")&gt;0,1,0))</f>
        <v/>
      </c>
    </row>
    <row r="2723">
      <c r="A2723" s="52" t="n"/>
      <c r="B2723" s="53">
        <f>IF(A2723="","",CHOOSE(WEEKDAY(A2723,2),"Пн","Вт","Ср","Чт","Пт","Сб","Вс"))</f>
        <v/>
      </c>
      <c r="C2723" s="53">
        <f>IF(A2723="","",YEAR(A2723))</f>
        <v/>
      </c>
      <c r="D2723" s="54">
        <f>IF(A2723="","",INDEX(lst_months,MONTH(A2723)))</f>
        <v/>
      </c>
      <c r="E2723" s="55" t="n"/>
      <c r="F2723" s="54">
        <f>IF(E2723="","",IFERROR(IF(INDEX(lst_exp_item_cat,MATCH(E2723,lst_exp_items,0))="","❔ Без категории",INDEX(lst_exp_item_cat,MATCH(E2723,lst_exp_items,0))),"❔ Без категории"))</f>
        <v/>
      </c>
      <c r="G2723" s="43" t="n"/>
      <c r="H2723" s="56" t="n"/>
      <c r="I2723" s="43" t="n"/>
      <c r="J2723" s="57">
        <f>IF(OR(A2723="",H2723=""),"",IF(COUNTIFS(exp_year,C2723,exp_month,D2723,exp_item,E2723,exp_status,"&lt;&gt;❌ Отменено")&gt;0,1,0))</f>
        <v/>
      </c>
    </row>
    <row r="2724">
      <c r="A2724" s="52" t="n"/>
      <c r="B2724" s="53">
        <f>IF(A2724="","",CHOOSE(WEEKDAY(A2724,2),"Пн","Вт","Ср","Чт","Пт","Сб","Вс"))</f>
        <v/>
      </c>
      <c r="C2724" s="53">
        <f>IF(A2724="","",YEAR(A2724))</f>
        <v/>
      </c>
      <c r="D2724" s="54">
        <f>IF(A2724="","",INDEX(lst_months,MONTH(A2724)))</f>
        <v/>
      </c>
      <c r="E2724" s="55" t="n"/>
      <c r="F2724" s="54">
        <f>IF(E2724="","",IFERROR(IF(INDEX(lst_exp_item_cat,MATCH(E2724,lst_exp_items,0))="","❔ Без категории",INDEX(lst_exp_item_cat,MATCH(E2724,lst_exp_items,0))),"❔ Без категории"))</f>
        <v/>
      </c>
      <c r="G2724" s="43" t="n"/>
      <c r="H2724" s="56" t="n"/>
      <c r="I2724" s="43" t="n"/>
      <c r="J2724" s="57">
        <f>IF(OR(A2724="",H2724=""),"",IF(COUNTIFS(exp_year,C2724,exp_month,D2724,exp_item,E2724,exp_status,"&lt;&gt;❌ Отменено")&gt;0,1,0))</f>
        <v/>
      </c>
    </row>
    <row r="2725">
      <c r="A2725" s="52" t="n"/>
      <c r="B2725" s="53">
        <f>IF(A2725="","",CHOOSE(WEEKDAY(A2725,2),"Пн","Вт","Ср","Чт","Пт","Сб","Вс"))</f>
        <v/>
      </c>
      <c r="C2725" s="53">
        <f>IF(A2725="","",YEAR(A2725))</f>
        <v/>
      </c>
      <c r="D2725" s="54">
        <f>IF(A2725="","",INDEX(lst_months,MONTH(A2725)))</f>
        <v/>
      </c>
      <c r="E2725" s="55" t="n"/>
      <c r="F2725" s="54">
        <f>IF(E2725="","",IFERROR(IF(INDEX(lst_exp_item_cat,MATCH(E2725,lst_exp_items,0))="","❔ Без категории",INDEX(lst_exp_item_cat,MATCH(E2725,lst_exp_items,0))),"❔ Без категории"))</f>
        <v/>
      </c>
      <c r="G2725" s="43" t="n"/>
      <c r="H2725" s="56" t="n"/>
      <c r="I2725" s="43" t="n"/>
      <c r="J2725" s="57">
        <f>IF(OR(A2725="",H2725=""),"",IF(COUNTIFS(exp_year,C2725,exp_month,D2725,exp_item,E2725,exp_status,"&lt;&gt;❌ Отменено")&gt;0,1,0))</f>
        <v/>
      </c>
    </row>
    <row r="2726">
      <c r="A2726" s="52" t="n"/>
      <c r="B2726" s="53">
        <f>IF(A2726="","",CHOOSE(WEEKDAY(A2726,2),"Пн","Вт","Ср","Чт","Пт","Сб","Вс"))</f>
        <v/>
      </c>
      <c r="C2726" s="53">
        <f>IF(A2726="","",YEAR(A2726))</f>
        <v/>
      </c>
      <c r="D2726" s="54">
        <f>IF(A2726="","",INDEX(lst_months,MONTH(A2726)))</f>
        <v/>
      </c>
      <c r="E2726" s="55" t="n"/>
      <c r="F2726" s="54">
        <f>IF(E2726="","",IFERROR(IF(INDEX(lst_exp_item_cat,MATCH(E2726,lst_exp_items,0))="","❔ Без категории",INDEX(lst_exp_item_cat,MATCH(E2726,lst_exp_items,0))),"❔ Без категории"))</f>
        <v/>
      </c>
      <c r="G2726" s="43" t="n"/>
      <c r="H2726" s="56" t="n"/>
      <c r="I2726" s="43" t="n"/>
      <c r="J2726" s="57">
        <f>IF(OR(A2726="",H2726=""),"",IF(COUNTIFS(exp_year,C2726,exp_month,D2726,exp_item,E2726,exp_status,"&lt;&gt;❌ Отменено")&gt;0,1,0))</f>
        <v/>
      </c>
    </row>
    <row r="2727">
      <c r="A2727" s="52" t="n"/>
      <c r="B2727" s="53">
        <f>IF(A2727="","",CHOOSE(WEEKDAY(A2727,2),"Пн","Вт","Ср","Чт","Пт","Сб","Вс"))</f>
        <v/>
      </c>
      <c r="C2727" s="53">
        <f>IF(A2727="","",YEAR(A2727))</f>
        <v/>
      </c>
      <c r="D2727" s="54">
        <f>IF(A2727="","",INDEX(lst_months,MONTH(A2727)))</f>
        <v/>
      </c>
      <c r="E2727" s="55" t="n"/>
      <c r="F2727" s="54">
        <f>IF(E2727="","",IFERROR(IF(INDEX(lst_exp_item_cat,MATCH(E2727,lst_exp_items,0))="","❔ Без категории",INDEX(lst_exp_item_cat,MATCH(E2727,lst_exp_items,0))),"❔ Без категории"))</f>
        <v/>
      </c>
      <c r="G2727" s="43" t="n"/>
      <c r="H2727" s="56" t="n"/>
      <c r="I2727" s="43" t="n"/>
      <c r="J2727" s="57">
        <f>IF(OR(A2727="",H2727=""),"",IF(COUNTIFS(exp_year,C2727,exp_month,D2727,exp_item,E2727,exp_status,"&lt;&gt;❌ Отменено")&gt;0,1,0))</f>
        <v/>
      </c>
    </row>
    <row r="2728">
      <c r="A2728" s="52" t="n"/>
      <c r="B2728" s="53">
        <f>IF(A2728="","",CHOOSE(WEEKDAY(A2728,2),"Пн","Вт","Ср","Чт","Пт","Сб","Вс"))</f>
        <v/>
      </c>
      <c r="C2728" s="53">
        <f>IF(A2728="","",YEAR(A2728))</f>
        <v/>
      </c>
      <c r="D2728" s="54">
        <f>IF(A2728="","",INDEX(lst_months,MONTH(A2728)))</f>
        <v/>
      </c>
      <c r="E2728" s="55" t="n"/>
      <c r="F2728" s="54">
        <f>IF(E2728="","",IFERROR(IF(INDEX(lst_exp_item_cat,MATCH(E2728,lst_exp_items,0))="","❔ Без категории",INDEX(lst_exp_item_cat,MATCH(E2728,lst_exp_items,0))),"❔ Без категории"))</f>
        <v/>
      </c>
      <c r="G2728" s="43" t="n"/>
      <c r="H2728" s="56" t="n"/>
      <c r="I2728" s="43" t="n"/>
      <c r="J2728" s="57">
        <f>IF(OR(A2728="",H2728=""),"",IF(COUNTIFS(exp_year,C2728,exp_month,D2728,exp_item,E2728,exp_status,"&lt;&gt;❌ Отменено")&gt;0,1,0))</f>
        <v/>
      </c>
    </row>
    <row r="2729">
      <c r="A2729" s="52" t="n"/>
      <c r="B2729" s="53">
        <f>IF(A2729="","",CHOOSE(WEEKDAY(A2729,2),"Пн","Вт","Ср","Чт","Пт","Сб","Вс"))</f>
        <v/>
      </c>
      <c r="C2729" s="53">
        <f>IF(A2729="","",YEAR(A2729))</f>
        <v/>
      </c>
      <c r="D2729" s="54">
        <f>IF(A2729="","",INDEX(lst_months,MONTH(A2729)))</f>
        <v/>
      </c>
      <c r="E2729" s="55" t="n"/>
      <c r="F2729" s="54">
        <f>IF(E2729="","",IFERROR(IF(INDEX(lst_exp_item_cat,MATCH(E2729,lst_exp_items,0))="","❔ Без категории",INDEX(lst_exp_item_cat,MATCH(E2729,lst_exp_items,0))),"❔ Без категории"))</f>
        <v/>
      </c>
      <c r="G2729" s="43" t="n"/>
      <c r="H2729" s="56" t="n"/>
      <c r="I2729" s="43" t="n"/>
      <c r="J2729" s="57">
        <f>IF(OR(A2729="",H2729=""),"",IF(COUNTIFS(exp_year,C2729,exp_month,D2729,exp_item,E2729,exp_status,"&lt;&gt;❌ Отменено")&gt;0,1,0))</f>
        <v/>
      </c>
    </row>
    <row r="2730">
      <c r="A2730" s="52" t="n"/>
      <c r="B2730" s="53">
        <f>IF(A2730="","",CHOOSE(WEEKDAY(A2730,2),"Пн","Вт","Ср","Чт","Пт","Сб","Вс"))</f>
        <v/>
      </c>
      <c r="C2730" s="53">
        <f>IF(A2730="","",YEAR(A2730))</f>
        <v/>
      </c>
      <c r="D2730" s="54">
        <f>IF(A2730="","",INDEX(lst_months,MONTH(A2730)))</f>
        <v/>
      </c>
      <c r="E2730" s="55" t="n"/>
      <c r="F2730" s="54">
        <f>IF(E2730="","",IFERROR(IF(INDEX(lst_exp_item_cat,MATCH(E2730,lst_exp_items,0))="","❔ Без категории",INDEX(lst_exp_item_cat,MATCH(E2730,lst_exp_items,0))),"❔ Без категории"))</f>
        <v/>
      </c>
      <c r="G2730" s="43" t="n"/>
      <c r="H2730" s="56" t="n"/>
      <c r="I2730" s="43" t="n"/>
      <c r="J2730" s="57">
        <f>IF(OR(A2730="",H2730=""),"",IF(COUNTIFS(exp_year,C2730,exp_month,D2730,exp_item,E2730,exp_status,"&lt;&gt;❌ Отменено")&gt;0,1,0))</f>
        <v/>
      </c>
    </row>
    <row r="2731">
      <c r="A2731" s="52" t="n"/>
      <c r="B2731" s="53">
        <f>IF(A2731="","",CHOOSE(WEEKDAY(A2731,2),"Пн","Вт","Ср","Чт","Пт","Сб","Вс"))</f>
        <v/>
      </c>
      <c r="C2731" s="53">
        <f>IF(A2731="","",YEAR(A2731))</f>
        <v/>
      </c>
      <c r="D2731" s="54">
        <f>IF(A2731="","",INDEX(lst_months,MONTH(A2731)))</f>
        <v/>
      </c>
      <c r="E2731" s="55" t="n"/>
      <c r="F2731" s="54">
        <f>IF(E2731="","",IFERROR(IF(INDEX(lst_exp_item_cat,MATCH(E2731,lst_exp_items,0))="","❔ Без категории",INDEX(lst_exp_item_cat,MATCH(E2731,lst_exp_items,0))),"❔ Без категории"))</f>
        <v/>
      </c>
      <c r="G2731" s="43" t="n"/>
      <c r="H2731" s="56" t="n"/>
      <c r="I2731" s="43" t="n"/>
      <c r="J2731" s="57">
        <f>IF(OR(A2731="",H2731=""),"",IF(COUNTIFS(exp_year,C2731,exp_month,D2731,exp_item,E2731,exp_status,"&lt;&gt;❌ Отменено")&gt;0,1,0))</f>
        <v/>
      </c>
    </row>
    <row r="2732">
      <c r="A2732" s="52" t="n"/>
      <c r="B2732" s="53">
        <f>IF(A2732="","",CHOOSE(WEEKDAY(A2732,2),"Пн","Вт","Ср","Чт","Пт","Сб","Вс"))</f>
        <v/>
      </c>
      <c r="C2732" s="53">
        <f>IF(A2732="","",YEAR(A2732))</f>
        <v/>
      </c>
      <c r="D2732" s="54">
        <f>IF(A2732="","",INDEX(lst_months,MONTH(A2732)))</f>
        <v/>
      </c>
      <c r="E2732" s="55" t="n"/>
      <c r="F2732" s="54">
        <f>IF(E2732="","",IFERROR(IF(INDEX(lst_exp_item_cat,MATCH(E2732,lst_exp_items,0))="","❔ Без категории",INDEX(lst_exp_item_cat,MATCH(E2732,lst_exp_items,0))),"❔ Без категории"))</f>
        <v/>
      </c>
      <c r="G2732" s="43" t="n"/>
      <c r="H2732" s="56" t="n"/>
      <c r="I2732" s="43" t="n"/>
      <c r="J2732" s="57">
        <f>IF(OR(A2732="",H2732=""),"",IF(COUNTIFS(exp_year,C2732,exp_month,D2732,exp_item,E2732,exp_status,"&lt;&gt;❌ Отменено")&gt;0,1,0))</f>
        <v/>
      </c>
    </row>
    <row r="2733">
      <c r="A2733" s="52" t="n"/>
      <c r="B2733" s="53">
        <f>IF(A2733="","",CHOOSE(WEEKDAY(A2733,2),"Пн","Вт","Ср","Чт","Пт","Сб","Вс"))</f>
        <v/>
      </c>
      <c r="C2733" s="53">
        <f>IF(A2733="","",YEAR(A2733))</f>
        <v/>
      </c>
      <c r="D2733" s="54">
        <f>IF(A2733="","",INDEX(lst_months,MONTH(A2733)))</f>
        <v/>
      </c>
      <c r="E2733" s="55" t="n"/>
      <c r="F2733" s="54">
        <f>IF(E2733="","",IFERROR(IF(INDEX(lst_exp_item_cat,MATCH(E2733,lst_exp_items,0))="","❔ Без категории",INDEX(lst_exp_item_cat,MATCH(E2733,lst_exp_items,0))),"❔ Без категории"))</f>
        <v/>
      </c>
      <c r="G2733" s="43" t="n"/>
      <c r="H2733" s="56" t="n"/>
      <c r="I2733" s="43" t="n"/>
      <c r="J2733" s="57">
        <f>IF(OR(A2733="",H2733=""),"",IF(COUNTIFS(exp_year,C2733,exp_month,D2733,exp_item,E2733,exp_status,"&lt;&gt;❌ Отменено")&gt;0,1,0))</f>
        <v/>
      </c>
    </row>
    <row r="2734">
      <c r="A2734" s="52" t="n"/>
      <c r="B2734" s="53">
        <f>IF(A2734="","",CHOOSE(WEEKDAY(A2734,2),"Пн","Вт","Ср","Чт","Пт","Сб","Вс"))</f>
        <v/>
      </c>
      <c r="C2734" s="53">
        <f>IF(A2734="","",YEAR(A2734))</f>
        <v/>
      </c>
      <c r="D2734" s="54">
        <f>IF(A2734="","",INDEX(lst_months,MONTH(A2734)))</f>
        <v/>
      </c>
      <c r="E2734" s="55" t="n"/>
      <c r="F2734" s="54">
        <f>IF(E2734="","",IFERROR(IF(INDEX(lst_exp_item_cat,MATCH(E2734,lst_exp_items,0))="","❔ Без категории",INDEX(lst_exp_item_cat,MATCH(E2734,lst_exp_items,0))),"❔ Без категории"))</f>
        <v/>
      </c>
      <c r="G2734" s="43" t="n"/>
      <c r="H2734" s="56" t="n"/>
      <c r="I2734" s="43" t="n"/>
      <c r="J2734" s="57">
        <f>IF(OR(A2734="",H2734=""),"",IF(COUNTIFS(exp_year,C2734,exp_month,D2734,exp_item,E2734,exp_status,"&lt;&gt;❌ Отменено")&gt;0,1,0))</f>
        <v/>
      </c>
    </row>
    <row r="2735">
      <c r="A2735" s="52" t="n"/>
      <c r="B2735" s="53">
        <f>IF(A2735="","",CHOOSE(WEEKDAY(A2735,2),"Пн","Вт","Ср","Чт","Пт","Сб","Вс"))</f>
        <v/>
      </c>
      <c r="C2735" s="53">
        <f>IF(A2735="","",YEAR(A2735))</f>
        <v/>
      </c>
      <c r="D2735" s="54">
        <f>IF(A2735="","",INDEX(lst_months,MONTH(A2735)))</f>
        <v/>
      </c>
      <c r="E2735" s="55" t="n"/>
      <c r="F2735" s="54">
        <f>IF(E2735="","",IFERROR(IF(INDEX(lst_exp_item_cat,MATCH(E2735,lst_exp_items,0))="","❔ Без категории",INDEX(lst_exp_item_cat,MATCH(E2735,lst_exp_items,0))),"❔ Без категории"))</f>
        <v/>
      </c>
      <c r="G2735" s="43" t="n"/>
      <c r="H2735" s="56" t="n"/>
      <c r="I2735" s="43" t="n"/>
      <c r="J2735" s="57">
        <f>IF(OR(A2735="",H2735=""),"",IF(COUNTIFS(exp_year,C2735,exp_month,D2735,exp_item,E2735,exp_status,"&lt;&gt;❌ Отменено")&gt;0,1,0))</f>
        <v/>
      </c>
    </row>
    <row r="2736">
      <c r="A2736" s="52" t="n"/>
      <c r="B2736" s="53">
        <f>IF(A2736="","",CHOOSE(WEEKDAY(A2736,2),"Пн","Вт","Ср","Чт","Пт","Сб","Вс"))</f>
        <v/>
      </c>
      <c r="C2736" s="53">
        <f>IF(A2736="","",YEAR(A2736))</f>
        <v/>
      </c>
      <c r="D2736" s="54">
        <f>IF(A2736="","",INDEX(lst_months,MONTH(A2736)))</f>
        <v/>
      </c>
      <c r="E2736" s="55" t="n"/>
      <c r="F2736" s="54">
        <f>IF(E2736="","",IFERROR(IF(INDEX(lst_exp_item_cat,MATCH(E2736,lst_exp_items,0))="","❔ Без категории",INDEX(lst_exp_item_cat,MATCH(E2736,lst_exp_items,0))),"❔ Без категории"))</f>
        <v/>
      </c>
      <c r="G2736" s="43" t="n"/>
      <c r="H2736" s="56" t="n"/>
      <c r="I2736" s="43" t="n"/>
      <c r="J2736" s="57">
        <f>IF(OR(A2736="",H2736=""),"",IF(COUNTIFS(exp_year,C2736,exp_month,D2736,exp_item,E2736,exp_status,"&lt;&gt;❌ Отменено")&gt;0,1,0))</f>
        <v/>
      </c>
    </row>
    <row r="2737">
      <c r="A2737" s="52" t="n"/>
      <c r="B2737" s="53">
        <f>IF(A2737="","",CHOOSE(WEEKDAY(A2737,2),"Пн","Вт","Ср","Чт","Пт","Сб","Вс"))</f>
        <v/>
      </c>
      <c r="C2737" s="53">
        <f>IF(A2737="","",YEAR(A2737))</f>
        <v/>
      </c>
      <c r="D2737" s="54">
        <f>IF(A2737="","",INDEX(lst_months,MONTH(A2737)))</f>
        <v/>
      </c>
      <c r="E2737" s="55" t="n"/>
      <c r="F2737" s="54">
        <f>IF(E2737="","",IFERROR(IF(INDEX(lst_exp_item_cat,MATCH(E2737,lst_exp_items,0))="","❔ Без категории",INDEX(lst_exp_item_cat,MATCH(E2737,lst_exp_items,0))),"❔ Без категории"))</f>
        <v/>
      </c>
      <c r="G2737" s="43" t="n"/>
      <c r="H2737" s="56" t="n"/>
      <c r="I2737" s="43" t="n"/>
      <c r="J2737" s="57">
        <f>IF(OR(A2737="",H2737=""),"",IF(COUNTIFS(exp_year,C2737,exp_month,D2737,exp_item,E2737,exp_status,"&lt;&gt;❌ Отменено")&gt;0,1,0))</f>
        <v/>
      </c>
    </row>
    <row r="2738">
      <c r="A2738" s="52" t="n"/>
      <c r="B2738" s="53">
        <f>IF(A2738="","",CHOOSE(WEEKDAY(A2738,2),"Пн","Вт","Ср","Чт","Пт","Сб","Вс"))</f>
        <v/>
      </c>
      <c r="C2738" s="53">
        <f>IF(A2738="","",YEAR(A2738))</f>
        <v/>
      </c>
      <c r="D2738" s="54">
        <f>IF(A2738="","",INDEX(lst_months,MONTH(A2738)))</f>
        <v/>
      </c>
      <c r="E2738" s="55" t="n"/>
      <c r="F2738" s="54">
        <f>IF(E2738="","",IFERROR(IF(INDEX(lst_exp_item_cat,MATCH(E2738,lst_exp_items,0))="","❔ Без категории",INDEX(lst_exp_item_cat,MATCH(E2738,lst_exp_items,0))),"❔ Без категории"))</f>
        <v/>
      </c>
      <c r="G2738" s="43" t="n"/>
      <c r="H2738" s="56" t="n"/>
      <c r="I2738" s="43" t="n"/>
      <c r="J2738" s="57">
        <f>IF(OR(A2738="",H2738=""),"",IF(COUNTIFS(exp_year,C2738,exp_month,D2738,exp_item,E2738,exp_status,"&lt;&gt;❌ Отменено")&gt;0,1,0))</f>
        <v/>
      </c>
    </row>
    <row r="2739">
      <c r="A2739" s="52" t="n"/>
      <c r="B2739" s="53">
        <f>IF(A2739="","",CHOOSE(WEEKDAY(A2739,2),"Пн","Вт","Ср","Чт","Пт","Сб","Вс"))</f>
        <v/>
      </c>
      <c r="C2739" s="53">
        <f>IF(A2739="","",YEAR(A2739))</f>
        <v/>
      </c>
      <c r="D2739" s="54">
        <f>IF(A2739="","",INDEX(lst_months,MONTH(A2739)))</f>
        <v/>
      </c>
      <c r="E2739" s="55" t="n"/>
      <c r="F2739" s="54">
        <f>IF(E2739="","",IFERROR(IF(INDEX(lst_exp_item_cat,MATCH(E2739,lst_exp_items,0))="","❔ Без категории",INDEX(lst_exp_item_cat,MATCH(E2739,lst_exp_items,0))),"❔ Без категории"))</f>
        <v/>
      </c>
      <c r="G2739" s="43" t="n"/>
      <c r="H2739" s="56" t="n"/>
      <c r="I2739" s="43" t="n"/>
      <c r="J2739" s="57">
        <f>IF(OR(A2739="",H2739=""),"",IF(COUNTIFS(exp_year,C2739,exp_month,D2739,exp_item,E2739,exp_status,"&lt;&gt;❌ Отменено")&gt;0,1,0))</f>
        <v/>
      </c>
    </row>
    <row r="2740">
      <c r="A2740" s="52" t="n"/>
      <c r="B2740" s="53">
        <f>IF(A2740="","",CHOOSE(WEEKDAY(A2740,2),"Пн","Вт","Ср","Чт","Пт","Сб","Вс"))</f>
        <v/>
      </c>
      <c r="C2740" s="53">
        <f>IF(A2740="","",YEAR(A2740))</f>
        <v/>
      </c>
      <c r="D2740" s="54">
        <f>IF(A2740="","",INDEX(lst_months,MONTH(A2740)))</f>
        <v/>
      </c>
      <c r="E2740" s="55" t="n"/>
      <c r="F2740" s="54">
        <f>IF(E2740="","",IFERROR(IF(INDEX(lst_exp_item_cat,MATCH(E2740,lst_exp_items,0))="","❔ Без категории",INDEX(lst_exp_item_cat,MATCH(E2740,lst_exp_items,0))),"❔ Без категории"))</f>
        <v/>
      </c>
      <c r="G2740" s="43" t="n"/>
      <c r="H2740" s="56" t="n"/>
      <c r="I2740" s="43" t="n"/>
      <c r="J2740" s="57">
        <f>IF(OR(A2740="",H2740=""),"",IF(COUNTIFS(exp_year,C2740,exp_month,D2740,exp_item,E2740,exp_status,"&lt;&gt;❌ Отменено")&gt;0,1,0))</f>
        <v/>
      </c>
    </row>
    <row r="2741">
      <c r="A2741" s="52" t="n"/>
      <c r="B2741" s="53">
        <f>IF(A2741="","",CHOOSE(WEEKDAY(A2741,2),"Пн","Вт","Ср","Чт","Пт","Сб","Вс"))</f>
        <v/>
      </c>
      <c r="C2741" s="53">
        <f>IF(A2741="","",YEAR(A2741))</f>
        <v/>
      </c>
      <c r="D2741" s="54">
        <f>IF(A2741="","",INDEX(lst_months,MONTH(A2741)))</f>
        <v/>
      </c>
      <c r="E2741" s="55" t="n"/>
      <c r="F2741" s="54">
        <f>IF(E2741="","",IFERROR(IF(INDEX(lst_exp_item_cat,MATCH(E2741,lst_exp_items,0))="","❔ Без категории",INDEX(lst_exp_item_cat,MATCH(E2741,lst_exp_items,0))),"❔ Без категории"))</f>
        <v/>
      </c>
      <c r="G2741" s="43" t="n"/>
      <c r="H2741" s="56" t="n"/>
      <c r="I2741" s="43" t="n"/>
      <c r="J2741" s="57">
        <f>IF(OR(A2741="",H2741=""),"",IF(COUNTIFS(exp_year,C2741,exp_month,D2741,exp_item,E2741,exp_status,"&lt;&gt;❌ Отменено")&gt;0,1,0))</f>
        <v/>
      </c>
    </row>
    <row r="2742">
      <c r="A2742" s="52" t="n"/>
      <c r="B2742" s="53">
        <f>IF(A2742="","",CHOOSE(WEEKDAY(A2742,2),"Пн","Вт","Ср","Чт","Пт","Сб","Вс"))</f>
        <v/>
      </c>
      <c r="C2742" s="53">
        <f>IF(A2742="","",YEAR(A2742))</f>
        <v/>
      </c>
      <c r="D2742" s="54">
        <f>IF(A2742="","",INDEX(lst_months,MONTH(A2742)))</f>
        <v/>
      </c>
      <c r="E2742" s="55" t="n"/>
      <c r="F2742" s="54">
        <f>IF(E2742="","",IFERROR(IF(INDEX(lst_exp_item_cat,MATCH(E2742,lst_exp_items,0))="","❔ Без категории",INDEX(lst_exp_item_cat,MATCH(E2742,lst_exp_items,0))),"❔ Без категории"))</f>
        <v/>
      </c>
      <c r="G2742" s="43" t="n"/>
      <c r="H2742" s="56" t="n"/>
      <c r="I2742" s="43" t="n"/>
      <c r="J2742" s="57">
        <f>IF(OR(A2742="",H2742=""),"",IF(COUNTIFS(exp_year,C2742,exp_month,D2742,exp_item,E2742,exp_status,"&lt;&gt;❌ Отменено")&gt;0,1,0))</f>
        <v/>
      </c>
    </row>
    <row r="2743">
      <c r="A2743" s="52" t="n"/>
      <c r="B2743" s="53">
        <f>IF(A2743="","",CHOOSE(WEEKDAY(A2743,2),"Пн","Вт","Ср","Чт","Пт","Сб","Вс"))</f>
        <v/>
      </c>
      <c r="C2743" s="53">
        <f>IF(A2743="","",YEAR(A2743))</f>
        <v/>
      </c>
      <c r="D2743" s="54">
        <f>IF(A2743="","",INDEX(lst_months,MONTH(A2743)))</f>
        <v/>
      </c>
      <c r="E2743" s="55" t="n"/>
      <c r="F2743" s="54">
        <f>IF(E2743="","",IFERROR(IF(INDEX(lst_exp_item_cat,MATCH(E2743,lst_exp_items,0))="","❔ Без категории",INDEX(lst_exp_item_cat,MATCH(E2743,lst_exp_items,0))),"❔ Без категории"))</f>
        <v/>
      </c>
      <c r="G2743" s="43" t="n"/>
      <c r="H2743" s="56" t="n"/>
      <c r="I2743" s="43" t="n"/>
      <c r="J2743" s="57">
        <f>IF(OR(A2743="",H2743=""),"",IF(COUNTIFS(exp_year,C2743,exp_month,D2743,exp_item,E2743,exp_status,"&lt;&gt;❌ Отменено")&gt;0,1,0))</f>
        <v/>
      </c>
    </row>
    <row r="2744">
      <c r="A2744" s="52" t="n"/>
      <c r="B2744" s="53">
        <f>IF(A2744="","",CHOOSE(WEEKDAY(A2744,2),"Пн","Вт","Ср","Чт","Пт","Сб","Вс"))</f>
        <v/>
      </c>
      <c r="C2744" s="53">
        <f>IF(A2744="","",YEAR(A2744))</f>
        <v/>
      </c>
      <c r="D2744" s="54">
        <f>IF(A2744="","",INDEX(lst_months,MONTH(A2744)))</f>
        <v/>
      </c>
      <c r="E2744" s="55" t="n"/>
      <c r="F2744" s="54">
        <f>IF(E2744="","",IFERROR(IF(INDEX(lst_exp_item_cat,MATCH(E2744,lst_exp_items,0))="","❔ Без категории",INDEX(lst_exp_item_cat,MATCH(E2744,lst_exp_items,0))),"❔ Без категории"))</f>
        <v/>
      </c>
      <c r="G2744" s="43" t="n"/>
      <c r="H2744" s="56" t="n"/>
      <c r="I2744" s="43" t="n"/>
      <c r="J2744" s="57">
        <f>IF(OR(A2744="",H2744=""),"",IF(COUNTIFS(exp_year,C2744,exp_month,D2744,exp_item,E2744,exp_status,"&lt;&gt;❌ Отменено")&gt;0,1,0))</f>
        <v/>
      </c>
    </row>
    <row r="2745">
      <c r="A2745" s="52" t="n"/>
      <c r="B2745" s="53">
        <f>IF(A2745="","",CHOOSE(WEEKDAY(A2745,2),"Пн","Вт","Ср","Чт","Пт","Сб","Вс"))</f>
        <v/>
      </c>
      <c r="C2745" s="53">
        <f>IF(A2745="","",YEAR(A2745))</f>
        <v/>
      </c>
      <c r="D2745" s="54">
        <f>IF(A2745="","",INDEX(lst_months,MONTH(A2745)))</f>
        <v/>
      </c>
      <c r="E2745" s="55" t="n"/>
      <c r="F2745" s="54">
        <f>IF(E2745="","",IFERROR(IF(INDEX(lst_exp_item_cat,MATCH(E2745,lst_exp_items,0))="","❔ Без категории",INDEX(lst_exp_item_cat,MATCH(E2745,lst_exp_items,0))),"❔ Без категории"))</f>
        <v/>
      </c>
      <c r="G2745" s="43" t="n"/>
      <c r="H2745" s="56" t="n"/>
      <c r="I2745" s="43" t="n"/>
      <c r="J2745" s="57">
        <f>IF(OR(A2745="",H2745=""),"",IF(COUNTIFS(exp_year,C2745,exp_month,D2745,exp_item,E2745,exp_status,"&lt;&gt;❌ Отменено")&gt;0,1,0))</f>
        <v/>
      </c>
    </row>
    <row r="2746">
      <c r="A2746" s="52" t="n"/>
      <c r="B2746" s="53">
        <f>IF(A2746="","",CHOOSE(WEEKDAY(A2746,2),"Пн","Вт","Ср","Чт","Пт","Сб","Вс"))</f>
        <v/>
      </c>
      <c r="C2746" s="53">
        <f>IF(A2746="","",YEAR(A2746))</f>
        <v/>
      </c>
      <c r="D2746" s="54">
        <f>IF(A2746="","",INDEX(lst_months,MONTH(A2746)))</f>
        <v/>
      </c>
      <c r="E2746" s="55" t="n"/>
      <c r="F2746" s="54">
        <f>IF(E2746="","",IFERROR(IF(INDEX(lst_exp_item_cat,MATCH(E2746,lst_exp_items,0))="","❔ Без категории",INDEX(lst_exp_item_cat,MATCH(E2746,lst_exp_items,0))),"❔ Без категории"))</f>
        <v/>
      </c>
      <c r="G2746" s="43" t="n"/>
      <c r="H2746" s="56" t="n"/>
      <c r="I2746" s="43" t="n"/>
      <c r="J2746" s="57">
        <f>IF(OR(A2746="",H2746=""),"",IF(COUNTIFS(exp_year,C2746,exp_month,D2746,exp_item,E2746,exp_status,"&lt;&gt;❌ Отменено")&gt;0,1,0))</f>
        <v/>
      </c>
    </row>
    <row r="2747">
      <c r="A2747" s="52" t="n"/>
      <c r="B2747" s="53">
        <f>IF(A2747="","",CHOOSE(WEEKDAY(A2747,2),"Пн","Вт","Ср","Чт","Пт","Сб","Вс"))</f>
        <v/>
      </c>
      <c r="C2747" s="53">
        <f>IF(A2747="","",YEAR(A2747))</f>
        <v/>
      </c>
      <c r="D2747" s="54">
        <f>IF(A2747="","",INDEX(lst_months,MONTH(A2747)))</f>
        <v/>
      </c>
      <c r="E2747" s="55" t="n"/>
      <c r="F2747" s="54">
        <f>IF(E2747="","",IFERROR(IF(INDEX(lst_exp_item_cat,MATCH(E2747,lst_exp_items,0))="","❔ Без категории",INDEX(lst_exp_item_cat,MATCH(E2747,lst_exp_items,0))),"❔ Без категории"))</f>
        <v/>
      </c>
      <c r="G2747" s="43" t="n"/>
      <c r="H2747" s="56" t="n"/>
      <c r="I2747" s="43" t="n"/>
      <c r="J2747" s="57">
        <f>IF(OR(A2747="",H2747=""),"",IF(COUNTIFS(exp_year,C2747,exp_month,D2747,exp_item,E2747,exp_status,"&lt;&gt;❌ Отменено")&gt;0,1,0))</f>
        <v/>
      </c>
    </row>
    <row r="2748">
      <c r="A2748" s="52" t="n"/>
      <c r="B2748" s="53">
        <f>IF(A2748="","",CHOOSE(WEEKDAY(A2748,2),"Пн","Вт","Ср","Чт","Пт","Сб","Вс"))</f>
        <v/>
      </c>
      <c r="C2748" s="53">
        <f>IF(A2748="","",YEAR(A2748))</f>
        <v/>
      </c>
      <c r="D2748" s="54">
        <f>IF(A2748="","",INDEX(lst_months,MONTH(A2748)))</f>
        <v/>
      </c>
      <c r="E2748" s="55" t="n"/>
      <c r="F2748" s="54">
        <f>IF(E2748="","",IFERROR(IF(INDEX(lst_exp_item_cat,MATCH(E2748,lst_exp_items,0))="","❔ Без категории",INDEX(lst_exp_item_cat,MATCH(E2748,lst_exp_items,0))),"❔ Без категории"))</f>
        <v/>
      </c>
      <c r="G2748" s="43" t="n"/>
      <c r="H2748" s="56" t="n"/>
      <c r="I2748" s="43" t="n"/>
      <c r="J2748" s="57">
        <f>IF(OR(A2748="",H2748=""),"",IF(COUNTIFS(exp_year,C2748,exp_month,D2748,exp_item,E2748,exp_status,"&lt;&gt;❌ Отменено")&gt;0,1,0))</f>
        <v/>
      </c>
    </row>
    <row r="2749">
      <c r="A2749" s="52" t="n"/>
      <c r="B2749" s="53">
        <f>IF(A2749="","",CHOOSE(WEEKDAY(A2749,2),"Пн","Вт","Ср","Чт","Пт","Сб","Вс"))</f>
        <v/>
      </c>
      <c r="C2749" s="53">
        <f>IF(A2749="","",YEAR(A2749))</f>
        <v/>
      </c>
      <c r="D2749" s="54">
        <f>IF(A2749="","",INDEX(lst_months,MONTH(A2749)))</f>
        <v/>
      </c>
      <c r="E2749" s="55" t="n"/>
      <c r="F2749" s="54">
        <f>IF(E2749="","",IFERROR(IF(INDEX(lst_exp_item_cat,MATCH(E2749,lst_exp_items,0))="","❔ Без категории",INDEX(lst_exp_item_cat,MATCH(E2749,lst_exp_items,0))),"❔ Без категории"))</f>
        <v/>
      </c>
      <c r="G2749" s="43" t="n"/>
      <c r="H2749" s="56" t="n"/>
      <c r="I2749" s="43" t="n"/>
      <c r="J2749" s="57">
        <f>IF(OR(A2749="",H2749=""),"",IF(COUNTIFS(exp_year,C2749,exp_month,D2749,exp_item,E2749,exp_status,"&lt;&gt;❌ Отменено")&gt;0,1,0))</f>
        <v/>
      </c>
    </row>
    <row r="2750">
      <c r="A2750" s="52" t="n"/>
      <c r="B2750" s="53">
        <f>IF(A2750="","",CHOOSE(WEEKDAY(A2750,2),"Пн","Вт","Ср","Чт","Пт","Сб","Вс"))</f>
        <v/>
      </c>
      <c r="C2750" s="53">
        <f>IF(A2750="","",YEAR(A2750))</f>
        <v/>
      </c>
      <c r="D2750" s="54">
        <f>IF(A2750="","",INDEX(lst_months,MONTH(A2750)))</f>
        <v/>
      </c>
      <c r="E2750" s="55" t="n"/>
      <c r="F2750" s="54">
        <f>IF(E2750="","",IFERROR(IF(INDEX(lst_exp_item_cat,MATCH(E2750,lst_exp_items,0))="","❔ Без категории",INDEX(lst_exp_item_cat,MATCH(E2750,lst_exp_items,0))),"❔ Без категории"))</f>
        <v/>
      </c>
      <c r="G2750" s="43" t="n"/>
      <c r="H2750" s="56" t="n"/>
      <c r="I2750" s="43" t="n"/>
      <c r="J2750" s="57">
        <f>IF(OR(A2750="",H2750=""),"",IF(COUNTIFS(exp_year,C2750,exp_month,D2750,exp_item,E2750,exp_status,"&lt;&gt;❌ Отменено")&gt;0,1,0))</f>
        <v/>
      </c>
    </row>
    <row r="2751">
      <c r="A2751" s="52" t="n"/>
      <c r="B2751" s="53">
        <f>IF(A2751="","",CHOOSE(WEEKDAY(A2751,2),"Пн","Вт","Ср","Чт","Пт","Сб","Вс"))</f>
        <v/>
      </c>
      <c r="C2751" s="53">
        <f>IF(A2751="","",YEAR(A2751))</f>
        <v/>
      </c>
      <c r="D2751" s="54">
        <f>IF(A2751="","",INDEX(lst_months,MONTH(A2751)))</f>
        <v/>
      </c>
      <c r="E2751" s="55" t="n"/>
      <c r="F2751" s="54">
        <f>IF(E2751="","",IFERROR(IF(INDEX(lst_exp_item_cat,MATCH(E2751,lst_exp_items,0))="","❔ Без категории",INDEX(lst_exp_item_cat,MATCH(E2751,lst_exp_items,0))),"❔ Без категории"))</f>
        <v/>
      </c>
      <c r="G2751" s="43" t="n"/>
      <c r="H2751" s="56" t="n"/>
      <c r="I2751" s="43" t="n"/>
      <c r="J2751" s="57">
        <f>IF(OR(A2751="",H2751=""),"",IF(COUNTIFS(exp_year,C2751,exp_month,D2751,exp_item,E2751,exp_status,"&lt;&gt;❌ Отменено")&gt;0,1,0))</f>
        <v/>
      </c>
    </row>
    <row r="2752">
      <c r="A2752" s="52" t="n"/>
      <c r="B2752" s="53">
        <f>IF(A2752="","",CHOOSE(WEEKDAY(A2752,2),"Пн","Вт","Ср","Чт","Пт","Сб","Вс"))</f>
        <v/>
      </c>
      <c r="C2752" s="53">
        <f>IF(A2752="","",YEAR(A2752))</f>
        <v/>
      </c>
      <c r="D2752" s="54">
        <f>IF(A2752="","",INDEX(lst_months,MONTH(A2752)))</f>
        <v/>
      </c>
      <c r="E2752" s="55" t="n"/>
      <c r="F2752" s="54">
        <f>IF(E2752="","",IFERROR(IF(INDEX(lst_exp_item_cat,MATCH(E2752,lst_exp_items,0))="","❔ Без категории",INDEX(lst_exp_item_cat,MATCH(E2752,lst_exp_items,0))),"❔ Без категории"))</f>
        <v/>
      </c>
      <c r="G2752" s="43" t="n"/>
      <c r="H2752" s="56" t="n"/>
      <c r="I2752" s="43" t="n"/>
      <c r="J2752" s="57">
        <f>IF(OR(A2752="",H2752=""),"",IF(COUNTIFS(exp_year,C2752,exp_month,D2752,exp_item,E2752,exp_status,"&lt;&gt;❌ Отменено")&gt;0,1,0))</f>
        <v/>
      </c>
    </row>
    <row r="2753">
      <c r="A2753" s="52" t="n"/>
      <c r="B2753" s="53">
        <f>IF(A2753="","",CHOOSE(WEEKDAY(A2753,2),"Пн","Вт","Ср","Чт","Пт","Сб","Вс"))</f>
        <v/>
      </c>
      <c r="C2753" s="53">
        <f>IF(A2753="","",YEAR(A2753))</f>
        <v/>
      </c>
      <c r="D2753" s="54">
        <f>IF(A2753="","",INDEX(lst_months,MONTH(A2753)))</f>
        <v/>
      </c>
      <c r="E2753" s="55" t="n"/>
      <c r="F2753" s="54">
        <f>IF(E2753="","",IFERROR(IF(INDEX(lst_exp_item_cat,MATCH(E2753,lst_exp_items,0))="","❔ Без категории",INDEX(lst_exp_item_cat,MATCH(E2753,lst_exp_items,0))),"❔ Без категории"))</f>
        <v/>
      </c>
      <c r="G2753" s="43" t="n"/>
      <c r="H2753" s="56" t="n"/>
      <c r="I2753" s="43" t="n"/>
      <c r="J2753" s="57">
        <f>IF(OR(A2753="",H2753=""),"",IF(COUNTIFS(exp_year,C2753,exp_month,D2753,exp_item,E2753,exp_status,"&lt;&gt;❌ Отменено")&gt;0,1,0))</f>
        <v/>
      </c>
    </row>
    <row r="2754">
      <c r="A2754" s="52" t="n"/>
      <c r="B2754" s="53">
        <f>IF(A2754="","",CHOOSE(WEEKDAY(A2754,2),"Пн","Вт","Ср","Чт","Пт","Сб","Вс"))</f>
        <v/>
      </c>
      <c r="C2754" s="53">
        <f>IF(A2754="","",YEAR(A2754))</f>
        <v/>
      </c>
      <c r="D2754" s="54">
        <f>IF(A2754="","",INDEX(lst_months,MONTH(A2754)))</f>
        <v/>
      </c>
      <c r="E2754" s="55" t="n"/>
      <c r="F2754" s="54">
        <f>IF(E2754="","",IFERROR(IF(INDEX(lst_exp_item_cat,MATCH(E2754,lst_exp_items,0))="","❔ Без категории",INDEX(lst_exp_item_cat,MATCH(E2754,lst_exp_items,0))),"❔ Без категории"))</f>
        <v/>
      </c>
      <c r="G2754" s="43" t="n"/>
      <c r="H2754" s="56" t="n"/>
      <c r="I2754" s="43" t="n"/>
      <c r="J2754" s="57">
        <f>IF(OR(A2754="",H2754=""),"",IF(COUNTIFS(exp_year,C2754,exp_month,D2754,exp_item,E2754,exp_status,"&lt;&gt;❌ Отменено")&gt;0,1,0))</f>
        <v/>
      </c>
    </row>
    <row r="2755">
      <c r="A2755" s="52" t="n"/>
      <c r="B2755" s="53">
        <f>IF(A2755="","",CHOOSE(WEEKDAY(A2755,2),"Пн","Вт","Ср","Чт","Пт","Сб","Вс"))</f>
        <v/>
      </c>
      <c r="C2755" s="53">
        <f>IF(A2755="","",YEAR(A2755))</f>
        <v/>
      </c>
      <c r="D2755" s="54">
        <f>IF(A2755="","",INDEX(lst_months,MONTH(A2755)))</f>
        <v/>
      </c>
      <c r="E2755" s="55" t="n"/>
      <c r="F2755" s="54">
        <f>IF(E2755="","",IFERROR(IF(INDEX(lst_exp_item_cat,MATCH(E2755,lst_exp_items,0))="","❔ Без категории",INDEX(lst_exp_item_cat,MATCH(E2755,lst_exp_items,0))),"❔ Без категории"))</f>
        <v/>
      </c>
      <c r="G2755" s="43" t="n"/>
      <c r="H2755" s="56" t="n"/>
      <c r="I2755" s="43" t="n"/>
      <c r="J2755" s="57">
        <f>IF(OR(A2755="",H2755=""),"",IF(COUNTIFS(exp_year,C2755,exp_month,D2755,exp_item,E2755,exp_status,"&lt;&gt;❌ Отменено")&gt;0,1,0))</f>
        <v/>
      </c>
    </row>
    <row r="2756">
      <c r="A2756" s="52" t="n"/>
      <c r="B2756" s="53">
        <f>IF(A2756="","",CHOOSE(WEEKDAY(A2756,2),"Пн","Вт","Ср","Чт","Пт","Сб","Вс"))</f>
        <v/>
      </c>
      <c r="C2756" s="53">
        <f>IF(A2756="","",YEAR(A2756))</f>
        <v/>
      </c>
      <c r="D2756" s="54">
        <f>IF(A2756="","",INDEX(lst_months,MONTH(A2756)))</f>
        <v/>
      </c>
      <c r="E2756" s="55" t="n"/>
      <c r="F2756" s="54">
        <f>IF(E2756="","",IFERROR(IF(INDEX(lst_exp_item_cat,MATCH(E2756,lst_exp_items,0))="","❔ Без категории",INDEX(lst_exp_item_cat,MATCH(E2756,lst_exp_items,0))),"❔ Без категории"))</f>
        <v/>
      </c>
      <c r="G2756" s="43" t="n"/>
      <c r="H2756" s="56" t="n"/>
      <c r="I2756" s="43" t="n"/>
      <c r="J2756" s="57">
        <f>IF(OR(A2756="",H2756=""),"",IF(COUNTIFS(exp_year,C2756,exp_month,D2756,exp_item,E2756,exp_status,"&lt;&gt;❌ Отменено")&gt;0,1,0))</f>
        <v/>
      </c>
    </row>
    <row r="2757">
      <c r="A2757" s="52" t="n"/>
      <c r="B2757" s="53">
        <f>IF(A2757="","",CHOOSE(WEEKDAY(A2757,2),"Пн","Вт","Ср","Чт","Пт","Сб","Вс"))</f>
        <v/>
      </c>
      <c r="C2757" s="53">
        <f>IF(A2757="","",YEAR(A2757))</f>
        <v/>
      </c>
      <c r="D2757" s="54">
        <f>IF(A2757="","",INDEX(lst_months,MONTH(A2757)))</f>
        <v/>
      </c>
      <c r="E2757" s="55" t="n"/>
      <c r="F2757" s="54">
        <f>IF(E2757="","",IFERROR(IF(INDEX(lst_exp_item_cat,MATCH(E2757,lst_exp_items,0))="","❔ Без категории",INDEX(lst_exp_item_cat,MATCH(E2757,lst_exp_items,0))),"❔ Без категории"))</f>
        <v/>
      </c>
      <c r="G2757" s="43" t="n"/>
      <c r="H2757" s="56" t="n"/>
      <c r="I2757" s="43" t="n"/>
      <c r="J2757" s="57">
        <f>IF(OR(A2757="",H2757=""),"",IF(COUNTIFS(exp_year,C2757,exp_month,D2757,exp_item,E2757,exp_status,"&lt;&gt;❌ Отменено")&gt;0,1,0))</f>
        <v/>
      </c>
    </row>
    <row r="2758">
      <c r="A2758" s="52" t="n"/>
      <c r="B2758" s="53">
        <f>IF(A2758="","",CHOOSE(WEEKDAY(A2758,2),"Пн","Вт","Ср","Чт","Пт","Сб","Вс"))</f>
        <v/>
      </c>
      <c r="C2758" s="53">
        <f>IF(A2758="","",YEAR(A2758))</f>
        <v/>
      </c>
      <c r="D2758" s="54">
        <f>IF(A2758="","",INDEX(lst_months,MONTH(A2758)))</f>
        <v/>
      </c>
      <c r="E2758" s="55" t="n"/>
      <c r="F2758" s="54">
        <f>IF(E2758="","",IFERROR(IF(INDEX(lst_exp_item_cat,MATCH(E2758,lst_exp_items,0))="","❔ Без категории",INDEX(lst_exp_item_cat,MATCH(E2758,lst_exp_items,0))),"❔ Без категории"))</f>
        <v/>
      </c>
      <c r="G2758" s="43" t="n"/>
      <c r="H2758" s="56" t="n"/>
      <c r="I2758" s="43" t="n"/>
      <c r="J2758" s="57">
        <f>IF(OR(A2758="",H2758=""),"",IF(COUNTIFS(exp_year,C2758,exp_month,D2758,exp_item,E2758,exp_status,"&lt;&gt;❌ Отменено")&gt;0,1,0))</f>
        <v/>
      </c>
    </row>
    <row r="2759">
      <c r="A2759" s="52" t="n"/>
      <c r="B2759" s="53">
        <f>IF(A2759="","",CHOOSE(WEEKDAY(A2759,2),"Пн","Вт","Ср","Чт","Пт","Сб","Вс"))</f>
        <v/>
      </c>
      <c r="C2759" s="53">
        <f>IF(A2759="","",YEAR(A2759))</f>
        <v/>
      </c>
      <c r="D2759" s="54">
        <f>IF(A2759="","",INDEX(lst_months,MONTH(A2759)))</f>
        <v/>
      </c>
      <c r="E2759" s="55" t="n"/>
      <c r="F2759" s="54">
        <f>IF(E2759="","",IFERROR(IF(INDEX(lst_exp_item_cat,MATCH(E2759,lst_exp_items,0))="","❔ Без категории",INDEX(lst_exp_item_cat,MATCH(E2759,lst_exp_items,0))),"❔ Без категории"))</f>
        <v/>
      </c>
      <c r="G2759" s="43" t="n"/>
      <c r="H2759" s="56" t="n"/>
      <c r="I2759" s="43" t="n"/>
      <c r="J2759" s="57">
        <f>IF(OR(A2759="",H2759=""),"",IF(COUNTIFS(exp_year,C2759,exp_month,D2759,exp_item,E2759,exp_status,"&lt;&gt;❌ Отменено")&gt;0,1,0))</f>
        <v/>
      </c>
    </row>
    <row r="2760">
      <c r="A2760" s="52" t="n"/>
      <c r="B2760" s="53">
        <f>IF(A2760="","",CHOOSE(WEEKDAY(A2760,2),"Пн","Вт","Ср","Чт","Пт","Сб","Вс"))</f>
        <v/>
      </c>
      <c r="C2760" s="53">
        <f>IF(A2760="","",YEAR(A2760))</f>
        <v/>
      </c>
      <c r="D2760" s="54">
        <f>IF(A2760="","",INDEX(lst_months,MONTH(A2760)))</f>
        <v/>
      </c>
      <c r="E2760" s="55" t="n"/>
      <c r="F2760" s="54">
        <f>IF(E2760="","",IFERROR(IF(INDEX(lst_exp_item_cat,MATCH(E2760,lst_exp_items,0))="","❔ Без категории",INDEX(lst_exp_item_cat,MATCH(E2760,lst_exp_items,0))),"❔ Без категории"))</f>
        <v/>
      </c>
      <c r="G2760" s="43" t="n"/>
      <c r="H2760" s="56" t="n"/>
      <c r="I2760" s="43" t="n"/>
      <c r="J2760" s="57">
        <f>IF(OR(A2760="",H2760=""),"",IF(COUNTIFS(exp_year,C2760,exp_month,D2760,exp_item,E2760,exp_status,"&lt;&gt;❌ Отменено")&gt;0,1,0))</f>
        <v/>
      </c>
    </row>
    <row r="2761">
      <c r="A2761" s="52" t="n"/>
      <c r="B2761" s="53">
        <f>IF(A2761="","",CHOOSE(WEEKDAY(A2761,2),"Пн","Вт","Ср","Чт","Пт","Сб","Вс"))</f>
        <v/>
      </c>
      <c r="C2761" s="53">
        <f>IF(A2761="","",YEAR(A2761))</f>
        <v/>
      </c>
      <c r="D2761" s="54">
        <f>IF(A2761="","",INDEX(lst_months,MONTH(A2761)))</f>
        <v/>
      </c>
      <c r="E2761" s="55" t="n"/>
      <c r="F2761" s="54">
        <f>IF(E2761="","",IFERROR(IF(INDEX(lst_exp_item_cat,MATCH(E2761,lst_exp_items,0))="","❔ Без категории",INDEX(lst_exp_item_cat,MATCH(E2761,lst_exp_items,0))),"❔ Без категории"))</f>
        <v/>
      </c>
      <c r="G2761" s="43" t="n"/>
      <c r="H2761" s="56" t="n"/>
      <c r="I2761" s="43" t="n"/>
      <c r="J2761" s="57">
        <f>IF(OR(A2761="",H2761=""),"",IF(COUNTIFS(exp_year,C2761,exp_month,D2761,exp_item,E2761,exp_status,"&lt;&gt;❌ Отменено")&gt;0,1,0))</f>
        <v/>
      </c>
    </row>
    <row r="2762">
      <c r="A2762" s="52" t="n"/>
      <c r="B2762" s="53">
        <f>IF(A2762="","",CHOOSE(WEEKDAY(A2762,2),"Пн","Вт","Ср","Чт","Пт","Сб","Вс"))</f>
        <v/>
      </c>
      <c r="C2762" s="53">
        <f>IF(A2762="","",YEAR(A2762))</f>
        <v/>
      </c>
      <c r="D2762" s="54">
        <f>IF(A2762="","",INDEX(lst_months,MONTH(A2762)))</f>
        <v/>
      </c>
      <c r="E2762" s="55" t="n"/>
      <c r="F2762" s="54">
        <f>IF(E2762="","",IFERROR(IF(INDEX(lst_exp_item_cat,MATCH(E2762,lst_exp_items,0))="","❔ Без категории",INDEX(lst_exp_item_cat,MATCH(E2762,lst_exp_items,0))),"❔ Без категории"))</f>
        <v/>
      </c>
      <c r="G2762" s="43" t="n"/>
      <c r="H2762" s="56" t="n"/>
      <c r="I2762" s="43" t="n"/>
      <c r="J2762" s="57">
        <f>IF(OR(A2762="",H2762=""),"",IF(COUNTIFS(exp_year,C2762,exp_month,D2762,exp_item,E2762,exp_status,"&lt;&gt;❌ Отменено")&gt;0,1,0))</f>
        <v/>
      </c>
    </row>
    <row r="2763">
      <c r="A2763" s="52" t="n"/>
      <c r="B2763" s="53">
        <f>IF(A2763="","",CHOOSE(WEEKDAY(A2763,2),"Пн","Вт","Ср","Чт","Пт","Сб","Вс"))</f>
        <v/>
      </c>
      <c r="C2763" s="53">
        <f>IF(A2763="","",YEAR(A2763))</f>
        <v/>
      </c>
      <c r="D2763" s="54">
        <f>IF(A2763="","",INDEX(lst_months,MONTH(A2763)))</f>
        <v/>
      </c>
      <c r="E2763" s="55" t="n"/>
      <c r="F2763" s="54">
        <f>IF(E2763="","",IFERROR(IF(INDEX(lst_exp_item_cat,MATCH(E2763,lst_exp_items,0))="","❔ Без категории",INDEX(lst_exp_item_cat,MATCH(E2763,lst_exp_items,0))),"❔ Без категории"))</f>
        <v/>
      </c>
      <c r="G2763" s="43" t="n"/>
      <c r="H2763" s="56" t="n"/>
      <c r="I2763" s="43" t="n"/>
      <c r="J2763" s="57">
        <f>IF(OR(A2763="",H2763=""),"",IF(COUNTIFS(exp_year,C2763,exp_month,D2763,exp_item,E2763,exp_status,"&lt;&gt;❌ Отменено")&gt;0,1,0))</f>
        <v/>
      </c>
    </row>
    <row r="2764">
      <c r="A2764" s="52" t="n"/>
      <c r="B2764" s="53">
        <f>IF(A2764="","",CHOOSE(WEEKDAY(A2764,2),"Пн","Вт","Ср","Чт","Пт","Сб","Вс"))</f>
        <v/>
      </c>
      <c r="C2764" s="53">
        <f>IF(A2764="","",YEAR(A2764))</f>
        <v/>
      </c>
      <c r="D2764" s="54">
        <f>IF(A2764="","",INDEX(lst_months,MONTH(A2764)))</f>
        <v/>
      </c>
      <c r="E2764" s="55" t="n"/>
      <c r="F2764" s="54">
        <f>IF(E2764="","",IFERROR(IF(INDEX(lst_exp_item_cat,MATCH(E2764,lst_exp_items,0))="","❔ Без категории",INDEX(lst_exp_item_cat,MATCH(E2764,lst_exp_items,0))),"❔ Без категории"))</f>
        <v/>
      </c>
      <c r="G2764" s="43" t="n"/>
      <c r="H2764" s="56" t="n"/>
      <c r="I2764" s="43" t="n"/>
      <c r="J2764" s="57">
        <f>IF(OR(A2764="",H2764=""),"",IF(COUNTIFS(exp_year,C2764,exp_month,D2764,exp_item,E2764,exp_status,"&lt;&gt;❌ Отменено")&gt;0,1,0))</f>
        <v/>
      </c>
    </row>
    <row r="2765">
      <c r="A2765" s="52" t="n"/>
      <c r="B2765" s="53">
        <f>IF(A2765="","",CHOOSE(WEEKDAY(A2765,2),"Пн","Вт","Ср","Чт","Пт","Сб","Вс"))</f>
        <v/>
      </c>
      <c r="C2765" s="53">
        <f>IF(A2765="","",YEAR(A2765))</f>
        <v/>
      </c>
      <c r="D2765" s="54">
        <f>IF(A2765="","",INDEX(lst_months,MONTH(A2765)))</f>
        <v/>
      </c>
      <c r="E2765" s="55" t="n"/>
      <c r="F2765" s="54">
        <f>IF(E2765="","",IFERROR(IF(INDEX(lst_exp_item_cat,MATCH(E2765,lst_exp_items,0))="","❔ Без категории",INDEX(lst_exp_item_cat,MATCH(E2765,lst_exp_items,0))),"❔ Без категории"))</f>
        <v/>
      </c>
      <c r="G2765" s="43" t="n"/>
      <c r="H2765" s="56" t="n"/>
      <c r="I2765" s="43" t="n"/>
      <c r="J2765" s="57">
        <f>IF(OR(A2765="",H2765=""),"",IF(COUNTIFS(exp_year,C2765,exp_month,D2765,exp_item,E2765,exp_status,"&lt;&gt;❌ Отменено")&gt;0,1,0))</f>
        <v/>
      </c>
    </row>
    <row r="2766">
      <c r="A2766" s="52" t="n"/>
      <c r="B2766" s="53">
        <f>IF(A2766="","",CHOOSE(WEEKDAY(A2766,2),"Пн","Вт","Ср","Чт","Пт","Сб","Вс"))</f>
        <v/>
      </c>
      <c r="C2766" s="53">
        <f>IF(A2766="","",YEAR(A2766))</f>
        <v/>
      </c>
      <c r="D2766" s="54">
        <f>IF(A2766="","",INDEX(lst_months,MONTH(A2766)))</f>
        <v/>
      </c>
      <c r="E2766" s="55" t="n"/>
      <c r="F2766" s="54">
        <f>IF(E2766="","",IFERROR(IF(INDEX(lst_exp_item_cat,MATCH(E2766,lst_exp_items,0))="","❔ Без категории",INDEX(lst_exp_item_cat,MATCH(E2766,lst_exp_items,0))),"❔ Без категории"))</f>
        <v/>
      </c>
      <c r="G2766" s="43" t="n"/>
      <c r="H2766" s="56" t="n"/>
      <c r="I2766" s="43" t="n"/>
      <c r="J2766" s="57">
        <f>IF(OR(A2766="",H2766=""),"",IF(COUNTIFS(exp_year,C2766,exp_month,D2766,exp_item,E2766,exp_status,"&lt;&gt;❌ Отменено")&gt;0,1,0))</f>
        <v/>
      </c>
    </row>
    <row r="2767">
      <c r="A2767" s="52" t="n"/>
      <c r="B2767" s="53">
        <f>IF(A2767="","",CHOOSE(WEEKDAY(A2767,2),"Пн","Вт","Ср","Чт","Пт","Сб","Вс"))</f>
        <v/>
      </c>
      <c r="C2767" s="53">
        <f>IF(A2767="","",YEAR(A2767))</f>
        <v/>
      </c>
      <c r="D2767" s="54">
        <f>IF(A2767="","",INDEX(lst_months,MONTH(A2767)))</f>
        <v/>
      </c>
      <c r="E2767" s="55" t="n"/>
      <c r="F2767" s="54">
        <f>IF(E2767="","",IFERROR(IF(INDEX(lst_exp_item_cat,MATCH(E2767,lst_exp_items,0))="","❔ Без категории",INDEX(lst_exp_item_cat,MATCH(E2767,lst_exp_items,0))),"❔ Без категории"))</f>
        <v/>
      </c>
      <c r="G2767" s="43" t="n"/>
      <c r="H2767" s="56" t="n"/>
      <c r="I2767" s="43" t="n"/>
      <c r="J2767" s="57">
        <f>IF(OR(A2767="",H2767=""),"",IF(COUNTIFS(exp_year,C2767,exp_month,D2767,exp_item,E2767,exp_status,"&lt;&gt;❌ Отменено")&gt;0,1,0))</f>
        <v/>
      </c>
    </row>
    <row r="2768">
      <c r="A2768" s="52" t="n"/>
      <c r="B2768" s="53">
        <f>IF(A2768="","",CHOOSE(WEEKDAY(A2768,2),"Пн","Вт","Ср","Чт","Пт","Сб","Вс"))</f>
        <v/>
      </c>
      <c r="C2768" s="53">
        <f>IF(A2768="","",YEAR(A2768))</f>
        <v/>
      </c>
      <c r="D2768" s="54">
        <f>IF(A2768="","",INDEX(lst_months,MONTH(A2768)))</f>
        <v/>
      </c>
      <c r="E2768" s="55" t="n"/>
      <c r="F2768" s="54">
        <f>IF(E2768="","",IFERROR(IF(INDEX(lst_exp_item_cat,MATCH(E2768,lst_exp_items,0))="","❔ Без категории",INDEX(lst_exp_item_cat,MATCH(E2768,lst_exp_items,0))),"❔ Без категории"))</f>
        <v/>
      </c>
      <c r="G2768" s="43" t="n"/>
      <c r="H2768" s="56" t="n"/>
      <c r="I2768" s="43" t="n"/>
      <c r="J2768" s="57">
        <f>IF(OR(A2768="",H2768=""),"",IF(COUNTIFS(exp_year,C2768,exp_month,D2768,exp_item,E2768,exp_status,"&lt;&gt;❌ Отменено")&gt;0,1,0))</f>
        <v/>
      </c>
    </row>
    <row r="2769">
      <c r="A2769" s="52" t="n"/>
      <c r="B2769" s="53">
        <f>IF(A2769="","",CHOOSE(WEEKDAY(A2769,2),"Пн","Вт","Ср","Чт","Пт","Сб","Вс"))</f>
        <v/>
      </c>
      <c r="C2769" s="53">
        <f>IF(A2769="","",YEAR(A2769))</f>
        <v/>
      </c>
      <c r="D2769" s="54">
        <f>IF(A2769="","",INDEX(lst_months,MONTH(A2769)))</f>
        <v/>
      </c>
      <c r="E2769" s="55" t="n"/>
      <c r="F2769" s="54">
        <f>IF(E2769="","",IFERROR(IF(INDEX(lst_exp_item_cat,MATCH(E2769,lst_exp_items,0))="","❔ Без категории",INDEX(lst_exp_item_cat,MATCH(E2769,lst_exp_items,0))),"❔ Без категории"))</f>
        <v/>
      </c>
      <c r="G2769" s="43" t="n"/>
      <c r="H2769" s="56" t="n"/>
      <c r="I2769" s="43" t="n"/>
      <c r="J2769" s="57">
        <f>IF(OR(A2769="",H2769=""),"",IF(COUNTIFS(exp_year,C2769,exp_month,D2769,exp_item,E2769,exp_status,"&lt;&gt;❌ Отменено")&gt;0,1,0))</f>
        <v/>
      </c>
    </row>
    <row r="2770">
      <c r="A2770" s="52" t="n"/>
      <c r="B2770" s="53">
        <f>IF(A2770="","",CHOOSE(WEEKDAY(A2770,2),"Пн","Вт","Ср","Чт","Пт","Сб","Вс"))</f>
        <v/>
      </c>
      <c r="C2770" s="53">
        <f>IF(A2770="","",YEAR(A2770))</f>
        <v/>
      </c>
      <c r="D2770" s="54">
        <f>IF(A2770="","",INDEX(lst_months,MONTH(A2770)))</f>
        <v/>
      </c>
      <c r="E2770" s="55" t="n"/>
      <c r="F2770" s="54">
        <f>IF(E2770="","",IFERROR(IF(INDEX(lst_exp_item_cat,MATCH(E2770,lst_exp_items,0))="","❔ Без категории",INDEX(lst_exp_item_cat,MATCH(E2770,lst_exp_items,0))),"❔ Без категории"))</f>
        <v/>
      </c>
      <c r="G2770" s="43" t="n"/>
      <c r="H2770" s="56" t="n"/>
      <c r="I2770" s="43" t="n"/>
      <c r="J2770" s="57">
        <f>IF(OR(A2770="",H2770=""),"",IF(COUNTIFS(exp_year,C2770,exp_month,D2770,exp_item,E2770,exp_status,"&lt;&gt;❌ Отменено")&gt;0,1,0))</f>
        <v/>
      </c>
    </row>
    <row r="2771">
      <c r="A2771" s="52" t="n"/>
      <c r="B2771" s="53">
        <f>IF(A2771="","",CHOOSE(WEEKDAY(A2771,2),"Пн","Вт","Ср","Чт","Пт","Сб","Вс"))</f>
        <v/>
      </c>
      <c r="C2771" s="53">
        <f>IF(A2771="","",YEAR(A2771))</f>
        <v/>
      </c>
      <c r="D2771" s="54">
        <f>IF(A2771="","",INDEX(lst_months,MONTH(A2771)))</f>
        <v/>
      </c>
      <c r="E2771" s="55" t="n"/>
      <c r="F2771" s="54">
        <f>IF(E2771="","",IFERROR(IF(INDEX(lst_exp_item_cat,MATCH(E2771,lst_exp_items,0))="","❔ Без категории",INDEX(lst_exp_item_cat,MATCH(E2771,lst_exp_items,0))),"❔ Без категории"))</f>
        <v/>
      </c>
      <c r="G2771" s="43" t="n"/>
      <c r="H2771" s="56" t="n"/>
      <c r="I2771" s="43" t="n"/>
      <c r="J2771" s="57">
        <f>IF(OR(A2771="",H2771=""),"",IF(COUNTIFS(exp_year,C2771,exp_month,D2771,exp_item,E2771,exp_status,"&lt;&gt;❌ Отменено")&gt;0,1,0))</f>
        <v/>
      </c>
    </row>
    <row r="2772">
      <c r="A2772" s="52" t="n"/>
      <c r="B2772" s="53">
        <f>IF(A2772="","",CHOOSE(WEEKDAY(A2772,2),"Пн","Вт","Ср","Чт","Пт","Сб","Вс"))</f>
        <v/>
      </c>
      <c r="C2772" s="53">
        <f>IF(A2772="","",YEAR(A2772))</f>
        <v/>
      </c>
      <c r="D2772" s="54">
        <f>IF(A2772="","",INDEX(lst_months,MONTH(A2772)))</f>
        <v/>
      </c>
      <c r="E2772" s="55" t="n"/>
      <c r="F2772" s="54">
        <f>IF(E2772="","",IFERROR(IF(INDEX(lst_exp_item_cat,MATCH(E2772,lst_exp_items,0))="","❔ Без категории",INDEX(lst_exp_item_cat,MATCH(E2772,lst_exp_items,0))),"❔ Без категории"))</f>
        <v/>
      </c>
      <c r="G2772" s="43" t="n"/>
      <c r="H2772" s="56" t="n"/>
      <c r="I2772" s="43" t="n"/>
      <c r="J2772" s="57">
        <f>IF(OR(A2772="",H2772=""),"",IF(COUNTIFS(exp_year,C2772,exp_month,D2772,exp_item,E2772,exp_status,"&lt;&gt;❌ Отменено")&gt;0,1,0))</f>
        <v/>
      </c>
    </row>
    <row r="2773">
      <c r="A2773" s="52" t="n"/>
      <c r="B2773" s="53">
        <f>IF(A2773="","",CHOOSE(WEEKDAY(A2773,2),"Пн","Вт","Ср","Чт","Пт","Сб","Вс"))</f>
        <v/>
      </c>
      <c r="C2773" s="53">
        <f>IF(A2773="","",YEAR(A2773))</f>
        <v/>
      </c>
      <c r="D2773" s="54">
        <f>IF(A2773="","",INDEX(lst_months,MONTH(A2773)))</f>
        <v/>
      </c>
      <c r="E2773" s="55" t="n"/>
      <c r="F2773" s="54">
        <f>IF(E2773="","",IFERROR(IF(INDEX(lst_exp_item_cat,MATCH(E2773,lst_exp_items,0))="","❔ Без категории",INDEX(lst_exp_item_cat,MATCH(E2773,lst_exp_items,0))),"❔ Без категории"))</f>
        <v/>
      </c>
      <c r="G2773" s="43" t="n"/>
      <c r="H2773" s="56" t="n"/>
      <c r="I2773" s="43" t="n"/>
      <c r="J2773" s="57">
        <f>IF(OR(A2773="",H2773=""),"",IF(COUNTIFS(exp_year,C2773,exp_month,D2773,exp_item,E2773,exp_status,"&lt;&gt;❌ Отменено")&gt;0,1,0))</f>
        <v/>
      </c>
    </row>
    <row r="2774">
      <c r="A2774" s="52" t="n"/>
      <c r="B2774" s="53">
        <f>IF(A2774="","",CHOOSE(WEEKDAY(A2774,2),"Пн","Вт","Ср","Чт","Пт","Сб","Вс"))</f>
        <v/>
      </c>
      <c r="C2774" s="53">
        <f>IF(A2774="","",YEAR(A2774))</f>
        <v/>
      </c>
      <c r="D2774" s="54">
        <f>IF(A2774="","",INDEX(lst_months,MONTH(A2774)))</f>
        <v/>
      </c>
      <c r="E2774" s="55" t="n"/>
      <c r="F2774" s="54">
        <f>IF(E2774="","",IFERROR(IF(INDEX(lst_exp_item_cat,MATCH(E2774,lst_exp_items,0))="","❔ Без категории",INDEX(lst_exp_item_cat,MATCH(E2774,lst_exp_items,0))),"❔ Без категории"))</f>
        <v/>
      </c>
      <c r="G2774" s="43" t="n"/>
      <c r="H2774" s="56" t="n"/>
      <c r="I2774" s="43" t="n"/>
      <c r="J2774" s="57">
        <f>IF(OR(A2774="",H2774=""),"",IF(COUNTIFS(exp_year,C2774,exp_month,D2774,exp_item,E2774,exp_status,"&lt;&gt;❌ Отменено")&gt;0,1,0))</f>
        <v/>
      </c>
    </row>
    <row r="2775">
      <c r="A2775" s="52" t="n"/>
      <c r="B2775" s="53">
        <f>IF(A2775="","",CHOOSE(WEEKDAY(A2775,2),"Пн","Вт","Ср","Чт","Пт","Сб","Вс"))</f>
        <v/>
      </c>
      <c r="C2775" s="53">
        <f>IF(A2775="","",YEAR(A2775))</f>
        <v/>
      </c>
      <c r="D2775" s="54">
        <f>IF(A2775="","",INDEX(lst_months,MONTH(A2775)))</f>
        <v/>
      </c>
      <c r="E2775" s="55" t="n"/>
      <c r="F2775" s="54">
        <f>IF(E2775="","",IFERROR(IF(INDEX(lst_exp_item_cat,MATCH(E2775,lst_exp_items,0))="","❔ Без категории",INDEX(lst_exp_item_cat,MATCH(E2775,lst_exp_items,0))),"❔ Без категории"))</f>
        <v/>
      </c>
      <c r="G2775" s="43" t="n"/>
      <c r="H2775" s="56" t="n"/>
      <c r="I2775" s="43" t="n"/>
      <c r="J2775" s="57">
        <f>IF(OR(A2775="",H2775=""),"",IF(COUNTIFS(exp_year,C2775,exp_month,D2775,exp_item,E2775,exp_status,"&lt;&gt;❌ Отменено")&gt;0,1,0))</f>
        <v/>
      </c>
    </row>
    <row r="2776">
      <c r="A2776" s="52" t="n"/>
      <c r="B2776" s="53">
        <f>IF(A2776="","",CHOOSE(WEEKDAY(A2776,2),"Пн","Вт","Ср","Чт","Пт","Сб","Вс"))</f>
        <v/>
      </c>
      <c r="C2776" s="53">
        <f>IF(A2776="","",YEAR(A2776))</f>
        <v/>
      </c>
      <c r="D2776" s="54">
        <f>IF(A2776="","",INDEX(lst_months,MONTH(A2776)))</f>
        <v/>
      </c>
      <c r="E2776" s="55" t="n"/>
      <c r="F2776" s="54">
        <f>IF(E2776="","",IFERROR(IF(INDEX(lst_exp_item_cat,MATCH(E2776,lst_exp_items,0))="","❔ Без категории",INDEX(lst_exp_item_cat,MATCH(E2776,lst_exp_items,0))),"❔ Без категории"))</f>
        <v/>
      </c>
      <c r="G2776" s="43" t="n"/>
      <c r="H2776" s="56" t="n"/>
      <c r="I2776" s="43" t="n"/>
      <c r="J2776" s="57">
        <f>IF(OR(A2776="",H2776=""),"",IF(COUNTIFS(exp_year,C2776,exp_month,D2776,exp_item,E2776,exp_status,"&lt;&gt;❌ Отменено")&gt;0,1,0))</f>
        <v/>
      </c>
    </row>
    <row r="2777">
      <c r="A2777" s="52" t="n"/>
      <c r="B2777" s="53">
        <f>IF(A2777="","",CHOOSE(WEEKDAY(A2777,2),"Пн","Вт","Ср","Чт","Пт","Сб","Вс"))</f>
        <v/>
      </c>
      <c r="C2777" s="53">
        <f>IF(A2777="","",YEAR(A2777))</f>
        <v/>
      </c>
      <c r="D2777" s="54">
        <f>IF(A2777="","",INDEX(lst_months,MONTH(A2777)))</f>
        <v/>
      </c>
      <c r="E2777" s="55" t="n"/>
      <c r="F2777" s="54">
        <f>IF(E2777="","",IFERROR(IF(INDEX(lst_exp_item_cat,MATCH(E2777,lst_exp_items,0))="","❔ Без категории",INDEX(lst_exp_item_cat,MATCH(E2777,lst_exp_items,0))),"❔ Без категории"))</f>
        <v/>
      </c>
      <c r="G2777" s="43" t="n"/>
      <c r="H2777" s="56" t="n"/>
      <c r="I2777" s="43" t="n"/>
      <c r="J2777" s="57">
        <f>IF(OR(A2777="",H2777=""),"",IF(COUNTIFS(exp_year,C2777,exp_month,D2777,exp_item,E2777,exp_status,"&lt;&gt;❌ Отменено")&gt;0,1,0))</f>
        <v/>
      </c>
    </row>
    <row r="2778">
      <c r="A2778" s="52" t="n"/>
      <c r="B2778" s="53">
        <f>IF(A2778="","",CHOOSE(WEEKDAY(A2778,2),"Пн","Вт","Ср","Чт","Пт","Сб","Вс"))</f>
        <v/>
      </c>
      <c r="C2778" s="53">
        <f>IF(A2778="","",YEAR(A2778))</f>
        <v/>
      </c>
      <c r="D2778" s="54">
        <f>IF(A2778="","",INDEX(lst_months,MONTH(A2778)))</f>
        <v/>
      </c>
      <c r="E2778" s="55" t="n"/>
      <c r="F2778" s="54">
        <f>IF(E2778="","",IFERROR(IF(INDEX(lst_exp_item_cat,MATCH(E2778,lst_exp_items,0))="","❔ Без категории",INDEX(lst_exp_item_cat,MATCH(E2778,lst_exp_items,0))),"❔ Без категории"))</f>
        <v/>
      </c>
      <c r="G2778" s="43" t="n"/>
      <c r="H2778" s="56" t="n"/>
      <c r="I2778" s="43" t="n"/>
      <c r="J2778" s="57">
        <f>IF(OR(A2778="",H2778=""),"",IF(COUNTIFS(exp_year,C2778,exp_month,D2778,exp_item,E2778,exp_status,"&lt;&gt;❌ Отменено")&gt;0,1,0))</f>
        <v/>
      </c>
    </row>
    <row r="2779">
      <c r="A2779" s="52" t="n"/>
      <c r="B2779" s="53">
        <f>IF(A2779="","",CHOOSE(WEEKDAY(A2779,2),"Пн","Вт","Ср","Чт","Пт","Сб","Вс"))</f>
        <v/>
      </c>
      <c r="C2779" s="53">
        <f>IF(A2779="","",YEAR(A2779))</f>
        <v/>
      </c>
      <c r="D2779" s="54">
        <f>IF(A2779="","",INDEX(lst_months,MONTH(A2779)))</f>
        <v/>
      </c>
      <c r="E2779" s="55" t="n"/>
      <c r="F2779" s="54">
        <f>IF(E2779="","",IFERROR(IF(INDEX(lst_exp_item_cat,MATCH(E2779,lst_exp_items,0))="","❔ Без категории",INDEX(lst_exp_item_cat,MATCH(E2779,lst_exp_items,0))),"❔ Без категории"))</f>
        <v/>
      </c>
      <c r="G2779" s="43" t="n"/>
      <c r="H2779" s="56" t="n"/>
      <c r="I2779" s="43" t="n"/>
      <c r="J2779" s="57">
        <f>IF(OR(A2779="",H2779=""),"",IF(COUNTIFS(exp_year,C2779,exp_month,D2779,exp_item,E2779,exp_status,"&lt;&gt;❌ Отменено")&gt;0,1,0))</f>
        <v/>
      </c>
    </row>
    <row r="2780">
      <c r="A2780" s="52" t="n"/>
      <c r="B2780" s="53">
        <f>IF(A2780="","",CHOOSE(WEEKDAY(A2780,2),"Пн","Вт","Ср","Чт","Пт","Сб","Вс"))</f>
        <v/>
      </c>
      <c r="C2780" s="53">
        <f>IF(A2780="","",YEAR(A2780))</f>
        <v/>
      </c>
      <c r="D2780" s="54">
        <f>IF(A2780="","",INDEX(lst_months,MONTH(A2780)))</f>
        <v/>
      </c>
      <c r="E2780" s="55" t="n"/>
      <c r="F2780" s="54">
        <f>IF(E2780="","",IFERROR(IF(INDEX(lst_exp_item_cat,MATCH(E2780,lst_exp_items,0))="","❔ Без категории",INDEX(lst_exp_item_cat,MATCH(E2780,lst_exp_items,0))),"❔ Без категории"))</f>
        <v/>
      </c>
      <c r="G2780" s="43" t="n"/>
      <c r="H2780" s="56" t="n"/>
      <c r="I2780" s="43" t="n"/>
      <c r="J2780" s="57">
        <f>IF(OR(A2780="",H2780=""),"",IF(COUNTIFS(exp_year,C2780,exp_month,D2780,exp_item,E2780,exp_status,"&lt;&gt;❌ Отменено")&gt;0,1,0))</f>
        <v/>
      </c>
    </row>
    <row r="2781">
      <c r="A2781" s="52" t="n"/>
      <c r="B2781" s="53">
        <f>IF(A2781="","",CHOOSE(WEEKDAY(A2781,2),"Пн","Вт","Ср","Чт","Пт","Сб","Вс"))</f>
        <v/>
      </c>
      <c r="C2781" s="53">
        <f>IF(A2781="","",YEAR(A2781))</f>
        <v/>
      </c>
      <c r="D2781" s="54">
        <f>IF(A2781="","",INDEX(lst_months,MONTH(A2781)))</f>
        <v/>
      </c>
      <c r="E2781" s="55" t="n"/>
      <c r="F2781" s="54">
        <f>IF(E2781="","",IFERROR(IF(INDEX(lst_exp_item_cat,MATCH(E2781,lst_exp_items,0))="","❔ Без категории",INDEX(lst_exp_item_cat,MATCH(E2781,lst_exp_items,0))),"❔ Без категории"))</f>
        <v/>
      </c>
      <c r="G2781" s="43" t="n"/>
      <c r="H2781" s="56" t="n"/>
      <c r="I2781" s="43" t="n"/>
      <c r="J2781" s="57">
        <f>IF(OR(A2781="",H2781=""),"",IF(COUNTIFS(exp_year,C2781,exp_month,D2781,exp_item,E2781,exp_status,"&lt;&gt;❌ Отменено")&gt;0,1,0))</f>
        <v/>
      </c>
    </row>
    <row r="2782">
      <c r="A2782" s="52" t="n"/>
      <c r="B2782" s="53">
        <f>IF(A2782="","",CHOOSE(WEEKDAY(A2782,2),"Пн","Вт","Ср","Чт","Пт","Сб","Вс"))</f>
        <v/>
      </c>
      <c r="C2782" s="53">
        <f>IF(A2782="","",YEAR(A2782))</f>
        <v/>
      </c>
      <c r="D2782" s="54">
        <f>IF(A2782="","",INDEX(lst_months,MONTH(A2782)))</f>
        <v/>
      </c>
      <c r="E2782" s="55" t="n"/>
      <c r="F2782" s="54">
        <f>IF(E2782="","",IFERROR(IF(INDEX(lst_exp_item_cat,MATCH(E2782,lst_exp_items,0))="","❔ Без категории",INDEX(lst_exp_item_cat,MATCH(E2782,lst_exp_items,0))),"❔ Без категории"))</f>
        <v/>
      </c>
      <c r="G2782" s="43" t="n"/>
      <c r="H2782" s="56" t="n"/>
      <c r="I2782" s="43" t="n"/>
      <c r="J2782" s="57">
        <f>IF(OR(A2782="",H2782=""),"",IF(COUNTIFS(exp_year,C2782,exp_month,D2782,exp_item,E2782,exp_status,"&lt;&gt;❌ Отменено")&gt;0,1,0))</f>
        <v/>
      </c>
    </row>
    <row r="2783">
      <c r="A2783" s="52" t="n"/>
      <c r="B2783" s="53">
        <f>IF(A2783="","",CHOOSE(WEEKDAY(A2783,2),"Пн","Вт","Ср","Чт","Пт","Сб","Вс"))</f>
        <v/>
      </c>
      <c r="C2783" s="53">
        <f>IF(A2783="","",YEAR(A2783))</f>
        <v/>
      </c>
      <c r="D2783" s="54">
        <f>IF(A2783="","",INDEX(lst_months,MONTH(A2783)))</f>
        <v/>
      </c>
      <c r="E2783" s="55" t="n"/>
      <c r="F2783" s="54">
        <f>IF(E2783="","",IFERROR(IF(INDEX(lst_exp_item_cat,MATCH(E2783,lst_exp_items,0))="","❔ Без категории",INDEX(lst_exp_item_cat,MATCH(E2783,lst_exp_items,0))),"❔ Без категории"))</f>
        <v/>
      </c>
      <c r="G2783" s="43" t="n"/>
      <c r="H2783" s="56" t="n"/>
      <c r="I2783" s="43" t="n"/>
      <c r="J2783" s="57">
        <f>IF(OR(A2783="",H2783=""),"",IF(COUNTIFS(exp_year,C2783,exp_month,D2783,exp_item,E2783,exp_status,"&lt;&gt;❌ Отменено")&gt;0,1,0))</f>
        <v/>
      </c>
    </row>
    <row r="2784">
      <c r="A2784" s="52" t="n"/>
      <c r="B2784" s="53">
        <f>IF(A2784="","",CHOOSE(WEEKDAY(A2784,2),"Пн","Вт","Ср","Чт","Пт","Сб","Вс"))</f>
        <v/>
      </c>
      <c r="C2784" s="53">
        <f>IF(A2784="","",YEAR(A2784))</f>
        <v/>
      </c>
      <c r="D2784" s="54">
        <f>IF(A2784="","",INDEX(lst_months,MONTH(A2784)))</f>
        <v/>
      </c>
      <c r="E2784" s="55" t="n"/>
      <c r="F2784" s="54">
        <f>IF(E2784="","",IFERROR(IF(INDEX(lst_exp_item_cat,MATCH(E2784,lst_exp_items,0))="","❔ Без категории",INDEX(lst_exp_item_cat,MATCH(E2784,lst_exp_items,0))),"❔ Без категории"))</f>
        <v/>
      </c>
      <c r="G2784" s="43" t="n"/>
      <c r="H2784" s="56" t="n"/>
      <c r="I2784" s="43" t="n"/>
      <c r="J2784" s="57">
        <f>IF(OR(A2784="",H2784=""),"",IF(COUNTIFS(exp_year,C2784,exp_month,D2784,exp_item,E2784,exp_status,"&lt;&gt;❌ Отменено")&gt;0,1,0))</f>
        <v/>
      </c>
    </row>
    <row r="2785">
      <c r="A2785" s="52" t="n"/>
      <c r="B2785" s="53">
        <f>IF(A2785="","",CHOOSE(WEEKDAY(A2785,2),"Пн","Вт","Ср","Чт","Пт","Сб","Вс"))</f>
        <v/>
      </c>
      <c r="C2785" s="53">
        <f>IF(A2785="","",YEAR(A2785))</f>
        <v/>
      </c>
      <c r="D2785" s="54">
        <f>IF(A2785="","",INDEX(lst_months,MONTH(A2785)))</f>
        <v/>
      </c>
      <c r="E2785" s="55" t="n"/>
      <c r="F2785" s="54">
        <f>IF(E2785="","",IFERROR(IF(INDEX(lst_exp_item_cat,MATCH(E2785,lst_exp_items,0))="","❔ Без категории",INDEX(lst_exp_item_cat,MATCH(E2785,lst_exp_items,0))),"❔ Без категории"))</f>
        <v/>
      </c>
      <c r="G2785" s="43" t="n"/>
      <c r="H2785" s="56" t="n"/>
      <c r="I2785" s="43" t="n"/>
      <c r="J2785" s="57">
        <f>IF(OR(A2785="",H2785=""),"",IF(COUNTIFS(exp_year,C2785,exp_month,D2785,exp_item,E2785,exp_status,"&lt;&gt;❌ Отменено")&gt;0,1,0))</f>
        <v/>
      </c>
    </row>
    <row r="2786">
      <c r="A2786" s="52" t="n"/>
      <c r="B2786" s="53">
        <f>IF(A2786="","",CHOOSE(WEEKDAY(A2786,2),"Пн","Вт","Ср","Чт","Пт","Сб","Вс"))</f>
        <v/>
      </c>
      <c r="C2786" s="53">
        <f>IF(A2786="","",YEAR(A2786))</f>
        <v/>
      </c>
      <c r="D2786" s="54">
        <f>IF(A2786="","",INDEX(lst_months,MONTH(A2786)))</f>
        <v/>
      </c>
      <c r="E2786" s="55" t="n"/>
      <c r="F2786" s="54">
        <f>IF(E2786="","",IFERROR(IF(INDEX(lst_exp_item_cat,MATCH(E2786,lst_exp_items,0))="","❔ Без категории",INDEX(lst_exp_item_cat,MATCH(E2786,lst_exp_items,0))),"❔ Без категории"))</f>
        <v/>
      </c>
      <c r="G2786" s="43" t="n"/>
      <c r="H2786" s="56" t="n"/>
      <c r="I2786" s="43" t="n"/>
      <c r="J2786" s="57">
        <f>IF(OR(A2786="",H2786=""),"",IF(COUNTIFS(exp_year,C2786,exp_month,D2786,exp_item,E2786,exp_status,"&lt;&gt;❌ Отменено")&gt;0,1,0))</f>
        <v/>
      </c>
    </row>
    <row r="2787">
      <c r="A2787" s="52" t="n"/>
      <c r="B2787" s="53">
        <f>IF(A2787="","",CHOOSE(WEEKDAY(A2787,2),"Пн","Вт","Ср","Чт","Пт","Сб","Вс"))</f>
        <v/>
      </c>
      <c r="C2787" s="53">
        <f>IF(A2787="","",YEAR(A2787))</f>
        <v/>
      </c>
      <c r="D2787" s="54">
        <f>IF(A2787="","",INDEX(lst_months,MONTH(A2787)))</f>
        <v/>
      </c>
      <c r="E2787" s="55" t="n"/>
      <c r="F2787" s="54">
        <f>IF(E2787="","",IFERROR(IF(INDEX(lst_exp_item_cat,MATCH(E2787,lst_exp_items,0))="","❔ Без категории",INDEX(lst_exp_item_cat,MATCH(E2787,lst_exp_items,0))),"❔ Без категории"))</f>
        <v/>
      </c>
      <c r="G2787" s="43" t="n"/>
      <c r="H2787" s="56" t="n"/>
      <c r="I2787" s="43" t="n"/>
      <c r="J2787" s="57">
        <f>IF(OR(A2787="",H2787=""),"",IF(COUNTIFS(exp_year,C2787,exp_month,D2787,exp_item,E2787,exp_status,"&lt;&gt;❌ Отменено")&gt;0,1,0))</f>
        <v/>
      </c>
    </row>
    <row r="2788">
      <c r="A2788" s="52" t="n"/>
      <c r="B2788" s="53">
        <f>IF(A2788="","",CHOOSE(WEEKDAY(A2788,2),"Пн","Вт","Ср","Чт","Пт","Сб","Вс"))</f>
        <v/>
      </c>
      <c r="C2788" s="53">
        <f>IF(A2788="","",YEAR(A2788))</f>
        <v/>
      </c>
      <c r="D2788" s="54">
        <f>IF(A2788="","",INDEX(lst_months,MONTH(A2788)))</f>
        <v/>
      </c>
      <c r="E2788" s="55" t="n"/>
      <c r="F2788" s="54">
        <f>IF(E2788="","",IFERROR(IF(INDEX(lst_exp_item_cat,MATCH(E2788,lst_exp_items,0))="","❔ Без категории",INDEX(lst_exp_item_cat,MATCH(E2788,lst_exp_items,0))),"❔ Без категории"))</f>
        <v/>
      </c>
      <c r="G2788" s="43" t="n"/>
      <c r="H2788" s="56" t="n"/>
      <c r="I2788" s="43" t="n"/>
      <c r="J2788" s="57">
        <f>IF(OR(A2788="",H2788=""),"",IF(COUNTIFS(exp_year,C2788,exp_month,D2788,exp_item,E2788,exp_status,"&lt;&gt;❌ Отменено")&gt;0,1,0))</f>
        <v/>
      </c>
    </row>
    <row r="2789">
      <c r="A2789" s="52" t="n"/>
      <c r="B2789" s="53">
        <f>IF(A2789="","",CHOOSE(WEEKDAY(A2789,2),"Пн","Вт","Ср","Чт","Пт","Сб","Вс"))</f>
        <v/>
      </c>
      <c r="C2789" s="53">
        <f>IF(A2789="","",YEAR(A2789))</f>
        <v/>
      </c>
      <c r="D2789" s="54">
        <f>IF(A2789="","",INDEX(lst_months,MONTH(A2789)))</f>
        <v/>
      </c>
      <c r="E2789" s="55" t="n"/>
      <c r="F2789" s="54">
        <f>IF(E2789="","",IFERROR(IF(INDEX(lst_exp_item_cat,MATCH(E2789,lst_exp_items,0))="","❔ Без категории",INDEX(lst_exp_item_cat,MATCH(E2789,lst_exp_items,0))),"❔ Без категории"))</f>
        <v/>
      </c>
      <c r="G2789" s="43" t="n"/>
      <c r="H2789" s="56" t="n"/>
      <c r="I2789" s="43" t="n"/>
      <c r="J2789" s="57">
        <f>IF(OR(A2789="",H2789=""),"",IF(COUNTIFS(exp_year,C2789,exp_month,D2789,exp_item,E2789,exp_status,"&lt;&gt;❌ Отменено")&gt;0,1,0))</f>
        <v/>
      </c>
    </row>
    <row r="2790">
      <c r="A2790" s="52" t="n"/>
      <c r="B2790" s="53">
        <f>IF(A2790="","",CHOOSE(WEEKDAY(A2790,2),"Пн","Вт","Ср","Чт","Пт","Сб","Вс"))</f>
        <v/>
      </c>
      <c r="C2790" s="53">
        <f>IF(A2790="","",YEAR(A2790))</f>
        <v/>
      </c>
      <c r="D2790" s="54">
        <f>IF(A2790="","",INDEX(lst_months,MONTH(A2790)))</f>
        <v/>
      </c>
      <c r="E2790" s="55" t="n"/>
      <c r="F2790" s="54">
        <f>IF(E2790="","",IFERROR(IF(INDEX(lst_exp_item_cat,MATCH(E2790,lst_exp_items,0))="","❔ Без категории",INDEX(lst_exp_item_cat,MATCH(E2790,lst_exp_items,0))),"❔ Без категории"))</f>
        <v/>
      </c>
      <c r="G2790" s="43" t="n"/>
      <c r="H2790" s="56" t="n"/>
      <c r="I2790" s="43" t="n"/>
      <c r="J2790" s="57">
        <f>IF(OR(A2790="",H2790=""),"",IF(COUNTIFS(exp_year,C2790,exp_month,D2790,exp_item,E2790,exp_status,"&lt;&gt;❌ Отменено")&gt;0,1,0))</f>
        <v/>
      </c>
    </row>
    <row r="2791">
      <c r="A2791" s="52" t="n"/>
      <c r="B2791" s="53">
        <f>IF(A2791="","",CHOOSE(WEEKDAY(A2791,2),"Пн","Вт","Ср","Чт","Пт","Сб","Вс"))</f>
        <v/>
      </c>
      <c r="C2791" s="53">
        <f>IF(A2791="","",YEAR(A2791))</f>
        <v/>
      </c>
      <c r="D2791" s="54">
        <f>IF(A2791="","",INDEX(lst_months,MONTH(A2791)))</f>
        <v/>
      </c>
      <c r="E2791" s="55" t="n"/>
      <c r="F2791" s="54">
        <f>IF(E2791="","",IFERROR(IF(INDEX(lst_exp_item_cat,MATCH(E2791,lst_exp_items,0))="","❔ Без категории",INDEX(lst_exp_item_cat,MATCH(E2791,lst_exp_items,0))),"❔ Без категории"))</f>
        <v/>
      </c>
      <c r="G2791" s="43" t="n"/>
      <c r="H2791" s="56" t="n"/>
      <c r="I2791" s="43" t="n"/>
      <c r="J2791" s="57">
        <f>IF(OR(A2791="",H2791=""),"",IF(COUNTIFS(exp_year,C2791,exp_month,D2791,exp_item,E2791,exp_status,"&lt;&gt;❌ Отменено")&gt;0,1,0))</f>
        <v/>
      </c>
    </row>
    <row r="2792">
      <c r="A2792" s="52" t="n"/>
      <c r="B2792" s="53">
        <f>IF(A2792="","",CHOOSE(WEEKDAY(A2792,2),"Пн","Вт","Ср","Чт","Пт","Сб","Вс"))</f>
        <v/>
      </c>
      <c r="C2792" s="53">
        <f>IF(A2792="","",YEAR(A2792))</f>
        <v/>
      </c>
      <c r="D2792" s="54">
        <f>IF(A2792="","",INDEX(lst_months,MONTH(A2792)))</f>
        <v/>
      </c>
      <c r="E2792" s="55" t="n"/>
      <c r="F2792" s="54">
        <f>IF(E2792="","",IFERROR(IF(INDEX(lst_exp_item_cat,MATCH(E2792,lst_exp_items,0))="","❔ Без категории",INDEX(lst_exp_item_cat,MATCH(E2792,lst_exp_items,0))),"❔ Без категории"))</f>
        <v/>
      </c>
      <c r="G2792" s="43" t="n"/>
      <c r="H2792" s="56" t="n"/>
      <c r="I2792" s="43" t="n"/>
      <c r="J2792" s="57">
        <f>IF(OR(A2792="",H2792=""),"",IF(COUNTIFS(exp_year,C2792,exp_month,D2792,exp_item,E2792,exp_status,"&lt;&gt;❌ Отменено")&gt;0,1,0))</f>
        <v/>
      </c>
    </row>
    <row r="2793">
      <c r="A2793" s="52" t="n"/>
      <c r="B2793" s="53">
        <f>IF(A2793="","",CHOOSE(WEEKDAY(A2793,2),"Пн","Вт","Ср","Чт","Пт","Сб","Вс"))</f>
        <v/>
      </c>
      <c r="C2793" s="53">
        <f>IF(A2793="","",YEAR(A2793))</f>
        <v/>
      </c>
      <c r="D2793" s="54">
        <f>IF(A2793="","",INDEX(lst_months,MONTH(A2793)))</f>
        <v/>
      </c>
      <c r="E2793" s="55" t="n"/>
      <c r="F2793" s="54">
        <f>IF(E2793="","",IFERROR(IF(INDEX(lst_exp_item_cat,MATCH(E2793,lst_exp_items,0))="","❔ Без категории",INDEX(lst_exp_item_cat,MATCH(E2793,lst_exp_items,0))),"❔ Без категории"))</f>
        <v/>
      </c>
      <c r="G2793" s="43" t="n"/>
      <c r="H2793" s="56" t="n"/>
      <c r="I2793" s="43" t="n"/>
      <c r="J2793" s="57">
        <f>IF(OR(A2793="",H2793=""),"",IF(COUNTIFS(exp_year,C2793,exp_month,D2793,exp_item,E2793,exp_status,"&lt;&gt;❌ Отменено")&gt;0,1,0))</f>
        <v/>
      </c>
    </row>
    <row r="2794">
      <c r="A2794" s="52" t="n"/>
      <c r="B2794" s="53">
        <f>IF(A2794="","",CHOOSE(WEEKDAY(A2794,2),"Пн","Вт","Ср","Чт","Пт","Сб","Вс"))</f>
        <v/>
      </c>
      <c r="C2794" s="53">
        <f>IF(A2794="","",YEAR(A2794))</f>
        <v/>
      </c>
      <c r="D2794" s="54">
        <f>IF(A2794="","",INDEX(lst_months,MONTH(A2794)))</f>
        <v/>
      </c>
      <c r="E2794" s="55" t="n"/>
      <c r="F2794" s="54">
        <f>IF(E2794="","",IFERROR(IF(INDEX(lst_exp_item_cat,MATCH(E2794,lst_exp_items,0))="","❔ Без категории",INDEX(lst_exp_item_cat,MATCH(E2794,lst_exp_items,0))),"❔ Без категории"))</f>
        <v/>
      </c>
      <c r="G2794" s="43" t="n"/>
      <c r="H2794" s="56" t="n"/>
      <c r="I2794" s="43" t="n"/>
      <c r="J2794" s="57">
        <f>IF(OR(A2794="",H2794=""),"",IF(COUNTIFS(exp_year,C2794,exp_month,D2794,exp_item,E2794,exp_status,"&lt;&gt;❌ Отменено")&gt;0,1,0))</f>
        <v/>
      </c>
    </row>
    <row r="2795">
      <c r="A2795" s="52" t="n"/>
      <c r="B2795" s="53">
        <f>IF(A2795="","",CHOOSE(WEEKDAY(A2795,2),"Пн","Вт","Ср","Чт","Пт","Сб","Вс"))</f>
        <v/>
      </c>
      <c r="C2795" s="53">
        <f>IF(A2795="","",YEAR(A2795))</f>
        <v/>
      </c>
      <c r="D2795" s="54">
        <f>IF(A2795="","",INDEX(lst_months,MONTH(A2795)))</f>
        <v/>
      </c>
      <c r="E2795" s="55" t="n"/>
      <c r="F2795" s="54">
        <f>IF(E2795="","",IFERROR(IF(INDEX(lst_exp_item_cat,MATCH(E2795,lst_exp_items,0))="","❔ Без категории",INDEX(lst_exp_item_cat,MATCH(E2795,lst_exp_items,0))),"❔ Без категории"))</f>
        <v/>
      </c>
      <c r="G2795" s="43" t="n"/>
      <c r="H2795" s="56" t="n"/>
      <c r="I2795" s="43" t="n"/>
      <c r="J2795" s="57">
        <f>IF(OR(A2795="",H2795=""),"",IF(COUNTIFS(exp_year,C2795,exp_month,D2795,exp_item,E2795,exp_status,"&lt;&gt;❌ Отменено")&gt;0,1,0))</f>
        <v/>
      </c>
    </row>
    <row r="2796">
      <c r="A2796" s="52" t="n"/>
      <c r="B2796" s="53">
        <f>IF(A2796="","",CHOOSE(WEEKDAY(A2796,2),"Пн","Вт","Ср","Чт","Пт","Сб","Вс"))</f>
        <v/>
      </c>
      <c r="C2796" s="53">
        <f>IF(A2796="","",YEAR(A2796))</f>
        <v/>
      </c>
      <c r="D2796" s="54">
        <f>IF(A2796="","",INDEX(lst_months,MONTH(A2796)))</f>
        <v/>
      </c>
      <c r="E2796" s="55" t="n"/>
      <c r="F2796" s="54">
        <f>IF(E2796="","",IFERROR(IF(INDEX(lst_exp_item_cat,MATCH(E2796,lst_exp_items,0))="","❔ Без категории",INDEX(lst_exp_item_cat,MATCH(E2796,lst_exp_items,0))),"❔ Без категории"))</f>
        <v/>
      </c>
      <c r="G2796" s="43" t="n"/>
      <c r="H2796" s="56" t="n"/>
      <c r="I2796" s="43" t="n"/>
      <c r="J2796" s="57">
        <f>IF(OR(A2796="",H2796=""),"",IF(COUNTIFS(exp_year,C2796,exp_month,D2796,exp_item,E2796,exp_status,"&lt;&gt;❌ Отменено")&gt;0,1,0))</f>
        <v/>
      </c>
    </row>
    <row r="2797">
      <c r="A2797" s="52" t="n"/>
      <c r="B2797" s="53">
        <f>IF(A2797="","",CHOOSE(WEEKDAY(A2797,2),"Пн","Вт","Ср","Чт","Пт","Сб","Вс"))</f>
        <v/>
      </c>
      <c r="C2797" s="53">
        <f>IF(A2797="","",YEAR(A2797))</f>
        <v/>
      </c>
      <c r="D2797" s="54">
        <f>IF(A2797="","",INDEX(lst_months,MONTH(A2797)))</f>
        <v/>
      </c>
      <c r="E2797" s="55" t="n"/>
      <c r="F2797" s="54">
        <f>IF(E2797="","",IFERROR(IF(INDEX(lst_exp_item_cat,MATCH(E2797,lst_exp_items,0))="","❔ Без категории",INDEX(lst_exp_item_cat,MATCH(E2797,lst_exp_items,0))),"❔ Без категории"))</f>
        <v/>
      </c>
      <c r="G2797" s="43" t="n"/>
      <c r="H2797" s="56" t="n"/>
      <c r="I2797" s="43" t="n"/>
      <c r="J2797" s="57">
        <f>IF(OR(A2797="",H2797=""),"",IF(COUNTIFS(exp_year,C2797,exp_month,D2797,exp_item,E2797,exp_status,"&lt;&gt;❌ Отменено")&gt;0,1,0))</f>
        <v/>
      </c>
    </row>
    <row r="2798">
      <c r="A2798" s="52" t="n"/>
      <c r="B2798" s="53">
        <f>IF(A2798="","",CHOOSE(WEEKDAY(A2798,2),"Пн","Вт","Ср","Чт","Пт","Сб","Вс"))</f>
        <v/>
      </c>
      <c r="C2798" s="53">
        <f>IF(A2798="","",YEAR(A2798))</f>
        <v/>
      </c>
      <c r="D2798" s="54">
        <f>IF(A2798="","",INDEX(lst_months,MONTH(A2798)))</f>
        <v/>
      </c>
      <c r="E2798" s="55" t="n"/>
      <c r="F2798" s="54">
        <f>IF(E2798="","",IFERROR(IF(INDEX(lst_exp_item_cat,MATCH(E2798,lst_exp_items,0))="","❔ Без категории",INDEX(lst_exp_item_cat,MATCH(E2798,lst_exp_items,0))),"❔ Без категории"))</f>
        <v/>
      </c>
      <c r="G2798" s="43" t="n"/>
      <c r="H2798" s="56" t="n"/>
      <c r="I2798" s="43" t="n"/>
      <c r="J2798" s="57">
        <f>IF(OR(A2798="",H2798=""),"",IF(COUNTIFS(exp_year,C2798,exp_month,D2798,exp_item,E2798,exp_status,"&lt;&gt;❌ Отменено")&gt;0,1,0))</f>
        <v/>
      </c>
    </row>
    <row r="2799">
      <c r="A2799" s="52" t="n"/>
      <c r="B2799" s="53">
        <f>IF(A2799="","",CHOOSE(WEEKDAY(A2799,2),"Пн","Вт","Ср","Чт","Пт","Сб","Вс"))</f>
        <v/>
      </c>
      <c r="C2799" s="53">
        <f>IF(A2799="","",YEAR(A2799))</f>
        <v/>
      </c>
      <c r="D2799" s="54">
        <f>IF(A2799="","",INDEX(lst_months,MONTH(A2799)))</f>
        <v/>
      </c>
      <c r="E2799" s="55" t="n"/>
      <c r="F2799" s="54">
        <f>IF(E2799="","",IFERROR(IF(INDEX(lst_exp_item_cat,MATCH(E2799,lst_exp_items,0))="","❔ Без категории",INDEX(lst_exp_item_cat,MATCH(E2799,lst_exp_items,0))),"❔ Без категории"))</f>
        <v/>
      </c>
      <c r="G2799" s="43" t="n"/>
      <c r="H2799" s="56" t="n"/>
      <c r="I2799" s="43" t="n"/>
      <c r="J2799" s="57">
        <f>IF(OR(A2799="",H2799=""),"",IF(COUNTIFS(exp_year,C2799,exp_month,D2799,exp_item,E2799,exp_status,"&lt;&gt;❌ Отменено")&gt;0,1,0))</f>
        <v/>
      </c>
    </row>
    <row r="2800">
      <c r="A2800" s="52" t="n"/>
      <c r="B2800" s="53">
        <f>IF(A2800="","",CHOOSE(WEEKDAY(A2800,2),"Пн","Вт","Ср","Чт","Пт","Сб","Вс"))</f>
        <v/>
      </c>
      <c r="C2800" s="53">
        <f>IF(A2800="","",YEAR(A2800))</f>
        <v/>
      </c>
      <c r="D2800" s="54">
        <f>IF(A2800="","",INDEX(lst_months,MONTH(A2800)))</f>
        <v/>
      </c>
      <c r="E2800" s="55" t="n"/>
      <c r="F2800" s="54">
        <f>IF(E2800="","",IFERROR(IF(INDEX(lst_exp_item_cat,MATCH(E2800,lst_exp_items,0))="","❔ Без категории",INDEX(lst_exp_item_cat,MATCH(E2800,lst_exp_items,0))),"❔ Без категории"))</f>
        <v/>
      </c>
      <c r="G2800" s="43" t="n"/>
      <c r="H2800" s="56" t="n"/>
      <c r="I2800" s="43" t="n"/>
      <c r="J2800" s="57">
        <f>IF(OR(A2800="",H2800=""),"",IF(COUNTIFS(exp_year,C2800,exp_month,D2800,exp_item,E2800,exp_status,"&lt;&gt;❌ Отменено")&gt;0,1,0))</f>
        <v/>
      </c>
    </row>
    <row r="2801">
      <c r="A2801" s="52" t="n"/>
      <c r="B2801" s="53">
        <f>IF(A2801="","",CHOOSE(WEEKDAY(A2801,2),"Пн","Вт","Ср","Чт","Пт","Сб","Вс"))</f>
        <v/>
      </c>
      <c r="C2801" s="53">
        <f>IF(A2801="","",YEAR(A2801))</f>
        <v/>
      </c>
      <c r="D2801" s="54">
        <f>IF(A2801="","",INDEX(lst_months,MONTH(A2801)))</f>
        <v/>
      </c>
      <c r="E2801" s="55" t="n"/>
      <c r="F2801" s="54">
        <f>IF(E2801="","",IFERROR(IF(INDEX(lst_exp_item_cat,MATCH(E2801,lst_exp_items,0))="","❔ Без категории",INDEX(lst_exp_item_cat,MATCH(E2801,lst_exp_items,0))),"❔ Без категории"))</f>
        <v/>
      </c>
      <c r="G2801" s="43" t="n"/>
      <c r="H2801" s="56" t="n"/>
      <c r="I2801" s="43" t="n"/>
      <c r="J2801" s="57">
        <f>IF(OR(A2801="",H2801=""),"",IF(COUNTIFS(exp_year,C2801,exp_month,D2801,exp_item,E2801,exp_status,"&lt;&gt;❌ Отменено")&gt;0,1,0))</f>
        <v/>
      </c>
    </row>
    <row r="2802">
      <c r="A2802" s="52" t="n"/>
      <c r="B2802" s="53">
        <f>IF(A2802="","",CHOOSE(WEEKDAY(A2802,2),"Пн","Вт","Ср","Чт","Пт","Сб","Вс"))</f>
        <v/>
      </c>
      <c r="C2802" s="53">
        <f>IF(A2802="","",YEAR(A2802))</f>
        <v/>
      </c>
      <c r="D2802" s="54">
        <f>IF(A2802="","",INDEX(lst_months,MONTH(A2802)))</f>
        <v/>
      </c>
      <c r="E2802" s="55" t="n"/>
      <c r="F2802" s="54">
        <f>IF(E2802="","",IFERROR(IF(INDEX(lst_exp_item_cat,MATCH(E2802,lst_exp_items,0))="","❔ Без категории",INDEX(lst_exp_item_cat,MATCH(E2802,lst_exp_items,0))),"❔ Без категории"))</f>
        <v/>
      </c>
      <c r="G2802" s="43" t="n"/>
      <c r="H2802" s="56" t="n"/>
      <c r="I2802" s="43" t="n"/>
      <c r="J2802" s="57">
        <f>IF(OR(A2802="",H2802=""),"",IF(COUNTIFS(exp_year,C2802,exp_month,D2802,exp_item,E2802,exp_status,"&lt;&gt;❌ Отменено")&gt;0,1,0))</f>
        <v/>
      </c>
    </row>
    <row r="2803">
      <c r="A2803" s="52" t="n"/>
      <c r="B2803" s="53">
        <f>IF(A2803="","",CHOOSE(WEEKDAY(A2803,2),"Пн","Вт","Ср","Чт","Пт","Сб","Вс"))</f>
        <v/>
      </c>
      <c r="C2803" s="53">
        <f>IF(A2803="","",YEAR(A2803))</f>
        <v/>
      </c>
      <c r="D2803" s="54">
        <f>IF(A2803="","",INDEX(lst_months,MONTH(A2803)))</f>
        <v/>
      </c>
      <c r="E2803" s="55" t="n"/>
      <c r="F2803" s="54">
        <f>IF(E2803="","",IFERROR(IF(INDEX(lst_exp_item_cat,MATCH(E2803,lst_exp_items,0))="","❔ Без категории",INDEX(lst_exp_item_cat,MATCH(E2803,lst_exp_items,0))),"❔ Без категории"))</f>
        <v/>
      </c>
      <c r="G2803" s="43" t="n"/>
      <c r="H2803" s="56" t="n"/>
      <c r="I2803" s="43" t="n"/>
      <c r="J2803" s="57">
        <f>IF(OR(A2803="",H2803=""),"",IF(COUNTIFS(exp_year,C2803,exp_month,D2803,exp_item,E2803,exp_status,"&lt;&gt;❌ Отменено")&gt;0,1,0))</f>
        <v/>
      </c>
    </row>
    <row r="2804">
      <c r="A2804" s="52" t="n"/>
      <c r="B2804" s="53">
        <f>IF(A2804="","",CHOOSE(WEEKDAY(A2804,2),"Пн","Вт","Ср","Чт","Пт","Сб","Вс"))</f>
        <v/>
      </c>
      <c r="C2804" s="53">
        <f>IF(A2804="","",YEAR(A2804))</f>
        <v/>
      </c>
      <c r="D2804" s="54">
        <f>IF(A2804="","",INDEX(lst_months,MONTH(A2804)))</f>
        <v/>
      </c>
      <c r="E2804" s="55" t="n"/>
      <c r="F2804" s="54">
        <f>IF(E2804="","",IFERROR(IF(INDEX(lst_exp_item_cat,MATCH(E2804,lst_exp_items,0))="","❔ Без категории",INDEX(lst_exp_item_cat,MATCH(E2804,lst_exp_items,0))),"❔ Без категории"))</f>
        <v/>
      </c>
      <c r="G2804" s="43" t="n"/>
      <c r="H2804" s="56" t="n"/>
      <c r="I2804" s="43" t="n"/>
      <c r="J2804" s="57">
        <f>IF(OR(A2804="",H2804=""),"",IF(COUNTIFS(exp_year,C2804,exp_month,D2804,exp_item,E2804,exp_status,"&lt;&gt;❌ Отменено")&gt;0,1,0))</f>
        <v/>
      </c>
    </row>
    <row r="2805">
      <c r="A2805" s="52" t="n"/>
      <c r="B2805" s="53">
        <f>IF(A2805="","",CHOOSE(WEEKDAY(A2805,2),"Пн","Вт","Ср","Чт","Пт","Сб","Вс"))</f>
        <v/>
      </c>
      <c r="C2805" s="53">
        <f>IF(A2805="","",YEAR(A2805))</f>
        <v/>
      </c>
      <c r="D2805" s="54">
        <f>IF(A2805="","",INDEX(lst_months,MONTH(A2805)))</f>
        <v/>
      </c>
      <c r="E2805" s="55" t="n"/>
      <c r="F2805" s="54">
        <f>IF(E2805="","",IFERROR(IF(INDEX(lst_exp_item_cat,MATCH(E2805,lst_exp_items,0))="","❔ Без категории",INDEX(lst_exp_item_cat,MATCH(E2805,lst_exp_items,0))),"❔ Без категории"))</f>
        <v/>
      </c>
      <c r="G2805" s="43" t="n"/>
      <c r="H2805" s="56" t="n"/>
      <c r="I2805" s="43" t="n"/>
      <c r="J2805" s="57">
        <f>IF(OR(A2805="",H2805=""),"",IF(COUNTIFS(exp_year,C2805,exp_month,D2805,exp_item,E2805,exp_status,"&lt;&gt;❌ Отменено")&gt;0,1,0))</f>
        <v/>
      </c>
    </row>
    <row r="2806">
      <c r="A2806" s="52" t="n"/>
      <c r="B2806" s="53">
        <f>IF(A2806="","",CHOOSE(WEEKDAY(A2806,2),"Пн","Вт","Ср","Чт","Пт","Сб","Вс"))</f>
        <v/>
      </c>
      <c r="C2806" s="53">
        <f>IF(A2806="","",YEAR(A2806))</f>
        <v/>
      </c>
      <c r="D2806" s="54">
        <f>IF(A2806="","",INDEX(lst_months,MONTH(A2806)))</f>
        <v/>
      </c>
      <c r="E2806" s="55" t="n"/>
      <c r="F2806" s="54">
        <f>IF(E2806="","",IFERROR(IF(INDEX(lst_exp_item_cat,MATCH(E2806,lst_exp_items,0))="","❔ Без категории",INDEX(lst_exp_item_cat,MATCH(E2806,lst_exp_items,0))),"❔ Без категории"))</f>
        <v/>
      </c>
      <c r="G2806" s="43" t="n"/>
      <c r="H2806" s="56" t="n"/>
      <c r="I2806" s="43" t="n"/>
      <c r="J2806" s="57">
        <f>IF(OR(A2806="",H2806=""),"",IF(COUNTIFS(exp_year,C2806,exp_month,D2806,exp_item,E2806,exp_status,"&lt;&gt;❌ Отменено")&gt;0,1,0))</f>
        <v/>
      </c>
    </row>
    <row r="2807">
      <c r="A2807" s="52" t="n"/>
      <c r="B2807" s="53">
        <f>IF(A2807="","",CHOOSE(WEEKDAY(A2807,2),"Пн","Вт","Ср","Чт","Пт","Сб","Вс"))</f>
        <v/>
      </c>
      <c r="C2807" s="53">
        <f>IF(A2807="","",YEAR(A2807))</f>
        <v/>
      </c>
      <c r="D2807" s="54">
        <f>IF(A2807="","",INDEX(lst_months,MONTH(A2807)))</f>
        <v/>
      </c>
      <c r="E2807" s="55" t="n"/>
      <c r="F2807" s="54">
        <f>IF(E2807="","",IFERROR(IF(INDEX(lst_exp_item_cat,MATCH(E2807,lst_exp_items,0))="","❔ Без категории",INDEX(lst_exp_item_cat,MATCH(E2807,lst_exp_items,0))),"❔ Без категории"))</f>
        <v/>
      </c>
      <c r="G2807" s="43" t="n"/>
      <c r="H2807" s="56" t="n"/>
      <c r="I2807" s="43" t="n"/>
      <c r="J2807" s="57">
        <f>IF(OR(A2807="",H2807=""),"",IF(COUNTIFS(exp_year,C2807,exp_month,D2807,exp_item,E2807,exp_status,"&lt;&gt;❌ Отменено")&gt;0,1,0))</f>
        <v/>
      </c>
    </row>
    <row r="2808">
      <c r="A2808" s="52" t="n"/>
      <c r="B2808" s="53">
        <f>IF(A2808="","",CHOOSE(WEEKDAY(A2808,2),"Пн","Вт","Ср","Чт","Пт","Сб","Вс"))</f>
        <v/>
      </c>
      <c r="C2808" s="53">
        <f>IF(A2808="","",YEAR(A2808))</f>
        <v/>
      </c>
      <c r="D2808" s="54">
        <f>IF(A2808="","",INDEX(lst_months,MONTH(A2808)))</f>
        <v/>
      </c>
      <c r="E2808" s="55" t="n"/>
      <c r="F2808" s="54">
        <f>IF(E2808="","",IFERROR(IF(INDEX(lst_exp_item_cat,MATCH(E2808,lst_exp_items,0))="","❔ Без категории",INDEX(lst_exp_item_cat,MATCH(E2808,lst_exp_items,0))),"❔ Без категории"))</f>
        <v/>
      </c>
      <c r="G2808" s="43" t="n"/>
      <c r="H2808" s="56" t="n"/>
      <c r="I2808" s="43" t="n"/>
      <c r="J2808" s="57">
        <f>IF(OR(A2808="",H2808=""),"",IF(COUNTIFS(exp_year,C2808,exp_month,D2808,exp_item,E2808,exp_status,"&lt;&gt;❌ Отменено")&gt;0,1,0))</f>
        <v/>
      </c>
    </row>
    <row r="2809">
      <c r="A2809" s="52" t="n"/>
      <c r="B2809" s="53">
        <f>IF(A2809="","",CHOOSE(WEEKDAY(A2809,2),"Пн","Вт","Ср","Чт","Пт","Сб","Вс"))</f>
        <v/>
      </c>
      <c r="C2809" s="53">
        <f>IF(A2809="","",YEAR(A2809))</f>
        <v/>
      </c>
      <c r="D2809" s="54">
        <f>IF(A2809="","",INDEX(lst_months,MONTH(A2809)))</f>
        <v/>
      </c>
      <c r="E2809" s="55" t="n"/>
      <c r="F2809" s="54">
        <f>IF(E2809="","",IFERROR(IF(INDEX(lst_exp_item_cat,MATCH(E2809,lst_exp_items,0))="","❔ Без категории",INDEX(lst_exp_item_cat,MATCH(E2809,lst_exp_items,0))),"❔ Без категории"))</f>
        <v/>
      </c>
      <c r="G2809" s="43" t="n"/>
      <c r="H2809" s="56" t="n"/>
      <c r="I2809" s="43" t="n"/>
      <c r="J2809" s="57">
        <f>IF(OR(A2809="",H2809=""),"",IF(COUNTIFS(exp_year,C2809,exp_month,D2809,exp_item,E2809,exp_status,"&lt;&gt;❌ Отменено")&gt;0,1,0))</f>
        <v/>
      </c>
    </row>
    <row r="2810">
      <c r="A2810" s="52" t="n"/>
      <c r="B2810" s="53">
        <f>IF(A2810="","",CHOOSE(WEEKDAY(A2810,2),"Пн","Вт","Ср","Чт","Пт","Сб","Вс"))</f>
        <v/>
      </c>
      <c r="C2810" s="53">
        <f>IF(A2810="","",YEAR(A2810))</f>
        <v/>
      </c>
      <c r="D2810" s="54">
        <f>IF(A2810="","",INDEX(lst_months,MONTH(A2810)))</f>
        <v/>
      </c>
      <c r="E2810" s="55" t="n"/>
      <c r="F2810" s="54">
        <f>IF(E2810="","",IFERROR(IF(INDEX(lst_exp_item_cat,MATCH(E2810,lst_exp_items,0))="","❔ Без категории",INDEX(lst_exp_item_cat,MATCH(E2810,lst_exp_items,0))),"❔ Без категории"))</f>
        <v/>
      </c>
      <c r="G2810" s="43" t="n"/>
      <c r="H2810" s="56" t="n"/>
      <c r="I2810" s="43" t="n"/>
      <c r="J2810" s="57">
        <f>IF(OR(A2810="",H2810=""),"",IF(COUNTIFS(exp_year,C2810,exp_month,D2810,exp_item,E2810,exp_status,"&lt;&gt;❌ Отменено")&gt;0,1,0))</f>
        <v/>
      </c>
    </row>
    <row r="2811">
      <c r="A2811" s="52" t="n"/>
      <c r="B2811" s="53">
        <f>IF(A2811="","",CHOOSE(WEEKDAY(A2811,2),"Пн","Вт","Ср","Чт","Пт","Сб","Вс"))</f>
        <v/>
      </c>
      <c r="C2811" s="53">
        <f>IF(A2811="","",YEAR(A2811))</f>
        <v/>
      </c>
      <c r="D2811" s="54">
        <f>IF(A2811="","",INDEX(lst_months,MONTH(A2811)))</f>
        <v/>
      </c>
      <c r="E2811" s="55" t="n"/>
      <c r="F2811" s="54">
        <f>IF(E2811="","",IFERROR(IF(INDEX(lst_exp_item_cat,MATCH(E2811,lst_exp_items,0))="","❔ Без категории",INDEX(lst_exp_item_cat,MATCH(E2811,lst_exp_items,0))),"❔ Без категории"))</f>
        <v/>
      </c>
      <c r="G2811" s="43" t="n"/>
      <c r="H2811" s="56" t="n"/>
      <c r="I2811" s="43" t="n"/>
      <c r="J2811" s="57">
        <f>IF(OR(A2811="",H2811=""),"",IF(COUNTIFS(exp_year,C2811,exp_month,D2811,exp_item,E2811,exp_status,"&lt;&gt;❌ Отменено")&gt;0,1,0))</f>
        <v/>
      </c>
    </row>
    <row r="2812">
      <c r="A2812" s="52" t="n"/>
      <c r="B2812" s="53">
        <f>IF(A2812="","",CHOOSE(WEEKDAY(A2812,2),"Пн","Вт","Ср","Чт","Пт","Сб","Вс"))</f>
        <v/>
      </c>
      <c r="C2812" s="53">
        <f>IF(A2812="","",YEAR(A2812))</f>
        <v/>
      </c>
      <c r="D2812" s="54">
        <f>IF(A2812="","",INDEX(lst_months,MONTH(A2812)))</f>
        <v/>
      </c>
      <c r="E2812" s="55" t="n"/>
      <c r="F2812" s="54">
        <f>IF(E2812="","",IFERROR(IF(INDEX(lst_exp_item_cat,MATCH(E2812,lst_exp_items,0))="","❔ Без категории",INDEX(lst_exp_item_cat,MATCH(E2812,lst_exp_items,0))),"❔ Без категории"))</f>
        <v/>
      </c>
      <c r="G2812" s="43" t="n"/>
      <c r="H2812" s="56" t="n"/>
      <c r="I2812" s="43" t="n"/>
      <c r="J2812" s="57">
        <f>IF(OR(A2812="",H2812=""),"",IF(COUNTIFS(exp_year,C2812,exp_month,D2812,exp_item,E2812,exp_status,"&lt;&gt;❌ Отменено")&gt;0,1,0))</f>
        <v/>
      </c>
    </row>
    <row r="2813">
      <c r="A2813" s="52" t="n"/>
      <c r="B2813" s="53">
        <f>IF(A2813="","",CHOOSE(WEEKDAY(A2813,2),"Пн","Вт","Ср","Чт","Пт","Сб","Вс"))</f>
        <v/>
      </c>
      <c r="C2813" s="53">
        <f>IF(A2813="","",YEAR(A2813))</f>
        <v/>
      </c>
      <c r="D2813" s="54">
        <f>IF(A2813="","",INDEX(lst_months,MONTH(A2813)))</f>
        <v/>
      </c>
      <c r="E2813" s="55" t="n"/>
      <c r="F2813" s="54">
        <f>IF(E2813="","",IFERROR(IF(INDEX(lst_exp_item_cat,MATCH(E2813,lst_exp_items,0))="","❔ Без категории",INDEX(lst_exp_item_cat,MATCH(E2813,lst_exp_items,0))),"❔ Без категории"))</f>
        <v/>
      </c>
      <c r="G2813" s="43" t="n"/>
      <c r="H2813" s="56" t="n"/>
      <c r="I2813" s="43" t="n"/>
      <c r="J2813" s="57">
        <f>IF(OR(A2813="",H2813=""),"",IF(COUNTIFS(exp_year,C2813,exp_month,D2813,exp_item,E2813,exp_status,"&lt;&gt;❌ Отменено")&gt;0,1,0))</f>
        <v/>
      </c>
    </row>
    <row r="2814">
      <c r="A2814" s="52" t="n"/>
      <c r="B2814" s="53">
        <f>IF(A2814="","",CHOOSE(WEEKDAY(A2814,2),"Пн","Вт","Ср","Чт","Пт","Сб","Вс"))</f>
        <v/>
      </c>
      <c r="C2814" s="53">
        <f>IF(A2814="","",YEAR(A2814))</f>
        <v/>
      </c>
      <c r="D2814" s="54">
        <f>IF(A2814="","",INDEX(lst_months,MONTH(A2814)))</f>
        <v/>
      </c>
      <c r="E2814" s="55" t="n"/>
      <c r="F2814" s="54">
        <f>IF(E2814="","",IFERROR(IF(INDEX(lst_exp_item_cat,MATCH(E2814,lst_exp_items,0))="","❔ Без категории",INDEX(lst_exp_item_cat,MATCH(E2814,lst_exp_items,0))),"❔ Без категории"))</f>
        <v/>
      </c>
      <c r="G2814" s="43" t="n"/>
      <c r="H2814" s="56" t="n"/>
      <c r="I2814" s="43" t="n"/>
      <c r="J2814" s="57">
        <f>IF(OR(A2814="",H2814=""),"",IF(COUNTIFS(exp_year,C2814,exp_month,D2814,exp_item,E2814,exp_status,"&lt;&gt;❌ Отменено")&gt;0,1,0))</f>
        <v/>
      </c>
    </row>
    <row r="2815">
      <c r="A2815" s="52" t="n"/>
      <c r="B2815" s="53">
        <f>IF(A2815="","",CHOOSE(WEEKDAY(A2815,2),"Пн","Вт","Ср","Чт","Пт","Сб","Вс"))</f>
        <v/>
      </c>
      <c r="C2815" s="53">
        <f>IF(A2815="","",YEAR(A2815))</f>
        <v/>
      </c>
      <c r="D2815" s="54">
        <f>IF(A2815="","",INDEX(lst_months,MONTH(A2815)))</f>
        <v/>
      </c>
      <c r="E2815" s="55" t="n"/>
      <c r="F2815" s="54">
        <f>IF(E2815="","",IFERROR(IF(INDEX(lst_exp_item_cat,MATCH(E2815,lst_exp_items,0))="","❔ Без категории",INDEX(lst_exp_item_cat,MATCH(E2815,lst_exp_items,0))),"❔ Без категории"))</f>
        <v/>
      </c>
      <c r="G2815" s="43" t="n"/>
      <c r="H2815" s="56" t="n"/>
      <c r="I2815" s="43" t="n"/>
      <c r="J2815" s="57">
        <f>IF(OR(A2815="",H2815=""),"",IF(COUNTIFS(exp_year,C2815,exp_month,D2815,exp_item,E2815,exp_status,"&lt;&gt;❌ Отменено")&gt;0,1,0))</f>
        <v/>
      </c>
    </row>
    <row r="2816">
      <c r="A2816" s="52" t="n"/>
      <c r="B2816" s="53">
        <f>IF(A2816="","",CHOOSE(WEEKDAY(A2816,2),"Пн","Вт","Ср","Чт","Пт","Сб","Вс"))</f>
        <v/>
      </c>
      <c r="C2816" s="53">
        <f>IF(A2816="","",YEAR(A2816))</f>
        <v/>
      </c>
      <c r="D2816" s="54">
        <f>IF(A2816="","",INDEX(lst_months,MONTH(A2816)))</f>
        <v/>
      </c>
      <c r="E2816" s="55" t="n"/>
      <c r="F2816" s="54">
        <f>IF(E2816="","",IFERROR(IF(INDEX(lst_exp_item_cat,MATCH(E2816,lst_exp_items,0))="","❔ Без категории",INDEX(lst_exp_item_cat,MATCH(E2816,lst_exp_items,0))),"❔ Без категории"))</f>
        <v/>
      </c>
      <c r="G2816" s="43" t="n"/>
      <c r="H2816" s="56" t="n"/>
      <c r="I2816" s="43" t="n"/>
      <c r="J2816" s="57">
        <f>IF(OR(A2816="",H2816=""),"",IF(COUNTIFS(exp_year,C2816,exp_month,D2816,exp_item,E2816,exp_status,"&lt;&gt;❌ Отменено")&gt;0,1,0))</f>
        <v/>
      </c>
    </row>
    <row r="2817">
      <c r="A2817" s="52" t="n"/>
      <c r="B2817" s="53">
        <f>IF(A2817="","",CHOOSE(WEEKDAY(A2817,2),"Пн","Вт","Ср","Чт","Пт","Сб","Вс"))</f>
        <v/>
      </c>
      <c r="C2817" s="53">
        <f>IF(A2817="","",YEAR(A2817))</f>
        <v/>
      </c>
      <c r="D2817" s="54">
        <f>IF(A2817="","",INDEX(lst_months,MONTH(A2817)))</f>
        <v/>
      </c>
      <c r="E2817" s="55" t="n"/>
      <c r="F2817" s="54">
        <f>IF(E2817="","",IFERROR(IF(INDEX(lst_exp_item_cat,MATCH(E2817,lst_exp_items,0))="","❔ Без категории",INDEX(lst_exp_item_cat,MATCH(E2817,lst_exp_items,0))),"❔ Без категории"))</f>
        <v/>
      </c>
      <c r="G2817" s="43" t="n"/>
      <c r="H2817" s="56" t="n"/>
      <c r="I2817" s="43" t="n"/>
      <c r="J2817" s="57">
        <f>IF(OR(A2817="",H2817=""),"",IF(COUNTIFS(exp_year,C2817,exp_month,D2817,exp_item,E2817,exp_status,"&lt;&gt;❌ Отменено")&gt;0,1,0))</f>
        <v/>
      </c>
    </row>
    <row r="2818">
      <c r="A2818" s="52" t="n"/>
      <c r="B2818" s="53">
        <f>IF(A2818="","",CHOOSE(WEEKDAY(A2818,2),"Пн","Вт","Ср","Чт","Пт","Сб","Вс"))</f>
        <v/>
      </c>
      <c r="C2818" s="53">
        <f>IF(A2818="","",YEAR(A2818))</f>
        <v/>
      </c>
      <c r="D2818" s="54">
        <f>IF(A2818="","",INDEX(lst_months,MONTH(A2818)))</f>
        <v/>
      </c>
      <c r="E2818" s="55" t="n"/>
      <c r="F2818" s="54">
        <f>IF(E2818="","",IFERROR(IF(INDEX(lst_exp_item_cat,MATCH(E2818,lst_exp_items,0))="","❔ Без категории",INDEX(lst_exp_item_cat,MATCH(E2818,lst_exp_items,0))),"❔ Без категории"))</f>
        <v/>
      </c>
      <c r="G2818" s="43" t="n"/>
      <c r="H2818" s="56" t="n"/>
      <c r="I2818" s="43" t="n"/>
      <c r="J2818" s="57">
        <f>IF(OR(A2818="",H2818=""),"",IF(COUNTIFS(exp_year,C2818,exp_month,D2818,exp_item,E2818,exp_status,"&lt;&gt;❌ Отменено")&gt;0,1,0))</f>
        <v/>
      </c>
    </row>
    <row r="2819">
      <c r="A2819" s="52" t="n"/>
      <c r="B2819" s="53">
        <f>IF(A2819="","",CHOOSE(WEEKDAY(A2819,2),"Пн","Вт","Ср","Чт","Пт","Сб","Вс"))</f>
        <v/>
      </c>
      <c r="C2819" s="53">
        <f>IF(A2819="","",YEAR(A2819))</f>
        <v/>
      </c>
      <c r="D2819" s="54">
        <f>IF(A2819="","",INDEX(lst_months,MONTH(A2819)))</f>
        <v/>
      </c>
      <c r="E2819" s="55" t="n"/>
      <c r="F2819" s="54">
        <f>IF(E2819="","",IFERROR(IF(INDEX(lst_exp_item_cat,MATCH(E2819,lst_exp_items,0))="","❔ Без категории",INDEX(lst_exp_item_cat,MATCH(E2819,lst_exp_items,0))),"❔ Без категории"))</f>
        <v/>
      </c>
      <c r="G2819" s="43" t="n"/>
      <c r="H2819" s="56" t="n"/>
      <c r="I2819" s="43" t="n"/>
      <c r="J2819" s="57">
        <f>IF(OR(A2819="",H2819=""),"",IF(COUNTIFS(exp_year,C2819,exp_month,D2819,exp_item,E2819,exp_status,"&lt;&gt;❌ Отменено")&gt;0,1,0))</f>
        <v/>
      </c>
    </row>
    <row r="2820">
      <c r="A2820" s="52" t="n"/>
      <c r="B2820" s="53">
        <f>IF(A2820="","",CHOOSE(WEEKDAY(A2820,2),"Пн","Вт","Ср","Чт","Пт","Сб","Вс"))</f>
        <v/>
      </c>
      <c r="C2820" s="53">
        <f>IF(A2820="","",YEAR(A2820))</f>
        <v/>
      </c>
      <c r="D2820" s="54">
        <f>IF(A2820="","",INDEX(lst_months,MONTH(A2820)))</f>
        <v/>
      </c>
      <c r="E2820" s="55" t="n"/>
      <c r="F2820" s="54">
        <f>IF(E2820="","",IFERROR(IF(INDEX(lst_exp_item_cat,MATCH(E2820,lst_exp_items,0))="","❔ Без категории",INDEX(lst_exp_item_cat,MATCH(E2820,lst_exp_items,0))),"❔ Без категории"))</f>
        <v/>
      </c>
      <c r="G2820" s="43" t="n"/>
      <c r="H2820" s="56" t="n"/>
      <c r="I2820" s="43" t="n"/>
      <c r="J2820" s="57">
        <f>IF(OR(A2820="",H2820=""),"",IF(COUNTIFS(exp_year,C2820,exp_month,D2820,exp_item,E2820,exp_status,"&lt;&gt;❌ Отменено")&gt;0,1,0))</f>
        <v/>
      </c>
    </row>
    <row r="2821">
      <c r="A2821" s="52" t="n"/>
      <c r="B2821" s="53">
        <f>IF(A2821="","",CHOOSE(WEEKDAY(A2821,2),"Пн","Вт","Ср","Чт","Пт","Сб","Вс"))</f>
        <v/>
      </c>
      <c r="C2821" s="53">
        <f>IF(A2821="","",YEAR(A2821))</f>
        <v/>
      </c>
      <c r="D2821" s="54">
        <f>IF(A2821="","",INDEX(lst_months,MONTH(A2821)))</f>
        <v/>
      </c>
      <c r="E2821" s="55" t="n"/>
      <c r="F2821" s="54">
        <f>IF(E2821="","",IFERROR(IF(INDEX(lst_exp_item_cat,MATCH(E2821,lst_exp_items,0))="","❔ Без категории",INDEX(lst_exp_item_cat,MATCH(E2821,lst_exp_items,0))),"❔ Без категории"))</f>
        <v/>
      </c>
      <c r="G2821" s="43" t="n"/>
      <c r="H2821" s="56" t="n"/>
      <c r="I2821" s="43" t="n"/>
      <c r="J2821" s="57">
        <f>IF(OR(A2821="",H2821=""),"",IF(COUNTIFS(exp_year,C2821,exp_month,D2821,exp_item,E2821,exp_status,"&lt;&gt;❌ Отменено")&gt;0,1,0))</f>
        <v/>
      </c>
    </row>
    <row r="2822">
      <c r="A2822" s="52" t="n"/>
      <c r="B2822" s="53">
        <f>IF(A2822="","",CHOOSE(WEEKDAY(A2822,2),"Пн","Вт","Ср","Чт","Пт","Сб","Вс"))</f>
        <v/>
      </c>
      <c r="C2822" s="53">
        <f>IF(A2822="","",YEAR(A2822))</f>
        <v/>
      </c>
      <c r="D2822" s="54">
        <f>IF(A2822="","",INDEX(lst_months,MONTH(A2822)))</f>
        <v/>
      </c>
      <c r="E2822" s="55" t="n"/>
      <c r="F2822" s="54">
        <f>IF(E2822="","",IFERROR(IF(INDEX(lst_exp_item_cat,MATCH(E2822,lst_exp_items,0))="","❔ Без категории",INDEX(lst_exp_item_cat,MATCH(E2822,lst_exp_items,0))),"❔ Без категории"))</f>
        <v/>
      </c>
      <c r="G2822" s="43" t="n"/>
      <c r="H2822" s="56" t="n"/>
      <c r="I2822" s="43" t="n"/>
      <c r="J2822" s="57">
        <f>IF(OR(A2822="",H2822=""),"",IF(COUNTIFS(exp_year,C2822,exp_month,D2822,exp_item,E2822,exp_status,"&lt;&gt;❌ Отменено")&gt;0,1,0))</f>
        <v/>
      </c>
    </row>
    <row r="2823">
      <c r="A2823" s="52" t="n"/>
      <c r="B2823" s="53">
        <f>IF(A2823="","",CHOOSE(WEEKDAY(A2823,2),"Пн","Вт","Ср","Чт","Пт","Сб","Вс"))</f>
        <v/>
      </c>
      <c r="C2823" s="53">
        <f>IF(A2823="","",YEAR(A2823))</f>
        <v/>
      </c>
      <c r="D2823" s="54">
        <f>IF(A2823="","",INDEX(lst_months,MONTH(A2823)))</f>
        <v/>
      </c>
      <c r="E2823" s="55" t="n"/>
      <c r="F2823" s="54">
        <f>IF(E2823="","",IFERROR(IF(INDEX(lst_exp_item_cat,MATCH(E2823,lst_exp_items,0))="","❔ Без категории",INDEX(lst_exp_item_cat,MATCH(E2823,lst_exp_items,0))),"❔ Без категории"))</f>
        <v/>
      </c>
      <c r="G2823" s="43" t="n"/>
      <c r="H2823" s="56" t="n"/>
      <c r="I2823" s="43" t="n"/>
      <c r="J2823" s="57">
        <f>IF(OR(A2823="",H2823=""),"",IF(COUNTIFS(exp_year,C2823,exp_month,D2823,exp_item,E2823,exp_status,"&lt;&gt;❌ Отменено")&gt;0,1,0))</f>
        <v/>
      </c>
    </row>
    <row r="2824">
      <c r="A2824" s="52" t="n"/>
      <c r="B2824" s="53">
        <f>IF(A2824="","",CHOOSE(WEEKDAY(A2824,2),"Пн","Вт","Ср","Чт","Пт","Сб","Вс"))</f>
        <v/>
      </c>
      <c r="C2824" s="53">
        <f>IF(A2824="","",YEAR(A2824))</f>
        <v/>
      </c>
      <c r="D2824" s="54">
        <f>IF(A2824="","",INDEX(lst_months,MONTH(A2824)))</f>
        <v/>
      </c>
      <c r="E2824" s="55" t="n"/>
      <c r="F2824" s="54">
        <f>IF(E2824="","",IFERROR(IF(INDEX(lst_exp_item_cat,MATCH(E2824,lst_exp_items,0))="","❔ Без категории",INDEX(lst_exp_item_cat,MATCH(E2824,lst_exp_items,0))),"❔ Без категории"))</f>
        <v/>
      </c>
      <c r="G2824" s="43" t="n"/>
      <c r="H2824" s="56" t="n"/>
      <c r="I2824" s="43" t="n"/>
      <c r="J2824" s="57">
        <f>IF(OR(A2824="",H2824=""),"",IF(COUNTIFS(exp_year,C2824,exp_month,D2824,exp_item,E2824,exp_status,"&lt;&gt;❌ Отменено")&gt;0,1,0))</f>
        <v/>
      </c>
    </row>
    <row r="2825">
      <c r="A2825" s="52" t="n"/>
      <c r="B2825" s="53">
        <f>IF(A2825="","",CHOOSE(WEEKDAY(A2825,2),"Пн","Вт","Ср","Чт","Пт","Сб","Вс"))</f>
        <v/>
      </c>
      <c r="C2825" s="53">
        <f>IF(A2825="","",YEAR(A2825))</f>
        <v/>
      </c>
      <c r="D2825" s="54">
        <f>IF(A2825="","",INDEX(lst_months,MONTH(A2825)))</f>
        <v/>
      </c>
      <c r="E2825" s="55" t="n"/>
      <c r="F2825" s="54">
        <f>IF(E2825="","",IFERROR(IF(INDEX(lst_exp_item_cat,MATCH(E2825,lst_exp_items,0))="","❔ Без категории",INDEX(lst_exp_item_cat,MATCH(E2825,lst_exp_items,0))),"❔ Без категории"))</f>
        <v/>
      </c>
      <c r="G2825" s="43" t="n"/>
      <c r="H2825" s="56" t="n"/>
      <c r="I2825" s="43" t="n"/>
      <c r="J2825" s="57">
        <f>IF(OR(A2825="",H2825=""),"",IF(COUNTIFS(exp_year,C2825,exp_month,D2825,exp_item,E2825,exp_status,"&lt;&gt;❌ Отменено")&gt;0,1,0))</f>
        <v/>
      </c>
    </row>
    <row r="2826">
      <c r="A2826" s="52" t="n"/>
      <c r="B2826" s="53">
        <f>IF(A2826="","",CHOOSE(WEEKDAY(A2826,2),"Пн","Вт","Ср","Чт","Пт","Сб","Вс"))</f>
        <v/>
      </c>
      <c r="C2826" s="53">
        <f>IF(A2826="","",YEAR(A2826))</f>
        <v/>
      </c>
      <c r="D2826" s="54">
        <f>IF(A2826="","",INDEX(lst_months,MONTH(A2826)))</f>
        <v/>
      </c>
      <c r="E2826" s="55" t="n"/>
      <c r="F2826" s="54">
        <f>IF(E2826="","",IFERROR(IF(INDEX(lst_exp_item_cat,MATCH(E2826,lst_exp_items,0))="","❔ Без категории",INDEX(lst_exp_item_cat,MATCH(E2826,lst_exp_items,0))),"❔ Без категории"))</f>
        <v/>
      </c>
      <c r="G2826" s="43" t="n"/>
      <c r="H2826" s="56" t="n"/>
      <c r="I2826" s="43" t="n"/>
      <c r="J2826" s="57">
        <f>IF(OR(A2826="",H2826=""),"",IF(COUNTIFS(exp_year,C2826,exp_month,D2826,exp_item,E2826,exp_status,"&lt;&gt;❌ Отменено")&gt;0,1,0))</f>
        <v/>
      </c>
    </row>
    <row r="2827">
      <c r="A2827" s="52" t="n"/>
      <c r="B2827" s="53">
        <f>IF(A2827="","",CHOOSE(WEEKDAY(A2827,2),"Пн","Вт","Ср","Чт","Пт","Сб","Вс"))</f>
        <v/>
      </c>
      <c r="C2827" s="53">
        <f>IF(A2827="","",YEAR(A2827))</f>
        <v/>
      </c>
      <c r="D2827" s="54">
        <f>IF(A2827="","",INDEX(lst_months,MONTH(A2827)))</f>
        <v/>
      </c>
      <c r="E2827" s="55" t="n"/>
      <c r="F2827" s="54">
        <f>IF(E2827="","",IFERROR(IF(INDEX(lst_exp_item_cat,MATCH(E2827,lst_exp_items,0))="","❔ Без категории",INDEX(lst_exp_item_cat,MATCH(E2827,lst_exp_items,0))),"❔ Без категории"))</f>
        <v/>
      </c>
      <c r="G2827" s="43" t="n"/>
      <c r="H2827" s="56" t="n"/>
      <c r="I2827" s="43" t="n"/>
      <c r="J2827" s="57">
        <f>IF(OR(A2827="",H2827=""),"",IF(COUNTIFS(exp_year,C2827,exp_month,D2827,exp_item,E2827,exp_status,"&lt;&gt;❌ Отменено")&gt;0,1,0))</f>
        <v/>
      </c>
    </row>
    <row r="2828">
      <c r="A2828" s="52" t="n"/>
      <c r="B2828" s="53">
        <f>IF(A2828="","",CHOOSE(WEEKDAY(A2828,2),"Пн","Вт","Ср","Чт","Пт","Сб","Вс"))</f>
        <v/>
      </c>
      <c r="C2828" s="53">
        <f>IF(A2828="","",YEAR(A2828))</f>
        <v/>
      </c>
      <c r="D2828" s="54">
        <f>IF(A2828="","",INDEX(lst_months,MONTH(A2828)))</f>
        <v/>
      </c>
      <c r="E2828" s="55" t="n"/>
      <c r="F2828" s="54">
        <f>IF(E2828="","",IFERROR(IF(INDEX(lst_exp_item_cat,MATCH(E2828,lst_exp_items,0))="","❔ Без категории",INDEX(lst_exp_item_cat,MATCH(E2828,lst_exp_items,0))),"❔ Без категории"))</f>
        <v/>
      </c>
      <c r="G2828" s="43" t="n"/>
      <c r="H2828" s="56" t="n"/>
      <c r="I2828" s="43" t="n"/>
      <c r="J2828" s="57">
        <f>IF(OR(A2828="",H2828=""),"",IF(COUNTIFS(exp_year,C2828,exp_month,D2828,exp_item,E2828,exp_status,"&lt;&gt;❌ Отменено")&gt;0,1,0))</f>
        <v/>
      </c>
    </row>
    <row r="2829">
      <c r="A2829" s="52" t="n"/>
      <c r="B2829" s="53">
        <f>IF(A2829="","",CHOOSE(WEEKDAY(A2829,2),"Пн","Вт","Ср","Чт","Пт","Сб","Вс"))</f>
        <v/>
      </c>
      <c r="C2829" s="53">
        <f>IF(A2829="","",YEAR(A2829))</f>
        <v/>
      </c>
      <c r="D2829" s="54">
        <f>IF(A2829="","",INDEX(lst_months,MONTH(A2829)))</f>
        <v/>
      </c>
      <c r="E2829" s="55" t="n"/>
      <c r="F2829" s="54">
        <f>IF(E2829="","",IFERROR(IF(INDEX(lst_exp_item_cat,MATCH(E2829,lst_exp_items,0))="","❔ Без категории",INDEX(lst_exp_item_cat,MATCH(E2829,lst_exp_items,0))),"❔ Без категории"))</f>
        <v/>
      </c>
      <c r="G2829" s="43" t="n"/>
      <c r="H2829" s="56" t="n"/>
      <c r="I2829" s="43" t="n"/>
      <c r="J2829" s="57">
        <f>IF(OR(A2829="",H2829=""),"",IF(COUNTIFS(exp_year,C2829,exp_month,D2829,exp_item,E2829,exp_status,"&lt;&gt;❌ Отменено")&gt;0,1,0))</f>
        <v/>
      </c>
    </row>
    <row r="2830">
      <c r="A2830" s="52" t="n"/>
      <c r="B2830" s="53">
        <f>IF(A2830="","",CHOOSE(WEEKDAY(A2830,2),"Пн","Вт","Ср","Чт","Пт","Сб","Вс"))</f>
        <v/>
      </c>
      <c r="C2830" s="53">
        <f>IF(A2830="","",YEAR(A2830))</f>
        <v/>
      </c>
      <c r="D2830" s="54">
        <f>IF(A2830="","",INDEX(lst_months,MONTH(A2830)))</f>
        <v/>
      </c>
      <c r="E2830" s="55" t="n"/>
      <c r="F2830" s="54">
        <f>IF(E2830="","",IFERROR(IF(INDEX(lst_exp_item_cat,MATCH(E2830,lst_exp_items,0))="","❔ Без категории",INDEX(lst_exp_item_cat,MATCH(E2830,lst_exp_items,0))),"❔ Без категории"))</f>
        <v/>
      </c>
      <c r="G2830" s="43" t="n"/>
      <c r="H2830" s="56" t="n"/>
      <c r="I2830" s="43" t="n"/>
      <c r="J2830" s="57">
        <f>IF(OR(A2830="",H2830=""),"",IF(COUNTIFS(exp_year,C2830,exp_month,D2830,exp_item,E2830,exp_status,"&lt;&gt;❌ Отменено")&gt;0,1,0))</f>
        <v/>
      </c>
    </row>
    <row r="2831">
      <c r="A2831" s="52" t="n"/>
      <c r="B2831" s="53">
        <f>IF(A2831="","",CHOOSE(WEEKDAY(A2831,2),"Пн","Вт","Ср","Чт","Пт","Сб","Вс"))</f>
        <v/>
      </c>
      <c r="C2831" s="53">
        <f>IF(A2831="","",YEAR(A2831))</f>
        <v/>
      </c>
      <c r="D2831" s="54">
        <f>IF(A2831="","",INDEX(lst_months,MONTH(A2831)))</f>
        <v/>
      </c>
      <c r="E2831" s="55" t="n"/>
      <c r="F2831" s="54">
        <f>IF(E2831="","",IFERROR(IF(INDEX(lst_exp_item_cat,MATCH(E2831,lst_exp_items,0))="","❔ Без категории",INDEX(lst_exp_item_cat,MATCH(E2831,lst_exp_items,0))),"❔ Без категории"))</f>
        <v/>
      </c>
      <c r="G2831" s="43" t="n"/>
      <c r="H2831" s="56" t="n"/>
      <c r="I2831" s="43" t="n"/>
      <c r="J2831" s="57">
        <f>IF(OR(A2831="",H2831=""),"",IF(COUNTIFS(exp_year,C2831,exp_month,D2831,exp_item,E2831,exp_status,"&lt;&gt;❌ Отменено")&gt;0,1,0))</f>
        <v/>
      </c>
    </row>
    <row r="2832">
      <c r="A2832" s="52" t="n"/>
      <c r="B2832" s="53">
        <f>IF(A2832="","",CHOOSE(WEEKDAY(A2832,2),"Пн","Вт","Ср","Чт","Пт","Сб","Вс"))</f>
        <v/>
      </c>
      <c r="C2832" s="53">
        <f>IF(A2832="","",YEAR(A2832))</f>
        <v/>
      </c>
      <c r="D2832" s="54">
        <f>IF(A2832="","",INDEX(lst_months,MONTH(A2832)))</f>
        <v/>
      </c>
      <c r="E2832" s="55" t="n"/>
      <c r="F2832" s="54">
        <f>IF(E2832="","",IFERROR(IF(INDEX(lst_exp_item_cat,MATCH(E2832,lst_exp_items,0))="","❔ Без категории",INDEX(lst_exp_item_cat,MATCH(E2832,lst_exp_items,0))),"❔ Без категории"))</f>
        <v/>
      </c>
      <c r="G2832" s="43" t="n"/>
      <c r="H2832" s="56" t="n"/>
      <c r="I2832" s="43" t="n"/>
      <c r="J2832" s="57">
        <f>IF(OR(A2832="",H2832=""),"",IF(COUNTIFS(exp_year,C2832,exp_month,D2832,exp_item,E2832,exp_status,"&lt;&gt;❌ Отменено")&gt;0,1,0))</f>
        <v/>
      </c>
    </row>
    <row r="2833">
      <c r="A2833" s="52" t="n"/>
      <c r="B2833" s="53">
        <f>IF(A2833="","",CHOOSE(WEEKDAY(A2833,2),"Пн","Вт","Ср","Чт","Пт","Сб","Вс"))</f>
        <v/>
      </c>
      <c r="C2833" s="53">
        <f>IF(A2833="","",YEAR(A2833))</f>
        <v/>
      </c>
      <c r="D2833" s="54">
        <f>IF(A2833="","",INDEX(lst_months,MONTH(A2833)))</f>
        <v/>
      </c>
      <c r="E2833" s="55" t="n"/>
      <c r="F2833" s="54">
        <f>IF(E2833="","",IFERROR(IF(INDEX(lst_exp_item_cat,MATCH(E2833,lst_exp_items,0))="","❔ Без категории",INDEX(lst_exp_item_cat,MATCH(E2833,lst_exp_items,0))),"❔ Без категории"))</f>
        <v/>
      </c>
      <c r="G2833" s="43" t="n"/>
      <c r="H2833" s="56" t="n"/>
      <c r="I2833" s="43" t="n"/>
      <c r="J2833" s="57">
        <f>IF(OR(A2833="",H2833=""),"",IF(COUNTIFS(exp_year,C2833,exp_month,D2833,exp_item,E2833,exp_status,"&lt;&gt;❌ Отменено")&gt;0,1,0))</f>
        <v/>
      </c>
    </row>
    <row r="2834">
      <c r="A2834" s="52" t="n"/>
      <c r="B2834" s="53">
        <f>IF(A2834="","",CHOOSE(WEEKDAY(A2834,2),"Пн","Вт","Ср","Чт","Пт","Сб","Вс"))</f>
        <v/>
      </c>
      <c r="C2834" s="53">
        <f>IF(A2834="","",YEAR(A2834))</f>
        <v/>
      </c>
      <c r="D2834" s="54">
        <f>IF(A2834="","",INDEX(lst_months,MONTH(A2834)))</f>
        <v/>
      </c>
      <c r="E2834" s="55" t="n"/>
      <c r="F2834" s="54">
        <f>IF(E2834="","",IFERROR(IF(INDEX(lst_exp_item_cat,MATCH(E2834,lst_exp_items,0))="","❔ Без категории",INDEX(lst_exp_item_cat,MATCH(E2834,lst_exp_items,0))),"❔ Без категории"))</f>
        <v/>
      </c>
      <c r="G2834" s="43" t="n"/>
      <c r="H2834" s="56" t="n"/>
      <c r="I2834" s="43" t="n"/>
      <c r="J2834" s="57">
        <f>IF(OR(A2834="",H2834=""),"",IF(COUNTIFS(exp_year,C2834,exp_month,D2834,exp_item,E2834,exp_status,"&lt;&gt;❌ Отменено")&gt;0,1,0))</f>
        <v/>
      </c>
    </row>
    <row r="2835">
      <c r="A2835" s="52" t="n"/>
      <c r="B2835" s="53">
        <f>IF(A2835="","",CHOOSE(WEEKDAY(A2835,2),"Пн","Вт","Ср","Чт","Пт","Сб","Вс"))</f>
        <v/>
      </c>
      <c r="C2835" s="53">
        <f>IF(A2835="","",YEAR(A2835))</f>
        <v/>
      </c>
      <c r="D2835" s="54">
        <f>IF(A2835="","",INDEX(lst_months,MONTH(A2835)))</f>
        <v/>
      </c>
      <c r="E2835" s="55" t="n"/>
      <c r="F2835" s="54">
        <f>IF(E2835="","",IFERROR(IF(INDEX(lst_exp_item_cat,MATCH(E2835,lst_exp_items,0))="","❔ Без категории",INDEX(lst_exp_item_cat,MATCH(E2835,lst_exp_items,0))),"❔ Без категории"))</f>
        <v/>
      </c>
      <c r="G2835" s="43" t="n"/>
      <c r="H2835" s="56" t="n"/>
      <c r="I2835" s="43" t="n"/>
      <c r="J2835" s="57">
        <f>IF(OR(A2835="",H2835=""),"",IF(COUNTIFS(exp_year,C2835,exp_month,D2835,exp_item,E2835,exp_status,"&lt;&gt;❌ Отменено")&gt;0,1,0))</f>
        <v/>
      </c>
    </row>
    <row r="2836">
      <c r="A2836" s="52" t="n"/>
      <c r="B2836" s="53">
        <f>IF(A2836="","",CHOOSE(WEEKDAY(A2836,2),"Пн","Вт","Ср","Чт","Пт","Сб","Вс"))</f>
        <v/>
      </c>
      <c r="C2836" s="53">
        <f>IF(A2836="","",YEAR(A2836))</f>
        <v/>
      </c>
      <c r="D2836" s="54">
        <f>IF(A2836="","",INDEX(lst_months,MONTH(A2836)))</f>
        <v/>
      </c>
      <c r="E2836" s="55" t="n"/>
      <c r="F2836" s="54">
        <f>IF(E2836="","",IFERROR(IF(INDEX(lst_exp_item_cat,MATCH(E2836,lst_exp_items,0))="","❔ Без категории",INDEX(lst_exp_item_cat,MATCH(E2836,lst_exp_items,0))),"❔ Без категории"))</f>
        <v/>
      </c>
      <c r="G2836" s="43" t="n"/>
      <c r="H2836" s="56" t="n"/>
      <c r="I2836" s="43" t="n"/>
      <c r="J2836" s="57">
        <f>IF(OR(A2836="",H2836=""),"",IF(COUNTIFS(exp_year,C2836,exp_month,D2836,exp_item,E2836,exp_status,"&lt;&gt;❌ Отменено")&gt;0,1,0))</f>
        <v/>
      </c>
    </row>
    <row r="2837">
      <c r="A2837" s="52" t="n"/>
      <c r="B2837" s="53">
        <f>IF(A2837="","",CHOOSE(WEEKDAY(A2837,2),"Пн","Вт","Ср","Чт","Пт","Сб","Вс"))</f>
        <v/>
      </c>
      <c r="C2837" s="53">
        <f>IF(A2837="","",YEAR(A2837))</f>
        <v/>
      </c>
      <c r="D2837" s="54">
        <f>IF(A2837="","",INDEX(lst_months,MONTH(A2837)))</f>
        <v/>
      </c>
      <c r="E2837" s="55" t="n"/>
      <c r="F2837" s="54">
        <f>IF(E2837="","",IFERROR(IF(INDEX(lst_exp_item_cat,MATCH(E2837,lst_exp_items,0))="","❔ Без категории",INDEX(lst_exp_item_cat,MATCH(E2837,lst_exp_items,0))),"❔ Без категории"))</f>
        <v/>
      </c>
      <c r="G2837" s="43" t="n"/>
      <c r="H2837" s="56" t="n"/>
      <c r="I2837" s="43" t="n"/>
      <c r="J2837" s="57">
        <f>IF(OR(A2837="",H2837=""),"",IF(COUNTIFS(exp_year,C2837,exp_month,D2837,exp_item,E2837,exp_status,"&lt;&gt;❌ Отменено")&gt;0,1,0))</f>
        <v/>
      </c>
    </row>
    <row r="2838">
      <c r="A2838" s="52" t="n"/>
      <c r="B2838" s="53">
        <f>IF(A2838="","",CHOOSE(WEEKDAY(A2838,2),"Пн","Вт","Ср","Чт","Пт","Сб","Вс"))</f>
        <v/>
      </c>
      <c r="C2838" s="53">
        <f>IF(A2838="","",YEAR(A2838))</f>
        <v/>
      </c>
      <c r="D2838" s="54">
        <f>IF(A2838="","",INDEX(lst_months,MONTH(A2838)))</f>
        <v/>
      </c>
      <c r="E2838" s="55" t="n"/>
      <c r="F2838" s="54">
        <f>IF(E2838="","",IFERROR(IF(INDEX(lst_exp_item_cat,MATCH(E2838,lst_exp_items,0))="","❔ Без категории",INDEX(lst_exp_item_cat,MATCH(E2838,lst_exp_items,0))),"❔ Без категории"))</f>
        <v/>
      </c>
      <c r="G2838" s="43" t="n"/>
      <c r="H2838" s="56" t="n"/>
      <c r="I2838" s="43" t="n"/>
      <c r="J2838" s="57">
        <f>IF(OR(A2838="",H2838=""),"",IF(COUNTIFS(exp_year,C2838,exp_month,D2838,exp_item,E2838,exp_status,"&lt;&gt;❌ Отменено")&gt;0,1,0))</f>
        <v/>
      </c>
    </row>
    <row r="2839">
      <c r="A2839" s="52" t="n"/>
      <c r="B2839" s="53">
        <f>IF(A2839="","",CHOOSE(WEEKDAY(A2839,2),"Пн","Вт","Ср","Чт","Пт","Сб","Вс"))</f>
        <v/>
      </c>
      <c r="C2839" s="53">
        <f>IF(A2839="","",YEAR(A2839))</f>
        <v/>
      </c>
      <c r="D2839" s="54">
        <f>IF(A2839="","",INDEX(lst_months,MONTH(A2839)))</f>
        <v/>
      </c>
      <c r="E2839" s="55" t="n"/>
      <c r="F2839" s="54">
        <f>IF(E2839="","",IFERROR(IF(INDEX(lst_exp_item_cat,MATCH(E2839,lst_exp_items,0))="","❔ Без категории",INDEX(lst_exp_item_cat,MATCH(E2839,lst_exp_items,0))),"❔ Без категории"))</f>
        <v/>
      </c>
      <c r="G2839" s="43" t="n"/>
      <c r="H2839" s="56" t="n"/>
      <c r="I2839" s="43" t="n"/>
      <c r="J2839" s="57">
        <f>IF(OR(A2839="",H2839=""),"",IF(COUNTIFS(exp_year,C2839,exp_month,D2839,exp_item,E2839,exp_status,"&lt;&gt;❌ Отменено")&gt;0,1,0))</f>
        <v/>
      </c>
    </row>
    <row r="2840">
      <c r="A2840" s="52" t="n"/>
      <c r="B2840" s="53">
        <f>IF(A2840="","",CHOOSE(WEEKDAY(A2840,2),"Пн","Вт","Ср","Чт","Пт","Сб","Вс"))</f>
        <v/>
      </c>
      <c r="C2840" s="53">
        <f>IF(A2840="","",YEAR(A2840))</f>
        <v/>
      </c>
      <c r="D2840" s="54">
        <f>IF(A2840="","",INDEX(lst_months,MONTH(A2840)))</f>
        <v/>
      </c>
      <c r="E2840" s="55" t="n"/>
      <c r="F2840" s="54">
        <f>IF(E2840="","",IFERROR(IF(INDEX(lst_exp_item_cat,MATCH(E2840,lst_exp_items,0))="","❔ Без категории",INDEX(lst_exp_item_cat,MATCH(E2840,lst_exp_items,0))),"❔ Без категории"))</f>
        <v/>
      </c>
      <c r="G2840" s="43" t="n"/>
      <c r="H2840" s="56" t="n"/>
      <c r="I2840" s="43" t="n"/>
      <c r="J2840" s="57">
        <f>IF(OR(A2840="",H2840=""),"",IF(COUNTIFS(exp_year,C2840,exp_month,D2840,exp_item,E2840,exp_status,"&lt;&gt;❌ Отменено")&gt;0,1,0))</f>
        <v/>
      </c>
    </row>
    <row r="2841">
      <c r="A2841" s="52" t="n"/>
      <c r="B2841" s="53">
        <f>IF(A2841="","",CHOOSE(WEEKDAY(A2841,2),"Пн","Вт","Ср","Чт","Пт","Сб","Вс"))</f>
        <v/>
      </c>
      <c r="C2841" s="53">
        <f>IF(A2841="","",YEAR(A2841))</f>
        <v/>
      </c>
      <c r="D2841" s="54">
        <f>IF(A2841="","",INDEX(lst_months,MONTH(A2841)))</f>
        <v/>
      </c>
      <c r="E2841" s="55" t="n"/>
      <c r="F2841" s="54">
        <f>IF(E2841="","",IFERROR(IF(INDEX(lst_exp_item_cat,MATCH(E2841,lst_exp_items,0))="","❔ Без категории",INDEX(lst_exp_item_cat,MATCH(E2841,lst_exp_items,0))),"❔ Без категории"))</f>
        <v/>
      </c>
      <c r="G2841" s="43" t="n"/>
      <c r="H2841" s="56" t="n"/>
      <c r="I2841" s="43" t="n"/>
      <c r="J2841" s="57">
        <f>IF(OR(A2841="",H2841=""),"",IF(COUNTIFS(exp_year,C2841,exp_month,D2841,exp_item,E2841,exp_status,"&lt;&gt;❌ Отменено")&gt;0,1,0))</f>
        <v/>
      </c>
    </row>
    <row r="2842">
      <c r="A2842" s="52" t="n"/>
      <c r="B2842" s="53">
        <f>IF(A2842="","",CHOOSE(WEEKDAY(A2842,2),"Пн","Вт","Ср","Чт","Пт","Сб","Вс"))</f>
        <v/>
      </c>
      <c r="C2842" s="53">
        <f>IF(A2842="","",YEAR(A2842))</f>
        <v/>
      </c>
      <c r="D2842" s="54">
        <f>IF(A2842="","",INDEX(lst_months,MONTH(A2842)))</f>
        <v/>
      </c>
      <c r="E2842" s="55" t="n"/>
      <c r="F2842" s="54">
        <f>IF(E2842="","",IFERROR(IF(INDEX(lst_exp_item_cat,MATCH(E2842,lst_exp_items,0))="","❔ Без категории",INDEX(lst_exp_item_cat,MATCH(E2842,lst_exp_items,0))),"❔ Без категории"))</f>
        <v/>
      </c>
      <c r="G2842" s="43" t="n"/>
      <c r="H2842" s="56" t="n"/>
      <c r="I2842" s="43" t="n"/>
      <c r="J2842" s="57">
        <f>IF(OR(A2842="",H2842=""),"",IF(COUNTIFS(exp_year,C2842,exp_month,D2842,exp_item,E2842,exp_status,"&lt;&gt;❌ Отменено")&gt;0,1,0))</f>
        <v/>
      </c>
    </row>
    <row r="2843">
      <c r="A2843" s="52" t="n"/>
      <c r="B2843" s="53">
        <f>IF(A2843="","",CHOOSE(WEEKDAY(A2843,2),"Пн","Вт","Ср","Чт","Пт","Сб","Вс"))</f>
        <v/>
      </c>
      <c r="C2843" s="53">
        <f>IF(A2843="","",YEAR(A2843))</f>
        <v/>
      </c>
      <c r="D2843" s="54">
        <f>IF(A2843="","",INDEX(lst_months,MONTH(A2843)))</f>
        <v/>
      </c>
      <c r="E2843" s="55" t="n"/>
      <c r="F2843" s="54">
        <f>IF(E2843="","",IFERROR(IF(INDEX(lst_exp_item_cat,MATCH(E2843,lst_exp_items,0))="","❔ Без категории",INDEX(lst_exp_item_cat,MATCH(E2843,lst_exp_items,0))),"❔ Без категории"))</f>
        <v/>
      </c>
      <c r="G2843" s="43" t="n"/>
      <c r="H2843" s="56" t="n"/>
      <c r="I2843" s="43" t="n"/>
      <c r="J2843" s="57">
        <f>IF(OR(A2843="",H2843=""),"",IF(COUNTIFS(exp_year,C2843,exp_month,D2843,exp_item,E2843,exp_status,"&lt;&gt;❌ Отменено")&gt;0,1,0))</f>
        <v/>
      </c>
    </row>
    <row r="2844">
      <c r="A2844" s="52" t="n"/>
      <c r="B2844" s="53">
        <f>IF(A2844="","",CHOOSE(WEEKDAY(A2844,2),"Пн","Вт","Ср","Чт","Пт","Сб","Вс"))</f>
        <v/>
      </c>
      <c r="C2844" s="53">
        <f>IF(A2844="","",YEAR(A2844))</f>
        <v/>
      </c>
      <c r="D2844" s="54">
        <f>IF(A2844="","",INDEX(lst_months,MONTH(A2844)))</f>
        <v/>
      </c>
      <c r="E2844" s="55" t="n"/>
      <c r="F2844" s="54">
        <f>IF(E2844="","",IFERROR(IF(INDEX(lst_exp_item_cat,MATCH(E2844,lst_exp_items,0))="","❔ Без категории",INDEX(lst_exp_item_cat,MATCH(E2844,lst_exp_items,0))),"❔ Без категории"))</f>
        <v/>
      </c>
      <c r="G2844" s="43" t="n"/>
      <c r="H2844" s="56" t="n"/>
      <c r="I2844" s="43" t="n"/>
      <c r="J2844" s="57">
        <f>IF(OR(A2844="",H2844=""),"",IF(COUNTIFS(exp_year,C2844,exp_month,D2844,exp_item,E2844,exp_status,"&lt;&gt;❌ Отменено")&gt;0,1,0))</f>
        <v/>
      </c>
    </row>
    <row r="2845">
      <c r="A2845" s="52" t="n"/>
      <c r="B2845" s="53">
        <f>IF(A2845="","",CHOOSE(WEEKDAY(A2845,2),"Пн","Вт","Ср","Чт","Пт","Сб","Вс"))</f>
        <v/>
      </c>
      <c r="C2845" s="53">
        <f>IF(A2845="","",YEAR(A2845))</f>
        <v/>
      </c>
      <c r="D2845" s="54">
        <f>IF(A2845="","",INDEX(lst_months,MONTH(A2845)))</f>
        <v/>
      </c>
      <c r="E2845" s="55" t="n"/>
      <c r="F2845" s="54">
        <f>IF(E2845="","",IFERROR(IF(INDEX(lst_exp_item_cat,MATCH(E2845,lst_exp_items,0))="","❔ Без категории",INDEX(lst_exp_item_cat,MATCH(E2845,lst_exp_items,0))),"❔ Без категории"))</f>
        <v/>
      </c>
      <c r="G2845" s="43" t="n"/>
      <c r="H2845" s="56" t="n"/>
      <c r="I2845" s="43" t="n"/>
      <c r="J2845" s="57">
        <f>IF(OR(A2845="",H2845=""),"",IF(COUNTIFS(exp_year,C2845,exp_month,D2845,exp_item,E2845,exp_status,"&lt;&gt;❌ Отменено")&gt;0,1,0))</f>
        <v/>
      </c>
    </row>
    <row r="2846">
      <c r="A2846" s="52" t="n"/>
      <c r="B2846" s="53">
        <f>IF(A2846="","",CHOOSE(WEEKDAY(A2846,2),"Пн","Вт","Ср","Чт","Пт","Сб","Вс"))</f>
        <v/>
      </c>
      <c r="C2846" s="53">
        <f>IF(A2846="","",YEAR(A2846))</f>
        <v/>
      </c>
      <c r="D2846" s="54">
        <f>IF(A2846="","",INDEX(lst_months,MONTH(A2846)))</f>
        <v/>
      </c>
      <c r="E2846" s="55" t="n"/>
      <c r="F2846" s="54">
        <f>IF(E2846="","",IFERROR(IF(INDEX(lst_exp_item_cat,MATCH(E2846,lst_exp_items,0))="","❔ Без категории",INDEX(lst_exp_item_cat,MATCH(E2846,lst_exp_items,0))),"❔ Без категории"))</f>
        <v/>
      </c>
      <c r="G2846" s="43" t="n"/>
      <c r="H2846" s="56" t="n"/>
      <c r="I2846" s="43" t="n"/>
      <c r="J2846" s="57">
        <f>IF(OR(A2846="",H2846=""),"",IF(COUNTIFS(exp_year,C2846,exp_month,D2846,exp_item,E2846,exp_status,"&lt;&gt;❌ Отменено")&gt;0,1,0))</f>
        <v/>
      </c>
    </row>
    <row r="2847">
      <c r="A2847" s="52" t="n"/>
      <c r="B2847" s="53">
        <f>IF(A2847="","",CHOOSE(WEEKDAY(A2847,2),"Пн","Вт","Ср","Чт","Пт","Сб","Вс"))</f>
        <v/>
      </c>
      <c r="C2847" s="53">
        <f>IF(A2847="","",YEAR(A2847))</f>
        <v/>
      </c>
      <c r="D2847" s="54">
        <f>IF(A2847="","",INDEX(lst_months,MONTH(A2847)))</f>
        <v/>
      </c>
      <c r="E2847" s="55" t="n"/>
      <c r="F2847" s="54">
        <f>IF(E2847="","",IFERROR(IF(INDEX(lst_exp_item_cat,MATCH(E2847,lst_exp_items,0))="","❔ Без категории",INDEX(lst_exp_item_cat,MATCH(E2847,lst_exp_items,0))),"❔ Без категории"))</f>
        <v/>
      </c>
      <c r="G2847" s="43" t="n"/>
      <c r="H2847" s="56" t="n"/>
      <c r="I2847" s="43" t="n"/>
      <c r="J2847" s="57">
        <f>IF(OR(A2847="",H2847=""),"",IF(COUNTIFS(exp_year,C2847,exp_month,D2847,exp_item,E2847,exp_status,"&lt;&gt;❌ Отменено")&gt;0,1,0))</f>
        <v/>
      </c>
    </row>
    <row r="2848">
      <c r="A2848" s="52" t="n"/>
      <c r="B2848" s="53">
        <f>IF(A2848="","",CHOOSE(WEEKDAY(A2848,2),"Пн","Вт","Ср","Чт","Пт","Сб","Вс"))</f>
        <v/>
      </c>
      <c r="C2848" s="53">
        <f>IF(A2848="","",YEAR(A2848))</f>
        <v/>
      </c>
      <c r="D2848" s="54">
        <f>IF(A2848="","",INDEX(lst_months,MONTH(A2848)))</f>
        <v/>
      </c>
      <c r="E2848" s="55" t="n"/>
      <c r="F2848" s="54">
        <f>IF(E2848="","",IFERROR(IF(INDEX(lst_exp_item_cat,MATCH(E2848,lst_exp_items,0))="","❔ Без категории",INDEX(lst_exp_item_cat,MATCH(E2848,lst_exp_items,0))),"❔ Без категории"))</f>
        <v/>
      </c>
      <c r="G2848" s="43" t="n"/>
      <c r="H2848" s="56" t="n"/>
      <c r="I2848" s="43" t="n"/>
      <c r="J2848" s="57">
        <f>IF(OR(A2848="",H2848=""),"",IF(COUNTIFS(exp_year,C2848,exp_month,D2848,exp_item,E2848,exp_status,"&lt;&gt;❌ Отменено")&gt;0,1,0))</f>
        <v/>
      </c>
    </row>
    <row r="2849">
      <c r="A2849" s="52" t="n"/>
      <c r="B2849" s="53">
        <f>IF(A2849="","",CHOOSE(WEEKDAY(A2849,2),"Пн","Вт","Ср","Чт","Пт","Сб","Вс"))</f>
        <v/>
      </c>
      <c r="C2849" s="53">
        <f>IF(A2849="","",YEAR(A2849))</f>
        <v/>
      </c>
      <c r="D2849" s="54">
        <f>IF(A2849="","",INDEX(lst_months,MONTH(A2849)))</f>
        <v/>
      </c>
      <c r="E2849" s="55" t="n"/>
      <c r="F2849" s="54">
        <f>IF(E2849="","",IFERROR(IF(INDEX(lst_exp_item_cat,MATCH(E2849,lst_exp_items,0))="","❔ Без категории",INDEX(lst_exp_item_cat,MATCH(E2849,lst_exp_items,0))),"❔ Без категории"))</f>
        <v/>
      </c>
      <c r="G2849" s="43" t="n"/>
      <c r="H2849" s="56" t="n"/>
      <c r="I2849" s="43" t="n"/>
      <c r="J2849" s="57">
        <f>IF(OR(A2849="",H2849=""),"",IF(COUNTIFS(exp_year,C2849,exp_month,D2849,exp_item,E2849,exp_status,"&lt;&gt;❌ Отменено")&gt;0,1,0))</f>
        <v/>
      </c>
    </row>
    <row r="2850">
      <c r="A2850" s="52" t="n"/>
      <c r="B2850" s="53">
        <f>IF(A2850="","",CHOOSE(WEEKDAY(A2850,2),"Пн","Вт","Ср","Чт","Пт","Сб","Вс"))</f>
        <v/>
      </c>
      <c r="C2850" s="53">
        <f>IF(A2850="","",YEAR(A2850))</f>
        <v/>
      </c>
      <c r="D2850" s="54">
        <f>IF(A2850="","",INDEX(lst_months,MONTH(A2850)))</f>
        <v/>
      </c>
      <c r="E2850" s="55" t="n"/>
      <c r="F2850" s="54">
        <f>IF(E2850="","",IFERROR(IF(INDEX(lst_exp_item_cat,MATCH(E2850,lst_exp_items,0))="","❔ Без категории",INDEX(lst_exp_item_cat,MATCH(E2850,lst_exp_items,0))),"❔ Без категории"))</f>
        <v/>
      </c>
      <c r="G2850" s="43" t="n"/>
      <c r="H2850" s="56" t="n"/>
      <c r="I2850" s="43" t="n"/>
      <c r="J2850" s="57">
        <f>IF(OR(A2850="",H2850=""),"",IF(COUNTIFS(exp_year,C2850,exp_month,D2850,exp_item,E2850,exp_status,"&lt;&gt;❌ Отменено")&gt;0,1,0))</f>
        <v/>
      </c>
    </row>
    <row r="2851">
      <c r="A2851" s="52" t="n"/>
      <c r="B2851" s="53">
        <f>IF(A2851="","",CHOOSE(WEEKDAY(A2851,2),"Пн","Вт","Ср","Чт","Пт","Сб","Вс"))</f>
        <v/>
      </c>
      <c r="C2851" s="53">
        <f>IF(A2851="","",YEAR(A2851))</f>
        <v/>
      </c>
      <c r="D2851" s="54">
        <f>IF(A2851="","",INDEX(lst_months,MONTH(A2851)))</f>
        <v/>
      </c>
      <c r="E2851" s="55" t="n"/>
      <c r="F2851" s="54">
        <f>IF(E2851="","",IFERROR(IF(INDEX(lst_exp_item_cat,MATCH(E2851,lst_exp_items,0))="","❔ Без категории",INDEX(lst_exp_item_cat,MATCH(E2851,lst_exp_items,0))),"❔ Без категории"))</f>
        <v/>
      </c>
      <c r="G2851" s="43" t="n"/>
      <c r="H2851" s="56" t="n"/>
      <c r="I2851" s="43" t="n"/>
      <c r="J2851" s="57">
        <f>IF(OR(A2851="",H2851=""),"",IF(COUNTIFS(exp_year,C2851,exp_month,D2851,exp_item,E2851,exp_status,"&lt;&gt;❌ Отменено")&gt;0,1,0))</f>
        <v/>
      </c>
    </row>
    <row r="2852">
      <c r="A2852" s="52" t="n"/>
      <c r="B2852" s="53">
        <f>IF(A2852="","",CHOOSE(WEEKDAY(A2852,2),"Пн","Вт","Ср","Чт","Пт","Сб","Вс"))</f>
        <v/>
      </c>
      <c r="C2852" s="53">
        <f>IF(A2852="","",YEAR(A2852))</f>
        <v/>
      </c>
      <c r="D2852" s="54">
        <f>IF(A2852="","",INDEX(lst_months,MONTH(A2852)))</f>
        <v/>
      </c>
      <c r="E2852" s="55" t="n"/>
      <c r="F2852" s="54">
        <f>IF(E2852="","",IFERROR(IF(INDEX(lst_exp_item_cat,MATCH(E2852,lst_exp_items,0))="","❔ Без категории",INDEX(lst_exp_item_cat,MATCH(E2852,lst_exp_items,0))),"❔ Без категории"))</f>
        <v/>
      </c>
      <c r="G2852" s="43" t="n"/>
      <c r="H2852" s="56" t="n"/>
      <c r="I2852" s="43" t="n"/>
      <c r="J2852" s="57">
        <f>IF(OR(A2852="",H2852=""),"",IF(COUNTIFS(exp_year,C2852,exp_month,D2852,exp_item,E2852,exp_status,"&lt;&gt;❌ Отменено")&gt;0,1,0))</f>
        <v/>
      </c>
    </row>
    <row r="2853">
      <c r="A2853" s="52" t="n"/>
      <c r="B2853" s="53">
        <f>IF(A2853="","",CHOOSE(WEEKDAY(A2853,2),"Пн","Вт","Ср","Чт","Пт","Сб","Вс"))</f>
        <v/>
      </c>
      <c r="C2853" s="53">
        <f>IF(A2853="","",YEAR(A2853))</f>
        <v/>
      </c>
      <c r="D2853" s="54">
        <f>IF(A2853="","",INDEX(lst_months,MONTH(A2853)))</f>
        <v/>
      </c>
      <c r="E2853" s="55" t="n"/>
      <c r="F2853" s="54">
        <f>IF(E2853="","",IFERROR(IF(INDEX(lst_exp_item_cat,MATCH(E2853,lst_exp_items,0))="","❔ Без категории",INDEX(lst_exp_item_cat,MATCH(E2853,lst_exp_items,0))),"❔ Без категории"))</f>
        <v/>
      </c>
      <c r="G2853" s="43" t="n"/>
      <c r="H2853" s="56" t="n"/>
      <c r="I2853" s="43" t="n"/>
      <c r="J2853" s="57">
        <f>IF(OR(A2853="",H2853=""),"",IF(COUNTIFS(exp_year,C2853,exp_month,D2853,exp_item,E2853,exp_status,"&lt;&gt;❌ Отменено")&gt;0,1,0))</f>
        <v/>
      </c>
    </row>
    <row r="2854">
      <c r="A2854" s="52" t="n"/>
      <c r="B2854" s="53">
        <f>IF(A2854="","",CHOOSE(WEEKDAY(A2854,2),"Пн","Вт","Ср","Чт","Пт","Сб","Вс"))</f>
        <v/>
      </c>
      <c r="C2854" s="53">
        <f>IF(A2854="","",YEAR(A2854))</f>
        <v/>
      </c>
      <c r="D2854" s="54">
        <f>IF(A2854="","",INDEX(lst_months,MONTH(A2854)))</f>
        <v/>
      </c>
      <c r="E2854" s="55" t="n"/>
      <c r="F2854" s="54">
        <f>IF(E2854="","",IFERROR(IF(INDEX(lst_exp_item_cat,MATCH(E2854,lst_exp_items,0))="","❔ Без категории",INDEX(lst_exp_item_cat,MATCH(E2854,lst_exp_items,0))),"❔ Без категории"))</f>
        <v/>
      </c>
      <c r="G2854" s="43" t="n"/>
      <c r="H2854" s="56" t="n"/>
      <c r="I2854" s="43" t="n"/>
      <c r="J2854" s="57">
        <f>IF(OR(A2854="",H2854=""),"",IF(COUNTIFS(exp_year,C2854,exp_month,D2854,exp_item,E2854,exp_status,"&lt;&gt;❌ Отменено")&gt;0,1,0))</f>
        <v/>
      </c>
    </row>
    <row r="2855">
      <c r="A2855" s="52" t="n"/>
      <c r="B2855" s="53">
        <f>IF(A2855="","",CHOOSE(WEEKDAY(A2855,2),"Пн","Вт","Ср","Чт","Пт","Сб","Вс"))</f>
        <v/>
      </c>
      <c r="C2855" s="53">
        <f>IF(A2855="","",YEAR(A2855))</f>
        <v/>
      </c>
      <c r="D2855" s="54">
        <f>IF(A2855="","",INDEX(lst_months,MONTH(A2855)))</f>
        <v/>
      </c>
      <c r="E2855" s="55" t="n"/>
      <c r="F2855" s="54">
        <f>IF(E2855="","",IFERROR(IF(INDEX(lst_exp_item_cat,MATCH(E2855,lst_exp_items,0))="","❔ Без категории",INDEX(lst_exp_item_cat,MATCH(E2855,lst_exp_items,0))),"❔ Без категории"))</f>
        <v/>
      </c>
      <c r="G2855" s="43" t="n"/>
      <c r="H2855" s="56" t="n"/>
      <c r="I2855" s="43" t="n"/>
      <c r="J2855" s="57">
        <f>IF(OR(A2855="",H2855=""),"",IF(COUNTIFS(exp_year,C2855,exp_month,D2855,exp_item,E2855,exp_status,"&lt;&gt;❌ Отменено")&gt;0,1,0))</f>
        <v/>
      </c>
    </row>
    <row r="2856">
      <c r="A2856" s="52" t="n"/>
      <c r="B2856" s="53">
        <f>IF(A2856="","",CHOOSE(WEEKDAY(A2856,2),"Пн","Вт","Ср","Чт","Пт","Сб","Вс"))</f>
        <v/>
      </c>
      <c r="C2856" s="53">
        <f>IF(A2856="","",YEAR(A2856))</f>
        <v/>
      </c>
      <c r="D2856" s="54">
        <f>IF(A2856="","",INDEX(lst_months,MONTH(A2856)))</f>
        <v/>
      </c>
      <c r="E2856" s="55" t="n"/>
      <c r="F2856" s="54">
        <f>IF(E2856="","",IFERROR(IF(INDEX(lst_exp_item_cat,MATCH(E2856,lst_exp_items,0))="","❔ Без категории",INDEX(lst_exp_item_cat,MATCH(E2856,lst_exp_items,0))),"❔ Без категории"))</f>
        <v/>
      </c>
      <c r="G2856" s="43" t="n"/>
      <c r="H2856" s="56" t="n"/>
      <c r="I2856" s="43" t="n"/>
      <c r="J2856" s="57">
        <f>IF(OR(A2856="",H2856=""),"",IF(COUNTIFS(exp_year,C2856,exp_month,D2856,exp_item,E2856,exp_status,"&lt;&gt;❌ Отменено")&gt;0,1,0))</f>
        <v/>
      </c>
    </row>
    <row r="2857">
      <c r="A2857" s="52" t="n"/>
      <c r="B2857" s="53">
        <f>IF(A2857="","",CHOOSE(WEEKDAY(A2857,2),"Пн","Вт","Ср","Чт","Пт","Сб","Вс"))</f>
        <v/>
      </c>
      <c r="C2857" s="53">
        <f>IF(A2857="","",YEAR(A2857))</f>
        <v/>
      </c>
      <c r="D2857" s="54">
        <f>IF(A2857="","",INDEX(lst_months,MONTH(A2857)))</f>
        <v/>
      </c>
      <c r="E2857" s="55" t="n"/>
      <c r="F2857" s="54">
        <f>IF(E2857="","",IFERROR(IF(INDEX(lst_exp_item_cat,MATCH(E2857,lst_exp_items,0))="","❔ Без категории",INDEX(lst_exp_item_cat,MATCH(E2857,lst_exp_items,0))),"❔ Без категории"))</f>
        <v/>
      </c>
      <c r="G2857" s="43" t="n"/>
      <c r="H2857" s="56" t="n"/>
      <c r="I2857" s="43" t="n"/>
      <c r="J2857" s="57">
        <f>IF(OR(A2857="",H2857=""),"",IF(COUNTIFS(exp_year,C2857,exp_month,D2857,exp_item,E2857,exp_status,"&lt;&gt;❌ Отменено")&gt;0,1,0))</f>
        <v/>
      </c>
    </row>
    <row r="2858">
      <c r="A2858" s="52" t="n"/>
      <c r="B2858" s="53">
        <f>IF(A2858="","",CHOOSE(WEEKDAY(A2858,2),"Пн","Вт","Ср","Чт","Пт","Сб","Вс"))</f>
        <v/>
      </c>
      <c r="C2858" s="53">
        <f>IF(A2858="","",YEAR(A2858))</f>
        <v/>
      </c>
      <c r="D2858" s="54">
        <f>IF(A2858="","",INDEX(lst_months,MONTH(A2858)))</f>
        <v/>
      </c>
      <c r="E2858" s="55" t="n"/>
      <c r="F2858" s="54">
        <f>IF(E2858="","",IFERROR(IF(INDEX(lst_exp_item_cat,MATCH(E2858,lst_exp_items,0))="","❔ Без категории",INDEX(lst_exp_item_cat,MATCH(E2858,lst_exp_items,0))),"❔ Без категории"))</f>
        <v/>
      </c>
      <c r="G2858" s="43" t="n"/>
      <c r="H2858" s="56" t="n"/>
      <c r="I2858" s="43" t="n"/>
      <c r="J2858" s="57">
        <f>IF(OR(A2858="",H2858=""),"",IF(COUNTIFS(exp_year,C2858,exp_month,D2858,exp_item,E2858,exp_status,"&lt;&gt;❌ Отменено")&gt;0,1,0))</f>
        <v/>
      </c>
    </row>
    <row r="2859">
      <c r="A2859" s="52" t="n"/>
      <c r="B2859" s="53">
        <f>IF(A2859="","",CHOOSE(WEEKDAY(A2859,2),"Пн","Вт","Ср","Чт","Пт","Сб","Вс"))</f>
        <v/>
      </c>
      <c r="C2859" s="53">
        <f>IF(A2859="","",YEAR(A2859))</f>
        <v/>
      </c>
      <c r="D2859" s="54">
        <f>IF(A2859="","",INDEX(lst_months,MONTH(A2859)))</f>
        <v/>
      </c>
      <c r="E2859" s="55" t="n"/>
      <c r="F2859" s="54">
        <f>IF(E2859="","",IFERROR(IF(INDEX(lst_exp_item_cat,MATCH(E2859,lst_exp_items,0))="","❔ Без категории",INDEX(lst_exp_item_cat,MATCH(E2859,lst_exp_items,0))),"❔ Без категории"))</f>
        <v/>
      </c>
      <c r="G2859" s="43" t="n"/>
      <c r="H2859" s="56" t="n"/>
      <c r="I2859" s="43" t="n"/>
      <c r="J2859" s="57">
        <f>IF(OR(A2859="",H2859=""),"",IF(COUNTIFS(exp_year,C2859,exp_month,D2859,exp_item,E2859,exp_status,"&lt;&gt;❌ Отменено")&gt;0,1,0))</f>
        <v/>
      </c>
    </row>
    <row r="2860">
      <c r="A2860" s="52" t="n"/>
      <c r="B2860" s="53">
        <f>IF(A2860="","",CHOOSE(WEEKDAY(A2860,2),"Пн","Вт","Ср","Чт","Пт","Сб","Вс"))</f>
        <v/>
      </c>
      <c r="C2860" s="53">
        <f>IF(A2860="","",YEAR(A2860))</f>
        <v/>
      </c>
      <c r="D2860" s="54">
        <f>IF(A2860="","",INDEX(lst_months,MONTH(A2860)))</f>
        <v/>
      </c>
      <c r="E2860" s="55" t="n"/>
      <c r="F2860" s="54">
        <f>IF(E2860="","",IFERROR(IF(INDEX(lst_exp_item_cat,MATCH(E2860,lst_exp_items,0))="","❔ Без категории",INDEX(lst_exp_item_cat,MATCH(E2860,lst_exp_items,0))),"❔ Без категории"))</f>
        <v/>
      </c>
      <c r="G2860" s="43" t="n"/>
      <c r="H2860" s="56" t="n"/>
      <c r="I2860" s="43" t="n"/>
      <c r="J2860" s="57">
        <f>IF(OR(A2860="",H2860=""),"",IF(COUNTIFS(exp_year,C2860,exp_month,D2860,exp_item,E2860,exp_status,"&lt;&gt;❌ Отменено")&gt;0,1,0))</f>
        <v/>
      </c>
    </row>
    <row r="2861">
      <c r="A2861" s="52" t="n"/>
      <c r="B2861" s="53">
        <f>IF(A2861="","",CHOOSE(WEEKDAY(A2861,2),"Пн","Вт","Ср","Чт","Пт","Сб","Вс"))</f>
        <v/>
      </c>
      <c r="C2861" s="53">
        <f>IF(A2861="","",YEAR(A2861))</f>
        <v/>
      </c>
      <c r="D2861" s="54">
        <f>IF(A2861="","",INDEX(lst_months,MONTH(A2861)))</f>
        <v/>
      </c>
      <c r="E2861" s="55" t="n"/>
      <c r="F2861" s="54">
        <f>IF(E2861="","",IFERROR(IF(INDEX(lst_exp_item_cat,MATCH(E2861,lst_exp_items,0))="","❔ Без категории",INDEX(lst_exp_item_cat,MATCH(E2861,lst_exp_items,0))),"❔ Без категории"))</f>
        <v/>
      </c>
      <c r="G2861" s="43" t="n"/>
      <c r="H2861" s="56" t="n"/>
      <c r="I2861" s="43" t="n"/>
      <c r="J2861" s="57">
        <f>IF(OR(A2861="",H2861=""),"",IF(COUNTIFS(exp_year,C2861,exp_month,D2861,exp_item,E2861,exp_status,"&lt;&gt;❌ Отменено")&gt;0,1,0))</f>
        <v/>
      </c>
    </row>
    <row r="2862">
      <c r="A2862" s="52" t="n"/>
      <c r="B2862" s="53">
        <f>IF(A2862="","",CHOOSE(WEEKDAY(A2862,2),"Пн","Вт","Ср","Чт","Пт","Сб","Вс"))</f>
        <v/>
      </c>
      <c r="C2862" s="53">
        <f>IF(A2862="","",YEAR(A2862))</f>
        <v/>
      </c>
      <c r="D2862" s="54">
        <f>IF(A2862="","",INDEX(lst_months,MONTH(A2862)))</f>
        <v/>
      </c>
      <c r="E2862" s="55" t="n"/>
      <c r="F2862" s="54">
        <f>IF(E2862="","",IFERROR(IF(INDEX(lst_exp_item_cat,MATCH(E2862,lst_exp_items,0))="","❔ Без категории",INDEX(lst_exp_item_cat,MATCH(E2862,lst_exp_items,0))),"❔ Без категории"))</f>
        <v/>
      </c>
      <c r="G2862" s="43" t="n"/>
      <c r="H2862" s="56" t="n"/>
      <c r="I2862" s="43" t="n"/>
      <c r="J2862" s="57">
        <f>IF(OR(A2862="",H2862=""),"",IF(COUNTIFS(exp_year,C2862,exp_month,D2862,exp_item,E2862,exp_status,"&lt;&gt;❌ Отменено")&gt;0,1,0))</f>
        <v/>
      </c>
    </row>
    <row r="2863">
      <c r="A2863" s="52" t="n"/>
      <c r="B2863" s="53">
        <f>IF(A2863="","",CHOOSE(WEEKDAY(A2863,2),"Пн","Вт","Ср","Чт","Пт","Сб","Вс"))</f>
        <v/>
      </c>
      <c r="C2863" s="53">
        <f>IF(A2863="","",YEAR(A2863))</f>
        <v/>
      </c>
      <c r="D2863" s="54">
        <f>IF(A2863="","",INDEX(lst_months,MONTH(A2863)))</f>
        <v/>
      </c>
      <c r="E2863" s="55" t="n"/>
      <c r="F2863" s="54">
        <f>IF(E2863="","",IFERROR(IF(INDEX(lst_exp_item_cat,MATCH(E2863,lst_exp_items,0))="","❔ Без категории",INDEX(lst_exp_item_cat,MATCH(E2863,lst_exp_items,0))),"❔ Без категории"))</f>
        <v/>
      </c>
      <c r="G2863" s="43" t="n"/>
      <c r="H2863" s="56" t="n"/>
      <c r="I2863" s="43" t="n"/>
      <c r="J2863" s="57">
        <f>IF(OR(A2863="",H2863=""),"",IF(COUNTIFS(exp_year,C2863,exp_month,D2863,exp_item,E2863,exp_status,"&lt;&gt;❌ Отменено")&gt;0,1,0))</f>
        <v/>
      </c>
    </row>
    <row r="2864">
      <c r="A2864" s="52" t="n"/>
      <c r="B2864" s="53">
        <f>IF(A2864="","",CHOOSE(WEEKDAY(A2864,2),"Пн","Вт","Ср","Чт","Пт","Сб","Вс"))</f>
        <v/>
      </c>
      <c r="C2864" s="53">
        <f>IF(A2864="","",YEAR(A2864))</f>
        <v/>
      </c>
      <c r="D2864" s="54">
        <f>IF(A2864="","",INDEX(lst_months,MONTH(A2864)))</f>
        <v/>
      </c>
      <c r="E2864" s="55" t="n"/>
      <c r="F2864" s="54">
        <f>IF(E2864="","",IFERROR(IF(INDEX(lst_exp_item_cat,MATCH(E2864,lst_exp_items,0))="","❔ Без категории",INDEX(lst_exp_item_cat,MATCH(E2864,lst_exp_items,0))),"❔ Без категории"))</f>
        <v/>
      </c>
      <c r="G2864" s="43" t="n"/>
      <c r="H2864" s="56" t="n"/>
      <c r="I2864" s="43" t="n"/>
      <c r="J2864" s="57">
        <f>IF(OR(A2864="",H2864=""),"",IF(COUNTIFS(exp_year,C2864,exp_month,D2864,exp_item,E2864,exp_status,"&lt;&gt;❌ Отменено")&gt;0,1,0))</f>
        <v/>
      </c>
    </row>
    <row r="2865">
      <c r="A2865" s="52" t="n"/>
      <c r="B2865" s="53">
        <f>IF(A2865="","",CHOOSE(WEEKDAY(A2865,2),"Пн","Вт","Ср","Чт","Пт","Сб","Вс"))</f>
        <v/>
      </c>
      <c r="C2865" s="53">
        <f>IF(A2865="","",YEAR(A2865))</f>
        <v/>
      </c>
      <c r="D2865" s="54">
        <f>IF(A2865="","",INDEX(lst_months,MONTH(A2865)))</f>
        <v/>
      </c>
      <c r="E2865" s="55" t="n"/>
      <c r="F2865" s="54">
        <f>IF(E2865="","",IFERROR(IF(INDEX(lst_exp_item_cat,MATCH(E2865,lst_exp_items,0))="","❔ Без категории",INDEX(lst_exp_item_cat,MATCH(E2865,lst_exp_items,0))),"❔ Без категории"))</f>
        <v/>
      </c>
      <c r="G2865" s="43" t="n"/>
      <c r="H2865" s="56" t="n"/>
      <c r="I2865" s="43" t="n"/>
      <c r="J2865" s="57">
        <f>IF(OR(A2865="",H2865=""),"",IF(COUNTIFS(exp_year,C2865,exp_month,D2865,exp_item,E2865,exp_status,"&lt;&gt;❌ Отменено")&gt;0,1,0))</f>
        <v/>
      </c>
    </row>
    <row r="2866">
      <c r="A2866" s="52" t="n"/>
      <c r="B2866" s="53">
        <f>IF(A2866="","",CHOOSE(WEEKDAY(A2866,2),"Пн","Вт","Ср","Чт","Пт","Сб","Вс"))</f>
        <v/>
      </c>
      <c r="C2866" s="53">
        <f>IF(A2866="","",YEAR(A2866))</f>
        <v/>
      </c>
      <c r="D2866" s="54">
        <f>IF(A2866="","",INDEX(lst_months,MONTH(A2866)))</f>
        <v/>
      </c>
      <c r="E2866" s="55" t="n"/>
      <c r="F2866" s="54">
        <f>IF(E2866="","",IFERROR(IF(INDEX(lst_exp_item_cat,MATCH(E2866,lst_exp_items,0))="","❔ Без категории",INDEX(lst_exp_item_cat,MATCH(E2866,lst_exp_items,0))),"❔ Без категории"))</f>
        <v/>
      </c>
      <c r="G2866" s="43" t="n"/>
      <c r="H2866" s="56" t="n"/>
      <c r="I2866" s="43" t="n"/>
      <c r="J2866" s="57">
        <f>IF(OR(A2866="",H2866=""),"",IF(COUNTIFS(exp_year,C2866,exp_month,D2866,exp_item,E2866,exp_status,"&lt;&gt;❌ Отменено")&gt;0,1,0))</f>
        <v/>
      </c>
    </row>
    <row r="2867">
      <c r="A2867" s="52" t="n"/>
      <c r="B2867" s="53">
        <f>IF(A2867="","",CHOOSE(WEEKDAY(A2867,2),"Пн","Вт","Ср","Чт","Пт","Сб","Вс"))</f>
        <v/>
      </c>
      <c r="C2867" s="53">
        <f>IF(A2867="","",YEAR(A2867))</f>
        <v/>
      </c>
      <c r="D2867" s="54">
        <f>IF(A2867="","",INDEX(lst_months,MONTH(A2867)))</f>
        <v/>
      </c>
      <c r="E2867" s="55" t="n"/>
      <c r="F2867" s="54">
        <f>IF(E2867="","",IFERROR(IF(INDEX(lst_exp_item_cat,MATCH(E2867,lst_exp_items,0))="","❔ Без категории",INDEX(lst_exp_item_cat,MATCH(E2867,lst_exp_items,0))),"❔ Без категории"))</f>
        <v/>
      </c>
      <c r="G2867" s="43" t="n"/>
      <c r="H2867" s="56" t="n"/>
      <c r="I2867" s="43" t="n"/>
      <c r="J2867" s="57">
        <f>IF(OR(A2867="",H2867=""),"",IF(COUNTIFS(exp_year,C2867,exp_month,D2867,exp_item,E2867,exp_status,"&lt;&gt;❌ Отменено")&gt;0,1,0))</f>
        <v/>
      </c>
    </row>
    <row r="2868">
      <c r="A2868" s="52" t="n"/>
      <c r="B2868" s="53">
        <f>IF(A2868="","",CHOOSE(WEEKDAY(A2868,2),"Пн","Вт","Ср","Чт","Пт","Сб","Вс"))</f>
        <v/>
      </c>
      <c r="C2868" s="53">
        <f>IF(A2868="","",YEAR(A2868))</f>
        <v/>
      </c>
      <c r="D2868" s="54">
        <f>IF(A2868="","",INDEX(lst_months,MONTH(A2868)))</f>
        <v/>
      </c>
      <c r="E2868" s="55" t="n"/>
      <c r="F2868" s="54">
        <f>IF(E2868="","",IFERROR(IF(INDEX(lst_exp_item_cat,MATCH(E2868,lst_exp_items,0))="","❔ Без категории",INDEX(lst_exp_item_cat,MATCH(E2868,lst_exp_items,0))),"❔ Без категории"))</f>
        <v/>
      </c>
      <c r="G2868" s="43" t="n"/>
      <c r="H2868" s="56" t="n"/>
      <c r="I2868" s="43" t="n"/>
      <c r="J2868" s="57">
        <f>IF(OR(A2868="",H2868=""),"",IF(COUNTIFS(exp_year,C2868,exp_month,D2868,exp_item,E2868,exp_status,"&lt;&gt;❌ Отменено")&gt;0,1,0))</f>
        <v/>
      </c>
    </row>
    <row r="2869">
      <c r="A2869" s="52" t="n"/>
      <c r="B2869" s="53">
        <f>IF(A2869="","",CHOOSE(WEEKDAY(A2869,2),"Пн","Вт","Ср","Чт","Пт","Сб","Вс"))</f>
        <v/>
      </c>
      <c r="C2869" s="53">
        <f>IF(A2869="","",YEAR(A2869))</f>
        <v/>
      </c>
      <c r="D2869" s="54">
        <f>IF(A2869="","",INDEX(lst_months,MONTH(A2869)))</f>
        <v/>
      </c>
      <c r="E2869" s="55" t="n"/>
      <c r="F2869" s="54">
        <f>IF(E2869="","",IFERROR(IF(INDEX(lst_exp_item_cat,MATCH(E2869,lst_exp_items,0))="","❔ Без категории",INDEX(lst_exp_item_cat,MATCH(E2869,lst_exp_items,0))),"❔ Без категории"))</f>
        <v/>
      </c>
      <c r="G2869" s="43" t="n"/>
      <c r="H2869" s="56" t="n"/>
      <c r="I2869" s="43" t="n"/>
      <c r="J2869" s="57">
        <f>IF(OR(A2869="",H2869=""),"",IF(COUNTIFS(exp_year,C2869,exp_month,D2869,exp_item,E2869,exp_status,"&lt;&gt;❌ Отменено")&gt;0,1,0))</f>
        <v/>
      </c>
    </row>
    <row r="2870">
      <c r="A2870" s="52" t="n"/>
      <c r="B2870" s="53">
        <f>IF(A2870="","",CHOOSE(WEEKDAY(A2870,2),"Пн","Вт","Ср","Чт","Пт","Сб","Вс"))</f>
        <v/>
      </c>
      <c r="C2870" s="53">
        <f>IF(A2870="","",YEAR(A2870))</f>
        <v/>
      </c>
      <c r="D2870" s="54">
        <f>IF(A2870="","",INDEX(lst_months,MONTH(A2870)))</f>
        <v/>
      </c>
      <c r="E2870" s="55" t="n"/>
      <c r="F2870" s="54">
        <f>IF(E2870="","",IFERROR(IF(INDEX(lst_exp_item_cat,MATCH(E2870,lst_exp_items,0))="","❔ Без категории",INDEX(lst_exp_item_cat,MATCH(E2870,lst_exp_items,0))),"❔ Без категории"))</f>
        <v/>
      </c>
      <c r="G2870" s="43" t="n"/>
      <c r="H2870" s="56" t="n"/>
      <c r="I2870" s="43" t="n"/>
      <c r="J2870" s="57">
        <f>IF(OR(A2870="",H2870=""),"",IF(COUNTIFS(exp_year,C2870,exp_month,D2870,exp_item,E2870,exp_status,"&lt;&gt;❌ Отменено")&gt;0,1,0))</f>
        <v/>
      </c>
    </row>
    <row r="2871">
      <c r="A2871" s="52" t="n"/>
      <c r="B2871" s="53">
        <f>IF(A2871="","",CHOOSE(WEEKDAY(A2871,2),"Пн","Вт","Ср","Чт","Пт","Сб","Вс"))</f>
        <v/>
      </c>
      <c r="C2871" s="53">
        <f>IF(A2871="","",YEAR(A2871))</f>
        <v/>
      </c>
      <c r="D2871" s="54">
        <f>IF(A2871="","",INDEX(lst_months,MONTH(A2871)))</f>
        <v/>
      </c>
      <c r="E2871" s="55" t="n"/>
      <c r="F2871" s="54">
        <f>IF(E2871="","",IFERROR(IF(INDEX(lst_exp_item_cat,MATCH(E2871,lst_exp_items,0))="","❔ Без категории",INDEX(lst_exp_item_cat,MATCH(E2871,lst_exp_items,0))),"❔ Без категории"))</f>
        <v/>
      </c>
      <c r="G2871" s="43" t="n"/>
      <c r="H2871" s="56" t="n"/>
      <c r="I2871" s="43" t="n"/>
      <c r="J2871" s="57">
        <f>IF(OR(A2871="",H2871=""),"",IF(COUNTIFS(exp_year,C2871,exp_month,D2871,exp_item,E2871,exp_status,"&lt;&gt;❌ Отменено")&gt;0,1,0))</f>
        <v/>
      </c>
    </row>
    <row r="2872">
      <c r="A2872" s="52" t="n"/>
      <c r="B2872" s="53">
        <f>IF(A2872="","",CHOOSE(WEEKDAY(A2872,2),"Пн","Вт","Ср","Чт","Пт","Сб","Вс"))</f>
        <v/>
      </c>
      <c r="C2872" s="53">
        <f>IF(A2872="","",YEAR(A2872))</f>
        <v/>
      </c>
      <c r="D2872" s="54">
        <f>IF(A2872="","",INDEX(lst_months,MONTH(A2872)))</f>
        <v/>
      </c>
      <c r="E2872" s="55" t="n"/>
      <c r="F2872" s="54">
        <f>IF(E2872="","",IFERROR(IF(INDEX(lst_exp_item_cat,MATCH(E2872,lst_exp_items,0))="","❔ Без категории",INDEX(lst_exp_item_cat,MATCH(E2872,lst_exp_items,0))),"❔ Без категории"))</f>
        <v/>
      </c>
      <c r="G2872" s="43" t="n"/>
      <c r="H2872" s="56" t="n"/>
      <c r="I2872" s="43" t="n"/>
      <c r="J2872" s="57">
        <f>IF(OR(A2872="",H2872=""),"",IF(COUNTIFS(exp_year,C2872,exp_month,D2872,exp_item,E2872,exp_status,"&lt;&gt;❌ Отменено")&gt;0,1,0))</f>
        <v/>
      </c>
    </row>
    <row r="2873">
      <c r="A2873" s="52" t="n"/>
      <c r="B2873" s="53">
        <f>IF(A2873="","",CHOOSE(WEEKDAY(A2873,2),"Пн","Вт","Ср","Чт","Пт","Сб","Вс"))</f>
        <v/>
      </c>
      <c r="C2873" s="53">
        <f>IF(A2873="","",YEAR(A2873))</f>
        <v/>
      </c>
      <c r="D2873" s="54">
        <f>IF(A2873="","",INDEX(lst_months,MONTH(A2873)))</f>
        <v/>
      </c>
      <c r="E2873" s="55" t="n"/>
      <c r="F2873" s="54">
        <f>IF(E2873="","",IFERROR(IF(INDEX(lst_exp_item_cat,MATCH(E2873,lst_exp_items,0))="","❔ Без категории",INDEX(lst_exp_item_cat,MATCH(E2873,lst_exp_items,0))),"❔ Без категории"))</f>
        <v/>
      </c>
      <c r="G2873" s="43" t="n"/>
      <c r="H2873" s="56" t="n"/>
      <c r="I2873" s="43" t="n"/>
      <c r="J2873" s="57">
        <f>IF(OR(A2873="",H2873=""),"",IF(COUNTIFS(exp_year,C2873,exp_month,D2873,exp_item,E2873,exp_status,"&lt;&gt;❌ Отменено")&gt;0,1,0))</f>
        <v/>
      </c>
    </row>
    <row r="2874">
      <c r="A2874" s="52" t="n"/>
      <c r="B2874" s="53">
        <f>IF(A2874="","",CHOOSE(WEEKDAY(A2874,2),"Пн","Вт","Ср","Чт","Пт","Сб","Вс"))</f>
        <v/>
      </c>
      <c r="C2874" s="53">
        <f>IF(A2874="","",YEAR(A2874))</f>
        <v/>
      </c>
      <c r="D2874" s="54">
        <f>IF(A2874="","",INDEX(lst_months,MONTH(A2874)))</f>
        <v/>
      </c>
      <c r="E2874" s="55" t="n"/>
      <c r="F2874" s="54">
        <f>IF(E2874="","",IFERROR(IF(INDEX(lst_exp_item_cat,MATCH(E2874,lst_exp_items,0))="","❔ Без категории",INDEX(lst_exp_item_cat,MATCH(E2874,lst_exp_items,0))),"❔ Без категории"))</f>
        <v/>
      </c>
      <c r="G2874" s="43" t="n"/>
      <c r="H2874" s="56" t="n"/>
      <c r="I2874" s="43" t="n"/>
      <c r="J2874" s="57">
        <f>IF(OR(A2874="",H2874=""),"",IF(COUNTIFS(exp_year,C2874,exp_month,D2874,exp_item,E2874,exp_status,"&lt;&gt;❌ Отменено")&gt;0,1,0))</f>
        <v/>
      </c>
    </row>
    <row r="2875">
      <c r="A2875" s="52" t="n"/>
      <c r="B2875" s="53">
        <f>IF(A2875="","",CHOOSE(WEEKDAY(A2875,2),"Пн","Вт","Ср","Чт","Пт","Сб","Вс"))</f>
        <v/>
      </c>
      <c r="C2875" s="53">
        <f>IF(A2875="","",YEAR(A2875))</f>
        <v/>
      </c>
      <c r="D2875" s="54">
        <f>IF(A2875="","",INDEX(lst_months,MONTH(A2875)))</f>
        <v/>
      </c>
      <c r="E2875" s="55" t="n"/>
      <c r="F2875" s="54">
        <f>IF(E2875="","",IFERROR(IF(INDEX(lst_exp_item_cat,MATCH(E2875,lst_exp_items,0))="","❔ Без категории",INDEX(lst_exp_item_cat,MATCH(E2875,lst_exp_items,0))),"❔ Без категории"))</f>
        <v/>
      </c>
      <c r="G2875" s="43" t="n"/>
      <c r="H2875" s="56" t="n"/>
      <c r="I2875" s="43" t="n"/>
      <c r="J2875" s="57">
        <f>IF(OR(A2875="",H2875=""),"",IF(COUNTIFS(exp_year,C2875,exp_month,D2875,exp_item,E2875,exp_status,"&lt;&gt;❌ Отменено")&gt;0,1,0))</f>
        <v/>
      </c>
    </row>
    <row r="2876">
      <c r="A2876" s="52" t="n"/>
      <c r="B2876" s="53">
        <f>IF(A2876="","",CHOOSE(WEEKDAY(A2876,2),"Пн","Вт","Ср","Чт","Пт","Сб","Вс"))</f>
        <v/>
      </c>
      <c r="C2876" s="53">
        <f>IF(A2876="","",YEAR(A2876))</f>
        <v/>
      </c>
      <c r="D2876" s="54">
        <f>IF(A2876="","",INDEX(lst_months,MONTH(A2876)))</f>
        <v/>
      </c>
      <c r="E2876" s="55" t="n"/>
      <c r="F2876" s="54">
        <f>IF(E2876="","",IFERROR(IF(INDEX(lst_exp_item_cat,MATCH(E2876,lst_exp_items,0))="","❔ Без категории",INDEX(lst_exp_item_cat,MATCH(E2876,lst_exp_items,0))),"❔ Без категории"))</f>
        <v/>
      </c>
      <c r="G2876" s="43" t="n"/>
      <c r="H2876" s="56" t="n"/>
      <c r="I2876" s="43" t="n"/>
      <c r="J2876" s="57">
        <f>IF(OR(A2876="",H2876=""),"",IF(COUNTIFS(exp_year,C2876,exp_month,D2876,exp_item,E2876,exp_status,"&lt;&gt;❌ Отменено")&gt;0,1,0))</f>
        <v/>
      </c>
    </row>
    <row r="2877">
      <c r="A2877" s="52" t="n"/>
      <c r="B2877" s="53">
        <f>IF(A2877="","",CHOOSE(WEEKDAY(A2877,2),"Пн","Вт","Ср","Чт","Пт","Сб","Вс"))</f>
        <v/>
      </c>
      <c r="C2877" s="53">
        <f>IF(A2877="","",YEAR(A2877))</f>
        <v/>
      </c>
      <c r="D2877" s="54">
        <f>IF(A2877="","",INDEX(lst_months,MONTH(A2877)))</f>
        <v/>
      </c>
      <c r="E2877" s="55" t="n"/>
      <c r="F2877" s="54">
        <f>IF(E2877="","",IFERROR(IF(INDEX(lst_exp_item_cat,MATCH(E2877,lst_exp_items,0))="","❔ Без категории",INDEX(lst_exp_item_cat,MATCH(E2877,lst_exp_items,0))),"❔ Без категории"))</f>
        <v/>
      </c>
      <c r="G2877" s="43" t="n"/>
      <c r="H2877" s="56" t="n"/>
      <c r="I2877" s="43" t="n"/>
      <c r="J2877" s="57">
        <f>IF(OR(A2877="",H2877=""),"",IF(COUNTIFS(exp_year,C2877,exp_month,D2877,exp_item,E2877,exp_status,"&lt;&gt;❌ Отменено")&gt;0,1,0))</f>
        <v/>
      </c>
    </row>
    <row r="2878">
      <c r="A2878" s="52" t="n"/>
      <c r="B2878" s="53">
        <f>IF(A2878="","",CHOOSE(WEEKDAY(A2878,2),"Пн","Вт","Ср","Чт","Пт","Сб","Вс"))</f>
        <v/>
      </c>
      <c r="C2878" s="53">
        <f>IF(A2878="","",YEAR(A2878))</f>
        <v/>
      </c>
      <c r="D2878" s="54">
        <f>IF(A2878="","",INDEX(lst_months,MONTH(A2878)))</f>
        <v/>
      </c>
      <c r="E2878" s="55" t="n"/>
      <c r="F2878" s="54">
        <f>IF(E2878="","",IFERROR(IF(INDEX(lst_exp_item_cat,MATCH(E2878,lst_exp_items,0))="","❔ Без категории",INDEX(lst_exp_item_cat,MATCH(E2878,lst_exp_items,0))),"❔ Без категории"))</f>
        <v/>
      </c>
      <c r="G2878" s="43" t="n"/>
      <c r="H2878" s="56" t="n"/>
      <c r="I2878" s="43" t="n"/>
      <c r="J2878" s="57">
        <f>IF(OR(A2878="",H2878=""),"",IF(COUNTIFS(exp_year,C2878,exp_month,D2878,exp_item,E2878,exp_status,"&lt;&gt;❌ Отменено")&gt;0,1,0))</f>
        <v/>
      </c>
    </row>
    <row r="2879">
      <c r="A2879" s="52" t="n"/>
      <c r="B2879" s="53">
        <f>IF(A2879="","",CHOOSE(WEEKDAY(A2879,2),"Пн","Вт","Ср","Чт","Пт","Сб","Вс"))</f>
        <v/>
      </c>
      <c r="C2879" s="53">
        <f>IF(A2879="","",YEAR(A2879))</f>
        <v/>
      </c>
      <c r="D2879" s="54">
        <f>IF(A2879="","",INDEX(lst_months,MONTH(A2879)))</f>
        <v/>
      </c>
      <c r="E2879" s="55" t="n"/>
      <c r="F2879" s="54">
        <f>IF(E2879="","",IFERROR(IF(INDEX(lst_exp_item_cat,MATCH(E2879,lst_exp_items,0))="","❔ Без категории",INDEX(lst_exp_item_cat,MATCH(E2879,lst_exp_items,0))),"❔ Без категории"))</f>
        <v/>
      </c>
      <c r="G2879" s="43" t="n"/>
      <c r="H2879" s="56" t="n"/>
      <c r="I2879" s="43" t="n"/>
      <c r="J2879" s="57">
        <f>IF(OR(A2879="",H2879=""),"",IF(COUNTIFS(exp_year,C2879,exp_month,D2879,exp_item,E2879,exp_status,"&lt;&gt;❌ Отменено")&gt;0,1,0))</f>
        <v/>
      </c>
    </row>
    <row r="2880">
      <c r="A2880" s="52" t="n"/>
      <c r="B2880" s="53">
        <f>IF(A2880="","",CHOOSE(WEEKDAY(A2880,2),"Пн","Вт","Ср","Чт","Пт","Сб","Вс"))</f>
        <v/>
      </c>
      <c r="C2880" s="53">
        <f>IF(A2880="","",YEAR(A2880))</f>
        <v/>
      </c>
      <c r="D2880" s="54">
        <f>IF(A2880="","",INDEX(lst_months,MONTH(A2880)))</f>
        <v/>
      </c>
      <c r="E2880" s="55" t="n"/>
      <c r="F2880" s="54">
        <f>IF(E2880="","",IFERROR(IF(INDEX(lst_exp_item_cat,MATCH(E2880,lst_exp_items,0))="","❔ Без категории",INDEX(lst_exp_item_cat,MATCH(E2880,lst_exp_items,0))),"❔ Без категории"))</f>
        <v/>
      </c>
      <c r="G2880" s="43" t="n"/>
      <c r="H2880" s="56" t="n"/>
      <c r="I2880" s="43" t="n"/>
      <c r="J2880" s="57">
        <f>IF(OR(A2880="",H2880=""),"",IF(COUNTIFS(exp_year,C2880,exp_month,D2880,exp_item,E2880,exp_status,"&lt;&gt;❌ Отменено")&gt;0,1,0))</f>
        <v/>
      </c>
    </row>
    <row r="2881">
      <c r="A2881" s="52" t="n"/>
      <c r="B2881" s="53">
        <f>IF(A2881="","",CHOOSE(WEEKDAY(A2881,2),"Пн","Вт","Ср","Чт","Пт","Сб","Вс"))</f>
        <v/>
      </c>
      <c r="C2881" s="53">
        <f>IF(A2881="","",YEAR(A2881))</f>
        <v/>
      </c>
      <c r="D2881" s="54">
        <f>IF(A2881="","",INDEX(lst_months,MONTH(A2881)))</f>
        <v/>
      </c>
      <c r="E2881" s="55" t="n"/>
      <c r="F2881" s="54">
        <f>IF(E2881="","",IFERROR(IF(INDEX(lst_exp_item_cat,MATCH(E2881,lst_exp_items,0))="","❔ Без категории",INDEX(lst_exp_item_cat,MATCH(E2881,lst_exp_items,0))),"❔ Без категории"))</f>
        <v/>
      </c>
      <c r="G2881" s="43" t="n"/>
      <c r="H2881" s="56" t="n"/>
      <c r="I2881" s="43" t="n"/>
      <c r="J2881" s="57">
        <f>IF(OR(A2881="",H2881=""),"",IF(COUNTIFS(exp_year,C2881,exp_month,D2881,exp_item,E2881,exp_status,"&lt;&gt;❌ Отменено")&gt;0,1,0))</f>
        <v/>
      </c>
    </row>
    <row r="2882">
      <c r="A2882" s="52" t="n"/>
      <c r="B2882" s="53">
        <f>IF(A2882="","",CHOOSE(WEEKDAY(A2882,2),"Пн","Вт","Ср","Чт","Пт","Сб","Вс"))</f>
        <v/>
      </c>
      <c r="C2882" s="53">
        <f>IF(A2882="","",YEAR(A2882))</f>
        <v/>
      </c>
      <c r="D2882" s="54">
        <f>IF(A2882="","",INDEX(lst_months,MONTH(A2882)))</f>
        <v/>
      </c>
      <c r="E2882" s="55" t="n"/>
      <c r="F2882" s="54">
        <f>IF(E2882="","",IFERROR(IF(INDEX(lst_exp_item_cat,MATCH(E2882,lst_exp_items,0))="","❔ Без категории",INDEX(lst_exp_item_cat,MATCH(E2882,lst_exp_items,0))),"❔ Без категории"))</f>
        <v/>
      </c>
      <c r="G2882" s="43" t="n"/>
      <c r="H2882" s="56" t="n"/>
      <c r="I2882" s="43" t="n"/>
      <c r="J2882" s="57">
        <f>IF(OR(A2882="",H2882=""),"",IF(COUNTIFS(exp_year,C2882,exp_month,D2882,exp_item,E2882,exp_status,"&lt;&gt;❌ Отменено")&gt;0,1,0))</f>
        <v/>
      </c>
    </row>
    <row r="2883">
      <c r="A2883" s="52" t="n"/>
      <c r="B2883" s="53">
        <f>IF(A2883="","",CHOOSE(WEEKDAY(A2883,2),"Пн","Вт","Ср","Чт","Пт","Сб","Вс"))</f>
        <v/>
      </c>
      <c r="C2883" s="53">
        <f>IF(A2883="","",YEAR(A2883))</f>
        <v/>
      </c>
      <c r="D2883" s="54">
        <f>IF(A2883="","",INDEX(lst_months,MONTH(A2883)))</f>
        <v/>
      </c>
      <c r="E2883" s="55" t="n"/>
      <c r="F2883" s="54">
        <f>IF(E2883="","",IFERROR(IF(INDEX(lst_exp_item_cat,MATCH(E2883,lst_exp_items,0))="","❔ Без категории",INDEX(lst_exp_item_cat,MATCH(E2883,lst_exp_items,0))),"❔ Без категории"))</f>
        <v/>
      </c>
      <c r="G2883" s="43" t="n"/>
      <c r="H2883" s="56" t="n"/>
      <c r="I2883" s="43" t="n"/>
      <c r="J2883" s="57">
        <f>IF(OR(A2883="",H2883=""),"",IF(COUNTIFS(exp_year,C2883,exp_month,D2883,exp_item,E2883,exp_status,"&lt;&gt;❌ Отменено")&gt;0,1,0))</f>
        <v/>
      </c>
    </row>
    <row r="2884">
      <c r="A2884" s="52" t="n"/>
      <c r="B2884" s="53">
        <f>IF(A2884="","",CHOOSE(WEEKDAY(A2884,2),"Пн","Вт","Ср","Чт","Пт","Сб","Вс"))</f>
        <v/>
      </c>
      <c r="C2884" s="53">
        <f>IF(A2884="","",YEAR(A2884))</f>
        <v/>
      </c>
      <c r="D2884" s="54">
        <f>IF(A2884="","",INDEX(lst_months,MONTH(A2884)))</f>
        <v/>
      </c>
      <c r="E2884" s="55" t="n"/>
      <c r="F2884" s="54">
        <f>IF(E2884="","",IFERROR(IF(INDEX(lst_exp_item_cat,MATCH(E2884,lst_exp_items,0))="","❔ Без категории",INDEX(lst_exp_item_cat,MATCH(E2884,lst_exp_items,0))),"❔ Без категории"))</f>
        <v/>
      </c>
      <c r="G2884" s="43" t="n"/>
      <c r="H2884" s="56" t="n"/>
      <c r="I2884" s="43" t="n"/>
      <c r="J2884" s="57">
        <f>IF(OR(A2884="",H2884=""),"",IF(COUNTIFS(exp_year,C2884,exp_month,D2884,exp_item,E2884,exp_status,"&lt;&gt;❌ Отменено")&gt;0,1,0))</f>
        <v/>
      </c>
    </row>
    <row r="2885">
      <c r="A2885" s="52" t="n"/>
      <c r="B2885" s="53">
        <f>IF(A2885="","",CHOOSE(WEEKDAY(A2885,2),"Пн","Вт","Ср","Чт","Пт","Сб","Вс"))</f>
        <v/>
      </c>
      <c r="C2885" s="53">
        <f>IF(A2885="","",YEAR(A2885))</f>
        <v/>
      </c>
      <c r="D2885" s="54">
        <f>IF(A2885="","",INDEX(lst_months,MONTH(A2885)))</f>
        <v/>
      </c>
      <c r="E2885" s="55" t="n"/>
      <c r="F2885" s="54">
        <f>IF(E2885="","",IFERROR(IF(INDEX(lst_exp_item_cat,MATCH(E2885,lst_exp_items,0))="","❔ Без категории",INDEX(lst_exp_item_cat,MATCH(E2885,lst_exp_items,0))),"❔ Без категории"))</f>
        <v/>
      </c>
      <c r="G2885" s="43" t="n"/>
      <c r="H2885" s="56" t="n"/>
      <c r="I2885" s="43" t="n"/>
      <c r="J2885" s="57">
        <f>IF(OR(A2885="",H2885=""),"",IF(COUNTIFS(exp_year,C2885,exp_month,D2885,exp_item,E2885,exp_status,"&lt;&gt;❌ Отменено")&gt;0,1,0))</f>
        <v/>
      </c>
    </row>
    <row r="2886">
      <c r="A2886" s="52" t="n"/>
      <c r="B2886" s="53">
        <f>IF(A2886="","",CHOOSE(WEEKDAY(A2886,2),"Пн","Вт","Ср","Чт","Пт","Сб","Вс"))</f>
        <v/>
      </c>
      <c r="C2886" s="53">
        <f>IF(A2886="","",YEAR(A2886))</f>
        <v/>
      </c>
      <c r="D2886" s="54">
        <f>IF(A2886="","",INDEX(lst_months,MONTH(A2886)))</f>
        <v/>
      </c>
      <c r="E2886" s="55" t="n"/>
      <c r="F2886" s="54">
        <f>IF(E2886="","",IFERROR(IF(INDEX(lst_exp_item_cat,MATCH(E2886,lst_exp_items,0))="","❔ Без категории",INDEX(lst_exp_item_cat,MATCH(E2886,lst_exp_items,0))),"❔ Без категории"))</f>
        <v/>
      </c>
      <c r="G2886" s="43" t="n"/>
      <c r="H2886" s="56" t="n"/>
      <c r="I2886" s="43" t="n"/>
      <c r="J2886" s="57">
        <f>IF(OR(A2886="",H2886=""),"",IF(COUNTIFS(exp_year,C2886,exp_month,D2886,exp_item,E2886,exp_status,"&lt;&gt;❌ Отменено")&gt;0,1,0))</f>
        <v/>
      </c>
    </row>
    <row r="2887">
      <c r="A2887" s="52" t="n"/>
      <c r="B2887" s="53">
        <f>IF(A2887="","",CHOOSE(WEEKDAY(A2887,2),"Пн","Вт","Ср","Чт","Пт","Сб","Вс"))</f>
        <v/>
      </c>
      <c r="C2887" s="53">
        <f>IF(A2887="","",YEAR(A2887))</f>
        <v/>
      </c>
      <c r="D2887" s="54">
        <f>IF(A2887="","",INDEX(lst_months,MONTH(A2887)))</f>
        <v/>
      </c>
      <c r="E2887" s="55" t="n"/>
      <c r="F2887" s="54">
        <f>IF(E2887="","",IFERROR(IF(INDEX(lst_exp_item_cat,MATCH(E2887,lst_exp_items,0))="","❔ Без категории",INDEX(lst_exp_item_cat,MATCH(E2887,lst_exp_items,0))),"❔ Без категории"))</f>
        <v/>
      </c>
      <c r="G2887" s="43" t="n"/>
      <c r="H2887" s="56" t="n"/>
      <c r="I2887" s="43" t="n"/>
      <c r="J2887" s="57">
        <f>IF(OR(A2887="",H2887=""),"",IF(COUNTIFS(exp_year,C2887,exp_month,D2887,exp_item,E2887,exp_status,"&lt;&gt;❌ Отменено")&gt;0,1,0))</f>
        <v/>
      </c>
    </row>
    <row r="2888">
      <c r="A2888" s="52" t="n"/>
      <c r="B2888" s="53">
        <f>IF(A2888="","",CHOOSE(WEEKDAY(A2888,2),"Пн","Вт","Ср","Чт","Пт","Сб","Вс"))</f>
        <v/>
      </c>
      <c r="C2888" s="53">
        <f>IF(A2888="","",YEAR(A2888))</f>
        <v/>
      </c>
      <c r="D2888" s="54">
        <f>IF(A2888="","",INDEX(lst_months,MONTH(A2888)))</f>
        <v/>
      </c>
      <c r="E2888" s="55" t="n"/>
      <c r="F2888" s="54">
        <f>IF(E2888="","",IFERROR(IF(INDEX(lst_exp_item_cat,MATCH(E2888,lst_exp_items,0))="","❔ Без категории",INDEX(lst_exp_item_cat,MATCH(E2888,lst_exp_items,0))),"❔ Без категории"))</f>
        <v/>
      </c>
      <c r="G2888" s="43" t="n"/>
      <c r="H2888" s="56" t="n"/>
      <c r="I2888" s="43" t="n"/>
      <c r="J2888" s="57">
        <f>IF(OR(A2888="",H2888=""),"",IF(COUNTIFS(exp_year,C2888,exp_month,D2888,exp_item,E2888,exp_status,"&lt;&gt;❌ Отменено")&gt;0,1,0))</f>
        <v/>
      </c>
    </row>
    <row r="2889">
      <c r="A2889" s="52" t="n"/>
      <c r="B2889" s="53">
        <f>IF(A2889="","",CHOOSE(WEEKDAY(A2889,2),"Пн","Вт","Ср","Чт","Пт","Сб","Вс"))</f>
        <v/>
      </c>
      <c r="C2889" s="53">
        <f>IF(A2889="","",YEAR(A2889))</f>
        <v/>
      </c>
      <c r="D2889" s="54">
        <f>IF(A2889="","",INDEX(lst_months,MONTH(A2889)))</f>
        <v/>
      </c>
      <c r="E2889" s="55" t="n"/>
      <c r="F2889" s="54">
        <f>IF(E2889="","",IFERROR(IF(INDEX(lst_exp_item_cat,MATCH(E2889,lst_exp_items,0))="","❔ Без категории",INDEX(lst_exp_item_cat,MATCH(E2889,lst_exp_items,0))),"❔ Без категории"))</f>
        <v/>
      </c>
      <c r="G2889" s="43" t="n"/>
      <c r="H2889" s="56" t="n"/>
      <c r="I2889" s="43" t="n"/>
      <c r="J2889" s="57">
        <f>IF(OR(A2889="",H2889=""),"",IF(COUNTIFS(exp_year,C2889,exp_month,D2889,exp_item,E2889,exp_status,"&lt;&gt;❌ Отменено")&gt;0,1,0))</f>
        <v/>
      </c>
    </row>
    <row r="2890">
      <c r="A2890" s="52" t="n"/>
      <c r="B2890" s="53">
        <f>IF(A2890="","",CHOOSE(WEEKDAY(A2890,2),"Пн","Вт","Ср","Чт","Пт","Сб","Вс"))</f>
        <v/>
      </c>
      <c r="C2890" s="53">
        <f>IF(A2890="","",YEAR(A2890))</f>
        <v/>
      </c>
      <c r="D2890" s="54">
        <f>IF(A2890="","",INDEX(lst_months,MONTH(A2890)))</f>
        <v/>
      </c>
      <c r="E2890" s="55" t="n"/>
      <c r="F2890" s="54">
        <f>IF(E2890="","",IFERROR(IF(INDEX(lst_exp_item_cat,MATCH(E2890,lst_exp_items,0))="","❔ Без категории",INDEX(lst_exp_item_cat,MATCH(E2890,lst_exp_items,0))),"❔ Без категории"))</f>
        <v/>
      </c>
      <c r="G2890" s="43" t="n"/>
      <c r="H2890" s="56" t="n"/>
      <c r="I2890" s="43" t="n"/>
      <c r="J2890" s="57">
        <f>IF(OR(A2890="",H2890=""),"",IF(COUNTIFS(exp_year,C2890,exp_month,D2890,exp_item,E2890,exp_status,"&lt;&gt;❌ Отменено")&gt;0,1,0))</f>
        <v/>
      </c>
    </row>
    <row r="2891">
      <c r="A2891" s="52" t="n"/>
      <c r="B2891" s="53">
        <f>IF(A2891="","",CHOOSE(WEEKDAY(A2891,2),"Пн","Вт","Ср","Чт","Пт","Сб","Вс"))</f>
        <v/>
      </c>
      <c r="C2891" s="53">
        <f>IF(A2891="","",YEAR(A2891))</f>
        <v/>
      </c>
      <c r="D2891" s="54">
        <f>IF(A2891="","",INDEX(lst_months,MONTH(A2891)))</f>
        <v/>
      </c>
      <c r="E2891" s="55" t="n"/>
      <c r="F2891" s="54">
        <f>IF(E2891="","",IFERROR(IF(INDEX(lst_exp_item_cat,MATCH(E2891,lst_exp_items,0))="","❔ Без категории",INDEX(lst_exp_item_cat,MATCH(E2891,lst_exp_items,0))),"❔ Без категории"))</f>
        <v/>
      </c>
      <c r="G2891" s="43" t="n"/>
      <c r="H2891" s="56" t="n"/>
      <c r="I2891" s="43" t="n"/>
      <c r="J2891" s="57">
        <f>IF(OR(A2891="",H2891=""),"",IF(COUNTIFS(exp_year,C2891,exp_month,D2891,exp_item,E2891,exp_status,"&lt;&gt;❌ Отменено")&gt;0,1,0))</f>
        <v/>
      </c>
    </row>
    <row r="2892">
      <c r="A2892" s="52" t="n"/>
      <c r="B2892" s="53">
        <f>IF(A2892="","",CHOOSE(WEEKDAY(A2892,2),"Пн","Вт","Ср","Чт","Пт","Сб","Вс"))</f>
        <v/>
      </c>
      <c r="C2892" s="53">
        <f>IF(A2892="","",YEAR(A2892))</f>
        <v/>
      </c>
      <c r="D2892" s="54">
        <f>IF(A2892="","",INDEX(lst_months,MONTH(A2892)))</f>
        <v/>
      </c>
      <c r="E2892" s="55" t="n"/>
      <c r="F2892" s="54">
        <f>IF(E2892="","",IFERROR(IF(INDEX(lst_exp_item_cat,MATCH(E2892,lst_exp_items,0))="","❔ Без категории",INDEX(lst_exp_item_cat,MATCH(E2892,lst_exp_items,0))),"❔ Без категории"))</f>
        <v/>
      </c>
      <c r="G2892" s="43" t="n"/>
      <c r="H2892" s="56" t="n"/>
      <c r="I2892" s="43" t="n"/>
      <c r="J2892" s="57">
        <f>IF(OR(A2892="",H2892=""),"",IF(COUNTIFS(exp_year,C2892,exp_month,D2892,exp_item,E2892,exp_status,"&lt;&gt;❌ Отменено")&gt;0,1,0))</f>
        <v/>
      </c>
    </row>
    <row r="2893">
      <c r="A2893" s="52" t="n"/>
      <c r="B2893" s="53">
        <f>IF(A2893="","",CHOOSE(WEEKDAY(A2893,2),"Пн","Вт","Ср","Чт","Пт","Сб","Вс"))</f>
        <v/>
      </c>
      <c r="C2893" s="53">
        <f>IF(A2893="","",YEAR(A2893))</f>
        <v/>
      </c>
      <c r="D2893" s="54">
        <f>IF(A2893="","",INDEX(lst_months,MONTH(A2893)))</f>
        <v/>
      </c>
      <c r="E2893" s="55" t="n"/>
      <c r="F2893" s="54">
        <f>IF(E2893="","",IFERROR(IF(INDEX(lst_exp_item_cat,MATCH(E2893,lst_exp_items,0))="","❔ Без категории",INDEX(lst_exp_item_cat,MATCH(E2893,lst_exp_items,0))),"❔ Без категории"))</f>
        <v/>
      </c>
      <c r="G2893" s="43" t="n"/>
      <c r="H2893" s="56" t="n"/>
      <c r="I2893" s="43" t="n"/>
      <c r="J2893" s="57">
        <f>IF(OR(A2893="",H2893=""),"",IF(COUNTIFS(exp_year,C2893,exp_month,D2893,exp_item,E2893,exp_status,"&lt;&gt;❌ Отменено")&gt;0,1,0))</f>
        <v/>
      </c>
    </row>
    <row r="2894">
      <c r="A2894" s="52" t="n"/>
      <c r="B2894" s="53">
        <f>IF(A2894="","",CHOOSE(WEEKDAY(A2894,2),"Пн","Вт","Ср","Чт","Пт","Сб","Вс"))</f>
        <v/>
      </c>
      <c r="C2894" s="53">
        <f>IF(A2894="","",YEAR(A2894))</f>
        <v/>
      </c>
      <c r="D2894" s="54">
        <f>IF(A2894="","",INDEX(lst_months,MONTH(A2894)))</f>
        <v/>
      </c>
      <c r="E2894" s="55" t="n"/>
      <c r="F2894" s="54">
        <f>IF(E2894="","",IFERROR(IF(INDEX(lst_exp_item_cat,MATCH(E2894,lst_exp_items,0))="","❔ Без категории",INDEX(lst_exp_item_cat,MATCH(E2894,lst_exp_items,0))),"❔ Без категории"))</f>
        <v/>
      </c>
      <c r="G2894" s="43" t="n"/>
      <c r="H2894" s="56" t="n"/>
      <c r="I2894" s="43" t="n"/>
      <c r="J2894" s="57">
        <f>IF(OR(A2894="",H2894=""),"",IF(COUNTIFS(exp_year,C2894,exp_month,D2894,exp_item,E2894,exp_status,"&lt;&gt;❌ Отменено")&gt;0,1,0))</f>
        <v/>
      </c>
    </row>
    <row r="2895">
      <c r="A2895" s="52" t="n"/>
      <c r="B2895" s="53">
        <f>IF(A2895="","",CHOOSE(WEEKDAY(A2895,2),"Пн","Вт","Ср","Чт","Пт","Сб","Вс"))</f>
        <v/>
      </c>
      <c r="C2895" s="53">
        <f>IF(A2895="","",YEAR(A2895))</f>
        <v/>
      </c>
      <c r="D2895" s="54">
        <f>IF(A2895="","",INDEX(lst_months,MONTH(A2895)))</f>
        <v/>
      </c>
      <c r="E2895" s="55" t="n"/>
      <c r="F2895" s="54">
        <f>IF(E2895="","",IFERROR(IF(INDEX(lst_exp_item_cat,MATCH(E2895,lst_exp_items,0))="","❔ Без категории",INDEX(lst_exp_item_cat,MATCH(E2895,lst_exp_items,0))),"❔ Без категории"))</f>
        <v/>
      </c>
      <c r="G2895" s="43" t="n"/>
      <c r="H2895" s="56" t="n"/>
      <c r="I2895" s="43" t="n"/>
      <c r="J2895" s="57">
        <f>IF(OR(A2895="",H2895=""),"",IF(COUNTIFS(exp_year,C2895,exp_month,D2895,exp_item,E2895,exp_status,"&lt;&gt;❌ Отменено")&gt;0,1,0))</f>
        <v/>
      </c>
    </row>
    <row r="2896">
      <c r="A2896" s="52" t="n"/>
      <c r="B2896" s="53">
        <f>IF(A2896="","",CHOOSE(WEEKDAY(A2896,2),"Пн","Вт","Ср","Чт","Пт","Сб","Вс"))</f>
        <v/>
      </c>
      <c r="C2896" s="53">
        <f>IF(A2896="","",YEAR(A2896))</f>
        <v/>
      </c>
      <c r="D2896" s="54">
        <f>IF(A2896="","",INDEX(lst_months,MONTH(A2896)))</f>
        <v/>
      </c>
      <c r="E2896" s="55" t="n"/>
      <c r="F2896" s="54">
        <f>IF(E2896="","",IFERROR(IF(INDEX(lst_exp_item_cat,MATCH(E2896,lst_exp_items,0))="","❔ Без категории",INDEX(lst_exp_item_cat,MATCH(E2896,lst_exp_items,0))),"❔ Без категории"))</f>
        <v/>
      </c>
      <c r="G2896" s="43" t="n"/>
      <c r="H2896" s="56" t="n"/>
      <c r="I2896" s="43" t="n"/>
      <c r="J2896" s="57">
        <f>IF(OR(A2896="",H2896=""),"",IF(COUNTIFS(exp_year,C2896,exp_month,D2896,exp_item,E2896,exp_status,"&lt;&gt;❌ Отменено")&gt;0,1,0))</f>
        <v/>
      </c>
    </row>
    <row r="2897">
      <c r="A2897" s="52" t="n"/>
      <c r="B2897" s="53">
        <f>IF(A2897="","",CHOOSE(WEEKDAY(A2897,2),"Пн","Вт","Ср","Чт","Пт","Сб","Вс"))</f>
        <v/>
      </c>
      <c r="C2897" s="53">
        <f>IF(A2897="","",YEAR(A2897))</f>
        <v/>
      </c>
      <c r="D2897" s="54">
        <f>IF(A2897="","",INDEX(lst_months,MONTH(A2897)))</f>
        <v/>
      </c>
      <c r="E2897" s="55" t="n"/>
      <c r="F2897" s="54">
        <f>IF(E2897="","",IFERROR(IF(INDEX(lst_exp_item_cat,MATCH(E2897,lst_exp_items,0))="","❔ Без категории",INDEX(lst_exp_item_cat,MATCH(E2897,lst_exp_items,0))),"❔ Без категории"))</f>
        <v/>
      </c>
      <c r="G2897" s="43" t="n"/>
      <c r="H2897" s="56" t="n"/>
      <c r="I2897" s="43" t="n"/>
      <c r="J2897" s="57">
        <f>IF(OR(A2897="",H2897=""),"",IF(COUNTIFS(exp_year,C2897,exp_month,D2897,exp_item,E2897,exp_status,"&lt;&gt;❌ Отменено")&gt;0,1,0))</f>
        <v/>
      </c>
    </row>
    <row r="2898">
      <c r="A2898" s="52" t="n"/>
      <c r="B2898" s="53">
        <f>IF(A2898="","",CHOOSE(WEEKDAY(A2898,2),"Пн","Вт","Ср","Чт","Пт","Сб","Вс"))</f>
        <v/>
      </c>
      <c r="C2898" s="53">
        <f>IF(A2898="","",YEAR(A2898))</f>
        <v/>
      </c>
      <c r="D2898" s="54">
        <f>IF(A2898="","",INDEX(lst_months,MONTH(A2898)))</f>
        <v/>
      </c>
      <c r="E2898" s="55" t="n"/>
      <c r="F2898" s="54">
        <f>IF(E2898="","",IFERROR(IF(INDEX(lst_exp_item_cat,MATCH(E2898,lst_exp_items,0))="","❔ Без категории",INDEX(lst_exp_item_cat,MATCH(E2898,lst_exp_items,0))),"❔ Без категории"))</f>
        <v/>
      </c>
      <c r="G2898" s="43" t="n"/>
      <c r="H2898" s="56" t="n"/>
      <c r="I2898" s="43" t="n"/>
      <c r="J2898" s="57">
        <f>IF(OR(A2898="",H2898=""),"",IF(COUNTIFS(exp_year,C2898,exp_month,D2898,exp_item,E2898,exp_status,"&lt;&gt;❌ Отменено")&gt;0,1,0))</f>
        <v/>
      </c>
    </row>
    <row r="2899">
      <c r="A2899" s="52" t="n"/>
      <c r="B2899" s="53">
        <f>IF(A2899="","",CHOOSE(WEEKDAY(A2899,2),"Пн","Вт","Ср","Чт","Пт","Сб","Вс"))</f>
        <v/>
      </c>
      <c r="C2899" s="53">
        <f>IF(A2899="","",YEAR(A2899))</f>
        <v/>
      </c>
      <c r="D2899" s="54">
        <f>IF(A2899="","",INDEX(lst_months,MONTH(A2899)))</f>
        <v/>
      </c>
      <c r="E2899" s="55" t="n"/>
      <c r="F2899" s="54">
        <f>IF(E2899="","",IFERROR(IF(INDEX(lst_exp_item_cat,MATCH(E2899,lst_exp_items,0))="","❔ Без категории",INDEX(lst_exp_item_cat,MATCH(E2899,lst_exp_items,0))),"❔ Без категории"))</f>
        <v/>
      </c>
      <c r="G2899" s="43" t="n"/>
      <c r="H2899" s="56" t="n"/>
      <c r="I2899" s="43" t="n"/>
      <c r="J2899" s="57">
        <f>IF(OR(A2899="",H2899=""),"",IF(COUNTIFS(exp_year,C2899,exp_month,D2899,exp_item,E2899,exp_status,"&lt;&gt;❌ Отменено")&gt;0,1,0))</f>
        <v/>
      </c>
    </row>
    <row r="2900">
      <c r="A2900" s="52" t="n"/>
      <c r="B2900" s="53">
        <f>IF(A2900="","",CHOOSE(WEEKDAY(A2900,2),"Пн","Вт","Ср","Чт","Пт","Сб","Вс"))</f>
        <v/>
      </c>
      <c r="C2900" s="53">
        <f>IF(A2900="","",YEAR(A2900))</f>
        <v/>
      </c>
      <c r="D2900" s="54">
        <f>IF(A2900="","",INDEX(lst_months,MONTH(A2900)))</f>
        <v/>
      </c>
      <c r="E2900" s="55" t="n"/>
      <c r="F2900" s="54">
        <f>IF(E2900="","",IFERROR(IF(INDEX(lst_exp_item_cat,MATCH(E2900,lst_exp_items,0))="","❔ Без категории",INDEX(lst_exp_item_cat,MATCH(E2900,lst_exp_items,0))),"❔ Без категории"))</f>
        <v/>
      </c>
      <c r="G2900" s="43" t="n"/>
      <c r="H2900" s="56" t="n"/>
      <c r="I2900" s="43" t="n"/>
      <c r="J2900" s="57">
        <f>IF(OR(A2900="",H2900=""),"",IF(COUNTIFS(exp_year,C2900,exp_month,D2900,exp_item,E2900,exp_status,"&lt;&gt;❌ Отменено")&gt;0,1,0))</f>
        <v/>
      </c>
    </row>
    <row r="2901">
      <c r="A2901" s="52" t="n"/>
      <c r="B2901" s="53">
        <f>IF(A2901="","",CHOOSE(WEEKDAY(A2901,2),"Пн","Вт","Ср","Чт","Пт","Сб","Вс"))</f>
        <v/>
      </c>
      <c r="C2901" s="53">
        <f>IF(A2901="","",YEAR(A2901))</f>
        <v/>
      </c>
      <c r="D2901" s="54">
        <f>IF(A2901="","",INDEX(lst_months,MONTH(A2901)))</f>
        <v/>
      </c>
      <c r="E2901" s="55" t="n"/>
      <c r="F2901" s="54">
        <f>IF(E2901="","",IFERROR(IF(INDEX(lst_exp_item_cat,MATCH(E2901,lst_exp_items,0))="","❔ Без категории",INDEX(lst_exp_item_cat,MATCH(E2901,lst_exp_items,0))),"❔ Без категории"))</f>
        <v/>
      </c>
      <c r="G2901" s="43" t="n"/>
      <c r="H2901" s="56" t="n"/>
      <c r="I2901" s="43" t="n"/>
      <c r="J2901" s="57">
        <f>IF(OR(A2901="",H2901=""),"",IF(COUNTIFS(exp_year,C2901,exp_month,D2901,exp_item,E2901,exp_status,"&lt;&gt;❌ Отменено")&gt;0,1,0))</f>
        <v/>
      </c>
    </row>
    <row r="2902">
      <c r="A2902" s="52" t="n"/>
      <c r="B2902" s="53">
        <f>IF(A2902="","",CHOOSE(WEEKDAY(A2902,2),"Пн","Вт","Ср","Чт","Пт","Сб","Вс"))</f>
        <v/>
      </c>
      <c r="C2902" s="53">
        <f>IF(A2902="","",YEAR(A2902))</f>
        <v/>
      </c>
      <c r="D2902" s="54">
        <f>IF(A2902="","",INDEX(lst_months,MONTH(A2902)))</f>
        <v/>
      </c>
      <c r="E2902" s="55" t="n"/>
      <c r="F2902" s="54">
        <f>IF(E2902="","",IFERROR(IF(INDEX(lst_exp_item_cat,MATCH(E2902,lst_exp_items,0))="","❔ Без категории",INDEX(lst_exp_item_cat,MATCH(E2902,lst_exp_items,0))),"❔ Без категории"))</f>
        <v/>
      </c>
      <c r="G2902" s="43" t="n"/>
      <c r="H2902" s="56" t="n"/>
      <c r="I2902" s="43" t="n"/>
      <c r="J2902" s="57">
        <f>IF(OR(A2902="",H2902=""),"",IF(COUNTIFS(exp_year,C2902,exp_month,D2902,exp_item,E2902,exp_status,"&lt;&gt;❌ Отменено")&gt;0,1,0))</f>
        <v/>
      </c>
    </row>
    <row r="2903">
      <c r="A2903" s="52" t="n"/>
      <c r="B2903" s="53">
        <f>IF(A2903="","",CHOOSE(WEEKDAY(A2903,2),"Пн","Вт","Ср","Чт","Пт","Сб","Вс"))</f>
        <v/>
      </c>
      <c r="C2903" s="53">
        <f>IF(A2903="","",YEAR(A2903))</f>
        <v/>
      </c>
      <c r="D2903" s="54">
        <f>IF(A2903="","",INDEX(lst_months,MONTH(A2903)))</f>
        <v/>
      </c>
      <c r="E2903" s="55" t="n"/>
      <c r="F2903" s="54">
        <f>IF(E2903="","",IFERROR(IF(INDEX(lst_exp_item_cat,MATCH(E2903,lst_exp_items,0))="","❔ Без категории",INDEX(lst_exp_item_cat,MATCH(E2903,lst_exp_items,0))),"❔ Без категории"))</f>
        <v/>
      </c>
      <c r="G2903" s="43" t="n"/>
      <c r="H2903" s="56" t="n"/>
      <c r="I2903" s="43" t="n"/>
      <c r="J2903" s="57">
        <f>IF(OR(A2903="",H2903=""),"",IF(COUNTIFS(exp_year,C2903,exp_month,D2903,exp_item,E2903,exp_status,"&lt;&gt;❌ Отменено")&gt;0,1,0))</f>
        <v/>
      </c>
    </row>
    <row r="2904">
      <c r="A2904" s="52" t="n"/>
      <c r="B2904" s="53">
        <f>IF(A2904="","",CHOOSE(WEEKDAY(A2904,2),"Пн","Вт","Ср","Чт","Пт","Сб","Вс"))</f>
        <v/>
      </c>
      <c r="C2904" s="53">
        <f>IF(A2904="","",YEAR(A2904))</f>
        <v/>
      </c>
      <c r="D2904" s="54">
        <f>IF(A2904="","",INDEX(lst_months,MONTH(A2904)))</f>
        <v/>
      </c>
      <c r="E2904" s="55" t="n"/>
      <c r="F2904" s="54">
        <f>IF(E2904="","",IFERROR(IF(INDEX(lst_exp_item_cat,MATCH(E2904,lst_exp_items,0))="","❔ Без категории",INDEX(lst_exp_item_cat,MATCH(E2904,lst_exp_items,0))),"❔ Без категории"))</f>
        <v/>
      </c>
      <c r="G2904" s="43" t="n"/>
      <c r="H2904" s="56" t="n"/>
      <c r="I2904" s="43" t="n"/>
      <c r="J2904" s="57">
        <f>IF(OR(A2904="",H2904=""),"",IF(COUNTIFS(exp_year,C2904,exp_month,D2904,exp_item,E2904,exp_status,"&lt;&gt;❌ Отменено")&gt;0,1,0))</f>
        <v/>
      </c>
    </row>
    <row r="2905">
      <c r="A2905" s="52" t="n"/>
      <c r="B2905" s="53">
        <f>IF(A2905="","",CHOOSE(WEEKDAY(A2905,2),"Пн","Вт","Ср","Чт","Пт","Сб","Вс"))</f>
        <v/>
      </c>
      <c r="C2905" s="53">
        <f>IF(A2905="","",YEAR(A2905))</f>
        <v/>
      </c>
      <c r="D2905" s="54">
        <f>IF(A2905="","",INDEX(lst_months,MONTH(A2905)))</f>
        <v/>
      </c>
      <c r="E2905" s="55" t="n"/>
      <c r="F2905" s="54">
        <f>IF(E2905="","",IFERROR(IF(INDEX(lst_exp_item_cat,MATCH(E2905,lst_exp_items,0))="","❔ Без категории",INDEX(lst_exp_item_cat,MATCH(E2905,lst_exp_items,0))),"❔ Без категории"))</f>
        <v/>
      </c>
      <c r="G2905" s="43" t="n"/>
      <c r="H2905" s="56" t="n"/>
      <c r="I2905" s="43" t="n"/>
      <c r="J2905" s="57">
        <f>IF(OR(A2905="",H2905=""),"",IF(COUNTIFS(exp_year,C2905,exp_month,D2905,exp_item,E2905,exp_status,"&lt;&gt;❌ Отменено")&gt;0,1,0))</f>
        <v/>
      </c>
    </row>
    <row r="2906">
      <c r="A2906" s="52" t="n"/>
      <c r="B2906" s="53">
        <f>IF(A2906="","",CHOOSE(WEEKDAY(A2906,2),"Пн","Вт","Ср","Чт","Пт","Сб","Вс"))</f>
        <v/>
      </c>
      <c r="C2906" s="53">
        <f>IF(A2906="","",YEAR(A2906))</f>
        <v/>
      </c>
      <c r="D2906" s="54">
        <f>IF(A2906="","",INDEX(lst_months,MONTH(A2906)))</f>
        <v/>
      </c>
      <c r="E2906" s="55" t="n"/>
      <c r="F2906" s="54">
        <f>IF(E2906="","",IFERROR(IF(INDEX(lst_exp_item_cat,MATCH(E2906,lst_exp_items,0))="","❔ Без категории",INDEX(lst_exp_item_cat,MATCH(E2906,lst_exp_items,0))),"❔ Без категории"))</f>
        <v/>
      </c>
      <c r="G2906" s="43" t="n"/>
      <c r="H2906" s="56" t="n"/>
      <c r="I2906" s="43" t="n"/>
      <c r="J2906" s="57">
        <f>IF(OR(A2906="",H2906=""),"",IF(COUNTIFS(exp_year,C2906,exp_month,D2906,exp_item,E2906,exp_status,"&lt;&gt;❌ Отменено")&gt;0,1,0))</f>
        <v/>
      </c>
    </row>
    <row r="2907">
      <c r="A2907" s="52" t="n"/>
      <c r="B2907" s="53">
        <f>IF(A2907="","",CHOOSE(WEEKDAY(A2907,2),"Пн","Вт","Ср","Чт","Пт","Сб","Вс"))</f>
        <v/>
      </c>
      <c r="C2907" s="53">
        <f>IF(A2907="","",YEAR(A2907))</f>
        <v/>
      </c>
      <c r="D2907" s="54">
        <f>IF(A2907="","",INDEX(lst_months,MONTH(A2907)))</f>
        <v/>
      </c>
      <c r="E2907" s="55" t="n"/>
      <c r="F2907" s="54">
        <f>IF(E2907="","",IFERROR(IF(INDEX(lst_exp_item_cat,MATCH(E2907,lst_exp_items,0))="","❔ Без категории",INDEX(lst_exp_item_cat,MATCH(E2907,lst_exp_items,0))),"❔ Без категории"))</f>
        <v/>
      </c>
      <c r="G2907" s="43" t="n"/>
      <c r="H2907" s="56" t="n"/>
      <c r="I2907" s="43" t="n"/>
      <c r="J2907" s="57">
        <f>IF(OR(A2907="",H2907=""),"",IF(COUNTIFS(exp_year,C2907,exp_month,D2907,exp_item,E2907,exp_status,"&lt;&gt;❌ Отменено")&gt;0,1,0))</f>
        <v/>
      </c>
    </row>
    <row r="2908">
      <c r="A2908" s="52" t="n"/>
      <c r="B2908" s="53">
        <f>IF(A2908="","",CHOOSE(WEEKDAY(A2908,2),"Пн","Вт","Ср","Чт","Пт","Сб","Вс"))</f>
        <v/>
      </c>
      <c r="C2908" s="53">
        <f>IF(A2908="","",YEAR(A2908))</f>
        <v/>
      </c>
      <c r="D2908" s="54">
        <f>IF(A2908="","",INDEX(lst_months,MONTH(A2908)))</f>
        <v/>
      </c>
      <c r="E2908" s="55" t="n"/>
      <c r="F2908" s="54">
        <f>IF(E2908="","",IFERROR(IF(INDEX(lst_exp_item_cat,MATCH(E2908,lst_exp_items,0))="","❔ Без категории",INDEX(lst_exp_item_cat,MATCH(E2908,lst_exp_items,0))),"❔ Без категории"))</f>
        <v/>
      </c>
      <c r="G2908" s="43" t="n"/>
      <c r="H2908" s="56" t="n"/>
      <c r="I2908" s="43" t="n"/>
      <c r="J2908" s="57">
        <f>IF(OR(A2908="",H2908=""),"",IF(COUNTIFS(exp_year,C2908,exp_month,D2908,exp_item,E2908,exp_status,"&lt;&gt;❌ Отменено")&gt;0,1,0))</f>
        <v/>
      </c>
    </row>
    <row r="2909">
      <c r="A2909" s="52" t="n"/>
      <c r="B2909" s="53">
        <f>IF(A2909="","",CHOOSE(WEEKDAY(A2909,2),"Пн","Вт","Ср","Чт","Пт","Сб","Вс"))</f>
        <v/>
      </c>
      <c r="C2909" s="53">
        <f>IF(A2909="","",YEAR(A2909))</f>
        <v/>
      </c>
      <c r="D2909" s="54">
        <f>IF(A2909="","",INDEX(lst_months,MONTH(A2909)))</f>
        <v/>
      </c>
      <c r="E2909" s="55" t="n"/>
      <c r="F2909" s="54">
        <f>IF(E2909="","",IFERROR(IF(INDEX(lst_exp_item_cat,MATCH(E2909,lst_exp_items,0))="","❔ Без категории",INDEX(lst_exp_item_cat,MATCH(E2909,lst_exp_items,0))),"❔ Без категории"))</f>
        <v/>
      </c>
      <c r="G2909" s="43" t="n"/>
      <c r="H2909" s="56" t="n"/>
      <c r="I2909" s="43" t="n"/>
      <c r="J2909" s="57">
        <f>IF(OR(A2909="",H2909=""),"",IF(COUNTIFS(exp_year,C2909,exp_month,D2909,exp_item,E2909,exp_status,"&lt;&gt;❌ Отменено")&gt;0,1,0))</f>
        <v/>
      </c>
    </row>
    <row r="2910">
      <c r="A2910" s="52" t="n"/>
      <c r="B2910" s="53">
        <f>IF(A2910="","",CHOOSE(WEEKDAY(A2910,2),"Пн","Вт","Ср","Чт","Пт","Сб","Вс"))</f>
        <v/>
      </c>
      <c r="C2910" s="53">
        <f>IF(A2910="","",YEAR(A2910))</f>
        <v/>
      </c>
      <c r="D2910" s="54">
        <f>IF(A2910="","",INDEX(lst_months,MONTH(A2910)))</f>
        <v/>
      </c>
      <c r="E2910" s="55" t="n"/>
      <c r="F2910" s="54">
        <f>IF(E2910="","",IFERROR(IF(INDEX(lst_exp_item_cat,MATCH(E2910,lst_exp_items,0))="","❔ Без категории",INDEX(lst_exp_item_cat,MATCH(E2910,lst_exp_items,0))),"❔ Без категории"))</f>
        <v/>
      </c>
      <c r="G2910" s="43" t="n"/>
      <c r="H2910" s="56" t="n"/>
      <c r="I2910" s="43" t="n"/>
      <c r="J2910" s="57">
        <f>IF(OR(A2910="",H2910=""),"",IF(COUNTIFS(exp_year,C2910,exp_month,D2910,exp_item,E2910,exp_status,"&lt;&gt;❌ Отменено")&gt;0,1,0))</f>
        <v/>
      </c>
    </row>
    <row r="2911">
      <c r="A2911" s="52" t="n"/>
      <c r="B2911" s="53">
        <f>IF(A2911="","",CHOOSE(WEEKDAY(A2911,2),"Пн","Вт","Ср","Чт","Пт","Сб","Вс"))</f>
        <v/>
      </c>
      <c r="C2911" s="53">
        <f>IF(A2911="","",YEAR(A2911))</f>
        <v/>
      </c>
      <c r="D2911" s="54">
        <f>IF(A2911="","",INDEX(lst_months,MONTH(A2911)))</f>
        <v/>
      </c>
      <c r="E2911" s="55" t="n"/>
      <c r="F2911" s="54">
        <f>IF(E2911="","",IFERROR(IF(INDEX(lst_exp_item_cat,MATCH(E2911,lst_exp_items,0))="","❔ Без категории",INDEX(lst_exp_item_cat,MATCH(E2911,lst_exp_items,0))),"❔ Без категории"))</f>
        <v/>
      </c>
      <c r="G2911" s="43" t="n"/>
      <c r="H2911" s="56" t="n"/>
      <c r="I2911" s="43" t="n"/>
      <c r="J2911" s="57">
        <f>IF(OR(A2911="",H2911=""),"",IF(COUNTIFS(exp_year,C2911,exp_month,D2911,exp_item,E2911,exp_status,"&lt;&gt;❌ Отменено")&gt;0,1,0))</f>
        <v/>
      </c>
    </row>
    <row r="2912">
      <c r="A2912" s="52" t="n"/>
      <c r="B2912" s="53">
        <f>IF(A2912="","",CHOOSE(WEEKDAY(A2912,2),"Пн","Вт","Ср","Чт","Пт","Сб","Вс"))</f>
        <v/>
      </c>
      <c r="C2912" s="53">
        <f>IF(A2912="","",YEAR(A2912))</f>
        <v/>
      </c>
      <c r="D2912" s="54">
        <f>IF(A2912="","",INDEX(lst_months,MONTH(A2912)))</f>
        <v/>
      </c>
      <c r="E2912" s="55" t="n"/>
      <c r="F2912" s="54">
        <f>IF(E2912="","",IFERROR(IF(INDEX(lst_exp_item_cat,MATCH(E2912,lst_exp_items,0))="","❔ Без категории",INDEX(lst_exp_item_cat,MATCH(E2912,lst_exp_items,0))),"❔ Без категории"))</f>
        <v/>
      </c>
      <c r="G2912" s="43" t="n"/>
      <c r="H2912" s="56" t="n"/>
      <c r="I2912" s="43" t="n"/>
      <c r="J2912" s="57">
        <f>IF(OR(A2912="",H2912=""),"",IF(COUNTIFS(exp_year,C2912,exp_month,D2912,exp_item,E2912,exp_status,"&lt;&gt;❌ Отменено")&gt;0,1,0))</f>
        <v/>
      </c>
    </row>
    <row r="2913">
      <c r="A2913" s="52" t="n"/>
      <c r="B2913" s="53">
        <f>IF(A2913="","",CHOOSE(WEEKDAY(A2913,2),"Пн","Вт","Ср","Чт","Пт","Сб","Вс"))</f>
        <v/>
      </c>
      <c r="C2913" s="53">
        <f>IF(A2913="","",YEAR(A2913))</f>
        <v/>
      </c>
      <c r="D2913" s="54">
        <f>IF(A2913="","",INDEX(lst_months,MONTH(A2913)))</f>
        <v/>
      </c>
      <c r="E2913" s="55" t="n"/>
      <c r="F2913" s="54">
        <f>IF(E2913="","",IFERROR(IF(INDEX(lst_exp_item_cat,MATCH(E2913,lst_exp_items,0))="","❔ Без категории",INDEX(lst_exp_item_cat,MATCH(E2913,lst_exp_items,0))),"❔ Без категории"))</f>
        <v/>
      </c>
      <c r="G2913" s="43" t="n"/>
      <c r="H2913" s="56" t="n"/>
      <c r="I2913" s="43" t="n"/>
      <c r="J2913" s="57">
        <f>IF(OR(A2913="",H2913=""),"",IF(COUNTIFS(exp_year,C2913,exp_month,D2913,exp_item,E2913,exp_status,"&lt;&gt;❌ Отменено")&gt;0,1,0))</f>
        <v/>
      </c>
    </row>
    <row r="2914">
      <c r="A2914" s="52" t="n"/>
      <c r="B2914" s="53">
        <f>IF(A2914="","",CHOOSE(WEEKDAY(A2914,2),"Пн","Вт","Ср","Чт","Пт","Сб","Вс"))</f>
        <v/>
      </c>
      <c r="C2914" s="53">
        <f>IF(A2914="","",YEAR(A2914))</f>
        <v/>
      </c>
      <c r="D2914" s="54">
        <f>IF(A2914="","",INDEX(lst_months,MONTH(A2914)))</f>
        <v/>
      </c>
      <c r="E2914" s="55" t="n"/>
      <c r="F2914" s="54">
        <f>IF(E2914="","",IFERROR(IF(INDEX(lst_exp_item_cat,MATCH(E2914,lst_exp_items,0))="","❔ Без категории",INDEX(lst_exp_item_cat,MATCH(E2914,lst_exp_items,0))),"❔ Без категории"))</f>
        <v/>
      </c>
      <c r="G2914" s="43" t="n"/>
      <c r="H2914" s="56" t="n"/>
      <c r="I2914" s="43" t="n"/>
      <c r="J2914" s="57">
        <f>IF(OR(A2914="",H2914=""),"",IF(COUNTIFS(exp_year,C2914,exp_month,D2914,exp_item,E2914,exp_status,"&lt;&gt;❌ Отменено")&gt;0,1,0))</f>
        <v/>
      </c>
    </row>
    <row r="2915">
      <c r="A2915" s="52" t="n"/>
      <c r="B2915" s="53">
        <f>IF(A2915="","",CHOOSE(WEEKDAY(A2915,2),"Пн","Вт","Ср","Чт","Пт","Сб","Вс"))</f>
        <v/>
      </c>
      <c r="C2915" s="53">
        <f>IF(A2915="","",YEAR(A2915))</f>
        <v/>
      </c>
      <c r="D2915" s="54">
        <f>IF(A2915="","",INDEX(lst_months,MONTH(A2915)))</f>
        <v/>
      </c>
      <c r="E2915" s="55" t="n"/>
      <c r="F2915" s="54">
        <f>IF(E2915="","",IFERROR(IF(INDEX(lst_exp_item_cat,MATCH(E2915,lst_exp_items,0))="","❔ Без категории",INDEX(lst_exp_item_cat,MATCH(E2915,lst_exp_items,0))),"❔ Без категории"))</f>
        <v/>
      </c>
      <c r="G2915" s="43" t="n"/>
      <c r="H2915" s="56" t="n"/>
      <c r="I2915" s="43" t="n"/>
      <c r="J2915" s="57">
        <f>IF(OR(A2915="",H2915=""),"",IF(COUNTIFS(exp_year,C2915,exp_month,D2915,exp_item,E2915,exp_status,"&lt;&gt;❌ Отменено")&gt;0,1,0))</f>
        <v/>
      </c>
    </row>
    <row r="2916">
      <c r="A2916" s="52" t="n"/>
      <c r="B2916" s="53">
        <f>IF(A2916="","",CHOOSE(WEEKDAY(A2916,2),"Пн","Вт","Ср","Чт","Пт","Сб","Вс"))</f>
        <v/>
      </c>
      <c r="C2916" s="53">
        <f>IF(A2916="","",YEAR(A2916))</f>
        <v/>
      </c>
      <c r="D2916" s="54">
        <f>IF(A2916="","",INDEX(lst_months,MONTH(A2916)))</f>
        <v/>
      </c>
      <c r="E2916" s="55" t="n"/>
      <c r="F2916" s="54">
        <f>IF(E2916="","",IFERROR(IF(INDEX(lst_exp_item_cat,MATCH(E2916,lst_exp_items,0))="","❔ Без категории",INDEX(lst_exp_item_cat,MATCH(E2916,lst_exp_items,0))),"❔ Без категории"))</f>
        <v/>
      </c>
      <c r="G2916" s="43" t="n"/>
      <c r="H2916" s="56" t="n"/>
      <c r="I2916" s="43" t="n"/>
      <c r="J2916" s="57">
        <f>IF(OR(A2916="",H2916=""),"",IF(COUNTIFS(exp_year,C2916,exp_month,D2916,exp_item,E2916,exp_status,"&lt;&gt;❌ Отменено")&gt;0,1,0))</f>
        <v/>
      </c>
    </row>
    <row r="2917">
      <c r="A2917" s="52" t="n"/>
      <c r="B2917" s="53">
        <f>IF(A2917="","",CHOOSE(WEEKDAY(A2917,2),"Пн","Вт","Ср","Чт","Пт","Сб","Вс"))</f>
        <v/>
      </c>
      <c r="C2917" s="53">
        <f>IF(A2917="","",YEAR(A2917))</f>
        <v/>
      </c>
      <c r="D2917" s="54">
        <f>IF(A2917="","",INDEX(lst_months,MONTH(A2917)))</f>
        <v/>
      </c>
      <c r="E2917" s="55" t="n"/>
      <c r="F2917" s="54">
        <f>IF(E2917="","",IFERROR(IF(INDEX(lst_exp_item_cat,MATCH(E2917,lst_exp_items,0))="","❔ Без категории",INDEX(lst_exp_item_cat,MATCH(E2917,lst_exp_items,0))),"❔ Без категории"))</f>
        <v/>
      </c>
      <c r="G2917" s="43" t="n"/>
      <c r="H2917" s="56" t="n"/>
      <c r="I2917" s="43" t="n"/>
      <c r="J2917" s="57">
        <f>IF(OR(A2917="",H2917=""),"",IF(COUNTIFS(exp_year,C2917,exp_month,D2917,exp_item,E2917,exp_status,"&lt;&gt;❌ Отменено")&gt;0,1,0))</f>
        <v/>
      </c>
    </row>
    <row r="2918">
      <c r="A2918" s="52" t="n"/>
      <c r="B2918" s="53">
        <f>IF(A2918="","",CHOOSE(WEEKDAY(A2918,2),"Пн","Вт","Ср","Чт","Пт","Сб","Вс"))</f>
        <v/>
      </c>
      <c r="C2918" s="53">
        <f>IF(A2918="","",YEAR(A2918))</f>
        <v/>
      </c>
      <c r="D2918" s="54">
        <f>IF(A2918="","",INDEX(lst_months,MONTH(A2918)))</f>
        <v/>
      </c>
      <c r="E2918" s="55" t="n"/>
      <c r="F2918" s="54">
        <f>IF(E2918="","",IFERROR(IF(INDEX(lst_exp_item_cat,MATCH(E2918,lst_exp_items,0))="","❔ Без категории",INDEX(lst_exp_item_cat,MATCH(E2918,lst_exp_items,0))),"❔ Без категории"))</f>
        <v/>
      </c>
      <c r="G2918" s="43" t="n"/>
      <c r="H2918" s="56" t="n"/>
      <c r="I2918" s="43" t="n"/>
      <c r="J2918" s="57">
        <f>IF(OR(A2918="",H2918=""),"",IF(COUNTIFS(exp_year,C2918,exp_month,D2918,exp_item,E2918,exp_status,"&lt;&gt;❌ Отменено")&gt;0,1,0))</f>
        <v/>
      </c>
    </row>
    <row r="2919">
      <c r="A2919" s="52" t="n"/>
      <c r="B2919" s="53">
        <f>IF(A2919="","",CHOOSE(WEEKDAY(A2919,2),"Пн","Вт","Ср","Чт","Пт","Сб","Вс"))</f>
        <v/>
      </c>
      <c r="C2919" s="53">
        <f>IF(A2919="","",YEAR(A2919))</f>
        <v/>
      </c>
      <c r="D2919" s="54">
        <f>IF(A2919="","",INDEX(lst_months,MONTH(A2919)))</f>
        <v/>
      </c>
      <c r="E2919" s="55" t="n"/>
      <c r="F2919" s="54">
        <f>IF(E2919="","",IFERROR(IF(INDEX(lst_exp_item_cat,MATCH(E2919,lst_exp_items,0))="","❔ Без категории",INDEX(lst_exp_item_cat,MATCH(E2919,lst_exp_items,0))),"❔ Без категории"))</f>
        <v/>
      </c>
      <c r="G2919" s="43" t="n"/>
      <c r="H2919" s="56" t="n"/>
      <c r="I2919" s="43" t="n"/>
      <c r="J2919" s="57">
        <f>IF(OR(A2919="",H2919=""),"",IF(COUNTIFS(exp_year,C2919,exp_month,D2919,exp_item,E2919,exp_status,"&lt;&gt;❌ Отменено")&gt;0,1,0))</f>
        <v/>
      </c>
    </row>
    <row r="2920">
      <c r="A2920" s="52" t="n"/>
      <c r="B2920" s="53">
        <f>IF(A2920="","",CHOOSE(WEEKDAY(A2920,2),"Пн","Вт","Ср","Чт","Пт","Сб","Вс"))</f>
        <v/>
      </c>
      <c r="C2920" s="53">
        <f>IF(A2920="","",YEAR(A2920))</f>
        <v/>
      </c>
      <c r="D2920" s="54">
        <f>IF(A2920="","",INDEX(lst_months,MONTH(A2920)))</f>
        <v/>
      </c>
      <c r="E2920" s="55" t="n"/>
      <c r="F2920" s="54">
        <f>IF(E2920="","",IFERROR(IF(INDEX(lst_exp_item_cat,MATCH(E2920,lst_exp_items,0))="","❔ Без категории",INDEX(lst_exp_item_cat,MATCH(E2920,lst_exp_items,0))),"❔ Без категории"))</f>
        <v/>
      </c>
      <c r="G2920" s="43" t="n"/>
      <c r="H2920" s="56" t="n"/>
      <c r="I2920" s="43" t="n"/>
      <c r="J2920" s="57">
        <f>IF(OR(A2920="",H2920=""),"",IF(COUNTIFS(exp_year,C2920,exp_month,D2920,exp_item,E2920,exp_status,"&lt;&gt;❌ Отменено")&gt;0,1,0))</f>
        <v/>
      </c>
    </row>
    <row r="2921">
      <c r="A2921" s="52" t="n"/>
      <c r="B2921" s="53">
        <f>IF(A2921="","",CHOOSE(WEEKDAY(A2921,2),"Пн","Вт","Ср","Чт","Пт","Сб","Вс"))</f>
        <v/>
      </c>
      <c r="C2921" s="53">
        <f>IF(A2921="","",YEAR(A2921))</f>
        <v/>
      </c>
      <c r="D2921" s="54">
        <f>IF(A2921="","",INDEX(lst_months,MONTH(A2921)))</f>
        <v/>
      </c>
      <c r="E2921" s="55" t="n"/>
      <c r="F2921" s="54">
        <f>IF(E2921="","",IFERROR(IF(INDEX(lst_exp_item_cat,MATCH(E2921,lst_exp_items,0))="","❔ Без категории",INDEX(lst_exp_item_cat,MATCH(E2921,lst_exp_items,0))),"❔ Без категории"))</f>
        <v/>
      </c>
      <c r="G2921" s="43" t="n"/>
      <c r="H2921" s="56" t="n"/>
      <c r="I2921" s="43" t="n"/>
      <c r="J2921" s="57">
        <f>IF(OR(A2921="",H2921=""),"",IF(COUNTIFS(exp_year,C2921,exp_month,D2921,exp_item,E2921,exp_status,"&lt;&gt;❌ Отменено")&gt;0,1,0))</f>
        <v/>
      </c>
    </row>
    <row r="2922">
      <c r="A2922" s="52" t="n"/>
      <c r="B2922" s="53">
        <f>IF(A2922="","",CHOOSE(WEEKDAY(A2922,2),"Пн","Вт","Ср","Чт","Пт","Сб","Вс"))</f>
        <v/>
      </c>
      <c r="C2922" s="53">
        <f>IF(A2922="","",YEAR(A2922))</f>
        <v/>
      </c>
      <c r="D2922" s="54">
        <f>IF(A2922="","",INDEX(lst_months,MONTH(A2922)))</f>
        <v/>
      </c>
      <c r="E2922" s="55" t="n"/>
      <c r="F2922" s="54">
        <f>IF(E2922="","",IFERROR(IF(INDEX(lst_exp_item_cat,MATCH(E2922,lst_exp_items,0))="","❔ Без категории",INDEX(lst_exp_item_cat,MATCH(E2922,lst_exp_items,0))),"❔ Без категории"))</f>
        <v/>
      </c>
      <c r="G2922" s="43" t="n"/>
      <c r="H2922" s="56" t="n"/>
      <c r="I2922" s="43" t="n"/>
      <c r="J2922" s="57">
        <f>IF(OR(A2922="",H2922=""),"",IF(COUNTIFS(exp_year,C2922,exp_month,D2922,exp_item,E2922,exp_status,"&lt;&gt;❌ Отменено")&gt;0,1,0))</f>
        <v/>
      </c>
    </row>
    <row r="2923">
      <c r="A2923" s="52" t="n"/>
      <c r="B2923" s="53">
        <f>IF(A2923="","",CHOOSE(WEEKDAY(A2923,2),"Пн","Вт","Ср","Чт","Пт","Сб","Вс"))</f>
        <v/>
      </c>
      <c r="C2923" s="53">
        <f>IF(A2923="","",YEAR(A2923))</f>
        <v/>
      </c>
      <c r="D2923" s="54">
        <f>IF(A2923="","",INDEX(lst_months,MONTH(A2923)))</f>
        <v/>
      </c>
      <c r="E2923" s="55" t="n"/>
      <c r="F2923" s="54">
        <f>IF(E2923="","",IFERROR(IF(INDEX(lst_exp_item_cat,MATCH(E2923,lst_exp_items,0))="","❔ Без категории",INDEX(lst_exp_item_cat,MATCH(E2923,lst_exp_items,0))),"❔ Без категории"))</f>
        <v/>
      </c>
      <c r="G2923" s="43" t="n"/>
      <c r="H2923" s="56" t="n"/>
      <c r="I2923" s="43" t="n"/>
      <c r="J2923" s="57">
        <f>IF(OR(A2923="",H2923=""),"",IF(COUNTIFS(exp_year,C2923,exp_month,D2923,exp_item,E2923,exp_status,"&lt;&gt;❌ Отменено")&gt;0,1,0))</f>
        <v/>
      </c>
    </row>
    <row r="2924">
      <c r="A2924" s="52" t="n"/>
      <c r="B2924" s="53">
        <f>IF(A2924="","",CHOOSE(WEEKDAY(A2924,2),"Пн","Вт","Ср","Чт","Пт","Сб","Вс"))</f>
        <v/>
      </c>
      <c r="C2924" s="53">
        <f>IF(A2924="","",YEAR(A2924))</f>
        <v/>
      </c>
      <c r="D2924" s="54">
        <f>IF(A2924="","",INDEX(lst_months,MONTH(A2924)))</f>
        <v/>
      </c>
      <c r="E2924" s="55" t="n"/>
      <c r="F2924" s="54">
        <f>IF(E2924="","",IFERROR(IF(INDEX(lst_exp_item_cat,MATCH(E2924,lst_exp_items,0))="","❔ Без категории",INDEX(lst_exp_item_cat,MATCH(E2924,lst_exp_items,0))),"❔ Без категории"))</f>
        <v/>
      </c>
      <c r="G2924" s="43" t="n"/>
      <c r="H2924" s="56" t="n"/>
      <c r="I2924" s="43" t="n"/>
      <c r="J2924" s="57">
        <f>IF(OR(A2924="",H2924=""),"",IF(COUNTIFS(exp_year,C2924,exp_month,D2924,exp_item,E2924,exp_status,"&lt;&gt;❌ Отменено")&gt;0,1,0))</f>
        <v/>
      </c>
    </row>
    <row r="2925">
      <c r="A2925" s="52" t="n"/>
      <c r="B2925" s="53">
        <f>IF(A2925="","",CHOOSE(WEEKDAY(A2925,2),"Пн","Вт","Ср","Чт","Пт","Сб","Вс"))</f>
        <v/>
      </c>
      <c r="C2925" s="53">
        <f>IF(A2925="","",YEAR(A2925))</f>
        <v/>
      </c>
      <c r="D2925" s="54">
        <f>IF(A2925="","",INDEX(lst_months,MONTH(A2925)))</f>
        <v/>
      </c>
      <c r="E2925" s="55" t="n"/>
      <c r="F2925" s="54">
        <f>IF(E2925="","",IFERROR(IF(INDEX(lst_exp_item_cat,MATCH(E2925,lst_exp_items,0))="","❔ Без категории",INDEX(lst_exp_item_cat,MATCH(E2925,lst_exp_items,0))),"❔ Без категории"))</f>
        <v/>
      </c>
      <c r="G2925" s="43" t="n"/>
      <c r="H2925" s="56" t="n"/>
      <c r="I2925" s="43" t="n"/>
      <c r="J2925" s="57">
        <f>IF(OR(A2925="",H2925=""),"",IF(COUNTIFS(exp_year,C2925,exp_month,D2925,exp_item,E2925,exp_status,"&lt;&gt;❌ Отменено")&gt;0,1,0))</f>
        <v/>
      </c>
    </row>
    <row r="2926">
      <c r="A2926" s="52" t="n"/>
      <c r="B2926" s="53">
        <f>IF(A2926="","",CHOOSE(WEEKDAY(A2926,2),"Пн","Вт","Ср","Чт","Пт","Сб","Вс"))</f>
        <v/>
      </c>
      <c r="C2926" s="53">
        <f>IF(A2926="","",YEAR(A2926))</f>
        <v/>
      </c>
      <c r="D2926" s="54">
        <f>IF(A2926="","",INDEX(lst_months,MONTH(A2926)))</f>
        <v/>
      </c>
      <c r="E2926" s="55" t="n"/>
      <c r="F2926" s="54">
        <f>IF(E2926="","",IFERROR(IF(INDEX(lst_exp_item_cat,MATCH(E2926,lst_exp_items,0))="","❔ Без категории",INDEX(lst_exp_item_cat,MATCH(E2926,lst_exp_items,0))),"❔ Без категории"))</f>
        <v/>
      </c>
      <c r="G2926" s="43" t="n"/>
      <c r="H2926" s="56" t="n"/>
      <c r="I2926" s="43" t="n"/>
      <c r="J2926" s="57">
        <f>IF(OR(A2926="",H2926=""),"",IF(COUNTIFS(exp_year,C2926,exp_month,D2926,exp_item,E2926,exp_status,"&lt;&gt;❌ Отменено")&gt;0,1,0))</f>
        <v/>
      </c>
    </row>
    <row r="2927">
      <c r="A2927" s="52" t="n"/>
      <c r="B2927" s="53">
        <f>IF(A2927="","",CHOOSE(WEEKDAY(A2927,2),"Пн","Вт","Ср","Чт","Пт","Сб","Вс"))</f>
        <v/>
      </c>
      <c r="C2927" s="53">
        <f>IF(A2927="","",YEAR(A2927))</f>
        <v/>
      </c>
      <c r="D2927" s="54">
        <f>IF(A2927="","",INDEX(lst_months,MONTH(A2927)))</f>
        <v/>
      </c>
      <c r="E2927" s="55" t="n"/>
      <c r="F2927" s="54">
        <f>IF(E2927="","",IFERROR(IF(INDEX(lst_exp_item_cat,MATCH(E2927,lst_exp_items,0))="","❔ Без категории",INDEX(lst_exp_item_cat,MATCH(E2927,lst_exp_items,0))),"❔ Без категории"))</f>
        <v/>
      </c>
      <c r="G2927" s="43" t="n"/>
      <c r="H2927" s="56" t="n"/>
      <c r="I2927" s="43" t="n"/>
      <c r="J2927" s="57">
        <f>IF(OR(A2927="",H2927=""),"",IF(COUNTIFS(exp_year,C2927,exp_month,D2927,exp_item,E2927,exp_status,"&lt;&gt;❌ Отменено")&gt;0,1,0))</f>
        <v/>
      </c>
    </row>
    <row r="2928">
      <c r="A2928" s="52" t="n"/>
      <c r="B2928" s="53">
        <f>IF(A2928="","",CHOOSE(WEEKDAY(A2928,2),"Пн","Вт","Ср","Чт","Пт","Сб","Вс"))</f>
        <v/>
      </c>
      <c r="C2928" s="53">
        <f>IF(A2928="","",YEAR(A2928))</f>
        <v/>
      </c>
      <c r="D2928" s="54">
        <f>IF(A2928="","",INDEX(lst_months,MONTH(A2928)))</f>
        <v/>
      </c>
      <c r="E2928" s="55" t="n"/>
      <c r="F2928" s="54">
        <f>IF(E2928="","",IFERROR(IF(INDEX(lst_exp_item_cat,MATCH(E2928,lst_exp_items,0))="","❔ Без категории",INDEX(lst_exp_item_cat,MATCH(E2928,lst_exp_items,0))),"❔ Без категории"))</f>
        <v/>
      </c>
      <c r="G2928" s="43" t="n"/>
      <c r="H2928" s="56" t="n"/>
      <c r="I2928" s="43" t="n"/>
      <c r="J2928" s="57">
        <f>IF(OR(A2928="",H2928=""),"",IF(COUNTIFS(exp_year,C2928,exp_month,D2928,exp_item,E2928,exp_status,"&lt;&gt;❌ Отменено")&gt;0,1,0))</f>
        <v/>
      </c>
    </row>
    <row r="2929">
      <c r="A2929" s="52" t="n"/>
      <c r="B2929" s="53">
        <f>IF(A2929="","",CHOOSE(WEEKDAY(A2929,2),"Пн","Вт","Ср","Чт","Пт","Сб","Вс"))</f>
        <v/>
      </c>
      <c r="C2929" s="53">
        <f>IF(A2929="","",YEAR(A2929))</f>
        <v/>
      </c>
      <c r="D2929" s="54">
        <f>IF(A2929="","",INDEX(lst_months,MONTH(A2929)))</f>
        <v/>
      </c>
      <c r="E2929" s="55" t="n"/>
      <c r="F2929" s="54">
        <f>IF(E2929="","",IFERROR(IF(INDEX(lst_exp_item_cat,MATCH(E2929,lst_exp_items,0))="","❔ Без категории",INDEX(lst_exp_item_cat,MATCH(E2929,lst_exp_items,0))),"❔ Без категории"))</f>
        <v/>
      </c>
      <c r="G2929" s="43" t="n"/>
      <c r="H2929" s="56" t="n"/>
      <c r="I2929" s="43" t="n"/>
      <c r="J2929" s="57">
        <f>IF(OR(A2929="",H2929=""),"",IF(COUNTIFS(exp_year,C2929,exp_month,D2929,exp_item,E2929,exp_status,"&lt;&gt;❌ Отменено")&gt;0,1,0))</f>
        <v/>
      </c>
    </row>
    <row r="2930">
      <c r="A2930" s="52" t="n"/>
      <c r="B2930" s="53">
        <f>IF(A2930="","",CHOOSE(WEEKDAY(A2930,2),"Пн","Вт","Ср","Чт","Пт","Сб","Вс"))</f>
        <v/>
      </c>
      <c r="C2930" s="53">
        <f>IF(A2930="","",YEAR(A2930))</f>
        <v/>
      </c>
      <c r="D2930" s="54">
        <f>IF(A2930="","",INDEX(lst_months,MONTH(A2930)))</f>
        <v/>
      </c>
      <c r="E2930" s="55" t="n"/>
      <c r="F2930" s="54">
        <f>IF(E2930="","",IFERROR(IF(INDEX(lst_exp_item_cat,MATCH(E2930,lst_exp_items,0))="","❔ Без категории",INDEX(lst_exp_item_cat,MATCH(E2930,lst_exp_items,0))),"❔ Без категории"))</f>
        <v/>
      </c>
      <c r="G2930" s="43" t="n"/>
      <c r="H2930" s="56" t="n"/>
      <c r="I2930" s="43" t="n"/>
      <c r="J2930" s="57">
        <f>IF(OR(A2930="",H2930=""),"",IF(COUNTIFS(exp_year,C2930,exp_month,D2930,exp_item,E2930,exp_status,"&lt;&gt;❌ Отменено")&gt;0,1,0))</f>
        <v/>
      </c>
    </row>
    <row r="2931">
      <c r="A2931" s="52" t="n"/>
      <c r="B2931" s="53">
        <f>IF(A2931="","",CHOOSE(WEEKDAY(A2931,2),"Пн","Вт","Ср","Чт","Пт","Сб","Вс"))</f>
        <v/>
      </c>
      <c r="C2931" s="53">
        <f>IF(A2931="","",YEAR(A2931))</f>
        <v/>
      </c>
      <c r="D2931" s="54">
        <f>IF(A2931="","",INDEX(lst_months,MONTH(A2931)))</f>
        <v/>
      </c>
      <c r="E2931" s="55" t="n"/>
      <c r="F2931" s="54">
        <f>IF(E2931="","",IFERROR(IF(INDEX(lst_exp_item_cat,MATCH(E2931,lst_exp_items,0))="","❔ Без категории",INDEX(lst_exp_item_cat,MATCH(E2931,lst_exp_items,0))),"❔ Без категории"))</f>
        <v/>
      </c>
      <c r="G2931" s="43" t="n"/>
      <c r="H2931" s="56" t="n"/>
      <c r="I2931" s="43" t="n"/>
      <c r="J2931" s="57">
        <f>IF(OR(A2931="",H2931=""),"",IF(COUNTIFS(exp_year,C2931,exp_month,D2931,exp_item,E2931,exp_status,"&lt;&gt;❌ Отменено")&gt;0,1,0))</f>
        <v/>
      </c>
    </row>
    <row r="2932">
      <c r="A2932" s="52" t="n"/>
      <c r="B2932" s="53">
        <f>IF(A2932="","",CHOOSE(WEEKDAY(A2932,2),"Пн","Вт","Ср","Чт","Пт","Сб","Вс"))</f>
        <v/>
      </c>
      <c r="C2932" s="53">
        <f>IF(A2932="","",YEAR(A2932))</f>
        <v/>
      </c>
      <c r="D2932" s="54">
        <f>IF(A2932="","",INDEX(lst_months,MONTH(A2932)))</f>
        <v/>
      </c>
      <c r="E2932" s="55" t="n"/>
      <c r="F2932" s="54">
        <f>IF(E2932="","",IFERROR(IF(INDEX(lst_exp_item_cat,MATCH(E2932,lst_exp_items,0))="","❔ Без категории",INDEX(lst_exp_item_cat,MATCH(E2932,lst_exp_items,0))),"❔ Без категории"))</f>
        <v/>
      </c>
      <c r="G2932" s="43" t="n"/>
      <c r="H2932" s="56" t="n"/>
      <c r="I2932" s="43" t="n"/>
      <c r="J2932" s="57">
        <f>IF(OR(A2932="",H2932=""),"",IF(COUNTIFS(exp_year,C2932,exp_month,D2932,exp_item,E2932,exp_status,"&lt;&gt;❌ Отменено")&gt;0,1,0))</f>
        <v/>
      </c>
    </row>
    <row r="2933">
      <c r="A2933" s="52" t="n"/>
      <c r="B2933" s="53">
        <f>IF(A2933="","",CHOOSE(WEEKDAY(A2933,2),"Пн","Вт","Ср","Чт","Пт","Сб","Вс"))</f>
        <v/>
      </c>
      <c r="C2933" s="53">
        <f>IF(A2933="","",YEAR(A2933))</f>
        <v/>
      </c>
      <c r="D2933" s="54">
        <f>IF(A2933="","",INDEX(lst_months,MONTH(A2933)))</f>
        <v/>
      </c>
      <c r="E2933" s="55" t="n"/>
      <c r="F2933" s="54">
        <f>IF(E2933="","",IFERROR(IF(INDEX(lst_exp_item_cat,MATCH(E2933,lst_exp_items,0))="","❔ Без категории",INDEX(lst_exp_item_cat,MATCH(E2933,lst_exp_items,0))),"❔ Без категории"))</f>
        <v/>
      </c>
      <c r="G2933" s="43" t="n"/>
      <c r="H2933" s="56" t="n"/>
      <c r="I2933" s="43" t="n"/>
      <c r="J2933" s="57">
        <f>IF(OR(A2933="",H2933=""),"",IF(COUNTIFS(exp_year,C2933,exp_month,D2933,exp_item,E2933,exp_status,"&lt;&gt;❌ Отменено")&gt;0,1,0))</f>
        <v/>
      </c>
    </row>
    <row r="2934">
      <c r="A2934" s="52" t="n"/>
      <c r="B2934" s="53">
        <f>IF(A2934="","",CHOOSE(WEEKDAY(A2934,2),"Пн","Вт","Ср","Чт","Пт","Сб","Вс"))</f>
        <v/>
      </c>
      <c r="C2934" s="53">
        <f>IF(A2934="","",YEAR(A2934))</f>
        <v/>
      </c>
      <c r="D2934" s="54">
        <f>IF(A2934="","",INDEX(lst_months,MONTH(A2934)))</f>
        <v/>
      </c>
      <c r="E2934" s="55" t="n"/>
      <c r="F2934" s="54">
        <f>IF(E2934="","",IFERROR(IF(INDEX(lst_exp_item_cat,MATCH(E2934,lst_exp_items,0))="","❔ Без категории",INDEX(lst_exp_item_cat,MATCH(E2934,lst_exp_items,0))),"❔ Без категории"))</f>
        <v/>
      </c>
      <c r="G2934" s="43" t="n"/>
      <c r="H2934" s="56" t="n"/>
      <c r="I2934" s="43" t="n"/>
      <c r="J2934" s="57">
        <f>IF(OR(A2934="",H2934=""),"",IF(COUNTIFS(exp_year,C2934,exp_month,D2934,exp_item,E2934,exp_status,"&lt;&gt;❌ Отменено")&gt;0,1,0))</f>
        <v/>
      </c>
    </row>
    <row r="2935">
      <c r="A2935" s="52" t="n"/>
      <c r="B2935" s="53">
        <f>IF(A2935="","",CHOOSE(WEEKDAY(A2935,2),"Пн","Вт","Ср","Чт","Пт","Сб","Вс"))</f>
        <v/>
      </c>
      <c r="C2935" s="53">
        <f>IF(A2935="","",YEAR(A2935))</f>
        <v/>
      </c>
      <c r="D2935" s="54">
        <f>IF(A2935="","",INDEX(lst_months,MONTH(A2935)))</f>
        <v/>
      </c>
      <c r="E2935" s="55" t="n"/>
      <c r="F2935" s="54">
        <f>IF(E2935="","",IFERROR(IF(INDEX(lst_exp_item_cat,MATCH(E2935,lst_exp_items,0))="","❔ Без категории",INDEX(lst_exp_item_cat,MATCH(E2935,lst_exp_items,0))),"❔ Без категории"))</f>
        <v/>
      </c>
      <c r="G2935" s="43" t="n"/>
      <c r="H2935" s="56" t="n"/>
      <c r="I2935" s="43" t="n"/>
      <c r="J2935" s="57">
        <f>IF(OR(A2935="",H2935=""),"",IF(COUNTIFS(exp_year,C2935,exp_month,D2935,exp_item,E2935,exp_status,"&lt;&gt;❌ Отменено")&gt;0,1,0))</f>
        <v/>
      </c>
    </row>
    <row r="2936">
      <c r="A2936" s="52" t="n"/>
      <c r="B2936" s="53">
        <f>IF(A2936="","",CHOOSE(WEEKDAY(A2936,2),"Пн","Вт","Ср","Чт","Пт","Сб","Вс"))</f>
        <v/>
      </c>
      <c r="C2936" s="53">
        <f>IF(A2936="","",YEAR(A2936))</f>
        <v/>
      </c>
      <c r="D2936" s="54">
        <f>IF(A2936="","",INDEX(lst_months,MONTH(A2936)))</f>
        <v/>
      </c>
      <c r="E2936" s="55" t="n"/>
      <c r="F2936" s="54">
        <f>IF(E2936="","",IFERROR(IF(INDEX(lst_exp_item_cat,MATCH(E2936,lst_exp_items,0))="","❔ Без категории",INDEX(lst_exp_item_cat,MATCH(E2936,lst_exp_items,0))),"❔ Без категории"))</f>
        <v/>
      </c>
      <c r="G2936" s="43" t="n"/>
      <c r="H2936" s="56" t="n"/>
      <c r="I2936" s="43" t="n"/>
      <c r="J2936" s="57">
        <f>IF(OR(A2936="",H2936=""),"",IF(COUNTIFS(exp_year,C2936,exp_month,D2936,exp_item,E2936,exp_status,"&lt;&gt;❌ Отменено")&gt;0,1,0))</f>
        <v/>
      </c>
    </row>
    <row r="2937">
      <c r="A2937" s="52" t="n"/>
      <c r="B2937" s="53">
        <f>IF(A2937="","",CHOOSE(WEEKDAY(A2937,2),"Пн","Вт","Ср","Чт","Пт","Сб","Вс"))</f>
        <v/>
      </c>
      <c r="C2937" s="53">
        <f>IF(A2937="","",YEAR(A2937))</f>
        <v/>
      </c>
      <c r="D2937" s="54">
        <f>IF(A2937="","",INDEX(lst_months,MONTH(A2937)))</f>
        <v/>
      </c>
      <c r="E2937" s="55" t="n"/>
      <c r="F2937" s="54">
        <f>IF(E2937="","",IFERROR(IF(INDEX(lst_exp_item_cat,MATCH(E2937,lst_exp_items,0))="","❔ Без категории",INDEX(lst_exp_item_cat,MATCH(E2937,lst_exp_items,0))),"❔ Без категории"))</f>
        <v/>
      </c>
      <c r="G2937" s="43" t="n"/>
      <c r="H2937" s="56" t="n"/>
      <c r="I2937" s="43" t="n"/>
      <c r="J2937" s="57">
        <f>IF(OR(A2937="",H2937=""),"",IF(COUNTIFS(exp_year,C2937,exp_month,D2937,exp_item,E2937,exp_status,"&lt;&gt;❌ Отменено")&gt;0,1,0))</f>
        <v/>
      </c>
    </row>
    <row r="2938">
      <c r="A2938" s="52" t="n"/>
      <c r="B2938" s="53">
        <f>IF(A2938="","",CHOOSE(WEEKDAY(A2938,2),"Пн","Вт","Ср","Чт","Пт","Сб","Вс"))</f>
        <v/>
      </c>
      <c r="C2938" s="53">
        <f>IF(A2938="","",YEAR(A2938))</f>
        <v/>
      </c>
      <c r="D2938" s="54">
        <f>IF(A2938="","",INDEX(lst_months,MONTH(A2938)))</f>
        <v/>
      </c>
      <c r="E2938" s="55" t="n"/>
      <c r="F2938" s="54">
        <f>IF(E2938="","",IFERROR(IF(INDEX(lst_exp_item_cat,MATCH(E2938,lst_exp_items,0))="","❔ Без категории",INDEX(lst_exp_item_cat,MATCH(E2938,lst_exp_items,0))),"❔ Без категории"))</f>
        <v/>
      </c>
      <c r="G2938" s="43" t="n"/>
      <c r="H2938" s="56" t="n"/>
      <c r="I2938" s="43" t="n"/>
      <c r="J2938" s="57">
        <f>IF(OR(A2938="",H2938=""),"",IF(COUNTIFS(exp_year,C2938,exp_month,D2938,exp_item,E2938,exp_status,"&lt;&gt;❌ Отменено")&gt;0,1,0))</f>
        <v/>
      </c>
    </row>
    <row r="2939">
      <c r="A2939" s="52" t="n"/>
      <c r="B2939" s="53">
        <f>IF(A2939="","",CHOOSE(WEEKDAY(A2939,2),"Пн","Вт","Ср","Чт","Пт","Сб","Вс"))</f>
        <v/>
      </c>
      <c r="C2939" s="53">
        <f>IF(A2939="","",YEAR(A2939))</f>
        <v/>
      </c>
      <c r="D2939" s="54">
        <f>IF(A2939="","",INDEX(lst_months,MONTH(A2939)))</f>
        <v/>
      </c>
      <c r="E2939" s="55" t="n"/>
      <c r="F2939" s="54">
        <f>IF(E2939="","",IFERROR(IF(INDEX(lst_exp_item_cat,MATCH(E2939,lst_exp_items,0))="","❔ Без категории",INDEX(lst_exp_item_cat,MATCH(E2939,lst_exp_items,0))),"❔ Без категории"))</f>
        <v/>
      </c>
      <c r="G2939" s="43" t="n"/>
      <c r="H2939" s="56" t="n"/>
      <c r="I2939" s="43" t="n"/>
      <c r="J2939" s="57">
        <f>IF(OR(A2939="",H2939=""),"",IF(COUNTIFS(exp_year,C2939,exp_month,D2939,exp_item,E2939,exp_status,"&lt;&gt;❌ Отменено")&gt;0,1,0))</f>
        <v/>
      </c>
    </row>
    <row r="2940">
      <c r="A2940" s="52" t="n"/>
      <c r="B2940" s="53">
        <f>IF(A2940="","",CHOOSE(WEEKDAY(A2940,2),"Пн","Вт","Ср","Чт","Пт","Сб","Вс"))</f>
        <v/>
      </c>
      <c r="C2940" s="53">
        <f>IF(A2940="","",YEAR(A2940))</f>
        <v/>
      </c>
      <c r="D2940" s="54">
        <f>IF(A2940="","",INDEX(lst_months,MONTH(A2940)))</f>
        <v/>
      </c>
      <c r="E2940" s="55" t="n"/>
      <c r="F2940" s="54">
        <f>IF(E2940="","",IFERROR(IF(INDEX(lst_exp_item_cat,MATCH(E2940,lst_exp_items,0))="","❔ Без категории",INDEX(lst_exp_item_cat,MATCH(E2940,lst_exp_items,0))),"❔ Без категории"))</f>
        <v/>
      </c>
      <c r="G2940" s="43" t="n"/>
      <c r="H2940" s="56" t="n"/>
      <c r="I2940" s="43" t="n"/>
      <c r="J2940" s="57">
        <f>IF(OR(A2940="",H2940=""),"",IF(COUNTIFS(exp_year,C2940,exp_month,D2940,exp_item,E2940,exp_status,"&lt;&gt;❌ Отменено")&gt;0,1,0))</f>
        <v/>
      </c>
    </row>
    <row r="2941">
      <c r="A2941" s="52" t="n"/>
      <c r="B2941" s="53">
        <f>IF(A2941="","",CHOOSE(WEEKDAY(A2941,2),"Пн","Вт","Ср","Чт","Пт","Сб","Вс"))</f>
        <v/>
      </c>
      <c r="C2941" s="53">
        <f>IF(A2941="","",YEAR(A2941))</f>
        <v/>
      </c>
      <c r="D2941" s="54">
        <f>IF(A2941="","",INDEX(lst_months,MONTH(A2941)))</f>
        <v/>
      </c>
      <c r="E2941" s="55" t="n"/>
      <c r="F2941" s="54">
        <f>IF(E2941="","",IFERROR(IF(INDEX(lst_exp_item_cat,MATCH(E2941,lst_exp_items,0))="","❔ Без категории",INDEX(lst_exp_item_cat,MATCH(E2941,lst_exp_items,0))),"❔ Без категории"))</f>
        <v/>
      </c>
      <c r="G2941" s="43" t="n"/>
      <c r="H2941" s="56" t="n"/>
      <c r="I2941" s="43" t="n"/>
      <c r="J2941" s="57">
        <f>IF(OR(A2941="",H2941=""),"",IF(COUNTIFS(exp_year,C2941,exp_month,D2941,exp_item,E2941,exp_status,"&lt;&gt;❌ Отменено")&gt;0,1,0))</f>
        <v/>
      </c>
    </row>
    <row r="2942">
      <c r="A2942" s="52" t="n"/>
      <c r="B2942" s="53">
        <f>IF(A2942="","",CHOOSE(WEEKDAY(A2942,2),"Пн","Вт","Ср","Чт","Пт","Сб","Вс"))</f>
        <v/>
      </c>
      <c r="C2942" s="53">
        <f>IF(A2942="","",YEAR(A2942))</f>
        <v/>
      </c>
      <c r="D2942" s="54">
        <f>IF(A2942="","",INDEX(lst_months,MONTH(A2942)))</f>
        <v/>
      </c>
      <c r="E2942" s="55" t="n"/>
      <c r="F2942" s="54">
        <f>IF(E2942="","",IFERROR(IF(INDEX(lst_exp_item_cat,MATCH(E2942,lst_exp_items,0))="","❔ Без категории",INDEX(lst_exp_item_cat,MATCH(E2942,lst_exp_items,0))),"❔ Без категории"))</f>
        <v/>
      </c>
      <c r="G2942" s="43" t="n"/>
      <c r="H2942" s="56" t="n"/>
      <c r="I2942" s="43" t="n"/>
      <c r="J2942" s="57">
        <f>IF(OR(A2942="",H2942=""),"",IF(COUNTIFS(exp_year,C2942,exp_month,D2942,exp_item,E2942,exp_status,"&lt;&gt;❌ Отменено")&gt;0,1,0))</f>
        <v/>
      </c>
    </row>
    <row r="2943">
      <c r="A2943" s="52" t="n"/>
      <c r="B2943" s="53">
        <f>IF(A2943="","",CHOOSE(WEEKDAY(A2943,2),"Пн","Вт","Ср","Чт","Пт","Сб","Вс"))</f>
        <v/>
      </c>
      <c r="C2943" s="53">
        <f>IF(A2943="","",YEAR(A2943))</f>
        <v/>
      </c>
      <c r="D2943" s="54">
        <f>IF(A2943="","",INDEX(lst_months,MONTH(A2943)))</f>
        <v/>
      </c>
      <c r="E2943" s="55" t="n"/>
      <c r="F2943" s="54">
        <f>IF(E2943="","",IFERROR(IF(INDEX(lst_exp_item_cat,MATCH(E2943,lst_exp_items,0))="","❔ Без категории",INDEX(lst_exp_item_cat,MATCH(E2943,lst_exp_items,0))),"❔ Без категории"))</f>
        <v/>
      </c>
      <c r="G2943" s="43" t="n"/>
      <c r="H2943" s="56" t="n"/>
      <c r="I2943" s="43" t="n"/>
      <c r="J2943" s="57">
        <f>IF(OR(A2943="",H2943=""),"",IF(COUNTIFS(exp_year,C2943,exp_month,D2943,exp_item,E2943,exp_status,"&lt;&gt;❌ Отменено")&gt;0,1,0))</f>
        <v/>
      </c>
    </row>
    <row r="2944">
      <c r="A2944" s="52" t="n"/>
      <c r="B2944" s="53">
        <f>IF(A2944="","",CHOOSE(WEEKDAY(A2944,2),"Пн","Вт","Ср","Чт","Пт","Сб","Вс"))</f>
        <v/>
      </c>
      <c r="C2944" s="53">
        <f>IF(A2944="","",YEAR(A2944))</f>
        <v/>
      </c>
      <c r="D2944" s="54">
        <f>IF(A2944="","",INDEX(lst_months,MONTH(A2944)))</f>
        <v/>
      </c>
      <c r="E2944" s="55" t="n"/>
      <c r="F2944" s="54">
        <f>IF(E2944="","",IFERROR(IF(INDEX(lst_exp_item_cat,MATCH(E2944,lst_exp_items,0))="","❔ Без категории",INDEX(lst_exp_item_cat,MATCH(E2944,lst_exp_items,0))),"❔ Без категории"))</f>
        <v/>
      </c>
      <c r="G2944" s="43" t="n"/>
      <c r="H2944" s="56" t="n"/>
      <c r="I2944" s="43" t="n"/>
      <c r="J2944" s="57">
        <f>IF(OR(A2944="",H2944=""),"",IF(COUNTIFS(exp_year,C2944,exp_month,D2944,exp_item,E2944,exp_status,"&lt;&gt;❌ Отменено")&gt;0,1,0))</f>
        <v/>
      </c>
    </row>
    <row r="2945">
      <c r="A2945" s="52" t="n"/>
      <c r="B2945" s="53">
        <f>IF(A2945="","",CHOOSE(WEEKDAY(A2945,2),"Пн","Вт","Ср","Чт","Пт","Сб","Вс"))</f>
        <v/>
      </c>
      <c r="C2945" s="53">
        <f>IF(A2945="","",YEAR(A2945))</f>
        <v/>
      </c>
      <c r="D2945" s="54">
        <f>IF(A2945="","",INDEX(lst_months,MONTH(A2945)))</f>
        <v/>
      </c>
      <c r="E2945" s="55" t="n"/>
      <c r="F2945" s="54">
        <f>IF(E2945="","",IFERROR(IF(INDEX(lst_exp_item_cat,MATCH(E2945,lst_exp_items,0))="","❔ Без категории",INDEX(lst_exp_item_cat,MATCH(E2945,lst_exp_items,0))),"❔ Без категории"))</f>
        <v/>
      </c>
      <c r="G2945" s="43" t="n"/>
      <c r="H2945" s="56" t="n"/>
      <c r="I2945" s="43" t="n"/>
      <c r="J2945" s="57">
        <f>IF(OR(A2945="",H2945=""),"",IF(COUNTIFS(exp_year,C2945,exp_month,D2945,exp_item,E2945,exp_status,"&lt;&gt;❌ Отменено")&gt;0,1,0))</f>
        <v/>
      </c>
    </row>
    <row r="2946">
      <c r="A2946" s="52" t="n"/>
      <c r="B2946" s="53">
        <f>IF(A2946="","",CHOOSE(WEEKDAY(A2946,2),"Пн","Вт","Ср","Чт","Пт","Сб","Вс"))</f>
        <v/>
      </c>
      <c r="C2946" s="53">
        <f>IF(A2946="","",YEAR(A2946))</f>
        <v/>
      </c>
      <c r="D2946" s="54">
        <f>IF(A2946="","",INDEX(lst_months,MONTH(A2946)))</f>
        <v/>
      </c>
      <c r="E2946" s="55" t="n"/>
      <c r="F2946" s="54">
        <f>IF(E2946="","",IFERROR(IF(INDEX(lst_exp_item_cat,MATCH(E2946,lst_exp_items,0))="","❔ Без категории",INDEX(lst_exp_item_cat,MATCH(E2946,lst_exp_items,0))),"❔ Без категории"))</f>
        <v/>
      </c>
      <c r="G2946" s="43" t="n"/>
      <c r="H2946" s="56" t="n"/>
      <c r="I2946" s="43" t="n"/>
      <c r="J2946" s="57">
        <f>IF(OR(A2946="",H2946=""),"",IF(COUNTIFS(exp_year,C2946,exp_month,D2946,exp_item,E2946,exp_status,"&lt;&gt;❌ Отменено")&gt;0,1,0))</f>
        <v/>
      </c>
    </row>
    <row r="2947">
      <c r="A2947" s="52" t="n"/>
      <c r="B2947" s="53">
        <f>IF(A2947="","",CHOOSE(WEEKDAY(A2947,2),"Пн","Вт","Ср","Чт","Пт","Сб","Вс"))</f>
        <v/>
      </c>
      <c r="C2947" s="53">
        <f>IF(A2947="","",YEAR(A2947))</f>
        <v/>
      </c>
      <c r="D2947" s="54">
        <f>IF(A2947="","",INDEX(lst_months,MONTH(A2947)))</f>
        <v/>
      </c>
      <c r="E2947" s="55" t="n"/>
      <c r="F2947" s="54">
        <f>IF(E2947="","",IFERROR(IF(INDEX(lst_exp_item_cat,MATCH(E2947,lst_exp_items,0))="","❔ Без категории",INDEX(lst_exp_item_cat,MATCH(E2947,lst_exp_items,0))),"❔ Без категории"))</f>
        <v/>
      </c>
      <c r="G2947" s="43" t="n"/>
      <c r="H2947" s="56" t="n"/>
      <c r="I2947" s="43" t="n"/>
      <c r="J2947" s="57">
        <f>IF(OR(A2947="",H2947=""),"",IF(COUNTIFS(exp_year,C2947,exp_month,D2947,exp_item,E2947,exp_status,"&lt;&gt;❌ Отменено")&gt;0,1,0))</f>
        <v/>
      </c>
    </row>
    <row r="2948">
      <c r="A2948" s="52" t="n"/>
      <c r="B2948" s="53">
        <f>IF(A2948="","",CHOOSE(WEEKDAY(A2948,2),"Пн","Вт","Ср","Чт","Пт","Сб","Вс"))</f>
        <v/>
      </c>
      <c r="C2948" s="53">
        <f>IF(A2948="","",YEAR(A2948))</f>
        <v/>
      </c>
      <c r="D2948" s="54">
        <f>IF(A2948="","",INDEX(lst_months,MONTH(A2948)))</f>
        <v/>
      </c>
      <c r="E2948" s="55" t="n"/>
      <c r="F2948" s="54">
        <f>IF(E2948="","",IFERROR(IF(INDEX(lst_exp_item_cat,MATCH(E2948,lst_exp_items,0))="","❔ Без категории",INDEX(lst_exp_item_cat,MATCH(E2948,lst_exp_items,0))),"❔ Без категории"))</f>
        <v/>
      </c>
      <c r="G2948" s="43" t="n"/>
      <c r="H2948" s="56" t="n"/>
      <c r="I2948" s="43" t="n"/>
      <c r="J2948" s="57">
        <f>IF(OR(A2948="",H2948=""),"",IF(COUNTIFS(exp_year,C2948,exp_month,D2948,exp_item,E2948,exp_status,"&lt;&gt;❌ Отменено")&gt;0,1,0))</f>
        <v/>
      </c>
    </row>
    <row r="2949">
      <c r="A2949" s="52" t="n"/>
      <c r="B2949" s="53">
        <f>IF(A2949="","",CHOOSE(WEEKDAY(A2949,2),"Пн","Вт","Ср","Чт","Пт","Сб","Вс"))</f>
        <v/>
      </c>
      <c r="C2949" s="53">
        <f>IF(A2949="","",YEAR(A2949))</f>
        <v/>
      </c>
      <c r="D2949" s="54">
        <f>IF(A2949="","",INDEX(lst_months,MONTH(A2949)))</f>
        <v/>
      </c>
      <c r="E2949" s="55" t="n"/>
      <c r="F2949" s="54">
        <f>IF(E2949="","",IFERROR(IF(INDEX(lst_exp_item_cat,MATCH(E2949,lst_exp_items,0))="","❔ Без категории",INDEX(lst_exp_item_cat,MATCH(E2949,lst_exp_items,0))),"❔ Без категории"))</f>
        <v/>
      </c>
      <c r="G2949" s="43" t="n"/>
      <c r="H2949" s="56" t="n"/>
      <c r="I2949" s="43" t="n"/>
      <c r="J2949" s="57">
        <f>IF(OR(A2949="",H2949=""),"",IF(COUNTIFS(exp_year,C2949,exp_month,D2949,exp_item,E2949,exp_status,"&lt;&gt;❌ Отменено")&gt;0,1,0))</f>
        <v/>
      </c>
    </row>
    <row r="2950">
      <c r="A2950" s="52" t="n"/>
      <c r="B2950" s="53">
        <f>IF(A2950="","",CHOOSE(WEEKDAY(A2950,2),"Пн","Вт","Ср","Чт","Пт","Сб","Вс"))</f>
        <v/>
      </c>
      <c r="C2950" s="53">
        <f>IF(A2950="","",YEAR(A2950))</f>
        <v/>
      </c>
      <c r="D2950" s="54">
        <f>IF(A2950="","",INDEX(lst_months,MONTH(A2950)))</f>
        <v/>
      </c>
      <c r="E2950" s="55" t="n"/>
      <c r="F2950" s="54">
        <f>IF(E2950="","",IFERROR(IF(INDEX(lst_exp_item_cat,MATCH(E2950,lst_exp_items,0))="","❔ Без категории",INDEX(lst_exp_item_cat,MATCH(E2950,lst_exp_items,0))),"❔ Без категории"))</f>
        <v/>
      </c>
      <c r="G2950" s="43" t="n"/>
      <c r="H2950" s="56" t="n"/>
      <c r="I2950" s="43" t="n"/>
      <c r="J2950" s="57">
        <f>IF(OR(A2950="",H2950=""),"",IF(COUNTIFS(exp_year,C2950,exp_month,D2950,exp_item,E2950,exp_status,"&lt;&gt;❌ Отменено")&gt;0,1,0))</f>
        <v/>
      </c>
    </row>
    <row r="2951">
      <c r="A2951" s="52" t="n"/>
      <c r="B2951" s="53">
        <f>IF(A2951="","",CHOOSE(WEEKDAY(A2951,2),"Пн","Вт","Ср","Чт","Пт","Сб","Вс"))</f>
        <v/>
      </c>
      <c r="C2951" s="53">
        <f>IF(A2951="","",YEAR(A2951))</f>
        <v/>
      </c>
      <c r="D2951" s="54">
        <f>IF(A2951="","",INDEX(lst_months,MONTH(A2951)))</f>
        <v/>
      </c>
      <c r="E2951" s="55" t="n"/>
      <c r="F2951" s="54">
        <f>IF(E2951="","",IFERROR(IF(INDEX(lst_exp_item_cat,MATCH(E2951,lst_exp_items,0))="","❔ Без категории",INDEX(lst_exp_item_cat,MATCH(E2951,lst_exp_items,0))),"❔ Без категории"))</f>
        <v/>
      </c>
      <c r="G2951" s="43" t="n"/>
      <c r="H2951" s="56" t="n"/>
      <c r="I2951" s="43" t="n"/>
      <c r="J2951" s="57">
        <f>IF(OR(A2951="",H2951=""),"",IF(COUNTIFS(exp_year,C2951,exp_month,D2951,exp_item,E2951,exp_status,"&lt;&gt;❌ Отменено")&gt;0,1,0))</f>
        <v/>
      </c>
    </row>
    <row r="2952">
      <c r="A2952" s="52" t="n"/>
      <c r="B2952" s="53">
        <f>IF(A2952="","",CHOOSE(WEEKDAY(A2952,2),"Пн","Вт","Ср","Чт","Пт","Сб","Вс"))</f>
        <v/>
      </c>
      <c r="C2952" s="53">
        <f>IF(A2952="","",YEAR(A2952))</f>
        <v/>
      </c>
      <c r="D2952" s="54">
        <f>IF(A2952="","",INDEX(lst_months,MONTH(A2952)))</f>
        <v/>
      </c>
      <c r="E2952" s="55" t="n"/>
      <c r="F2952" s="54">
        <f>IF(E2952="","",IFERROR(IF(INDEX(lst_exp_item_cat,MATCH(E2952,lst_exp_items,0))="","❔ Без категории",INDEX(lst_exp_item_cat,MATCH(E2952,lst_exp_items,0))),"❔ Без категории"))</f>
        <v/>
      </c>
      <c r="G2952" s="43" t="n"/>
      <c r="H2952" s="56" t="n"/>
      <c r="I2952" s="43" t="n"/>
      <c r="J2952" s="57">
        <f>IF(OR(A2952="",H2952=""),"",IF(COUNTIFS(exp_year,C2952,exp_month,D2952,exp_item,E2952,exp_status,"&lt;&gt;❌ Отменено")&gt;0,1,0))</f>
        <v/>
      </c>
    </row>
    <row r="2953">
      <c r="A2953" s="52" t="n"/>
      <c r="B2953" s="53">
        <f>IF(A2953="","",CHOOSE(WEEKDAY(A2953,2),"Пн","Вт","Ср","Чт","Пт","Сб","Вс"))</f>
        <v/>
      </c>
      <c r="C2953" s="53">
        <f>IF(A2953="","",YEAR(A2953))</f>
        <v/>
      </c>
      <c r="D2953" s="54">
        <f>IF(A2953="","",INDEX(lst_months,MONTH(A2953)))</f>
        <v/>
      </c>
      <c r="E2953" s="55" t="n"/>
      <c r="F2953" s="54">
        <f>IF(E2953="","",IFERROR(IF(INDEX(lst_exp_item_cat,MATCH(E2953,lst_exp_items,0))="","❔ Без категории",INDEX(lst_exp_item_cat,MATCH(E2953,lst_exp_items,0))),"❔ Без категории"))</f>
        <v/>
      </c>
      <c r="G2953" s="43" t="n"/>
      <c r="H2953" s="56" t="n"/>
      <c r="I2953" s="43" t="n"/>
      <c r="J2953" s="57">
        <f>IF(OR(A2953="",H2953=""),"",IF(COUNTIFS(exp_year,C2953,exp_month,D2953,exp_item,E2953,exp_status,"&lt;&gt;❌ Отменено")&gt;0,1,0))</f>
        <v/>
      </c>
    </row>
    <row r="2954">
      <c r="A2954" s="52" t="n"/>
      <c r="B2954" s="53">
        <f>IF(A2954="","",CHOOSE(WEEKDAY(A2954,2),"Пн","Вт","Ср","Чт","Пт","Сб","Вс"))</f>
        <v/>
      </c>
      <c r="C2954" s="53">
        <f>IF(A2954="","",YEAR(A2954))</f>
        <v/>
      </c>
      <c r="D2954" s="54">
        <f>IF(A2954="","",INDEX(lst_months,MONTH(A2954)))</f>
        <v/>
      </c>
      <c r="E2954" s="55" t="n"/>
      <c r="F2954" s="54">
        <f>IF(E2954="","",IFERROR(IF(INDEX(lst_exp_item_cat,MATCH(E2954,lst_exp_items,0))="","❔ Без категории",INDEX(lst_exp_item_cat,MATCH(E2954,lst_exp_items,0))),"❔ Без категории"))</f>
        <v/>
      </c>
      <c r="G2954" s="43" t="n"/>
      <c r="H2954" s="56" t="n"/>
      <c r="I2954" s="43" t="n"/>
      <c r="J2954" s="57">
        <f>IF(OR(A2954="",H2954=""),"",IF(COUNTIFS(exp_year,C2954,exp_month,D2954,exp_item,E2954,exp_status,"&lt;&gt;❌ Отменено")&gt;0,1,0))</f>
        <v/>
      </c>
    </row>
    <row r="2955">
      <c r="A2955" s="52" t="n"/>
      <c r="B2955" s="53">
        <f>IF(A2955="","",CHOOSE(WEEKDAY(A2955,2),"Пн","Вт","Ср","Чт","Пт","Сб","Вс"))</f>
        <v/>
      </c>
      <c r="C2955" s="53">
        <f>IF(A2955="","",YEAR(A2955))</f>
        <v/>
      </c>
      <c r="D2955" s="54">
        <f>IF(A2955="","",INDEX(lst_months,MONTH(A2955)))</f>
        <v/>
      </c>
      <c r="E2955" s="55" t="n"/>
      <c r="F2955" s="54">
        <f>IF(E2955="","",IFERROR(IF(INDEX(lst_exp_item_cat,MATCH(E2955,lst_exp_items,0))="","❔ Без категории",INDEX(lst_exp_item_cat,MATCH(E2955,lst_exp_items,0))),"❔ Без категории"))</f>
        <v/>
      </c>
      <c r="G2955" s="43" t="n"/>
      <c r="H2955" s="56" t="n"/>
      <c r="I2955" s="43" t="n"/>
      <c r="J2955" s="57">
        <f>IF(OR(A2955="",H2955=""),"",IF(COUNTIFS(exp_year,C2955,exp_month,D2955,exp_item,E2955,exp_status,"&lt;&gt;❌ Отменено")&gt;0,1,0))</f>
        <v/>
      </c>
    </row>
    <row r="2956">
      <c r="A2956" s="52" t="n"/>
      <c r="B2956" s="53">
        <f>IF(A2956="","",CHOOSE(WEEKDAY(A2956,2),"Пн","Вт","Ср","Чт","Пт","Сб","Вс"))</f>
        <v/>
      </c>
      <c r="C2956" s="53">
        <f>IF(A2956="","",YEAR(A2956))</f>
        <v/>
      </c>
      <c r="D2956" s="54">
        <f>IF(A2956="","",INDEX(lst_months,MONTH(A2956)))</f>
        <v/>
      </c>
      <c r="E2956" s="55" t="n"/>
      <c r="F2956" s="54">
        <f>IF(E2956="","",IFERROR(IF(INDEX(lst_exp_item_cat,MATCH(E2956,lst_exp_items,0))="","❔ Без категории",INDEX(lst_exp_item_cat,MATCH(E2956,lst_exp_items,0))),"❔ Без категории"))</f>
        <v/>
      </c>
      <c r="G2956" s="43" t="n"/>
      <c r="H2956" s="56" t="n"/>
      <c r="I2956" s="43" t="n"/>
      <c r="J2956" s="57">
        <f>IF(OR(A2956="",H2956=""),"",IF(COUNTIFS(exp_year,C2956,exp_month,D2956,exp_item,E2956,exp_status,"&lt;&gt;❌ Отменено")&gt;0,1,0))</f>
        <v/>
      </c>
    </row>
    <row r="2957">
      <c r="A2957" s="52" t="n"/>
      <c r="B2957" s="53">
        <f>IF(A2957="","",CHOOSE(WEEKDAY(A2957,2),"Пн","Вт","Ср","Чт","Пт","Сб","Вс"))</f>
        <v/>
      </c>
      <c r="C2957" s="53">
        <f>IF(A2957="","",YEAR(A2957))</f>
        <v/>
      </c>
      <c r="D2957" s="54">
        <f>IF(A2957="","",INDEX(lst_months,MONTH(A2957)))</f>
        <v/>
      </c>
      <c r="E2957" s="55" t="n"/>
      <c r="F2957" s="54">
        <f>IF(E2957="","",IFERROR(IF(INDEX(lst_exp_item_cat,MATCH(E2957,lst_exp_items,0))="","❔ Без категории",INDEX(lst_exp_item_cat,MATCH(E2957,lst_exp_items,0))),"❔ Без категории"))</f>
        <v/>
      </c>
      <c r="G2957" s="43" t="n"/>
      <c r="H2957" s="56" t="n"/>
      <c r="I2957" s="43" t="n"/>
      <c r="J2957" s="57">
        <f>IF(OR(A2957="",H2957=""),"",IF(COUNTIFS(exp_year,C2957,exp_month,D2957,exp_item,E2957,exp_status,"&lt;&gt;❌ Отменено")&gt;0,1,0))</f>
        <v/>
      </c>
    </row>
    <row r="2958">
      <c r="A2958" s="52" t="n"/>
      <c r="B2958" s="53">
        <f>IF(A2958="","",CHOOSE(WEEKDAY(A2958,2),"Пн","Вт","Ср","Чт","Пт","Сб","Вс"))</f>
        <v/>
      </c>
      <c r="C2958" s="53">
        <f>IF(A2958="","",YEAR(A2958))</f>
        <v/>
      </c>
      <c r="D2958" s="54">
        <f>IF(A2958="","",INDEX(lst_months,MONTH(A2958)))</f>
        <v/>
      </c>
      <c r="E2958" s="55" t="n"/>
      <c r="F2958" s="54">
        <f>IF(E2958="","",IFERROR(IF(INDEX(lst_exp_item_cat,MATCH(E2958,lst_exp_items,0))="","❔ Без категории",INDEX(lst_exp_item_cat,MATCH(E2958,lst_exp_items,0))),"❔ Без категории"))</f>
        <v/>
      </c>
      <c r="G2958" s="43" t="n"/>
      <c r="H2958" s="56" t="n"/>
      <c r="I2958" s="43" t="n"/>
      <c r="J2958" s="57">
        <f>IF(OR(A2958="",H2958=""),"",IF(COUNTIFS(exp_year,C2958,exp_month,D2958,exp_item,E2958,exp_status,"&lt;&gt;❌ Отменено")&gt;0,1,0))</f>
        <v/>
      </c>
    </row>
    <row r="2959">
      <c r="A2959" s="52" t="n"/>
      <c r="B2959" s="53">
        <f>IF(A2959="","",CHOOSE(WEEKDAY(A2959,2),"Пн","Вт","Ср","Чт","Пт","Сб","Вс"))</f>
        <v/>
      </c>
      <c r="C2959" s="53">
        <f>IF(A2959="","",YEAR(A2959))</f>
        <v/>
      </c>
      <c r="D2959" s="54">
        <f>IF(A2959="","",INDEX(lst_months,MONTH(A2959)))</f>
        <v/>
      </c>
      <c r="E2959" s="55" t="n"/>
      <c r="F2959" s="54">
        <f>IF(E2959="","",IFERROR(IF(INDEX(lst_exp_item_cat,MATCH(E2959,lst_exp_items,0))="","❔ Без категории",INDEX(lst_exp_item_cat,MATCH(E2959,lst_exp_items,0))),"❔ Без категории"))</f>
        <v/>
      </c>
      <c r="G2959" s="43" t="n"/>
      <c r="H2959" s="56" t="n"/>
      <c r="I2959" s="43" t="n"/>
      <c r="J2959" s="57">
        <f>IF(OR(A2959="",H2959=""),"",IF(COUNTIFS(exp_year,C2959,exp_month,D2959,exp_item,E2959,exp_status,"&lt;&gt;❌ Отменено")&gt;0,1,0))</f>
        <v/>
      </c>
    </row>
    <row r="2960">
      <c r="A2960" s="52" t="n"/>
      <c r="B2960" s="53">
        <f>IF(A2960="","",CHOOSE(WEEKDAY(A2960,2),"Пн","Вт","Ср","Чт","Пт","Сб","Вс"))</f>
        <v/>
      </c>
      <c r="C2960" s="53">
        <f>IF(A2960="","",YEAR(A2960))</f>
        <v/>
      </c>
      <c r="D2960" s="54">
        <f>IF(A2960="","",INDEX(lst_months,MONTH(A2960)))</f>
        <v/>
      </c>
      <c r="E2960" s="55" t="n"/>
      <c r="F2960" s="54">
        <f>IF(E2960="","",IFERROR(IF(INDEX(lst_exp_item_cat,MATCH(E2960,lst_exp_items,0))="","❔ Без категории",INDEX(lst_exp_item_cat,MATCH(E2960,lst_exp_items,0))),"❔ Без категории"))</f>
        <v/>
      </c>
      <c r="G2960" s="43" t="n"/>
      <c r="H2960" s="56" t="n"/>
      <c r="I2960" s="43" t="n"/>
      <c r="J2960" s="57">
        <f>IF(OR(A2960="",H2960=""),"",IF(COUNTIFS(exp_year,C2960,exp_month,D2960,exp_item,E2960,exp_status,"&lt;&gt;❌ Отменено")&gt;0,1,0))</f>
        <v/>
      </c>
    </row>
    <row r="2961">
      <c r="A2961" s="52" t="n"/>
      <c r="B2961" s="53">
        <f>IF(A2961="","",CHOOSE(WEEKDAY(A2961,2),"Пн","Вт","Ср","Чт","Пт","Сб","Вс"))</f>
        <v/>
      </c>
      <c r="C2961" s="53">
        <f>IF(A2961="","",YEAR(A2961))</f>
        <v/>
      </c>
      <c r="D2961" s="54">
        <f>IF(A2961="","",INDEX(lst_months,MONTH(A2961)))</f>
        <v/>
      </c>
      <c r="E2961" s="55" t="n"/>
      <c r="F2961" s="54">
        <f>IF(E2961="","",IFERROR(IF(INDEX(lst_exp_item_cat,MATCH(E2961,lst_exp_items,0))="","❔ Без категории",INDEX(lst_exp_item_cat,MATCH(E2961,lst_exp_items,0))),"❔ Без категории"))</f>
        <v/>
      </c>
      <c r="G2961" s="43" t="n"/>
      <c r="H2961" s="56" t="n"/>
      <c r="I2961" s="43" t="n"/>
      <c r="J2961" s="57">
        <f>IF(OR(A2961="",H2961=""),"",IF(COUNTIFS(exp_year,C2961,exp_month,D2961,exp_item,E2961,exp_status,"&lt;&gt;❌ Отменено")&gt;0,1,0))</f>
        <v/>
      </c>
    </row>
    <row r="2962">
      <c r="A2962" s="52" t="n"/>
      <c r="B2962" s="53">
        <f>IF(A2962="","",CHOOSE(WEEKDAY(A2962,2),"Пн","Вт","Ср","Чт","Пт","Сб","Вс"))</f>
        <v/>
      </c>
      <c r="C2962" s="53">
        <f>IF(A2962="","",YEAR(A2962))</f>
        <v/>
      </c>
      <c r="D2962" s="54">
        <f>IF(A2962="","",INDEX(lst_months,MONTH(A2962)))</f>
        <v/>
      </c>
      <c r="E2962" s="55" t="n"/>
      <c r="F2962" s="54">
        <f>IF(E2962="","",IFERROR(IF(INDEX(lst_exp_item_cat,MATCH(E2962,lst_exp_items,0))="","❔ Без категории",INDEX(lst_exp_item_cat,MATCH(E2962,lst_exp_items,0))),"❔ Без категории"))</f>
        <v/>
      </c>
      <c r="G2962" s="43" t="n"/>
      <c r="H2962" s="56" t="n"/>
      <c r="I2962" s="43" t="n"/>
      <c r="J2962" s="57">
        <f>IF(OR(A2962="",H2962=""),"",IF(COUNTIFS(exp_year,C2962,exp_month,D2962,exp_item,E2962,exp_status,"&lt;&gt;❌ Отменено")&gt;0,1,0))</f>
        <v/>
      </c>
    </row>
    <row r="2963">
      <c r="A2963" s="52" t="n"/>
      <c r="B2963" s="53">
        <f>IF(A2963="","",CHOOSE(WEEKDAY(A2963,2),"Пн","Вт","Ср","Чт","Пт","Сб","Вс"))</f>
        <v/>
      </c>
      <c r="C2963" s="53">
        <f>IF(A2963="","",YEAR(A2963))</f>
        <v/>
      </c>
      <c r="D2963" s="54">
        <f>IF(A2963="","",INDEX(lst_months,MONTH(A2963)))</f>
        <v/>
      </c>
      <c r="E2963" s="55" t="n"/>
      <c r="F2963" s="54">
        <f>IF(E2963="","",IFERROR(IF(INDEX(lst_exp_item_cat,MATCH(E2963,lst_exp_items,0))="","❔ Без категории",INDEX(lst_exp_item_cat,MATCH(E2963,lst_exp_items,0))),"❔ Без категории"))</f>
        <v/>
      </c>
      <c r="G2963" s="43" t="n"/>
      <c r="H2963" s="56" t="n"/>
      <c r="I2963" s="43" t="n"/>
      <c r="J2963" s="57">
        <f>IF(OR(A2963="",H2963=""),"",IF(COUNTIFS(exp_year,C2963,exp_month,D2963,exp_item,E2963,exp_status,"&lt;&gt;❌ Отменено")&gt;0,1,0))</f>
        <v/>
      </c>
    </row>
    <row r="2964">
      <c r="A2964" s="52" t="n"/>
      <c r="B2964" s="53">
        <f>IF(A2964="","",CHOOSE(WEEKDAY(A2964,2),"Пн","Вт","Ср","Чт","Пт","Сб","Вс"))</f>
        <v/>
      </c>
      <c r="C2964" s="53">
        <f>IF(A2964="","",YEAR(A2964))</f>
        <v/>
      </c>
      <c r="D2964" s="54">
        <f>IF(A2964="","",INDEX(lst_months,MONTH(A2964)))</f>
        <v/>
      </c>
      <c r="E2964" s="55" t="n"/>
      <c r="F2964" s="54">
        <f>IF(E2964="","",IFERROR(IF(INDEX(lst_exp_item_cat,MATCH(E2964,lst_exp_items,0))="","❔ Без категории",INDEX(lst_exp_item_cat,MATCH(E2964,lst_exp_items,0))),"❔ Без категории"))</f>
        <v/>
      </c>
      <c r="G2964" s="43" t="n"/>
      <c r="H2964" s="56" t="n"/>
      <c r="I2964" s="43" t="n"/>
      <c r="J2964" s="57">
        <f>IF(OR(A2964="",H2964=""),"",IF(COUNTIFS(exp_year,C2964,exp_month,D2964,exp_item,E2964,exp_status,"&lt;&gt;❌ Отменено")&gt;0,1,0))</f>
        <v/>
      </c>
    </row>
    <row r="2965">
      <c r="A2965" s="52" t="n"/>
      <c r="B2965" s="53">
        <f>IF(A2965="","",CHOOSE(WEEKDAY(A2965,2),"Пн","Вт","Ср","Чт","Пт","Сб","Вс"))</f>
        <v/>
      </c>
      <c r="C2965" s="53">
        <f>IF(A2965="","",YEAR(A2965))</f>
        <v/>
      </c>
      <c r="D2965" s="54">
        <f>IF(A2965="","",INDEX(lst_months,MONTH(A2965)))</f>
        <v/>
      </c>
      <c r="E2965" s="55" t="n"/>
      <c r="F2965" s="54">
        <f>IF(E2965="","",IFERROR(IF(INDEX(lst_exp_item_cat,MATCH(E2965,lst_exp_items,0))="","❔ Без категории",INDEX(lst_exp_item_cat,MATCH(E2965,lst_exp_items,0))),"❔ Без категории"))</f>
        <v/>
      </c>
      <c r="G2965" s="43" t="n"/>
      <c r="H2965" s="56" t="n"/>
      <c r="I2965" s="43" t="n"/>
      <c r="J2965" s="57">
        <f>IF(OR(A2965="",H2965=""),"",IF(COUNTIFS(exp_year,C2965,exp_month,D2965,exp_item,E2965,exp_status,"&lt;&gt;❌ Отменено")&gt;0,1,0))</f>
        <v/>
      </c>
    </row>
    <row r="2966">
      <c r="A2966" s="52" t="n"/>
      <c r="B2966" s="53">
        <f>IF(A2966="","",CHOOSE(WEEKDAY(A2966,2),"Пн","Вт","Ср","Чт","Пт","Сб","Вс"))</f>
        <v/>
      </c>
      <c r="C2966" s="53">
        <f>IF(A2966="","",YEAR(A2966))</f>
        <v/>
      </c>
      <c r="D2966" s="54">
        <f>IF(A2966="","",INDEX(lst_months,MONTH(A2966)))</f>
        <v/>
      </c>
      <c r="E2966" s="55" t="n"/>
      <c r="F2966" s="54">
        <f>IF(E2966="","",IFERROR(IF(INDEX(lst_exp_item_cat,MATCH(E2966,lst_exp_items,0))="","❔ Без категории",INDEX(lst_exp_item_cat,MATCH(E2966,lst_exp_items,0))),"❔ Без категории"))</f>
        <v/>
      </c>
      <c r="G2966" s="43" t="n"/>
      <c r="H2966" s="56" t="n"/>
      <c r="I2966" s="43" t="n"/>
      <c r="J2966" s="57">
        <f>IF(OR(A2966="",H2966=""),"",IF(COUNTIFS(exp_year,C2966,exp_month,D2966,exp_item,E2966,exp_status,"&lt;&gt;❌ Отменено")&gt;0,1,0))</f>
        <v/>
      </c>
    </row>
    <row r="2967">
      <c r="A2967" s="52" t="n"/>
      <c r="B2967" s="53">
        <f>IF(A2967="","",CHOOSE(WEEKDAY(A2967,2),"Пн","Вт","Ср","Чт","Пт","Сб","Вс"))</f>
        <v/>
      </c>
      <c r="C2967" s="53">
        <f>IF(A2967="","",YEAR(A2967))</f>
        <v/>
      </c>
      <c r="D2967" s="54">
        <f>IF(A2967="","",INDEX(lst_months,MONTH(A2967)))</f>
        <v/>
      </c>
      <c r="E2967" s="55" t="n"/>
      <c r="F2967" s="54">
        <f>IF(E2967="","",IFERROR(IF(INDEX(lst_exp_item_cat,MATCH(E2967,lst_exp_items,0))="","❔ Без категории",INDEX(lst_exp_item_cat,MATCH(E2967,lst_exp_items,0))),"❔ Без категории"))</f>
        <v/>
      </c>
      <c r="G2967" s="43" t="n"/>
      <c r="H2967" s="56" t="n"/>
      <c r="I2967" s="43" t="n"/>
      <c r="J2967" s="57">
        <f>IF(OR(A2967="",H2967=""),"",IF(COUNTIFS(exp_year,C2967,exp_month,D2967,exp_item,E2967,exp_status,"&lt;&gt;❌ Отменено")&gt;0,1,0))</f>
        <v/>
      </c>
    </row>
    <row r="2968">
      <c r="A2968" s="52" t="n"/>
      <c r="B2968" s="53">
        <f>IF(A2968="","",CHOOSE(WEEKDAY(A2968,2),"Пн","Вт","Ср","Чт","Пт","Сб","Вс"))</f>
        <v/>
      </c>
      <c r="C2968" s="53">
        <f>IF(A2968="","",YEAR(A2968))</f>
        <v/>
      </c>
      <c r="D2968" s="54">
        <f>IF(A2968="","",INDEX(lst_months,MONTH(A2968)))</f>
        <v/>
      </c>
      <c r="E2968" s="55" t="n"/>
      <c r="F2968" s="54">
        <f>IF(E2968="","",IFERROR(IF(INDEX(lst_exp_item_cat,MATCH(E2968,lst_exp_items,0))="","❔ Без категории",INDEX(lst_exp_item_cat,MATCH(E2968,lst_exp_items,0))),"❔ Без категории"))</f>
        <v/>
      </c>
      <c r="G2968" s="43" t="n"/>
      <c r="H2968" s="56" t="n"/>
      <c r="I2968" s="43" t="n"/>
      <c r="J2968" s="57">
        <f>IF(OR(A2968="",H2968=""),"",IF(COUNTIFS(exp_year,C2968,exp_month,D2968,exp_item,E2968,exp_status,"&lt;&gt;❌ Отменено")&gt;0,1,0))</f>
        <v/>
      </c>
    </row>
    <row r="2969">
      <c r="A2969" s="52" t="n"/>
      <c r="B2969" s="53">
        <f>IF(A2969="","",CHOOSE(WEEKDAY(A2969,2),"Пн","Вт","Ср","Чт","Пт","Сб","Вс"))</f>
        <v/>
      </c>
      <c r="C2969" s="53">
        <f>IF(A2969="","",YEAR(A2969))</f>
        <v/>
      </c>
      <c r="D2969" s="54">
        <f>IF(A2969="","",INDEX(lst_months,MONTH(A2969)))</f>
        <v/>
      </c>
      <c r="E2969" s="55" t="n"/>
      <c r="F2969" s="54">
        <f>IF(E2969="","",IFERROR(IF(INDEX(lst_exp_item_cat,MATCH(E2969,lst_exp_items,0))="","❔ Без категории",INDEX(lst_exp_item_cat,MATCH(E2969,lst_exp_items,0))),"❔ Без категории"))</f>
        <v/>
      </c>
      <c r="G2969" s="43" t="n"/>
      <c r="H2969" s="56" t="n"/>
      <c r="I2969" s="43" t="n"/>
      <c r="J2969" s="57">
        <f>IF(OR(A2969="",H2969=""),"",IF(COUNTIFS(exp_year,C2969,exp_month,D2969,exp_item,E2969,exp_status,"&lt;&gt;❌ Отменено")&gt;0,1,0))</f>
        <v/>
      </c>
    </row>
    <row r="2970">
      <c r="A2970" s="52" t="n"/>
      <c r="B2970" s="53">
        <f>IF(A2970="","",CHOOSE(WEEKDAY(A2970,2),"Пн","Вт","Ср","Чт","Пт","Сб","Вс"))</f>
        <v/>
      </c>
      <c r="C2970" s="53">
        <f>IF(A2970="","",YEAR(A2970))</f>
        <v/>
      </c>
      <c r="D2970" s="54">
        <f>IF(A2970="","",INDEX(lst_months,MONTH(A2970)))</f>
        <v/>
      </c>
      <c r="E2970" s="55" t="n"/>
      <c r="F2970" s="54">
        <f>IF(E2970="","",IFERROR(IF(INDEX(lst_exp_item_cat,MATCH(E2970,lst_exp_items,0))="","❔ Без категории",INDEX(lst_exp_item_cat,MATCH(E2970,lst_exp_items,0))),"❔ Без категории"))</f>
        <v/>
      </c>
      <c r="G2970" s="43" t="n"/>
      <c r="H2970" s="56" t="n"/>
      <c r="I2970" s="43" t="n"/>
      <c r="J2970" s="57">
        <f>IF(OR(A2970="",H2970=""),"",IF(COUNTIFS(exp_year,C2970,exp_month,D2970,exp_item,E2970,exp_status,"&lt;&gt;❌ Отменено")&gt;0,1,0))</f>
        <v/>
      </c>
    </row>
    <row r="2971">
      <c r="A2971" s="52" t="n"/>
      <c r="B2971" s="53">
        <f>IF(A2971="","",CHOOSE(WEEKDAY(A2971,2),"Пн","Вт","Ср","Чт","Пт","Сб","Вс"))</f>
        <v/>
      </c>
      <c r="C2971" s="53">
        <f>IF(A2971="","",YEAR(A2971))</f>
        <v/>
      </c>
      <c r="D2971" s="54">
        <f>IF(A2971="","",INDEX(lst_months,MONTH(A2971)))</f>
        <v/>
      </c>
      <c r="E2971" s="55" t="n"/>
      <c r="F2971" s="54">
        <f>IF(E2971="","",IFERROR(IF(INDEX(lst_exp_item_cat,MATCH(E2971,lst_exp_items,0))="","❔ Без категории",INDEX(lst_exp_item_cat,MATCH(E2971,lst_exp_items,0))),"❔ Без категории"))</f>
        <v/>
      </c>
      <c r="G2971" s="43" t="n"/>
      <c r="H2971" s="56" t="n"/>
      <c r="I2971" s="43" t="n"/>
      <c r="J2971" s="57">
        <f>IF(OR(A2971="",H2971=""),"",IF(COUNTIFS(exp_year,C2971,exp_month,D2971,exp_item,E2971,exp_status,"&lt;&gt;❌ Отменено")&gt;0,1,0))</f>
        <v/>
      </c>
    </row>
    <row r="2972">
      <c r="A2972" s="52" t="n"/>
      <c r="B2972" s="53">
        <f>IF(A2972="","",CHOOSE(WEEKDAY(A2972,2),"Пн","Вт","Ср","Чт","Пт","Сб","Вс"))</f>
        <v/>
      </c>
      <c r="C2972" s="53">
        <f>IF(A2972="","",YEAR(A2972))</f>
        <v/>
      </c>
      <c r="D2972" s="54">
        <f>IF(A2972="","",INDEX(lst_months,MONTH(A2972)))</f>
        <v/>
      </c>
      <c r="E2972" s="55" t="n"/>
      <c r="F2972" s="54">
        <f>IF(E2972="","",IFERROR(IF(INDEX(lst_exp_item_cat,MATCH(E2972,lst_exp_items,0))="","❔ Без категории",INDEX(lst_exp_item_cat,MATCH(E2972,lst_exp_items,0))),"❔ Без категории"))</f>
        <v/>
      </c>
      <c r="G2972" s="43" t="n"/>
      <c r="H2972" s="56" t="n"/>
      <c r="I2972" s="43" t="n"/>
      <c r="J2972" s="57">
        <f>IF(OR(A2972="",H2972=""),"",IF(COUNTIFS(exp_year,C2972,exp_month,D2972,exp_item,E2972,exp_status,"&lt;&gt;❌ Отменено")&gt;0,1,0))</f>
        <v/>
      </c>
    </row>
    <row r="2973">
      <c r="A2973" s="52" t="n"/>
      <c r="B2973" s="53">
        <f>IF(A2973="","",CHOOSE(WEEKDAY(A2973,2),"Пн","Вт","Ср","Чт","Пт","Сб","Вс"))</f>
        <v/>
      </c>
      <c r="C2973" s="53">
        <f>IF(A2973="","",YEAR(A2973))</f>
        <v/>
      </c>
      <c r="D2973" s="54">
        <f>IF(A2973="","",INDEX(lst_months,MONTH(A2973)))</f>
        <v/>
      </c>
      <c r="E2973" s="55" t="n"/>
      <c r="F2973" s="54">
        <f>IF(E2973="","",IFERROR(IF(INDEX(lst_exp_item_cat,MATCH(E2973,lst_exp_items,0))="","❔ Без категории",INDEX(lst_exp_item_cat,MATCH(E2973,lst_exp_items,0))),"❔ Без категории"))</f>
        <v/>
      </c>
      <c r="G2973" s="43" t="n"/>
      <c r="H2973" s="56" t="n"/>
      <c r="I2973" s="43" t="n"/>
      <c r="J2973" s="57">
        <f>IF(OR(A2973="",H2973=""),"",IF(COUNTIFS(exp_year,C2973,exp_month,D2973,exp_item,E2973,exp_status,"&lt;&gt;❌ Отменено")&gt;0,1,0))</f>
        <v/>
      </c>
    </row>
    <row r="2974">
      <c r="A2974" s="52" t="n"/>
      <c r="B2974" s="53">
        <f>IF(A2974="","",CHOOSE(WEEKDAY(A2974,2),"Пн","Вт","Ср","Чт","Пт","Сб","Вс"))</f>
        <v/>
      </c>
      <c r="C2974" s="53">
        <f>IF(A2974="","",YEAR(A2974))</f>
        <v/>
      </c>
      <c r="D2974" s="54">
        <f>IF(A2974="","",INDEX(lst_months,MONTH(A2974)))</f>
        <v/>
      </c>
      <c r="E2974" s="55" t="n"/>
      <c r="F2974" s="54">
        <f>IF(E2974="","",IFERROR(IF(INDEX(lst_exp_item_cat,MATCH(E2974,lst_exp_items,0))="","❔ Без категории",INDEX(lst_exp_item_cat,MATCH(E2974,lst_exp_items,0))),"❔ Без категории"))</f>
        <v/>
      </c>
      <c r="G2974" s="43" t="n"/>
      <c r="H2974" s="56" t="n"/>
      <c r="I2974" s="43" t="n"/>
      <c r="J2974" s="57">
        <f>IF(OR(A2974="",H2974=""),"",IF(COUNTIFS(exp_year,C2974,exp_month,D2974,exp_item,E2974,exp_status,"&lt;&gt;❌ Отменено")&gt;0,1,0))</f>
        <v/>
      </c>
    </row>
    <row r="2975">
      <c r="A2975" s="52" t="n"/>
      <c r="B2975" s="53">
        <f>IF(A2975="","",CHOOSE(WEEKDAY(A2975,2),"Пн","Вт","Ср","Чт","Пт","Сб","Вс"))</f>
        <v/>
      </c>
      <c r="C2975" s="53">
        <f>IF(A2975="","",YEAR(A2975))</f>
        <v/>
      </c>
      <c r="D2975" s="54">
        <f>IF(A2975="","",INDEX(lst_months,MONTH(A2975)))</f>
        <v/>
      </c>
      <c r="E2975" s="55" t="n"/>
      <c r="F2975" s="54">
        <f>IF(E2975="","",IFERROR(IF(INDEX(lst_exp_item_cat,MATCH(E2975,lst_exp_items,0))="","❔ Без категории",INDEX(lst_exp_item_cat,MATCH(E2975,lst_exp_items,0))),"❔ Без категории"))</f>
        <v/>
      </c>
      <c r="G2975" s="43" t="n"/>
      <c r="H2975" s="56" t="n"/>
      <c r="I2975" s="43" t="n"/>
      <c r="J2975" s="57">
        <f>IF(OR(A2975="",H2975=""),"",IF(COUNTIFS(exp_year,C2975,exp_month,D2975,exp_item,E2975,exp_status,"&lt;&gt;❌ Отменено")&gt;0,1,0))</f>
        <v/>
      </c>
    </row>
    <row r="2976">
      <c r="A2976" s="52" t="n"/>
      <c r="B2976" s="53">
        <f>IF(A2976="","",CHOOSE(WEEKDAY(A2976,2),"Пн","Вт","Ср","Чт","Пт","Сб","Вс"))</f>
        <v/>
      </c>
      <c r="C2976" s="53">
        <f>IF(A2976="","",YEAR(A2976))</f>
        <v/>
      </c>
      <c r="D2976" s="54">
        <f>IF(A2976="","",INDEX(lst_months,MONTH(A2976)))</f>
        <v/>
      </c>
      <c r="E2976" s="55" t="n"/>
      <c r="F2976" s="54">
        <f>IF(E2976="","",IFERROR(IF(INDEX(lst_exp_item_cat,MATCH(E2976,lst_exp_items,0))="","❔ Без категории",INDEX(lst_exp_item_cat,MATCH(E2976,lst_exp_items,0))),"❔ Без категории"))</f>
        <v/>
      </c>
      <c r="G2976" s="43" t="n"/>
      <c r="H2976" s="56" t="n"/>
      <c r="I2976" s="43" t="n"/>
      <c r="J2976" s="57">
        <f>IF(OR(A2976="",H2976=""),"",IF(COUNTIFS(exp_year,C2976,exp_month,D2976,exp_item,E2976,exp_status,"&lt;&gt;❌ Отменено")&gt;0,1,0))</f>
        <v/>
      </c>
    </row>
    <row r="2977">
      <c r="A2977" s="52" t="n"/>
      <c r="B2977" s="53">
        <f>IF(A2977="","",CHOOSE(WEEKDAY(A2977,2),"Пн","Вт","Ср","Чт","Пт","Сб","Вс"))</f>
        <v/>
      </c>
      <c r="C2977" s="53">
        <f>IF(A2977="","",YEAR(A2977))</f>
        <v/>
      </c>
      <c r="D2977" s="54">
        <f>IF(A2977="","",INDEX(lst_months,MONTH(A2977)))</f>
        <v/>
      </c>
      <c r="E2977" s="55" t="n"/>
      <c r="F2977" s="54">
        <f>IF(E2977="","",IFERROR(IF(INDEX(lst_exp_item_cat,MATCH(E2977,lst_exp_items,0))="","❔ Без категории",INDEX(lst_exp_item_cat,MATCH(E2977,lst_exp_items,0))),"❔ Без категории"))</f>
        <v/>
      </c>
      <c r="G2977" s="43" t="n"/>
      <c r="H2977" s="56" t="n"/>
      <c r="I2977" s="43" t="n"/>
      <c r="J2977" s="57">
        <f>IF(OR(A2977="",H2977=""),"",IF(COUNTIFS(exp_year,C2977,exp_month,D2977,exp_item,E2977,exp_status,"&lt;&gt;❌ Отменено")&gt;0,1,0))</f>
        <v/>
      </c>
    </row>
    <row r="2978">
      <c r="A2978" s="52" t="n"/>
      <c r="B2978" s="53">
        <f>IF(A2978="","",CHOOSE(WEEKDAY(A2978,2),"Пн","Вт","Ср","Чт","Пт","Сб","Вс"))</f>
        <v/>
      </c>
      <c r="C2978" s="53">
        <f>IF(A2978="","",YEAR(A2978))</f>
        <v/>
      </c>
      <c r="D2978" s="54">
        <f>IF(A2978="","",INDEX(lst_months,MONTH(A2978)))</f>
        <v/>
      </c>
      <c r="E2978" s="55" t="n"/>
      <c r="F2978" s="54">
        <f>IF(E2978="","",IFERROR(IF(INDEX(lst_exp_item_cat,MATCH(E2978,lst_exp_items,0))="","❔ Без категории",INDEX(lst_exp_item_cat,MATCH(E2978,lst_exp_items,0))),"❔ Без категории"))</f>
        <v/>
      </c>
      <c r="G2978" s="43" t="n"/>
      <c r="H2978" s="56" t="n"/>
      <c r="I2978" s="43" t="n"/>
      <c r="J2978" s="57">
        <f>IF(OR(A2978="",H2978=""),"",IF(COUNTIFS(exp_year,C2978,exp_month,D2978,exp_item,E2978,exp_status,"&lt;&gt;❌ Отменено")&gt;0,1,0))</f>
        <v/>
      </c>
    </row>
    <row r="2979">
      <c r="A2979" s="52" t="n"/>
      <c r="B2979" s="53">
        <f>IF(A2979="","",CHOOSE(WEEKDAY(A2979,2),"Пн","Вт","Ср","Чт","Пт","Сб","Вс"))</f>
        <v/>
      </c>
      <c r="C2979" s="53">
        <f>IF(A2979="","",YEAR(A2979))</f>
        <v/>
      </c>
      <c r="D2979" s="54">
        <f>IF(A2979="","",INDEX(lst_months,MONTH(A2979)))</f>
        <v/>
      </c>
      <c r="E2979" s="55" t="n"/>
      <c r="F2979" s="54">
        <f>IF(E2979="","",IFERROR(IF(INDEX(lst_exp_item_cat,MATCH(E2979,lst_exp_items,0))="","❔ Без категории",INDEX(lst_exp_item_cat,MATCH(E2979,lst_exp_items,0))),"❔ Без категории"))</f>
        <v/>
      </c>
      <c r="G2979" s="43" t="n"/>
      <c r="H2979" s="56" t="n"/>
      <c r="I2979" s="43" t="n"/>
      <c r="J2979" s="57">
        <f>IF(OR(A2979="",H2979=""),"",IF(COUNTIFS(exp_year,C2979,exp_month,D2979,exp_item,E2979,exp_status,"&lt;&gt;❌ Отменено")&gt;0,1,0))</f>
        <v/>
      </c>
    </row>
    <row r="2980">
      <c r="A2980" s="52" t="n"/>
      <c r="B2980" s="53">
        <f>IF(A2980="","",CHOOSE(WEEKDAY(A2980,2),"Пн","Вт","Ср","Чт","Пт","Сб","Вс"))</f>
        <v/>
      </c>
      <c r="C2980" s="53">
        <f>IF(A2980="","",YEAR(A2980))</f>
        <v/>
      </c>
      <c r="D2980" s="54">
        <f>IF(A2980="","",INDEX(lst_months,MONTH(A2980)))</f>
        <v/>
      </c>
      <c r="E2980" s="55" t="n"/>
      <c r="F2980" s="54">
        <f>IF(E2980="","",IFERROR(IF(INDEX(lst_exp_item_cat,MATCH(E2980,lst_exp_items,0))="","❔ Без категории",INDEX(lst_exp_item_cat,MATCH(E2980,lst_exp_items,0))),"❔ Без категории"))</f>
        <v/>
      </c>
      <c r="G2980" s="43" t="n"/>
      <c r="H2980" s="56" t="n"/>
      <c r="I2980" s="43" t="n"/>
      <c r="J2980" s="57">
        <f>IF(OR(A2980="",H2980=""),"",IF(COUNTIFS(exp_year,C2980,exp_month,D2980,exp_item,E2980,exp_status,"&lt;&gt;❌ Отменено")&gt;0,1,0))</f>
        <v/>
      </c>
    </row>
    <row r="2981">
      <c r="A2981" s="52" t="n"/>
      <c r="B2981" s="53">
        <f>IF(A2981="","",CHOOSE(WEEKDAY(A2981,2),"Пн","Вт","Ср","Чт","Пт","Сб","Вс"))</f>
        <v/>
      </c>
      <c r="C2981" s="53">
        <f>IF(A2981="","",YEAR(A2981))</f>
        <v/>
      </c>
      <c r="D2981" s="54">
        <f>IF(A2981="","",INDEX(lst_months,MONTH(A2981)))</f>
        <v/>
      </c>
      <c r="E2981" s="55" t="n"/>
      <c r="F2981" s="54">
        <f>IF(E2981="","",IFERROR(IF(INDEX(lst_exp_item_cat,MATCH(E2981,lst_exp_items,0))="","❔ Без категории",INDEX(lst_exp_item_cat,MATCH(E2981,lst_exp_items,0))),"❔ Без категории"))</f>
        <v/>
      </c>
      <c r="G2981" s="43" t="n"/>
      <c r="H2981" s="56" t="n"/>
      <c r="I2981" s="43" t="n"/>
      <c r="J2981" s="57">
        <f>IF(OR(A2981="",H2981=""),"",IF(COUNTIFS(exp_year,C2981,exp_month,D2981,exp_item,E2981,exp_status,"&lt;&gt;❌ Отменено")&gt;0,1,0))</f>
        <v/>
      </c>
    </row>
    <row r="2982">
      <c r="A2982" s="52" t="n"/>
      <c r="B2982" s="53">
        <f>IF(A2982="","",CHOOSE(WEEKDAY(A2982,2),"Пн","Вт","Ср","Чт","Пт","Сб","Вс"))</f>
        <v/>
      </c>
      <c r="C2982" s="53">
        <f>IF(A2982="","",YEAR(A2982))</f>
        <v/>
      </c>
      <c r="D2982" s="54">
        <f>IF(A2982="","",INDEX(lst_months,MONTH(A2982)))</f>
        <v/>
      </c>
      <c r="E2982" s="55" t="n"/>
      <c r="F2982" s="54">
        <f>IF(E2982="","",IFERROR(IF(INDEX(lst_exp_item_cat,MATCH(E2982,lst_exp_items,0))="","❔ Без категории",INDEX(lst_exp_item_cat,MATCH(E2982,lst_exp_items,0))),"❔ Без категории"))</f>
        <v/>
      </c>
      <c r="G2982" s="43" t="n"/>
      <c r="H2982" s="56" t="n"/>
      <c r="I2982" s="43" t="n"/>
      <c r="J2982" s="57">
        <f>IF(OR(A2982="",H2982=""),"",IF(COUNTIFS(exp_year,C2982,exp_month,D2982,exp_item,E2982,exp_status,"&lt;&gt;❌ Отменено")&gt;0,1,0))</f>
        <v/>
      </c>
    </row>
    <row r="2983">
      <c r="A2983" s="52" t="n"/>
      <c r="B2983" s="53">
        <f>IF(A2983="","",CHOOSE(WEEKDAY(A2983,2),"Пн","Вт","Ср","Чт","Пт","Сб","Вс"))</f>
        <v/>
      </c>
      <c r="C2983" s="53">
        <f>IF(A2983="","",YEAR(A2983))</f>
        <v/>
      </c>
      <c r="D2983" s="54">
        <f>IF(A2983="","",INDEX(lst_months,MONTH(A2983)))</f>
        <v/>
      </c>
      <c r="E2983" s="55" t="n"/>
      <c r="F2983" s="54">
        <f>IF(E2983="","",IFERROR(IF(INDEX(lst_exp_item_cat,MATCH(E2983,lst_exp_items,0))="","❔ Без категории",INDEX(lst_exp_item_cat,MATCH(E2983,lst_exp_items,0))),"❔ Без категории"))</f>
        <v/>
      </c>
      <c r="G2983" s="43" t="n"/>
      <c r="H2983" s="56" t="n"/>
      <c r="I2983" s="43" t="n"/>
      <c r="J2983" s="57">
        <f>IF(OR(A2983="",H2983=""),"",IF(COUNTIFS(exp_year,C2983,exp_month,D2983,exp_item,E2983,exp_status,"&lt;&gt;❌ Отменено")&gt;0,1,0))</f>
        <v/>
      </c>
    </row>
    <row r="2984">
      <c r="A2984" s="52" t="n"/>
      <c r="B2984" s="53">
        <f>IF(A2984="","",CHOOSE(WEEKDAY(A2984,2),"Пн","Вт","Ср","Чт","Пт","Сб","Вс"))</f>
        <v/>
      </c>
      <c r="C2984" s="53">
        <f>IF(A2984="","",YEAR(A2984))</f>
        <v/>
      </c>
      <c r="D2984" s="54">
        <f>IF(A2984="","",INDEX(lst_months,MONTH(A2984)))</f>
        <v/>
      </c>
      <c r="E2984" s="55" t="n"/>
      <c r="F2984" s="54">
        <f>IF(E2984="","",IFERROR(IF(INDEX(lst_exp_item_cat,MATCH(E2984,lst_exp_items,0))="","❔ Без категории",INDEX(lst_exp_item_cat,MATCH(E2984,lst_exp_items,0))),"❔ Без категории"))</f>
        <v/>
      </c>
      <c r="G2984" s="43" t="n"/>
      <c r="H2984" s="56" t="n"/>
      <c r="I2984" s="43" t="n"/>
      <c r="J2984" s="57">
        <f>IF(OR(A2984="",H2984=""),"",IF(COUNTIFS(exp_year,C2984,exp_month,D2984,exp_item,E2984,exp_status,"&lt;&gt;❌ Отменено")&gt;0,1,0))</f>
        <v/>
      </c>
    </row>
    <row r="2985">
      <c r="A2985" s="52" t="n"/>
      <c r="B2985" s="53">
        <f>IF(A2985="","",CHOOSE(WEEKDAY(A2985,2),"Пн","Вт","Ср","Чт","Пт","Сб","Вс"))</f>
        <v/>
      </c>
      <c r="C2985" s="53">
        <f>IF(A2985="","",YEAR(A2985))</f>
        <v/>
      </c>
      <c r="D2985" s="54">
        <f>IF(A2985="","",INDEX(lst_months,MONTH(A2985)))</f>
        <v/>
      </c>
      <c r="E2985" s="55" t="n"/>
      <c r="F2985" s="54">
        <f>IF(E2985="","",IFERROR(IF(INDEX(lst_exp_item_cat,MATCH(E2985,lst_exp_items,0))="","❔ Без категории",INDEX(lst_exp_item_cat,MATCH(E2985,lst_exp_items,0))),"❔ Без категории"))</f>
        <v/>
      </c>
      <c r="G2985" s="43" t="n"/>
      <c r="H2985" s="56" t="n"/>
      <c r="I2985" s="43" t="n"/>
      <c r="J2985" s="57">
        <f>IF(OR(A2985="",H2985=""),"",IF(COUNTIFS(exp_year,C2985,exp_month,D2985,exp_item,E2985,exp_status,"&lt;&gt;❌ Отменено")&gt;0,1,0))</f>
        <v/>
      </c>
    </row>
    <row r="2986">
      <c r="A2986" s="52" t="n"/>
      <c r="B2986" s="53">
        <f>IF(A2986="","",CHOOSE(WEEKDAY(A2986,2),"Пн","Вт","Ср","Чт","Пт","Сб","Вс"))</f>
        <v/>
      </c>
      <c r="C2986" s="53">
        <f>IF(A2986="","",YEAR(A2986))</f>
        <v/>
      </c>
      <c r="D2986" s="54">
        <f>IF(A2986="","",INDEX(lst_months,MONTH(A2986)))</f>
        <v/>
      </c>
      <c r="E2986" s="55" t="n"/>
      <c r="F2986" s="54">
        <f>IF(E2986="","",IFERROR(IF(INDEX(lst_exp_item_cat,MATCH(E2986,lst_exp_items,0))="","❔ Без категории",INDEX(lst_exp_item_cat,MATCH(E2986,lst_exp_items,0))),"❔ Без категории"))</f>
        <v/>
      </c>
      <c r="G2986" s="43" t="n"/>
      <c r="H2986" s="56" t="n"/>
      <c r="I2986" s="43" t="n"/>
      <c r="J2986" s="57">
        <f>IF(OR(A2986="",H2986=""),"",IF(COUNTIFS(exp_year,C2986,exp_month,D2986,exp_item,E2986,exp_status,"&lt;&gt;❌ Отменено")&gt;0,1,0))</f>
        <v/>
      </c>
    </row>
    <row r="2987">
      <c r="A2987" s="52" t="n"/>
      <c r="B2987" s="53">
        <f>IF(A2987="","",CHOOSE(WEEKDAY(A2987,2),"Пн","Вт","Ср","Чт","Пт","Сб","Вс"))</f>
        <v/>
      </c>
      <c r="C2987" s="53">
        <f>IF(A2987="","",YEAR(A2987))</f>
        <v/>
      </c>
      <c r="D2987" s="54">
        <f>IF(A2987="","",INDEX(lst_months,MONTH(A2987)))</f>
        <v/>
      </c>
      <c r="E2987" s="55" t="n"/>
      <c r="F2987" s="54">
        <f>IF(E2987="","",IFERROR(IF(INDEX(lst_exp_item_cat,MATCH(E2987,lst_exp_items,0))="","❔ Без категории",INDEX(lst_exp_item_cat,MATCH(E2987,lst_exp_items,0))),"❔ Без категории"))</f>
        <v/>
      </c>
      <c r="G2987" s="43" t="n"/>
      <c r="H2987" s="56" t="n"/>
      <c r="I2987" s="43" t="n"/>
      <c r="J2987" s="57">
        <f>IF(OR(A2987="",H2987=""),"",IF(COUNTIFS(exp_year,C2987,exp_month,D2987,exp_item,E2987,exp_status,"&lt;&gt;❌ Отменено")&gt;0,1,0))</f>
        <v/>
      </c>
    </row>
    <row r="2988">
      <c r="A2988" s="52" t="n"/>
      <c r="B2988" s="53">
        <f>IF(A2988="","",CHOOSE(WEEKDAY(A2988,2),"Пн","Вт","Ср","Чт","Пт","Сб","Вс"))</f>
        <v/>
      </c>
      <c r="C2988" s="53">
        <f>IF(A2988="","",YEAR(A2988))</f>
        <v/>
      </c>
      <c r="D2988" s="54">
        <f>IF(A2988="","",INDEX(lst_months,MONTH(A2988)))</f>
        <v/>
      </c>
      <c r="E2988" s="55" t="n"/>
      <c r="F2988" s="54">
        <f>IF(E2988="","",IFERROR(IF(INDEX(lst_exp_item_cat,MATCH(E2988,lst_exp_items,0))="","❔ Без категории",INDEX(lst_exp_item_cat,MATCH(E2988,lst_exp_items,0))),"❔ Без категории"))</f>
        <v/>
      </c>
      <c r="G2988" s="43" t="n"/>
      <c r="H2988" s="56" t="n"/>
      <c r="I2988" s="43" t="n"/>
      <c r="J2988" s="57">
        <f>IF(OR(A2988="",H2988=""),"",IF(COUNTIFS(exp_year,C2988,exp_month,D2988,exp_item,E2988,exp_status,"&lt;&gt;❌ Отменено")&gt;0,1,0))</f>
        <v/>
      </c>
    </row>
    <row r="2989">
      <c r="A2989" s="52" t="n"/>
      <c r="B2989" s="53">
        <f>IF(A2989="","",CHOOSE(WEEKDAY(A2989,2),"Пн","Вт","Ср","Чт","Пт","Сб","Вс"))</f>
        <v/>
      </c>
      <c r="C2989" s="53">
        <f>IF(A2989="","",YEAR(A2989))</f>
        <v/>
      </c>
      <c r="D2989" s="54">
        <f>IF(A2989="","",INDEX(lst_months,MONTH(A2989)))</f>
        <v/>
      </c>
      <c r="E2989" s="55" t="n"/>
      <c r="F2989" s="54">
        <f>IF(E2989="","",IFERROR(IF(INDEX(lst_exp_item_cat,MATCH(E2989,lst_exp_items,0))="","❔ Без категории",INDEX(lst_exp_item_cat,MATCH(E2989,lst_exp_items,0))),"❔ Без категории"))</f>
        <v/>
      </c>
      <c r="G2989" s="43" t="n"/>
      <c r="H2989" s="56" t="n"/>
      <c r="I2989" s="43" t="n"/>
      <c r="J2989" s="57">
        <f>IF(OR(A2989="",H2989=""),"",IF(COUNTIFS(exp_year,C2989,exp_month,D2989,exp_item,E2989,exp_status,"&lt;&gt;❌ Отменено")&gt;0,1,0))</f>
        <v/>
      </c>
    </row>
    <row r="2990">
      <c r="A2990" s="52" t="n"/>
      <c r="B2990" s="53">
        <f>IF(A2990="","",CHOOSE(WEEKDAY(A2990,2),"Пн","Вт","Ср","Чт","Пт","Сб","Вс"))</f>
        <v/>
      </c>
      <c r="C2990" s="53">
        <f>IF(A2990="","",YEAR(A2990))</f>
        <v/>
      </c>
      <c r="D2990" s="54">
        <f>IF(A2990="","",INDEX(lst_months,MONTH(A2990)))</f>
        <v/>
      </c>
      <c r="E2990" s="55" t="n"/>
      <c r="F2990" s="54">
        <f>IF(E2990="","",IFERROR(IF(INDEX(lst_exp_item_cat,MATCH(E2990,lst_exp_items,0))="","❔ Без категории",INDEX(lst_exp_item_cat,MATCH(E2990,lst_exp_items,0))),"❔ Без категории"))</f>
        <v/>
      </c>
      <c r="G2990" s="43" t="n"/>
      <c r="H2990" s="56" t="n"/>
      <c r="I2990" s="43" t="n"/>
      <c r="J2990" s="57">
        <f>IF(OR(A2990="",H2990=""),"",IF(COUNTIFS(exp_year,C2990,exp_month,D2990,exp_item,E2990,exp_status,"&lt;&gt;❌ Отменено")&gt;0,1,0))</f>
        <v/>
      </c>
    </row>
    <row r="2991">
      <c r="A2991" s="52" t="n"/>
      <c r="B2991" s="53">
        <f>IF(A2991="","",CHOOSE(WEEKDAY(A2991,2),"Пн","Вт","Ср","Чт","Пт","Сб","Вс"))</f>
        <v/>
      </c>
      <c r="C2991" s="53">
        <f>IF(A2991="","",YEAR(A2991))</f>
        <v/>
      </c>
      <c r="D2991" s="54">
        <f>IF(A2991="","",INDEX(lst_months,MONTH(A2991)))</f>
        <v/>
      </c>
      <c r="E2991" s="55" t="n"/>
      <c r="F2991" s="54">
        <f>IF(E2991="","",IFERROR(IF(INDEX(lst_exp_item_cat,MATCH(E2991,lst_exp_items,0))="","❔ Без категории",INDEX(lst_exp_item_cat,MATCH(E2991,lst_exp_items,0))),"❔ Без категории"))</f>
        <v/>
      </c>
      <c r="G2991" s="43" t="n"/>
      <c r="H2991" s="56" t="n"/>
      <c r="I2991" s="43" t="n"/>
      <c r="J2991" s="57">
        <f>IF(OR(A2991="",H2991=""),"",IF(COUNTIFS(exp_year,C2991,exp_month,D2991,exp_item,E2991,exp_status,"&lt;&gt;❌ Отменено")&gt;0,1,0))</f>
        <v/>
      </c>
    </row>
    <row r="2992">
      <c r="A2992" s="52" t="n"/>
      <c r="B2992" s="53">
        <f>IF(A2992="","",CHOOSE(WEEKDAY(A2992,2),"Пн","Вт","Ср","Чт","Пт","Сб","Вс"))</f>
        <v/>
      </c>
      <c r="C2992" s="53">
        <f>IF(A2992="","",YEAR(A2992))</f>
        <v/>
      </c>
      <c r="D2992" s="54">
        <f>IF(A2992="","",INDEX(lst_months,MONTH(A2992)))</f>
        <v/>
      </c>
      <c r="E2992" s="55" t="n"/>
      <c r="F2992" s="54">
        <f>IF(E2992="","",IFERROR(IF(INDEX(lst_exp_item_cat,MATCH(E2992,lst_exp_items,0))="","❔ Без категории",INDEX(lst_exp_item_cat,MATCH(E2992,lst_exp_items,0))),"❔ Без категории"))</f>
        <v/>
      </c>
      <c r="G2992" s="43" t="n"/>
      <c r="H2992" s="56" t="n"/>
      <c r="I2992" s="43" t="n"/>
      <c r="J2992" s="57">
        <f>IF(OR(A2992="",H2992=""),"",IF(COUNTIFS(exp_year,C2992,exp_month,D2992,exp_item,E2992,exp_status,"&lt;&gt;❌ Отменено")&gt;0,1,0))</f>
        <v/>
      </c>
    </row>
    <row r="2993">
      <c r="A2993" s="52" t="n"/>
      <c r="B2993" s="53">
        <f>IF(A2993="","",CHOOSE(WEEKDAY(A2993,2),"Пн","Вт","Ср","Чт","Пт","Сб","Вс"))</f>
        <v/>
      </c>
      <c r="C2993" s="53">
        <f>IF(A2993="","",YEAR(A2993))</f>
        <v/>
      </c>
      <c r="D2993" s="54">
        <f>IF(A2993="","",INDEX(lst_months,MONTH(A2993)))</f>
        <v/>
      </c>
      <c r="E2993" s="55" t="n"/>
      <c r="F2993" s="54">
        <f>IF(E2993="","",IFERROR(IF(INDEX(lst_exp_item_cat,MATCH(E2993,lst_exp_items,0))="","❔ Без категории",INDEX(lst_exp_item_cat,MATCH(E2993,lst_exp_items,0))),"❔ Без категории"))</f>
        <v/>
      </c>
      <c r="G2993" s="43" t="n"/>
      <c r="H2993" s="56" t="n"/>
      <c r="I2993" s="43" t="n"/>
      <c r="J2993" s="57">
        <f>IF(OR(A2993="",H2993=""),"",IF(COUNTIFS(exp_year,C2993,exp_month,D2993,exp_item,E2993,exp_status,"&lt;&gt;❌ Отменено")&gt;0,1,0))</f>
        <v/>
      </c>
    </row>
    <row r="2994">
      <c r="A2994" s="52" t="n"/>
      <c r="B2994" s="53">
        <f>IF(A2994="","",CHOOSE(WEEKDAY(A2994,2),"Пн","Вт","Ср","Чт","Пт","Сб","Вс"))</f>
        <v/>
      </c>
      <c r="C2994" s="53">
        <f>IF(A2994="","",YEAR(A2994))</f>
        <v/>
      </c>
      <c r="D2994" s="54">
        <f>IF(A2994="","",INDEX(lst_months,MONTH(A2994)))</f>
        <v/>
      </c>
      <c r="E2994" s="55" t="n"/>
      <c r="F2994" s="54">
        <f>IF(E2994="","",IFERROR(IF(INDEX(lst_exp_item_cat,MATCH(E2994,lst_exp_items,0))="","❔ Без категории",INDEX(lst_exp_item_cat,MATCH(E2994,lst_exp_items,0))),"❔ Без категории"))</f>
        <v/>
      </c>
      <c r="G2994" s="43" t="n"/>
      <c r="H2994" s="56" t="n"/>
      <c r="I2994" s="43" t="n"/>
      <c r="J2994" s="57">
        <f>IF(OR(A2994="",H2994=""),"",IF(COUNTIFS(exp_year,C2994,exp_month,D2994,exp_item,E2994,exp_status,"&lt;&gt;❌ Отменено")&gt;0,1,0))</f>
        <v/>
      </c>
    </row>
    <row r="2995">
      <c r="A2995" s="52" t="n"/>
      <c r="B2995" s="53">
        <f>IF(A2995="","",CHOOSE(WEEKDAY(A2995,2),"Пн","Вт","Ср","Чт","Пт","Сб","Вс"))</f>
        <v/>
      </c>
      <c r="C2995" s="53">
        <f>IF(A2995="","",YEAR(A2995))</f>
        <v/>
      </c>
      <c r="D2995" s="54">
        <f>IF(A2995="","",INDEX(lst_months,MONTH(A2995)))</f>
        <v/>
      </c>
      <c r="E2995" s="55" t="n"/>
      <c r="F2995" s="54">
        <f>IF(E2995="","",IFERROR(IF(INDEX(lst_exp_item_cat,MATCH(E2995,lst_exp_items,0))="","❔ Без категории",INDEX(lst_exp_item_cat,MATCH(E2995,lst_exp_items,0))),"❔ Без категории"))</f>
        <v/>
      </c>
      <c r="G2995" s="43" t="n"/>
      <c r="H2995" s="56" t="n"/>
      <c r="I2995" s="43" t="n"/>
      <c r="J2995" s="57">
        <f>IF(OR(A2995="",H2995=""),"",IF(COUNTIFS(exp_year,C2995,exp_month,D2995,exp_item,E2995,exp_status,"&lt;&gt;❌ Отменено")&gt;0,1,0))</f>
        <v/>
      </c>
    </row>
    <row r="2996">
      <c r="A2996" s="52" t="n"/>
      <c r="B2996" s="53">
        <f>IF(A2996="","",CHOOSE(WEEKDAY(A2996,2),"Пн","Вт","Ср","Чт","Пт","Сб","Вс"))</f>
        <v/>
      </c>
      <c r="C2996" s="53">
        <f>IF(A2996="","",YEAR(A2996))</f>
        <v/>
      </c>
      <c r="D2996" s="54">
        <f>IF(A2996="","",INDEX(lst_months,MONTH(A2996)))</f>
        <v/>
      </c>
      <c r="E2996" s="55" t="n"/>
      <c r="F2996" s="54">
        <f>IF(E2996="","",IFERROR(IF(INDEX(lst_exp_item_cat,MATCH(E2996,lst_exp_items,0))="","❔ Без категории",INDEX(lst_exp_item_cat,MATCH(E2996,lst_exp_items,0))),"❔ Без категории"))</f>
        <v/>
      </c>
      <c r="G2996" s="43" t="n"/>
      <c r="H2996" s="56" t="n"/>
      <c r="I2996" s="43" t="n"/>
      <c r="J2996" s="57">
        <f>IF(OR(A2996="",H2996=""),"",IF(COUNTIFS(exp_year,C2996,exp_month,D2996,exp_item,E2996,exp_status,"&lt;&gt;❌ Отменено")&gt;0,1,0))</f>
        <v/>
      </c>
    </row>
    <row r="2997">
      <c r="A2997" s="52" t="n"/>
      <c r="B2997" s="53">
        <f>IF(A2997="","",CHOOSE(WEEKDAY(A2997,2),"Пн","Вт","Ср","Чт","Пт","Сб","Вс"))</f>
        <v/>
      </c>
      <c r="C2997" s="53">
        <f>IF(A2997="","",YEAR(A2997))</f>
        <v/>
      </c>
      <c r="D2997" s="54">
        <f>IF(A2997="","",INDEX(lst_months,MONTH(A2997)))</f>
        <v/>
      </c>
      <c r="E2997" s="55" t="n"/>
      <c r="F2997" s="54">
        <f>IF(E2997="","",IFERROR(IF(INDEX(lst_exp_item_cat,MATCH(E2997,lst_exp_items,0))="","❔ Без категории",INDEX(lst_exp_item_cat,MATCH(E2997,lst_exp_items,0))),"❔ Без категории"))</f>
        <v/>
      </c>
      <c r="G2997" s="43" t="n"/>
      <c r="H2997" s="56" t="n"/>
      <c r="I2997" s="43" t="n"/>
      <c r="J2997" s="57">
        <f>IF(OR(A2997="",H2997=""),"",IF(COUNTIFS(exp_year,C2997,exp_month,D2997,exp_item,E2997,exp_status,"&lt;&gt;❌ Отменено")&gt;0,1,0))</f>
        <v/>
      </c>
    </row>
    <row r="2998">
      <c r="A2998" s="52" t="n"/>
      <c r="B2998" s="53">
        <f>IF(A2998="","",CHOOSE(WEEKDAY(A2998,2),"Пн","Вт","Ср","Чт","Пт","Сб","Вс"))</f>
        <v/>
      </c>
      <c r="C2998" s="53">
        <f>IF(A2998="","",YEAR(A2998))</f>
        <v/>
      </c>
      <c r="D2998" s="54">
        <f>IF(A2998="","",INDEX(lst_months,MONTH(A2998)))</f>
        <v/>
      </c>
      <c r="E2998" s="55" t="n"/>
      <c r="F2998" s="54">
        <f>IF(E2998="","",IFERROR(IF(INDEX(lst_exp_item_cat,MATCH(E2998,lst_exp_items,0))="","❔ Без категории",INDEX(lst_exp_item_cat,MATCH(E2998,lst_exp_items,0))),"❔ Без категории"))</f>
        <v/>
      </c>
      <c r="G2998" s="43" t="n"/>
      <c r="H2998" s="56" t="n"/>
      <c r="I2998" s="43" t="n"/>
      <c r="J2998" s="57">
        <f>IF(OR(A2998="",H2998=""),"",IF(COUNTIFS(exp_year,C2998,exp_month,D2998,exp_item,E2998,exp_status,"&lt;&gt;❌ Отменено")&gt;0,1,0))</f>
        <v/>
      </c>
    </row>
    <row r="2999">
      <c r="A2999" s="52" t="n"/>
      <c r="B2999" s="53">
        <f>IF(A2999="","",CHOOSE(WEEKDAY(A2999,2),"Пн","Вт","Ср","Чт","Пт","Сб","Вс"))</f>
        <v/>
      </c>
      <c r="C2999" s="53">
        <f>IF(A2999="","",YEAR(A2999))</f>
        <v/>
      </c>
      <c r="D2999" s="54">
        <f>IF(A2999="","",INDEX(lst_months,MONTH(A2999)))</f>
        <v/>
      </c>
      <c r="E2999" s="55" t="n"/>
      <c r="F2999" s="54">
        <f>IF(E2999="","",IFERROR(IF(INDEX(lst_exp_item_cat,MATCH(E2999,lst_exp_items,0))="","❔ Без категории",INDEX(lst_exp_item_cat,MATCH(E2999,lst_exp_items,0))),"❔ Без категории"))</f>
        <v/>
      </c>
      <c r="G2999" s="43" t="n"/>
      <c r="H2999" s="56" t="n"/>
      <c r="I2999" s="43" t="n"/>
      <c r="J2999" s="57">
        <f>IF(OR(A2999="",H2999=""),"",IF(COUNTIFS(exp_year,C2999,exp_month,D2999,exp_item,E2999,exp_status,"&lt;&gt;❌ Отменено")&gt;0,1,0))</f>
        <v/>
      </c>
    </row>
    <row r="3000">
      <c r="A3000" s="52" t="n"/>
      <c r="B3000" s="53">
        <f>IF(A3000="","",CHOOSE(WEEKDAY(A3000,2),"Пн","Вт","Ср","Чт","Пт","Сб","Вс"))</f>
        <v/>
      </c>
      <c r="C3000" s="53">
        <f>IF(A3000="","",YEAR(A3000))</f>
        <v/>
      </c>
      <c r="D3000" s="54">
        <f>IF(A3000="","",INDEX(lst_months,MONTH(A3000)))</f>
        <v/>
      </c>
      <c r="E3000" s="55" t="n"/>
      <c r="F3000" s="54">
        <f>IF(E3000="","",IFERROR(IF(INDEX(lst_exp_item_cat,MATCH(E3000,lst_exp_items,0))="","❔ Без категории",INDEX(lst_exp_item_cat,MATCH(E3000,lst_exp_items,0))),"❔ Без категории"))</f>
        <v/>
      </c>
      <c r="G3000" s="43" t="n"/>
      <c r="H3000" s="56" t="n"/>
      <c r="I3000" s="43" t="n"/>
      <c r="J3000" s="57">
        <f>IF(OR(A3000="",H3000=""),"",IF(COUNTIFS(exp_year,C3000,exp_month,D3000,exp_item,E3000,exp_status,"&lt;&gt;❌ Отменено")&gt;0,1,0))</f>
        <v/>
      </c>
    </row>
    <row r="3001">
      <c r="A3001" s="52" t="n"/>
      <c r="B3001" s="53">
        <f>IF(A3001="","",CHOOSE(WEEKDAY(A3001,2),"Пн","Вт","Ср","Чт","Пт","Сб","Вс"))</f>
        <v/>
      </c>
      <c r="C3001" s="53">
        <f>IF(A3001="","",YEAR(A3001))</f>
        <v/>
      </c>
      <c r="D3001" s="54">
        <f>IF(A3001="","",INDEX(lst_months,MONTH(A3001)))</f>
        <v/>
      </c>
      <c r="E3001" s="55" t="n"/>
      <c r="F3001" s="54">
        <f>IF(E3001="","",IFERROR(IF(INDEX(lst_exp_item_cat,MATCH(E3001,lst_exp_items,0))="","❔ Без категории",INDEX(lst_exp_item_cat,MATCH(E3001,lst_exp_items,0))),"❔ Без категории"))</f>
        <v/>
      </c>
      <c r="G3001" s="43" t="n"/>
      <c r="H3001" s="56" t="n"/>
      <c r="I3001" s="43" t="n"/>
      <c r="J3001" s="57">
        <f>IF(OR(A3001="",H3001=""),"",IF(COUNTIFS(exp_year,C3001,exp_month,D3001,exp_item,E3001,exp_status,"&lt;&gt;❌ Отменено")&gt;0,1,0))</f>
        <v/>
      </c>
    </row>
    <row r="3002">
      <c r="A3002" s="52" t="n"/>
      <c r="B3002" s="53">
        <f>IF(A3002="","",CHOOSE(WEEKDAY(A3002,2),"Пн","Вт","Ср","Чт","Пт","Сб","Вс"))</f>
        <v/>
      </c>
      <c r="C3002" s="53">
        <f>IF(A3002="","",YEAR(A3002))</f>
        <v/>
      </c>
      <c r="D3002" s="54">
        <f>IF(A3002="","",INDEX(lst_months,MONTH(A3002)))</f>
        <v/>
      </c>
      <c r="E3002" s="55" t="n"/>
      <c r="F3002" s="54">
        <f>IF(E3002="","",IFERROR(IF(INDEX(lst_exp_item_cat,MATCH(E3002,lst_exp_items,0))="","❔ Без категории",INDEX(lst_exp_item_cat,MATCH(E3002,lst_exp_items,0))),"❔ Без категории"))</f>
        <v/>
      </c>
      <c r="G3002" s="43" t="n"/>
      <c r="H3002" s="56" t="n"/>
      <c r="I3002" s="43" t="n"/>
      <c r="J3002" s="57">
        <f>IF(OR(A3002="",H3002=""),"",IF(COUNTIFS(exp_year,C3002,exp_month,D3002,exp_item,E3002,exp_status,"&lt;&gt;❌ Отменено")&gt;0,1,0))</f>
        <v/>
      </c>
    </row>
    <row r="3003">
      <c r="A3003" s="52" t="n"/>
      <c r="B3003" s="53">
        <f>IF(A3003="","",CHOOSE(WEEKDAY(A3003,2),"Пн","Вт","Ср","Чт","Пт","Сб","Вс"))</f>
        <v/>
      </c>
      <c r="C3003" s="53">
        <f>IF(A3003="","",YEAR(A3003))</f>
        <v/>
      </c>
      <c r="D3003" s="54">
        <f>IF(A3003="","",INDEX(lst_months,MONTH(A3003)))</f>
        <v/>
      </c>
      <c r="E3003" s="55" t="n"/>
      <c r="F3003" s="54">
        <f>IF(E3003="","",IFERROR(IF(INDEX(lst_exp_item_cat,MATCH(E3003,lst_exp_items,0))="","❔ Без категории",INDEX(lst_exp_item_cat,MATCH(E3003,lst_exp_items,0))),"❔ Без категории"))</f>
        <v/>
      </c>
      <c r="G3003" s="43" t="n"/>
      <c r="H3003" s="56" t="n"/>
      <c r="I3003" s="43" t="n"/>
      <c r="J3003" s="57">
        <f>IF(OR(A3003="",H3003=""),"",IF(COUNTIFS(exp_year,C3003,exp_month,D3003,exp_item,E3003,exp_status,"&lt;&gt;❌ Отменено")&gt;0,1,0))</f>
        <v/>
      </c>
    </row>
    <row r="3004">
      <c r="A3004" s="52" t="n"/>
      <c r="B3004" s="53">
        <f>IF(A3004="","",CHOOSE(WEEKDAY(A3004,2),"Пн","Вт","Ср","Чт","Пт","Сб","Вс"))</f>
        <v/>
      </c>
      <c r="C3004" s="53">
        <f>IF(A3004="","",YEAR(A3004))</f>
        <v/>
      </c>
      <c r="D3004" s="54">
        <f>IF(A3004="","",INDEX(lst_months,MONTH(A3004)))</f>
        <v/>
      </c>
      <c r="E3004" s="55" t="n"/>
      <c r="F3004" s="54">
        <f>IF(E3004="","",IFERROR(IF(INDEX(lst_exp_item_cat,MATCH(E3004,lst_exp_items,0))="","❔ Без категории",INDEX(lst_exp_item_cat,MATCH(E3004,lst_exp_items,0))),"❔ Без категории"))</f>
        <v/>
      </c>
      <c r="G3004" s="43" t="n"/>
      <c r="H3004" s="56" t="n"/>
      <c r="I3004" s="43" t="n"/>
      <c r="J3004" s="57">
        <f>IF(OR(A3004="",H3004=""),"",IF(COUNTIFS(exp_year,C3004,exp_month,D3004,exp_item,E3004,exp_status,"&lt;&gt;❌ Отменено")&gt;0,1,0))</f>
        <v/>
      </c>
    </row>
    <row r="3005">
      <c r="A3005" s="52" t="n"/>
      <c r="B3005" s="53">
        <f>IF(A3005="","",CHOOSE(WEEKDAY(A3005,2),"Пн","Вт","Ср","Чт","Пт","Сб","Вс"))</f>
        <v/>
      </c>
      <c r="C3005" s="53">
        <f>IF(A3005="","",YEAR(A3005))</f>
        <v/>
      </c>
      <c r="D3005" s="54">
        <f>IF(A3005="","",INDEX(lst_months,MONTH(A3005)))</f>
        <v/>
      </c>
      <c r="E3005" s="55" t="n"/>
      <c r="F3005" s="54">
        <f>IF(E3005="","",IFERROR(IF(INDEX(lst_exp_item_cat,MATCH(E3005,lst_exp_items,0))="","❔ Без категории",INDEX(lst_exp_item_cat,MATCH(E3005,lst_exp_items,0))),"❔ Без категории"))</f>
        <v/>
      </c>
      <c r="G3005" s="43" t="n"/>
      <c r="H3005" s="56" t="n"/>
      <c r="I3005" s="43" t="n"/>
      <c r="J3005" s="57">
        <f>IF(OR(A3005="",H3005=""),"",IF(COUNTIFS(exp_year,C3005,exp_month,D3005,exp_item,E3005,exp_status,"&lt;&gt;❌ Отменено")&gt;0,1,0))</f>
        <v/>
      </c>
    </row>
    <row r="3006">
      <c r="A3006" s="52" t="n"/>
      <c r="B3006" s="53">
        <f>IF(A3006="","",CHOOSE(WEEKDAY(A3006,2),"Пн","Вт","Ср","Чт","Пт","Сб","Вс"))</f>
        <v/>
      </c>
      <c r="C3006" s="53">
        <f>IF(A3006="","",YEAR(A3006))</f>
        <v/>
      </c>
      <c r="D3006" s="54">
        <f>IF(A3006="","",INDEX(lst_months,MONTH(A3006)))</f>
        <v/>
      </c>
      <c r="E3006" s="55" t="n"/>
      <c r="F3006" s="54">
        <f>IF(E3006="","",IFERROR(IF(INDEX(lst_exp_item_cat,MATCH(E3006,lst_exp_items,0))="","❔ Без категории",INDEX(lst_exp_item_cat,MATCH(E3006,lst_exp_items,0))),"❔ Без категории"))</f>
        <v/>
      </c>
      <c r="G3006" s="43" t="n"/>
      <c r="H3006" s="56" t="n"/>
      <c r="I3006" s="43" t="n"/>
      <c r="J3006" s="57">
        <f>IF(OR(A3006="",H3006=""),"",IF(COUNTIFS(exp_year,C3006,exp_month,D3006,exp_item,E3006,exp_status,"&lt;&gt;❌ Отменено")&gt;0,1,0))</f>
        <v/>
      </c>
    </row>
    <row r="3007">
      <c r="A3007" s="52" t="n"/>
      <c r="B3007" s="53">
        <f>IF(A3007="","",CHOOSE(WEEKDAY(A3007,2),"Пн","Вт","Ср","Чт","Пт","Сб","Вс"))</f>
        <v/>
      </c>
      <c r="C3007" s="53">
        <f>IF(A3007="","",YEAR(A3007))</f>
        <v/>
      </c>
      <c r="D3007" s="54">
        <f>IF(A3007="","",INDEX(lst_months,MONTH(A3007)))</f>
        <v/>
      </c>
      <c r="E3007" s="55" t="n"/>
      <c r="F3007" s="54">
        <f>IF(E3007="","",IFERROR(IF(INDEX(lst_exp_item_cat,MATCH(E3007,lst_exp_items,0))="","❔ Без категории",INDEX(lst_exp_item_cat,MATCH(E3007,lst_exp_items,0))),"❔ Без категории"))</f>
        <v/>
      </c>
      <c r="G3007" s="43" t="n"/>
      <c r="H3007" s="56" t="n"/>
      <c r="I3007" s="43" t="n"/>
      <c r="J3007" s="57">
        <f>IF(OR(A3007="",H3007=""),"",IF(COUNTIFS(exp_year,C3007,exp_month,D3007,exp_item,E3007,exp_status,"&lt;&gt;❌ Отменено")&gt;0,1,0))</f>
        <v/>
      </c>
    </row>
    <row r="3008">
      <c r="A3008" s="52" t="n"/>
      <c r="B3008" s="53">
        <f>IF(A3008="","",CHOOSE(WEEKDAY(A3008,2),"Пн","Вт","Ср","Чт","Пт","Сб","Вс"))</f>
        <v/>
      </c>
      <c r="C3008" s="53">
        <f>IF(A3008="","",YEAR(A3008))</f>
        <v/>
      </c>
      <c r="D3008" s="54">
        <f>IF(A3008="","",INDEX(lst_months,MONTH(A3008)))</f>
        <v/>
      </c>
      <c r="E3008" s="55" t="n"/>
      <c r="F3008" s="54">
        <f>IF(E3008="","",IFERROR(IF(INDEX(lst_exp_item_cat,MATCH(E3008,lst_exp_items,0))="","❔ Без категории",INDEX(lst_exp_item_cat,MATCH(E3008,lst_exp_items,0))),"❔ Без категории"))</f>
        <v/>
      </c>
      <c r="G3008" s="43" t="n"/>
      <c r="H3008" s="56" t="n"/>
      <c r="I3008" s="43" t="n"/>
      <c r="J3008" s="57">
        <f>IF(OR(A3008="",H3008=""),"",IF(COUNTIFS(exp_year,C3008,exp_month,D3008,exp_item,E3008,exp_status,"&lt;&gt;❌ Отменено")&gt;0,1,0))</f>
        <v/>
      </c>
    </row>
    <row r="3009">
      <c r="A3009" s="52" t="n"/>
      <c r="B3009" s="53">
        <f>IF(A3009="","",CHOOSE(WEEKDAY(A3009,2),"Пн","Вт","Ср","Чт","Пт","Сб","Вс"))</f>
        <v/>
      </c>
      <c r="C3009" s="53">
        <f>IF(A3009="","",YEAR(A3009))</f>
        <v/>
      </c>
      <c r="D3009" s="54">
        <f>IF(A3009="","",INDEX(lst_months,MONTH(A3009)))</f>
        <v/>
      </c>
      <c r="E3009" s="55" t="n"/>
      <c r="F3009" s="54">
        <f>IF(E3009="","",IFERROR(IF(INDEX(lst_exp_item_cat,MATCH(E3009,lst_exp_items,0))="","❔ Без категории",INDEX(lst_exp_item_cat,MATCH(E3009,lst_exp_items,0))),"❔ Без категории"))</f>
        <v/>
      </c>
      <c r="G3009" s="43" t="n"/>
      <c r="H3009" s="56" t="n"/>
      <c r="I3009" s="43" t="n"/>
      <c r="J3009" s="57">
        <f>IF(OR(A3009="",H3009=""),"",IF(COUNTIFS(exp_year,C3009,exp_month,D3009,exp_item,E3009,exp_status,"&lt;&gt;❌ Отменено")&gt;0,1,0))</f>
        <v/>
      </c>
    </row>
    <row r="3010">
      <c r="A3010" s="52" t="n"/>
      <c r="B3010" s="53">
        <f>IF(A3010="","",CHOOSE(WEEKDAY(A3010,2),"Пн","Вт","Ср","Чт","Пт","Сб","Вс"))</f>
        <v/>
      </c>
      <c r="C3010" s="53">
        <f>IF(A3010="","",YEAR(A3010))</f>
        <v/>
      </c>
      <c r="D3010" s="54">
        <f>IF(A3010="","",INDEX(lst_months,MONTH(A3010)))</f>
        <v/>
      </c>
      <c r="E3010" s="55" t="n"/>
      <c r="F3010" s="54">
        <f>IF(E3010="","",IFERROR(IF(INDEX(lst_exp_item_cat,MATCH(E3010,lst_exp_items,0))="","❔ Без категории",INDEX(lst_exp_item_cat,MATCH(E3010,lst_exp_items,0))),"❔ Без категории"))</f>
        <v/>
      </c>
      <c r="G3010" s="43" t="n"/>
      <c r="H3010" s="56" t="n"/>
      <c r="I3010" s="43" t="n"/>
      <c r="J3010" s="57">
        <f>IF(OR(A3010="",H3010=""),"",IF(COUNTIFS(exp_year,C3010,exp_month,D3010,exp_item,E3010,exp_status,"&lt;&gt;❌ Отменено")&gt;0,1,0))</f>
        <v/>
      </c>
    </row>
    <row r="3011">
      <c r="A3011" s="52" t="n"/>
      <c r="B3011" s="53">
        <f>IF(A3011="","",CHOOSE(WEEKDAY(A3011,2),"Пн","Вт","Ср","Чт","Пт","Сб","Вс"))</f>
        <v/>
      </c>
      <c r="C3011" s="53">
        <f>IF(A3011="","",YEAR(A3011))</f>
        <v/>
      </c>
      <c r="D3011" s="54">
        <f>IF(A3011="","",INDEX(lst_months,MONTH(A3011)))</f>
        <v/>
      </c>
      <c r="E3011" s="55" t="n"/>
      <c r="F3011" s="54">
        <f>IF(E3011="","",IFERROR(IF(INDEX(lst_exp_item_cat,MATCH(E3011,lst_exp_items,0))="","❔ Без категории",INDEX(lst_exp_item_cat,MATCH(E3011,lst_exp_items,0))),"❔ Без категории"))</f>
        <v/>
      </c>
      <c r="G3011" s="43" t="n"/>
      <c r="H3011" s="56" t="n"/>
      <c r="I3011" s="43" t="n"/>
      <c r="J3011" s="57">
        <f>IF(OR(A3011="",H3011=""),"",IF(COUNTIFS(exp_year,C3011,exp_month,D3011,exp_item,E3011,exp_status,"&lt;&gt;❌ Отменено")&gt;0,1,0))</f>
        <v/>
      </c>
    </row>
    <row r="3012">
      <c r="A3012" s="52" t="n"/>
      <c r="B3012" s="53">
        <f>IF(A3012="","",CHOOSE(WEEKDAY(A3012,2),"Пн","Вт","Ср","Чт","Пт","Сб","Вс"))</f>
        <v/>
      </c>
      <c r="C3012" s="53">
        <f>IF(A3012="","",YEAR(A3012))</f>
        <v/>
      </c>
      <c r="D3012" s="54">
        <f>IF(A3012="","",INDEX(lst_months,MONTH(A3012)))</f>
        <v/>
      </c>
      <c r="E3012" s="55" t="n"/>
      <c r="F3012" s="54">
        <f>IF(E3012="","",IFERROR(IF(INDEX(lst_exp_item_cat,MATCH(E3012,lst_exp_items,0))="","❔ Без категории",INDEX(lst_exp_item_cat,MATCH(E3012,lst_exp_items,0))),"❔ Без категории"))</f>
        <v/>
      </c>
      <c r="G3012" s="43" t="n"/>
      <c r="H3012" s="56" t="n"/>
      <c r="I3012" s="43" t="n"/>
      <c r="J3012" s="57">
        <f>IF(OR(A3012="",H3012=""),"",IF(COUNTIFS(exp_year,C3012,exp_month,D3012,exp_item,E3012,exp_status,"&lt;&gt;❌ Отменено")&gt;0,1,0))</f>
        <v/>
      </c>
    </row>
    <row r="3013">
      <c r="A3013" s="52" t="n"/>
      <c r="B3013" s="53">
        <f>IF(A3013="","",CHOOSE(WEEKDAY(A3013,2),"Пн","Вт","Ср","Чт","Пт","Сб","Вс"))</f>
        <v/>
      </c>
      <c r="C3013" s="53">
        <f>IF(A3013="","",YEAR(A3013))</f>
        <v/>
      </c>
      <c r="D3013" s="54">
        <f>IF(A3013="","",INDEX(lst_months,MONTH(A3013)))</f>
        <v/>
      </c>
      <c r="E3013" s="55" t="n"/>
      <c r="F3013" s="54">
        <f>IF(E3013="","",IFERROR(IF(INDEX(lst_exp_item_cat,MATCH(E3013,lst_exp_items,0))="","❔ Без категории",INDEX(lst_exp_item_cat,MATCH(E3013,lst_exp_items,0))),"❔ Без категории"))</f>
        <v/>
      </c>
      <c r="G3013" s="43" t="n"/>
      <c r="H3013" s="56" t="n"/>
      <c r="I3013" s="43" t="n"/>
      <c r="J3013" s="57">
        <f>IF(OR(A3013="",H3013=""),"",IF(COUNTIFS(exp_year,C3013,exp_month,D3013,exp_item,E3013,exp_status,"&lt;&gt;❌ Отменено")&gt;0,1,0))</f>
        <v/>
      </c>
    </row>
    <row r="3014">
      <c r="A3014" s="52" t="n"/>
      <c r="B3014" s="53">
        <f>IF(A3014="","",CHOOSE(WEEKDAY(A3014,2),"Пн","Вт","Ср","Чт","Пт","Сб","Вс"))</f>
        <v/>
      </c>
      <c r="C3014" s="53">
        <f>IF(A3014="","",YEAR(A3014))</f>
        <v/>
      </c>
      <c r="D3014" s="54">
        <f>IF(A3014="","",INDEX(lst_months,MONTH(A3014)))</f>
        <v/>
      </c>
      <c r="E3014" s="55" t="n"/>
      <c r="F3014" s="54">
        <f>IF(E3014="","",IFERROR(IF(INDEX(lst_exp_item_cat,MATCH(E3014,lst_exp_items,0))="","❔ Без категории",INDEX(lst_exp_item_cat,MATCH(E3014,lst_exp_items,0))),"❔ Без категории"))</f>
        <v/>
      </c>
      <c r="G3014" s="43" t="n"/>
      <c r="H3014" s="56" t="n"/>
      <c r="I3014" s="43" t="n"/>
      <c r="J3014" s="57">
        <f>IF(OR(A3014="",H3014=""),"",IF(COUNTIFS(exp_year,C3014,exp_month,D3014,exp_item,E3014,exp_status,"&lt;&gt;❌ Отменено")&gt;0,1,0))</f>
        <v/>
      </c>
    </row>
    <row r="3015">
      <c r="A3015" s="52" t="n"/>
      <c r="B3015" s="53">
        <f>IF(A3015="","",CHOOSE(WEEKDAY(A3015,2),"Пн","Вт","Ср","Чт","Пт","Сб","Вс"))</f>
        <v/>
      </c>
      <c r="C3015" s="53">
        <f>IF(A3015="","",YEAR(A3015))</f>
        <v/>
      </c>
      <c r="D3015" s="54">
        <f>IF(A3015="","",INDEX(lst_months,MONTH(A3015)))</f>
        <v/>
      </c>
      <c r="E3015" s="55" t="n"/>
      <c r="F3015" s="54">
        <f>IF(E3015="","",IFERROR(IF(INDEX(lst_exp_item_cat,MATCH(E3015,lst_exp_items,0))="","❔ Без категории",INDEX(lst_exp_item_cat,MATCH(E3015,lst_exp_items,0))),"❔ Без категории"))</f>
        <v/>
      </c>
      <c r="G3015" s="43" t="n"/>
      <c r="H3015" s="56" t="n"/>
      <c r="I3015" s="43" t="n"/>
      <c r="J3015" s="57">
        <f>IF(OR(A3015="",H3015=""),"",IF(COUNTIFS(exp_year,C3015,exp_month,D3015,exp_item,E3015,exp_status,"&lt;&gt;❌ Отменено")&gt;0,1,0))</f>
        <v/>
      </c>
    </row>
    <row r="3016">
      <c r="A3016" s="52" t="n"/>
      <c r="B3016" s="53">
        <f>IF(A3016="","",CHOOSE(WEEKDAY(A3016,2),"Пн","Вт","Ср","Чт","Пт","Сб","Вс"))</f>
        <v/>
      </c>
      <c r="C3016" s="53">
        <f>IF(A3016="","",YEAR(A3016))</f>
        <v/>
      </c>
      <c r="D3016" s="54">
        <f>IF(A3016="","",INDEX(lst_months,MONTH(A3016)))</f>
        <v/>
      </c>
      <c r="E3016" s="55" t="n"/>
      <c r="F3016" s="54">
        <f>IF(E3016="","",IFERROR(IF(INDEX(lst_exp_item_cat,MATCH(E3016,lst_exp_items,0))="","❔ Без категории",INDEX(lst_exp_item_cat,MATCH(E3016,lst_exp_items,0))),"❔ Без категории"))</f>
        <v/>
      </c>
      <c r="G3016" s="43" t="n"/>
      <c r="H3016" s="56" t="n"/>
      <c r="I3016" s="43" t="n"/>
      <c r="J3016" s="57">
        <f>IF(OR(A3016="",H3016=""),"",IF(COUNTIFS(exp_year,C3016,exp_month,D3016,exp_item,E3016,exp_status,"&lt;&gt;❌ Отменено")&gt;0,1,0))</f>
        <v/>
      </c>
    </row>
    <row r="3017">
      <c r="A3017" s="52" t="n"/>
      <c r="B3017" s="53">
        <f>IF(A3017="","",CHOOSE(WEEKDAY(A3017,2),"Пн","Вт","Ср","Чт","Пт","Сб","Вс"))</f>
        <v/>
      </c>
      <c r="C3017" s="53">
        <f>IF(A3017="","",YEAR(A3017))</f>
        <v/>
      </c>
      <c r="D3017" s="54">
        <f>IF(A3017="","",INDEX(lst_months,MONTH(A3017)))</f>
        <v/>
      </c>
      <c r="E3017" s="55" t="n"/>
      <c r="F3017" s="54">
        <f>IF(E3017="","",IFERROR(IF(INDEX(lst_exp_item_cat,MATCH(E3017,lst_exp_items,0))="","❔ Без категории",INDEX(lst_exp_item_cat,MATCH(E3017,lst_exp_items,0))),"❔ Без категории"))</f>
        <v/>
      </c>
      <c r="G3017" s="43" t="n"/>
      <c r="H3017" s="56" t="n"/>
      <c r="I3017" s="43" t="n"/>
      <c r="J3017" s="57">
        <f>IF(OR(A3017="",H3017=""),"",IF(COUNTIFS(exp_year,C3017,exp_month,D3017,exp_item,E3017,exp_status,"&lt;&gt;❌ Отменено")&gt;0,1,0))</f>
        <v/>
      </c>
    </row>
    <row r="3018">
      <c r="A3018" s="52" t="n"/>
      <c r="B3018" s="53">
        <f>IF(A3018="","",CHOOSE(WEEKDAY(A3018,2),"Пн","Вт","Ср","Чт","Пт","Сб","Вс"))</f>
        <v/>
      </c>
      <c r="C3018" s="53">
        <f>IF(A3018="","",YEAR(A3018))</f>
        <v/>
      </c>
      <c r="D3018" s="54">
        <f>IF(A3018="","",INDEX(lst_months,MONTH(A3018)))</f>
        <v/>
      </c>
      <c r="E3018" s="55" t="n"/>
      <c r="F3018" s="54">
        <f>IF(E3018="","",IFERROR(IF(INDEX(lst_exp_item_cat,MATCH(E3018,lst_exp_items,0))="","❔ Без категории",INDEX(lst_exp_item_cat,MATCH(E3018,lst_exp_items,0))),"❔ Без категории"))</f>
        <v/>
      </c>
      <c r="G3018" s="43" t="n"/>
      <c r="H3018" s="56" t="n"/>
      <c r="I3018" s="43" t="n"/>
      <c r="J3018" s="57">
        <f>IF(OR(A3018="",H3018=""),"",IF(COUNTIFS(exp_year,C3018,exp_month,D3018,exp_item,E3018,exp_status,"&lt;&gt;❌ Отменено")&gt;0,1,0))</f>
        <v/>
      </c>
    </row>
    <row r="3019">
      <c r="A3019" s="52" t="n"/>
      <c r="B3019" s="53">
        <f>IF(A3019="","",CHOOSE(WEEKDAY(A3019,2),"Пн","Вт","Ср","Чт","Пт","Сб","Вс"))</f>
        <v/>
      </c>
      <c r="C3019" s="53">
        <f>IF(A3019="","",YEAR(A3019))</f>
        <v/>
      </c>
      <c r="D3019" s="54">
        <f>IF(A3019="","",INDEX(lst_months,MONTH(A3019)))</f>
        <v/>
      </c>
      <c r="E3019" s="55" t="n"/>
      <c r="F3019" s="54">
        <f>IF(E3019="","",IFERROR(IF(INDEX(lst_exp_item_cat,MATCH(E3019,lst_exp_items,0))="","❔ Без категории",INDEX(lst_exp_item_cat,MATCH(E3019,lst_exp_items,0))),"❔ Без категории"))</f>
        <v/>
      </c>
      <c r="G3019" s="43" t="n"/>
      <c r="H3019" s="56" t="n"/>
      <c r="I3019" s="43" t="n"/>
      <c r="J3019" s="57">
        <f>IF(OR(A3019="",H3019=""),"",IF(COUNTIFS(exp_year,C3019,exp_month,D3019,exp_item,E3019,exp_status,"&lt;&gt;❌ Отменено")&gt;0,1,0))</f>
        <v/>
      </c>
    </row>
    <row r="3020">
      <c r="A3020" s="52" t="n"/>
      <c r="B3020" s="53">
        <f>IF(A3020="","",CHOOSE(WEEKDAY(A3020,2),"Пн","Вт","Ср","Чт","Пт","Сб","Вс"))</f>
        <v/>
      </c>
      <c r="C3020" s="53">
        <f>IF(A3020="","",YEAR(A3020))</f>
        <v/>
      </c>
      <c r="D3020" s="54">
        <f>IF(A3020="","",INDEX(lst_months,MONTH(A3020)))</f>
        <v/>
      </c>
      <c r="E3020" s="55" t="n"/>
      <c r="F3020" s="54">
        <f>IF(E3020="","",IFERROR(IF(INDEX(lst_exp_item_cat,MATCH(E3020,lst_exp_items,0))="","❔ Без категории",INDEX(lst_exp_item_cat,MATCH(E3020,lst_exp_items,0))),"❔ Без категории"))</f>
        <v/>
      </c>
      <c r="G3020" s="43" t="n"/>
      <c r="H3020" s="56" t="n"/>
      <c r="I3020" s="43" t="n"/>
      <c r="J3020" s="57">
        <f>IF(OR(A3020="",H3020=""),"",IF(COUNTIFS(exp_year,C3020,exp_month,D3020,exp_item,E3020,exp_status,"&lt;&gt;❌ Отменено")&gt;0,1,0))</f>
        <v/>
      </c>
    </row>
    <row r="3021">
      <c r="A3021" s="52" t="n"/>
      <c r="B3021" s="53">
        <f>IF(A3021="","",CHOOSE(WEEKDAY(A3021,2),"Пн","Вт","Ср","Чт","Пт","Сб","Вс"))</f>
        <v/>
      </c>
      <c r="C3021" s="53">
        <f>IF(A3021="","",YEAR(A3021))</f>
        <v/>
      </c>
      <c r="D3021" s="54">
        <f>IF(A3021="","",INDEX(lst_months,MONTH(A3021)))</f>
        <v/>
      </c>
      <c r="E3021" s="55" t="n"/>
      <c r="F3021" s="54">
        <f>IF(E3021="","",IFERROR(IF(INDEX(lst_exp_item_cat,MATCH(E3021,lst_exp_items,0))="","❔ Без категории",INDEX(lst_exp_item_cat,MATCH(E3021,lst_exp_items,0))),"❔ Без категории"))</f>
        <v/>
      </c>
      <c r="G3021" s="43" t="n"/>
      <c r="H3021" s="56" t="n"/>
      <c r="I3021" s="43" t="n"/>
      <c r="J3021" s="57">
        <f>IF(OR(A3021="",H3021=""),"",IF(COUNTIFS(exp_year,C3021,exp_month,D3021,exp_item,E3021,exp_status,"&lt;&gt;❌ Отменено")&gt;0,1,0))</f>
        <v/>
      </c>
    </row>
    <row r="3022">
      <c r="A3022" s="52" t="n"/>
      <c r="B3022" s="53">
        <f>IF(A3022="","",CHOOSE(WEEKDAY(A3022,2),"Пн","Вт","Ср","Чт","Пт","Сб","Вс"))</f>
        <v/>
      </c>
      <c r="C3022" s="53">
        <f>IF(A3022="","",YEAR(A3022))</f>
        <v/>
      </c>
      <c r="D3022" s="54">
        <f>IF(A3022="","",INDEX(lst_months,MONTH(A3022)))</f>
        <v/>
      </c>
      <c r="E3022" s="55" t="n"/>
      <c r="F3022" s="54">
        <f>IF(E3022="","",IFERROR(IF(INDEX(lst_exp_item_cat,MATCH(E3022,lst_exp_items,0))="","❔ Без категории",INDEX(lst_exp_item_cat,MATCH(E3022,lst_exp_items,0))),"❔ Без категории"))</f>
        <v/>
      </c>
      <c r="G3022" s="43" t="n"/>
      <c r="H3022" s="56" t="n"/>
      <c r="I3022" s="43" t="n"/>
      <c r="J3022" s="57">
        <f>IF(OR(A3022="",H3022=""),"",IF(COUNTIFS(exp_year,C3022,exp_month,D3022,exp_item,E3022,exp_status,"&lt;&gt;❌ Отменено")&gt;0,1,0))</f>
        <v/>
      </c>
    </row>
    <row r="3023">
      <c r="A3023" s="52" t="n"/>
      <c r="B3023" s="53">
        <f>IF(A3023="","",CHOOSE(WEEKDAY(A3023,2),"Пн","Вт","Ср","Чт","Пт","Сб","Вс"))</f>
        <v/>
      </c>
      <c r="C3023" s="53">
        <f>IF(A3023="","",YEAR(A3023))</f>
        <v/>
      </c>
      <c r="D3023" s="54">
        <f>IF(A3023="","",INDEX(lst_months,MONTH(A3023)))</f>
        <v/>
      </c>
      <c r="E3023" s="55" t="n"/>
      <c r="F3023" s="54">
        <f>IF(E3023="","",IFERROR(IF(INDEX(lst_exp_item_cat,MATCH(E3023,lst_exp_items,0))="","❔ Без категории",INDEX(lst_exp_item_cat,MATCH(E3023,lst_exp_items,0))),"❔ Без категории"))</f>
        <v/>
      </c>
      <c r="G3023" s="43" t="n"/>
      <c r="H3023" s="56" t="n"/>
      <c r="I3023" s="43" t="n"/>
      <c r="J3023" s="57">
        <f>IF(OR(A3023="",H3023=""),"",IF(COUNTIFS(exp_year,C3023,exp_month,D3023,exp_item,E3023,exp_status,"&lt;&gt;❌ Отменено")&gt;0,1,0))</f>
        <v/>
      </c>
    </row>
    <row r="3024">
      <c r="A3024" s="52" t="n"/>
      <c r="B3024" s="53">
        <f>IF(A3024="","",CHOOSE(WEEKDAY(A3024,2),"Пн","Вт","Ср","Чт","Пт","Сб","Вс"))</f>
        <v/>
      </c>
      <c r="C3024" s="53">
        <f>IF(A3024="","",YEAR(A3024))</f>
        <v/>
      </c>
      <c r="D3024" s="54">
        <f>IF(A3024="","",INDEX(lst_months,MONTH(A3024)))</f>
        <v/>
      </c>
      <c r="E3024" s="55" t="n"/>
      <c r="F3024" s="54">
        <f>IF(E3024="","",IFERROR(IF(INDEX(lst_exp_item_cat,MATCH(E3024,lst_exp_items,0))="","❔ Без категории",INDEX(lst_exp_item_cat,MATCH(E3024,lst_exp_items,0))),"❔ Без категории"))</f>
        <v/>
      </c>
      <c r="G3024" s="43" t="n"/>
      <c r="H3024" s="56" t="n"/>
      <c r="I3024" s="43" t="n"/>
      <c r="J3024" s="57">
        <f>IF(OR(A3024="",H3024=""),"",IF(COUNTIFS(exp_year,C3024,exp_month,D3024,exp_item,E3024,exp_status,"&lt;&gt;❌ Отменено")&gt;0,1,0))</f>
        <v/>
      </c>
    </row>
    <row r="3025">
      <c r="A3025" s="52" t="n"/>
      <c r="B3025" s="53">
        <f>IF(A3025="","",CHOOSE(WEEKDAY(A3025,2),"Пн","Вт","Ср","Чт","Пт","Сб","Вс"))</f>
        <v/>
      </c>
      <c r="C3025" s="53">
        <f>IF(A3025="","",YEAR(A3025))</f>
        <v/>
      </c>
      <c r="D3025" s="54">
        <f>IF(A3025="","",INDEX(lst_months,MONTH(A3025)))</f>
        <v/>
      </c>
      <c r="E3025" s="55" t="n"/>
      <c r="F3025" s="54">
        <f>IF(E3025="","",IFERROR(IF(INDEX(lst_exp_item_cat,MATCH(E3025,lst_exp_items,0))="","❔ Без категории",INDEX(lst_exp_item_cat,MATCH(E3025,lst_exp_items,0))),"❔ Без категории"))</f>
        <v/>
      </c>
      <c r="G3025" s="43" t="n"/>
      <c r="H3025" s="56" t="n"/>
      <c r="I3025" s="43" t="n"/>
      <c r="J3025" s="57">
        <f>IF(OR(A3025="",H3025=""),"",IF(COUNTIFS(exp_year,C3025,exp_month,D3025,exp_item,E3025,exp_status,"&lt;&gt;❌ Отменено")&gt;0,1,0))</f>
        <v/>
      </c>
    </row>
    <row r="3026">
      <c r="A3026" s="52" t="n"/>
      <c r="B3026" s="53">
        <f>IF(A3026="","",CHOOSE(WEEKDAY(A3026,2),"Пн","Вт","Ср","Чт","Пт","Сб","Вс"))</f>
        <v/>
      </c>
      <c r="C3026" s="53">
        <f>IF(A3026="","",YEAR(A3026))</f>
        <v/>
      </c>
      <c r="D3026" s="54">
        <f>IF(A3026="","",INDEX(lst_months,MONTH(A3026)))</f>
        <v/>
      </c>
      <c r="E3026" s="55" t="n"/>
      <c r="F3026" s="54">
        <f>IF(E3026="","",IFERROR(IF(INDEX(lst_exp_item_cat,MATCH(E3026,lst_exp_items,0))="","❔ Без категории",INDEX(lst_exp_item_cat,MATCH(E3026,lst_exp_items,0))),"❔ Без категории"))</f>
        <v/>
      </c>
      <c r="G3026" s="43" t="n"/>
      <c r="H3026" s="56" t="n"/>
      <c r="I3026" s="43" t="n"/>
      <c r="J3026" s="57">
        <f>IF(OR(A3026="",H3026=""),"",IF(COUNTIFS(exp_year,C3026,exp_month,D3026,exp_item,E3026,exp_status,"&lt;&gt;❌ Отменено")&gt;0,1,0))</f>
        <v/>
      </c>
    </row>
    <row r="3027">
      <c r="A3027" s="52" t="n"/>
      <c r="B3027" s="53">
        <f>IF(A3027="","",CHOOSE(WEEKDAY(A3027,2),"Пн","Вт","Ср","Чт","Пт","Сб","Вс"))</f>
        <v/>
      </c>
      <c r="C3027" s="53">
        <f>IF(A3027="","",YEAR(A3027))</f>
        <v/>
      </c>
      <c r="D3027" s="54">
        <f>IF(A3027="","",INDEX(lst_months,MONTH(A3027)))</f>
        <v/>
      </c>
      <c r="E3027" s="55" t="n"/>
      <c r="F3027" s="54">
        <f>IF(E3027="","",IFERROR(IF(INDEX(lst_exp_item_cat,MATCH(E3027,lst_exp_items,0))="","❔ Без категории",INDEX(lst_exp_item_cat,MATCH(E3027,lst_exp_items,0))),"❔ Без категории"))</f>
        <v/>
      </c>
      <c r="G3027" s="43" t="n"/>
      <c r="H3027" s="56" t="n"/>
      <c r="I3027" s="43" t="n"/>
      <c r="J3027" s="57">
        <f>IF(OR(A3027="",H3027=""),"",IF(COUNTIFS(exp_year,C3027,exp_month,D3027,exp_item,E3027,exp_status,"&lt;&gt;❌ Отменено")&gt;0,1,0))</f>
        <v/>
      </c>
    </row>
    <row r="3028">
      <c r="A3028" s="52" t="n"/>
      <c r="B3028" s="53">
        <f>IF(A3028="","",CHOOSE(WEEKDAY(A3028,2),"Пн","Вт","Ср","Чт","Пт","Сб","Вс"))</f>
        <v/>
      </c>
      <c r="C3028" s="53">
        <f>IF(A3028="","",YEAR(A3028))</f>
        <v/>
      </c>
      <c r="D3028" s="54">
        <f>IF(A3028="","",INDEX(lst_months,MONTH(A3028)))</f>
        <v/>
      </c>
      <c r="E3028" s="55" t="n"/>
      <c r="F3028" s="54">
        <f>IF(E3028="","",IFERROR(IF(INDEX(lst_exp_item_cat,MATCH(E3028,lst_exp_items,0))="","❔ Без категории",INDEX(lst_exp_item_cat,MATCH(E3028,lst_exp_items,0))),"❔ Без категории"))</f>
        <v/>
      </c>
      <c r="G3028" s="43" t="n"/>
      <c r="H3028" s="56" t="n"/>
      <c r="I3028" s="43" t="n"/>
      <c r="J3028" s="57">
        <f>IF(OR(A3028="",H3028=""),"",IF(COUNTIFS(exp_year,C3028,exp_month,D3028,exp_item,E3028,exp_status,"&lt;&gt;❌ Отменено")&gt;0,1,0))</f>
        <v/>
      </c>
    </row>
    <row r="3029">
      <c r="A3029" s="52" t="n"/>
      <c r="B3029" s="53">
        <f>IF(A3029="","",CHOOSE(WEEKDAY(A3029,2),"Пн","Вт","Ср","Чт","Пт","Сб","Вс"))</f>
        <v/>
      </c>
      <c r="C3029" s="53">
        <f>IF(A3029="","",YEAR(A3029))</f>
        <v/>
      </c>
      <c r="D3029" s="54">
        <f>IF(A3029="","",INDEX(lst_months,MONTH(A3029)))</f>
        <v/>
      </c>
      <c r="E3029" s="55" t="n"/>
      <c r="F3029" s="54">
        <f>IF(E3029="","",IFERROR(IF(INDEX(lst_exp_item_cat,MATCH(E3029,lst_exp_items,0))="","❔ Без категории",INDEX(lst_exp_item_cat,MATCH(E3029,lst_exp_items,0))),"❔ Без категории"))</f>
        <v/>
      </c>
      <c r="G3029" s="43" t="n"/>
      <c r="H3029" s="56" t="n"/>
      <c r="I3029" s="43" t="n"/>
      <c r="J3029" s="57">
        <f>IF(OR(A3029="",H3029=""),"",IF(COUNTIFS(exp_year,C3029,exp_month,D3029,exp_item,E3029,exp_status,"&lt;&gt;❌ Отменено")&gt;0,1,0))</f>
        <v/>
      </c>
    </row>
    <row r="3030">
      <c r="A3030" s="52" t="n"/>
      <c r="B3030" s="53">
        <f>IF(A3030="","",CHOOSE(WEEKDAY(A3030,2),"Пн","Вт","Ср","Чт","Пт","Сб","Вс"))</f>
        <v/>
      </c>
      <c r="C3030" s="53">
        <f>IF(A3030="","",YEAR(A3030))</f>
        <v/>
      </c>
      <c r="D3030" s="54">
        <f>IF(A3030="","",INDEX(lst_months,MONTH(A3030)))</f>
        <v/>
      </c>
      <c r="E3030" s="55" t="n"/>
      <c r="F3030" s="54">
        <f>IF(E3030="","",IFERROR(IF(INDEX(lst_exp_item_cat,MATCH(E3030,lst_exp_items,0))="","❔ Без категории",INDEX(lst_exp_item_cat,MATCH(E3030,lst_exp_items,0))),"❔ Без категории"))</f>
        <v/>
      </c>
      <c r="G3030" s="43" t="n"/>
      <c r="H3030" s="56" t="n"/>
      <c r="I3030" s="43" t="n"/>
      <c r="J3030" s="57">
        <f>IF(OR(A3030="",H3030=""),"",IF(COUNTIFS(exp_year,C3030,exp_month,D3030,exp_item,E3030,exp_status,"&lt;&gt;❌ Отменено")&gt;0,1,0))</f>
        <v/>
      </c>
    </row>
    <row r="3031">
      <c r="A3031" s="52" t="n"/>
      <c r="B3031" s="53">
        <f>IF(A3031="","",CHOOSE(WEEKDAY(A3031,2),"Пн","Вт","Ср","Чт","Пт","Сб","Вс"))</f>
        <v/>
      </c>
      <c r="C3031" s="53">
        <f>IF(A3031="","",YEAR(A3031))</f>
        <v/>
      </c>
      <c r="D3031" s="54">
        <f>IF(A3031="","",INDEX(lst_months,MONTH(A3031)))</f>
        <v/>
      </c>
      <c r="E3031" s="55" t="n"/>
      <c r="F3031" s="54">
        <f>IF(E3031="","",IFERROR(IF(INDEX(lst_exp_item_cat,MATCH(E3031,lst_exp_items,0))="","❔ Без категории",INDEX(lst_exp_item_cat,MATCH(E3031,lst_exp_items,0))),"❔ Без категории"))</f>
        <v/>
      </c>
      <c r="G3031" s="43" t="n"/>
      <c r="H3031" s="56" t="n"/>
      <c r="I3031" s="43" t="n"/>
      <c r="J3031" s="57">
        <f>IF(OR(A3031="",H3031=""),"",IF(COUNTIFS(exp_year,C3031,exp_month,D3031,exp_item,E3031,exp_status,"&lt;&gt;❌ Отменено")&gt;0,1,0))</f>
        <v/>
      </c>
    </row>
    <row r="3032">
      <c r="A3032" s="52" t="n"/>
      <c r="B3032" s="53">
        <f>IF(A3032="","",CHOOSE(WEEKDAY(A3032,2),"Пн","Вт","Ср","Чт","Пт","Сб","Вс"))</f>
        <v/>
      </c>
      <c r="C3032" s="53">
        <f>IF(A3032="","",YEAR(A3032))</f>
        <v/>
      </c>
      <c r="D3032" s="54">
        <f>IF(A3032="","",INDEX(lst_months,MONTH(A3032)))</f>
        <v/>
      </c>
      <c r="E3032" s="55" t="n"/>
      <c r="F3032" s="54">
        <f>IF(E3032="","",IFERROR(IF(INDEX(lst_exp_item_cat,MATCH(E3032,lst_exp_items,0))="","❔ Без категории",INDEX(lst_exp_item_cat,MATCH(E3032,lst_exp_items,0))),"❔ Без категории"))</f>
        <v/>
      </c>
      <c r="G3032" s="43" t="n"/>
      <c r="H3032" s="56" t="n"/>
      <c r="I3032" s="43" t="n"/>
      <c r="J3032" s="57">
        <f>IF(OR(A3032="",H3032=""),"",IF(COUNTIFS(exp_year,C3032,exp_month,D3032,exp_item,E3032,exp_status,"&lt;&gt;❌ Отменено")&gt;0,1,0))</f>
        <v/>
      </c>
    </row>
    <row r="3033">
      <c r="A3033" s="52" t="n"/>
      <c r="B3033" s="53">
        <f>IF(A3033="","",CHOOSE(WEEKDAY(A3033,2),"Пн","Вт","Ср","Чт","Пт","Сб","Вс"))</f>
        <v/>
      </c>
      <c r="C3033" s="53">
        <f>IF(A3033="","",YEAR(A3033))</f>
        <v/>
      </c>
      <c r="D3033" s="54">
        <f>IF(A3033="","",INDEX(lst_months,MONTH(A3033)))</f>
        <v/>
      </c>
      <c r="E3033" s="55" t="n"/>
      <c r="F3033" s="54">
        <f>IF(E3033="","",IFERROR(IF(INDEX(lst_exp_item_cat,MATCH(E3033,lst_exp_items,0))="","❔ Без категории",INDEX(lst_exp_item_cat,MATCH(E3033,lst_exp_items,0))),"❔ Без категории"))</f>
        <v/>
      </c>
      <c r="G3033" s="43" t="n"/>
      <c r="H3033" s="56" t="n"/>
      <c r="I3033" s="43" t="n"/>
      <c r="J3033" s="57">
        <f>IF(OR(A3033="",H3033=""),"",IF(COUNTIFS(exp_year,C3033,exp_month,D3033,exp_item,E3033,exp_status,"&lt;&gt;❌ Отменено")&gt;0,1,0))</f>
        <v/>
      </c>
    </row>
    <row r="3034">
      <c r="A3034" s="52" t="n"/>
      <c r="B3034" s="53">
        <f>IF(A3034="","",CHOOSE(WEEKDAY(A3034,2),"Пн","Вт","Ср","Чт","Пт","Сб","Вс"))</f>
        <v/>
      </c>
      <c r="C3034" s="53">
        <f>IF(A3034="","",YEAR(A3034))</f>
        <v/>
      </c>
      <c r="D3034" s="54">
        <f>IF(A3034="","",INDEX(lst_months,MONTH(A3034)))</f>
        <v/>
      </c>
      <c r="E3034" s="55" t="n"/>
      <c r="F3034" s="54">
        <f>IF(E3034="","",IFERROR(IF(INDEX(lst_exp_item_cat,MATCH(E3034,lst_exp_items,0))="","❔ Без категории",INDEX(lst_exp_item_cat,MATCH(E3034,lst_exp_items,0))),"❔ Без категории"))</f>
        <v/>
      </c>
      <c r="G3034" s="43" t="n"/>
      <c r="H3034" s="56" t="n"/>
      <c r="I3034" s="43" t="n"/>
      <c r="J3034" s="57">
        <f>IF(OR(A3034="",H3034=""),"",IF(COUNTIFS(exp_year,C3034,exp_month,D3034,exp_item,E3034,exp_status,"&lt;&gt;❌ Отменено")&gt;0,1,0))</f>
        <v/>
      </c>
    </row>
    <row r="3035">
      <c r="A3035" s="52" t="n"/>
      <c r="B3035" s="53">
        <f>IF(A3035="","",CHOOSE(WEEKDAY(A3035,2),"Пн","Вт","Ср","Чт","Пт","Сб","Вс"))</f>
        <v/>
      </c>
      <c r="C3035" s="53">
        <f>IF(A3035="","",YEAR(A3035))</f>
        <v/>
      </c>
      <c r="D3035" s="54">
        <f>IF(A3035="","",INDEX(lst_months,MONTH(A3035)))</f>
        <v/>
      </c>
      <c r="E3035" s="55" t="n"/>
      <c r="F3035" s="54">
        <f>IF(E3035="","",IFERROR(IF(INDEX(lst_exp_item_cat,MATCH(E3035,lst_exp_items,0))="","❔ Без категории",INDEX(lst_exp_item_cat,MATCH(E3035,lst_exp_items,0))),"❔ Без категории"))</f>
        <v/>
      </c>
      <c r="G3035" s="43" t="n"/>
      <c r="H3035" s="56" t="n"/>
      <c r="I3035" s="43" t="n"/>
      <c r="J3035" s="57">
        <f>IF(OR(A3035="",H3035=""),"",IF(COUNTIFS(exp_year,C3035,exp_month,D3035,exp_item,E3035,exp_status,"&lt;&gt;❌ Отменено")&gt;0,1,0))</f>
        <v/>
      </c>
    </row>
    <row r="3036">
      <c r="A3036" s="52" t="n"/>
      <c r="B3036" s="53">
        <f>IF(A3036="","",CHOOSE(WEEKDAY(A3036,2),"Пн","Вт","Ср","Чт","Пт","Сб","Вс"))</f>
        <v/>
      </c>
      <c r="C3036" s="53">
        <f>IF(A3036="","",YEAR(A3036))</f>
        <v/>
      </c>
      <c r="D3036" s="54">
        <f>IF(A3036="","",INDEX(lst_months,MONTH(A3036)))</f>
        <v/>
      </c>
      <c r="E3036" s="55" t="n"/>
      <c r="F3036" s="54">
        <f>IF(E3036="","",IFERROR(IF(INDEX(lst_exp_item_cat,MATCH(E3036,lst_exp_items,0))="","❔ Без категории",INDEX(lst_exp_item_cat,MATCH(E3036,lst_exp_items,0))),"❔ Без категории"))</f>
        <v/>
      </c>
      <c r="G3036" s="43" t="n"/>
      <c r="H3036" s="56" t="n"/>
      <c r="I3036" s="43" t="n"/>
      <c r="J3036" s="57">
        <f>IF(OR(A3036="",H3036=""),"",IF(COUNTIFS(exp_year,C3036,exp_month,D3036,exp_item,E3036,exp_status,"&lt;&gt;❌ Отменено")&gt;0,1,0))</f>
        <v/>
      </c>
    </row>
    <row r="3037">
      <c r="A3037" s="52" t="n"/>
      <c r="B3037" s="53">
        <f>IF(A3037="","",CHOOSE(WEEKDAY(A3037,2),"Пн","Вт","Ср","Чт","Пт","Сб","Вс"))</f>
        <v/>
      </c>
      <c r="C3037" s="53">
        <f>IF(A3037="","",YEAR(A3037))</f>
        <v/>
      </c>
      <c r="D3037" s="54">
        <f>IF(A3037="","",INDEX(lst_months,MONTH(A3037)))</f>
        <v/>
      </c>
      <c r="E3037" s="55" t="n"/>
      <c r="F3037" s="54">
        <f>IF(E3037="","",IFERROR(IF(INDEX(lst_exp_item_cat,MATCH(E3037,lst_exp_items,0))="","❔ Без категории",INDEX(lst_exp_item_cat,MATCH(E3037,lst_exp_items,0))),"❔ Без категории"))</f>
        <v/>
      </c>
      <c r="G3037" s="43" t="n"/>
      <c r="H3037" s="56" t="n"/>
      <c r="I3037" s="43" t="n"/>
      <c r="J3037" s="57">
        <f>IF(OR(A3037="",H3037=""),"",IF(COUNTIFS(exp_year,C3037,exp_month,D3037,exp_item,E3037,exp_status,"&lt;&gt;❌ Отменено")&gt;0,1,0))</f>
        <v/>
      </c>
    </row>
    <row r="3038">
      <c r="A3038" s="52" t="n"/>
      <c r="B3038" s="53">
        <f>IF(A3038="","",CHOOSE(WEEKDAY(A3038,2),"Пн","Вт","Ср","Чт","Пт","Сб","Вс"))</f>
        <v/>
      </c>
      <c r="C3038" s="53">
        <f>IF(A3038="","",YEAR(A3038))</f>
        <v/>
      </c>
      <c r="D3038" s="54">
        <f>IF(A3038="","",INDEX(lst_months,MONTH(A3038)))</f>
        <v/>
      </c>
      <c r="E3038" s="55" t="n"/>
      <c r="F3038" s="54">
        <f>IF(E3038="","",IFERROR(IF(INDEX(lst_exp_item_cat,MATCH(E3038,lst_exp_items,0))="","❔ Без категории",INDEX(lst_exp_item_cat,MATCH(E3038,lst_exp_items,0))),"❔ Без категории"))</f>
        <v/>
      </c>
      <c r="G3038" s="43" t="n"/>
      <c r="H3038" s="56" t="n"/>
      <c r="I3038" s="43" t="n"/>
      <c r="J3038" s="57">
        <f>IF(OR(A3038="",H3038=""),"",IF(COUNTIFS(exp_year,C3038,exp_month,D3038,exp_item,E3038,exp_status,"&lt;&gt;❌ Отменено")&gt;0,1,0))</f>
        <v/>
      </c>
    </row>
    <row r="3039">
      <c r="A3039" s="52" t="n"/>
      <c r="B3039" s="53">
        <f>IF(A3039="","",CHOOSE(WEEKDAY(A3039,2),"Пн","Вт","Ср","Чт","Пт","Сб","Вс"))</f>
        <v/>
      </c>
      <c r="C3039" s="53">
        <f>IF(A3039="","",YEAR(A3039))</f>
        <v/>
      </c>
      <c r="D3039" s="54">
        <f>IF(A3039="","",INDEX(lst_months,MONTH(A3039)))</f>
        <v/>
      </c>
      <c r="E3039" s="55" t="n"/>
      <c r="F3039" s="54">
        <f>IF(E3039="","",IFERROR(IF(INDEX(lst_exp_item_cat,MATCH(E3039,lst_exp_items,0))="","❔ Без категории",INDEX(lst_exp_item_cat,MATCH(E3039,lst_exp_items,0))),"❔ Без категории"))</f>
        <v/>
      </c>
      <c r="G3039" s="43" t="n"/>
      <c r="H3039" s="56" t="n"/>
      <c r="I3039" s="43" t="n"/>
      <c r="J3039" s="57">
        <f>IF(OR(A3039="",H3039=""),"",IF(COUNTIFS(exp_year,C3039,exp_month,D3039,exp_item,E3039,exp_status,"&lt;&gt;❌ Отменено")&gt;0,1,0))</f>
        <v/>
      </c>
    </row>
    <row r="3040">
      <c r="A3040" s="52" t="n"/>
      <c r="B3040" s="53">
        <f>IF(A3040="","",CHOOSE(WEEKDAY(A3040,2),"Пн","Вт","Ср","Чт","Пт","Сб","Вс"))</f>
        <v/>
      </c>
      <c r="C3040" s="53">
        <f>IF(A3040="","",YEAR(A3040))</f>
        <v/>
      </c>
      <c r="D3040" s="54">
        <f>IF(A3040="","",INDEX(lst_months,MONTH(A3040)))</f>
        <v/>
      </c>
      <c r="E3040" s="55" t="n"/>
      <c r="F3040" s="54">
        <f>IF(E3040="","",IFERROR(IF(INDEX(lst_exp_item_cat,MATCH(E3040,lst_exp_items,0))="","❔ Без категории",INDEX(lst_exp_item_cat,MATCH(E3040,lst_exp_items,0))),"❔ Без категории"))</f>
        <v/>
      </c>
      <c r="G3040" s="43" t="n"/>
      <c r="H3040" s="56" t="n"/>
      <c r="I3040" s="43" t="n"/>
      <c r="J3040" s="57">
        <f>IF(OR(A3040="",H3040=""),"",IF(COUNTIFS(exp_year,C3040,exp_month,D3040,exp_item,E3040,exp_status,"&lt;&gt;❌ Отменено")&gt;0,1,0))</f>
        <v/>
      </c>
    </row>
    <row r="3041">
      <c r="A3041" s="52" t="n"/>
      <c r="B3041" s="53">
        <f>IF(A3041="","",CHOOSE(WEEKDAY(A3041,2),"Пн","Вт","Ср","Чт","Пт","Сб","Вс"))</f>
        <v/>
      </c>
      <c r="C3041" s="53">
        <f>IF(A3041="","",YEAR(A3041))</f>
        <v/>
      </c>
      <c r="D3041" s="54">
        <f>IF(A3041="","",INDEX(lst_months,MONTH(A3041)))</f>
        <v/>
      </c>
      <c r="E3041" s="55" t="n"/>
      <c r="F3041" s="54">
        <f>IF(E3041="","",IFERROR(IF(INDEX(lst_exp_item_cat,MATCH(E3041,lst_exp_items,0))="","❔ Без категории",INDEX(lst_exp_item_cat,MATCH(E3041,lst_exp_items,0))),"❔ Без категории"))</f>
        <v/>
      </c>
      <c r="G3041" s="43" t="n"/>
      <c r="H3041" s="56" t="n"/>
      <c r="I3041" s="43" t="n"/>
      <c r="J3041" s="57">
        <f>IF(OR(A3041="",H3041=""),"",IF(COUNTIFS(exp_year,C3041,exp_month,D3041,exp_item,E3041,exp_status,"&lt;&gt;❌ Отменено")&gt;0,1,0))</f>
        <v/>
      </c>
    </row>
    <row r="3042">
      <c r="A3042" s="52" t="n"/>
      <c r="B3042" s="53">
        <f>IF(A3042="","",CHOOSE(WEEKDAY(A3042,2),"Пн","Вт","Ср","Чт","Пт","Сб","Вс"))</f>
        <v/>
      </c>
      <c r="C3042" s="53">
        <f>IF(A3042="","",YEAR(A3042))</f>
        <v/>
      </c>
      <c r="D3042" s="54">
        <f>IF(A3042="","",INDEX(lst_months,MONTH(A3042)))</f>
        <v/>
      </c>
      <c r="E3042" s="55" t="n"/>
      <c r="F3042" s="54">
        <f>IF(E3042="","",IFERROR(IF(INDEX(lst_exp_item_cat,MATCH(E3042,lst_exp_items,0))="","❔ Без категории",INDEX(lst_exp_item_cat,MATCH(E3042,lst_exp_items,0))),"❔ Без категории"))</f>
        <v/>
      </c>
      <c r="G3042" s="43" t="n"/>
      <c r="H3042" s="56" t="n"/>
      <c r="I3042" s="43" t="n"/>
      <c r="J3042" s="57">
        <f>IF(OR(A3042="",H3042=""),"",IF(COUNTIFS(exp_year,C3042,exp_month,D3042,exp_item,E3042,exp_status,"&lt;&gt;❌ Отменено")&gt;0,1,0))</f>
        <v/>
      </c>
    </row>
    <row r="3043">
      <c r="A3043" s="52" t="n"/>
      <c r="B3043" s="53">
        <f>IF(A3043="","",CHOOSE(WEEKDAY(A3043,2),"Пн","Вт","Ср","Чт","Пт","Сб","Вс"))</f>
        <v/>
      </c>
      <c r="C3043" s="53">
        <f>IF(A3043="","",YEAR(A3043))</f>
        <v/>
      </c>
      <c r="D3043" s="54">
        <f>IF(A3043="","",INDEX(lst_months,MONTH(A3043)))</f>
        <v/>
      </c>
      <c r="E3043" s="55" t="n"/>
      <c r="F3043" s="54">
        <f>IF(E3043="","",IFERROR(IF(INDEX(lst_exp_item_cat,MATCH(E3043,lst_exp_items,0))="","❔ Без категории",INDEX(lst_exp_item_cat,MATCH(E3043,lst_exp_items,0))),"❔ Без категории"))</f>
        <v/>
      </c>
      <c r="G3043" s="43" t="n"/>
      <c r="H3043" s="56" t="n"/>
      <c r="I3043" s="43" t="n"/>
      <c r="J3043" s="57">
        <f>IF(OR(A3043="",H3043=""),"",IF(COUNTIFS(exp_year,C3043,exp_month,D3043,exp_item,E3043,exp_status,"&lt;&gt;❌ Отменено")&gt;0,1,0))</f>
        <v/>
      </c>
    </row>
    <row r="3044">
      <c r="A3044" s="52" t="n"/>
      <c r="B3044" s="53">
        <f>IF(A3044="","",CHOOSE(WEEKDAY(A3044,2),"Пн","Вт","Ср","Чт","Пт","Сб","Вс"))</f>
        <v/>
      </c>
      <c r="C3044" s="53">
        <f>IF(A3044="","",YEAR(A3044))</f>
        <v/>
      </c>
      <c r="D3044" s="54">
        <f>IF(A3044="","",INDEX(lst_months,MONTH(A3044)))</f>
        <v/>
      </c>
      <c r="E3044" s="55" t="n"/>
      <c r="F3044" s="54">
        <f>IF(E3044="","",IFERROR(IF(INDEX(lst_exp_item_cat,MATCH(E3044,lst_exp_items,0))="","❔ Без категории",INDEX(lst_exp_item_cat,MATCH(E3044,lst_exp_items,0))),"❔ Без категории"))</f>
        <v/>
      </c>
      <c r="G3044" s="43" t="n"/>
      <c r="H3044" s="56" t="n"/>
      <c r="I3044" s="43" t="n"/>
      <c r="J3044" s="57">
        <f>IF(OR(A3044="",H3044=""),"",IF(COUNTIFS(exp_year,C3044,exp_month,D3044,exp_item,E3044,exp_status,"&lt;&gt;❌ Отменено")&gt;0,1,0))</f>
        <v/>
      </c>
    </row>
    <row r="3045">
      <c r="A3045" s="52" t="n"/>
      <c r="B3045" s="53">
        <f>IF(A3045="","",CHOOSE(WEEKDAY(A3045,2),"Пн","Вт","Ср","Чт","Пт","Сб","Вс"))</f>
        <v/>
      </c>
      <c r="C3045" s="53">
        <f>IF(A3045="","",YEAR(A3045))</f>
        <v/>
      </c>
      <c r="D3045" s="54">
        <f>IF(A3045="","",INDEX(lst_months,MONTH(A3045)))</f>
        <v/>
      </c>
      <c r="E3045" s="55" t="n"/>
      <c r="F3045" s="54">
        <f>IF(E3045="","",IFERROR(IF(INDEX(lst_exp_item_cat,MATCH(E3045,lst_exp_items,0))="","❔ Без категории",INDEX(lst_exp_item_cat,MATCH(E3045,lst_exp_items,0))),"❔ Без категории"))</f>
        <v/>
      </c>
      <c r="G3045" s="43" t="n"/>
      <c r="H3045" s="56" t="n"/>
      <c r="I3045" s="43" t="n"/>
      <c r="J3045" s="57">
        <f>IF(OR(A3045="",H3045=""),"",IF(COUNTIFS(exp_year,C3045,exp_month,D3045,exp_item,E3045,exp_status,"&lt;&gt;❌ Отменено")&gt;0,1,0))</f>
        <v/>
      </c>
    </row>
    <row r="3046">
      <c r="A3046" s="52" t="n"/>
      <c r="B3046" s="53">
        <f>IF(A3046="","",CHOOSE(WEEKDAY(A3046,2),"Пн","Вт","Ср","Чт","Пт","Сб","Вс"))</f>
        <v/>
      </c>
      <c r="C3046" s="53">
        <f>IF(A3046="","",YEAR(A3046))</f>
        <v/>
      </c>
      <c r="D3046" s="54">
        <f>IF(A3046="","",INDEX(lst_months,MONTH(A3046)))</f>
        <v/>
      </c>
      <c r="E3046" s="55" t="n"/>
      <c r="F3046" s="54">
        <f>IF(E3046="","",IFERROR(IF(INDEX(lst_exp_item_cat,MATCH(E3046,lst_exp_items,0))="","❔ Без категории",INDEX(lst_exp_item_cat,MATCH(E3046,lst_exp_items,0))),"❔ Без категории"))</f>
        <v/>
      </c>
      <c r="G3046" s="43" t="n"/>
      <c r="H3046" s="56" t="n"/>
      <c r="I3046" s="43" t="n"/>
      <c r="J3046" s="57">
        <f>IF(OR(A3046="",H3046=""),"",IF(COUNTIFS(exp_year,C3046,exp_month,D3046,exp_item,E3046,exp_status,"&lt;&gt;❌ Отменено")&gt;0,1,0))</f>
        <v/>
      </c>
    </row>
    <row r="3047">
      <c r="A3047" s="52" t="n"/>
      <c r="B3047" s="53">
        <f>IF(A3047="","",CHOOSE(WEEKDAY(A3047,2),"Пн","Вт","Ср","Чт","Пт","Сб","Вс"))</f>
        <v/>
      </c>
      <c r="C3047" s="53">
        <f>IF(A3047="","",YEAR(A3047))</f>
        <v/>
      </c>
      <c r="D3047" s="54">
        <f>IF(A3047="","",INDEX(lst_months,MONTH(A3047)))</f>
        <v/>
      </c>
      <c r="E3047" s="55" t="n"/>
      <c r="F3047" s="54">
        <f>IF(E3047="","",IFERROR(IF(INDEX(lst_exp_item_cat,MATCH(E3047,lst_exp_items,0))="","❔ Без категории",INDEX(lst_exp_item_cat,MATCH(E3047,lst_exp_items,0))),"❔ Без категории"))</f>
        <v/>
      </c>
      <c r="G3047" s="43" t="n"/>
      <c r="H3047" s="56" t="n"/>
      <c r="I3047" s="43" t="n"/>
      <c r="J3047" s="57">
        <f>IF(OR(A3047="",H3047=""),"",IF(COUNTIFS(exp_year,C3047,exp_month,D3047,exp_item,E3047,exp_status,"&lt;&gt;❌ Отменено")&gt;0,1,0))</f>
        <v/>
      </c>
    </row>
    <row r="3048">
      <c r="A3048" s="52" t="n"/>
      <c r="B3048" s="53">
        <f>IF(A3048="","",CHOOSE(WEEKDAY(A3048,2),"Пн","Вт","Ср","Чт","Пт","Сб","Вс"))</f>
        <v/>
      </c>
      <c r="C3048" s="53">
        <f>IF(A3048="","",YEAR(A3048))</f>
        <v/>
      </c>
      <c r="D3048" s="54">
        <f>IF(A3048="","",INDEX(lst_months,MONTH(A3048)))</f>
        <v/>
      </c>
      <c r="E3048" s="55" t="n"/>
      <c r="F3048" s="54">
        <f>IF(E3048="","",IFERROR(IF(INDEX(lst_exp_item_cat,MATCH(E3048,lst_exp_items,0))="","❔ Без категории",INDEX(lst_exp_item_cat,MATCH(E3048,lst_exp_items,0))),"❔ Без категории"))</f>
        <v/>
      </c>
      <c r="G3048" s="43" t="n"/>
      <c r="H3048" s="56" t="n"/>
      <c r="I3048" s="43" t="n"/>
      <c r="J3048" s="57">
        <f>IF(OR(A3048="",H3048=""),"",IF(COUNTIFS(exp_year,C3048,exp_month,D3048,exp_item,E3048,exp_status,"&lt;&gt;❌ Отменено")&gt;0,1,0))</f>
        <v/>
      </c>
    </row>
    <row r="3049">
      <c r="A3049" s="52" t="n"/>
      <c r="B3049" s="53">
        <f>IF(A3049="","",CHOOSE(WEEKDAY(A3049,2),"Пн","Вт","Ср","Чт","Пт","Сб","Вс"))</f>
        <v/>
      </c>
      <c r="C3049" s="53">
        <f>IF(A3049="","",YEAR(A3049))</f>
        <v/>
      </c>
      <c r="D3049" s="54">
        <f>IF(A3049="","",INDEX(lst_months,MONTH(A3049)))</f>
        <v/>
      </c>
      <c r="E3049" s="55" t="n"/>
      <c r="F3049" s="54">
        <f>IF(E3049="","",IFERROR(IF(INDEX(lst_exp_item_cat,MATCH(E3049,lst_exp_items,0))="","❔ Без категории",INDEX(lst_exp_item_cat,MATCH(E3049,lst_exp_items,0))),"❔ Без категории"))</f>
        <v/>
      </c>
      <c r="G3049" s="43" t="n"/>
      <c r="H3049" s="56" t="n"/>
      <c r="I3049" s="43" t="n"/>
      <c r="J3049" s="57">
        <f>IF(OR(A3049="",H3049=""),"",IF(COUNTIFS(exp_year,C3049,exp_month,D3049,exp_item,E3049,exp_status,"&lt;&gt;❌ Отменено")&gt;0,1,0))</f>
        <v/>
      </c>
    </row>
    <row r="3050">
      <c r="A3050" s="52" t="n"/>
      <c r="B3050" s="53">
        <f>IF(A3050="","",CHOOSE(WEEKDAY(A3050,2),"Пн","Вт","Ср","Чт","Пт","Сб","Вс"))</f>
        <v/>
      </c>
      <c r="C3050" s="53">
        <f>IF(A3050="","",YEAR(A3050))</f>
        <v/>
      </c>
      <c r="D3050" s="54">
        <f>IF(A3050="","",INDEX(lst_months,MONTH(A3050)))</f>
        <v/>
      </c>
      <c r="E3050" s="55" t="n"/>
      <c r="F3050" s="54">
        <f>IF(E3050="","",IFERROR(IF(INDEX(lst_exp_item_cat,MATCH(E3050,lst_exp_items,0))="","❔ Без категории",INDEX(lst_exp_item_cat,MATCH(E3050,lst_exp_items,0))),"❔ Без категории"))</f>
        <v/>
      </c>
      <c r="G3050" s="43" t="n"/>
      <c r="H3050" s="56" t="n"/>
      <c r="I3050" s="43" t="n"/>
      <c r="J3050" s="57">
        <f>IF(OR(A3050="",H3050=""),"",IF(COUNTIFS(exp_year,C3050,exp_month,D3050,exp_item,E3050,exp_status,"&lt;&gt;❌ Отменено")&gt;0,1,0))</f>
        <v/>
      </c>
    </row>
    <row r="3051">
      <c r="A3051" s="52" t="n"/>
      <c r="B3051" s="53">
        <f>IF(A3051="","",CHOOSE(WEEKDAY(A3051,2),"Пн","Вт","Ср","Чт","Пт","Сб","Вс"))</f>
        <v/>
      </c>
      <c r="C3051" s="53">
        <f>IF(A3051="","",YEAR(A3051))</f>
        <v/>
      </c>
      <c r="D3051" s="54">
        <f>IF(A3051="","",INDEX(lst_months,MONTH(A3051)))</f>
        <v/>
      </c>
      <c r="E3051" s="55" t="n"/>
      <c r="F3051" s="54">
        <f>IF(E3051="","",IFERROR(IF(INDEX(lst_exp_item_cat,MATCH(E3051,lst_exp_items,0))="","❔ Без категории",INDEX(lst_exp_item_cat,MATCH(E3051,lst_exp_items,0))),"❔ Без категории"))</f>
        <v/>
      </c>
      <c r="G3051" s="43" t="n"/>
      <c r="H3051" s="56" t="n"/>
      <c r="I3051" s="43" t="n"/>
      <c r="J3051" s="57">
        <f>IF(OR(A3051="",H3051=""),"",IF(COUNTIFS(exp_year,C3051,exp_month,D3051,exp_item,E3051,exp_status,"&lt;&gt;❌ Отменено")&gt;0,1,0))</f>
        <v/>
      </c>
    </row>
    <row r="3052">
      <c r="A3052" s="52" t="n"/>
      <c r="B3052" s="53">
        <f>IF(A3052="","",CHOOSE(WEEKDAY(A3052,2),"Пн","Вт","Ср","Чт","Пт","Сб","Вс"))</f>
        <v/>
      </c>
      <c r="C3052" s="53">
        <f>IF(A3052="","",YEAR(A3052))</f>
        <v/>
      </c>
      <c r="D3052" s="54">
        <f>IF(A3052="","",INDEX(lst_months,MONTH(A3052)))</f>
        <v/>
      </c>
      <c r="E3052" s="55" t="n"/>
      <c r="F3052" s="54">
        <f>IF(E3052="","",IFERROR(IF(INDEX(lst_exp_item_cat,MATCH(E3052,lst_exp_items,0))="","❔ Без категории",INDEX(lst_exp_item_cat,MATCH(E3052,lst_exp_items,0))),"❔ Без категории"))</f>
        <v/>
      </c>
      <c r="G3052" s="43" t="n"/>
      <c r="H3052" s="56" t="n"/>
      <c r="I3052" s="43" t="n"/>
      <c r="J3052" s="57">
        <f>IF(OR(A3052="",H3052=""),"",IF(COUNTIFS(exp_year,C3052,exp_month,D3052,exp_item,E3052,exp_status,"&lt;&gt;❌ Отменено")&gt;0,1,0))</f>
        <v/>
      </c>
    </row>
    <row r="3053">
      <c r="A3053" s="52" t="n"/>
      <c r="B3053" s="53">
        <f>IF(A3053="","",CHOOSE(WEEKDAY(A3053,2),"Пн","Вт","Ср","Чт","Пт","Сб","Вс"))</f>
        <v/>
      </c>
      <c r="C3053" s="53">
        <f>IF(A3053="","",YEAR(A3053))</f>
        <v/>
      </c>
      <c r="D3053" s="54">
        <f>IF(A3053="","",INDEX(lst_months,MONTH(A3053)))</f>
        <v/>
      </c>
      <c r="E3053" s="55" t="n"/>
      <c r="F3053" s="54">
        <f>IF(E3053="","",IFERROR(IF(INDEX(lst_exp_item_cat,MATCH(E3053,lst_exp_items,0))="","❔ Без категории",INDEX(lst_exp_item_cat,MATCH(E3053,lst_exp_items,0))),"❔ Без категории"))</f>
        <v/>
      </c>
      <c r="G3053" s="43" t="n"/>
      <c r="H3053" s="56" t="n"/>
      <c r="I3053" s="43" t="n"/>
      <c r="J3053" s="57">
        <f>IF(OR(A3053="",H3053=""),"",IF(COUNTIFS(exp_year,C3053,exp_month,D3053,exp_item,E3053,exp_status,"&lt;&gt;❌ Отменено")&gt;0,1,0))</f>
        <v/>
      </c>
    </row>
    <row r="3054">
      <c r="A3054" s="52" t="n"/>
      <c r="B3054" s="53">
        <f>IF(A3054="","",CHOOSE(WEEKDAY(A3054,2),"Пн","Вт","Ср","Чт","Пт","Сб","Вс"))</f>
        <v/>
      </c>
      <c r="C3054" s="53">
        <f>IF(A3054="","",YEAR(A3054))</f>
        <v/>
      </c>
      <c r="D3054" s="54">
        <f>IF(A3054="","",INDEX(lst_months,MONTH(A3054)))</f>
        <v/>
      </c>
      <c r="E3054" s="55" t="n"/>
      <c r="F3054" s="54">
        <f>IF(E3054="","",IFERROR(IF(INDEX(lst_exp_item_cat,MATCH(E3054,lst_exp_items,0))="","❔ Без категории",INDEX(lst_exp_item_cat,MATCH(E3054,lst_exp_items,0))),"❔ Без категории"))</f>
        <v/>
      </c>
      <c r="G3054" s="43" t="n"/>
      <c r="H3054" s="56" t="n"/>
      <c r="I3054" s="43" t="n"/>
      <c r="J3054" s="57">
        <f>IF(OR(A3054="",H3054=""),"",IF(COUNTIFS(exp_year,C3054,exp_month,D3054,exp_item,E3054,exp_status,"&lt;&gt;❌ Отменено")&gt;0,1,0))</f>
        <v/>
      </c>
    </row>
    <row r="3055">
      <c r="A3055" s="52" t="n"/>
      <c r="B3055" s="53">
        <f>IF(A3055="","",CHOOSE(WEEKDAY(A3055,2),"Пн","Вт","Ср","Чт","Пт","Сб","Вс"))</f>
        <v/>
      </c>
      <c r="C3055" s="53">
        <f>IF(A3055="","",YEAR(A3055))</f>
        <v/>
      </c>
      <c r="D3055" s="54">
        <f>IF(A3055="","",INDEX(lst_months,MONTH(A3055)))</f>
        <v/>
      </c>
      <c r="E3055" s="55" t="n"/>
      <c r="F3055" s="54">
        <f>IF(E3055="","",IFERROR(IF(INDEX(lst_exp_item_cat,MATCH(E3055,lst_exp_items,0))="","❔ Без категории",INDEX(lst_exp_item_cat,MATCH(E3055,lst_exp_items,0))),"❔ Без категории"))</f>
        <v/>
      </c>
      <c r="G3055" s="43" t="n"/>
      <c r="H3055" s="56" t="n"/>
      <c r="I3055" s="43" t="n"/>
      <c r="J3055" s="57">
        <f>IF(OR(A3055="",H3055=""),"",IF(COUNTIFS(exp_year,C3055,exp_month,D3055,exp_item,E3055,exp_status,"&lt;&gt;❌ Отменено")&gt;0,1,0))</f>
        <v/>
      </c>
    </row>
    <row r="3056">
      <c r="A3056" s="52" t="n"/>
      <c r="B3056" s="53">
        <f>IF(A3056="","",CHOOSE(WEEKDAY(A3056,2),"Пн","Вт","Ср","Чт","Пт","Сб","Вс"))</f>
        <v/>
      </c>
      <c r="C3056" s="53">
        <f>IF(A3056="","",YEAR(A3056))</f>
        <v/>
      </c>
      <c r="D3056" s="54">
        <f>IF(A3056="","",INDEX(lst_months,MONTH(A3056)))</f>
        <v/>
      </c>
      <c r="E3056" s="55" t="n"/>
      <c r="F3056" s="54">
        <f>IF(E3056="","",IFERROR(IF(INDEX(lst_exp_item_cat,MATCH(E3056,lst_exp_items,0))="","❔ Без категории",INDEX(lst_exp_item_cat,MATCH(E3056,lst_exp_items,0))),"❔ Без категории"))</f>
        <v/>
      </c>
      <c r="G3056" s="43" t="n"/>
      <c r="H3056" s="56" t="n"/>
      <c r="I3056" s="43" t="n"/>
      <c r="J3056" s="57">
        <f>IF(OR(A3056="",H3056=""),"",IF(COUNTIFS(exp_year,C3056,exp_month,D3056,exp_item,E3056,exp_status,"&lt;&gt;❌ Отменено")&gt;0,1,0))</f>
        <v/>
      </c>
    </row>
    <row r="3057">
      <c r="A3057" s="52" t="n"/>
      <c r="B3057" s="53">
        <f>IF(A3057="","",CHOOSE(WEEKDAY(A3057,2),"Пн","Вт","Ср","Чт","Пт","Сб","Вс"))</f>
        <v/>
      </c>
      <c r="C3057" s="53">
        <f>IF(A3057="","",YEAR(A3057))</f>
        <v/>
      </c>
      <c r="D3057" s="54">
        <f>IF(A3057="","",INDEX(lst_months,MONTH(A3057)))</f>
        <v/>
      </c>
      <c r="E3057" s="55" t="n"/>
      <c r="F3057" s="54">
        <f>IF(E3057="","",IFERROR(IF(INDEX(lst_exp_item_cat,MATCH(E3057,lst_exp_items,0))="","❔ Без категории",INDEX(lst_exp_item_cat,MATCH(E3057,lst_exp_items,0))),"❔ Без категории"))</f>
        <v/>
      </c>
      <c r="G3057" s="43" t="n"/>
      <c r="H3057" s="56" t="n"/>
      <c r="I3057" s="43" t="n"/>
      <c r="J3057" s="57">
        <f>IF(OR(A3057="",H3057=""),"",IF(COUNTIFS(exp_year,C3057,exp_month,D3057,exp_item,E3057,exp_status,"&lt;&gt;❌ Отменено")&gt;0,1,0))</f>
        <v/>
      </c>
    </row>
    <row r="3058">
      <c r="A3058" s="52" t="n"/>
      <c r="B3058" s="53">
        <f>IF(A3058="","",CHOOSE(WEEKDAY(A3058,2),"Пн","Вт","Ср","Чт","Пт","Сб","Вс"))</f>
        <v/>
      </c>
      <c r="C3058" s="53">
        <f>IF(A3058="","",YEAR(A3058))</f>
        <v/>
      </c>
      <c r="D3058" s="54">
        <f>IF(A3058="","",INDEX(lst_months,MONTH(A3058)))</f>
        <v/>
      </c>
      <c r="E3058" s="55" t="n"/>
      <c r="F3058" s="54">
        <f>IF(E3058="","",IFERROR(IF(INDEX(lst_exp_item_cat,MATCH(E3058,lst_exp_items,0))="","❔ Без категории",INDEX(lst_exp_item_cat,MATCH(E3058,lst_exp_items,0))),"❔ Без категории"))</f>
        <v/>
      </c>
      <c r="G3058" s="43" t="n"/>
      <c r="H3058" s="56" t="n"/>
      <c r="I3058" s="43" t="n"/>
      <c r="J3058" s="57">
        <f>IF(OR(A3058="",H3058=""),"",IF(COUNTIFS(exp_year,C3058,exp_month,D3058,exp_item,E3058,exp_status,"&lt;&gt;❌ Отменено")&gt;0,1,0))</f>
        <v/>
      </c>
    </row>
    <row r="3059">
      <c r="A3059" s="52" t="n"/>
      <c r="B3059" s="53">
        <f>IF(A3059="","",CHOOSE(WEEKDAY(A3059,2),"Пн","Вт","Ср","Чт","Пт","Сб","Вс"))</f>
        <v/>
      </c>
      <c r="C3059" s="53">
        <f>IF(A3059="","",YEAR(A3059))</f>
        <v/>
      </c>
      <c r="D3059" s="54">
        <f>IF(A3059="","",INDEX(lst_months,MONTH(A3059)))</f>
        <v/>
      </c>
      <c r="E3059" s="55" t="n"/>
      <c r="F3059" s="54">
        <f>IF(E3059="","",IFERROR(IF(INDEX(lst_exp_item_cat,MATCH(E3059,lst_exp_items,0))="","❔ Без категории",INDEX(lst_exp_item_cat,MATCH(E3059,lst_exp_items,0))),"❔ Без категории"))</f>
        <v/>
      </c>
      <c r="G3059" s="43" t="n"/>
      <c r="H3059" s="56" t="n"/>
      <c r="I3059" s="43" t="n"/>
      <c r="J3059" s="57">
        <f>IF(OR(A3059="",H3059=""),"",IF(COUNTIFS(exp_year,C3059,exp_month,D3059,exp_item,E3059,exp_status,"&lt;&gt;❌ Отменено")&gt;0,1,0))</f>
        <v/>
      </c>
    </row>
    <row r="3060">
      <c r="A3060" s="52" t="n"/>
      <c r="B3060" s="53">
        <f>IF(A3060="","",CHOOSE(WEEKDAY(A3060,2),"Пн","Вт","Ср","Чт","Пт","Сб","Вс"))</f>
        <v/>
      </c>
      <c r="C3060" s="53">
        <f>IF(A3060="","",YEAR(A3060))</f>
        <v/>
      </c>
      <c r="D3060" s="54">
        <f>IF(A3060="","",INDEX(lst_months,MONTH(A3060)))</f>
        <v/>
      </c>
      <c r="E3060" s="55" t="n"/>
      <c r="F3060" s="54">
        <f>IF(E3060="","",IFERROR(IF(INDEX(lst_exp_item_cat,MATCH(E3060,lst_exp_items,0))="","❔ Без категории",INDEX(lst_exp_item_cat,MATCH(E3060,lst_exp_items,0))),"❔ Без категории"))</f>
        <v/>
      </c>
      <c r="G3060" s="43" t="n"/>
      <c r="H3060" s="56" t="n"/>
      <c r="I3060" s="43" t="n"/>
      <c r="J3060" s="57">
        <f>IF(OR(A3060="",H3060=""),"",IF(COUNTIFS(exp_year,C3060,exp_month,D3060,exp_item,E3060,exp_status,"&lt;&gt;❌ Отменено")&gt;0,1,0))</f>
        <v/>
      </c>
    </row>
    <row r="3061">
      <c r="A3061" s="52" t="n"/>
      <c r="B3061" s="53">
        <f>IF(A3061="","",CHOOSE(WEEKDAY(A3061,2),"Пн","Вт","Ср","Чт","Пт","Сб","Вс"))</f>
        <v/>
      </c>
      <c r="C3061" s="53">
        <f>IF(A3061="","",YEAR(A3061))</f>
        <v/>
      </c>
      <c r="D3061" s="54">
        <f>IF(A3061="","",INDEX(lst_months,MONTH(A3061)))</f>
        <v/>
      </c>
      <c r="E3061" s="55" t="n"/>
      <c r="F3061" s="54">
        <f>IF(E3061="","",IFERROR(IF(INDEX(lst_exp_item_cat,MATCH(E3061,lst_exp_items,0))="","❔ Без категории",INDEX(lst_exp_item_cat,MATCH(E3061,lst_exp_items,0))),"❔ Без категории"))</f>
        <v/>
      </c>
      <c r="G3061" s="43" t="n"/>
      <c r="H3061" s="56" t="n"/>
      <c r="I3061" s="43" t="n"/>
      <c r="J3061" s="57">
        <f>IF(OR(A3061="",H3061=""),"",IF(COUNTIFS(exp_year,C3061,exp_month,D3061,exp_item,E3061,exp_status,"&lt;&gt;❌ Отменено")&gt;0,1,0))</f>
        <v/>
      </c>
    </row>
    <row r="3062">
      <c r="A3062" s="52" t="n"/>
      <c r="B3062" s="53">
        <f>IF(A3062="","",CHOOSE(WEEKDAY(A3062,2),"Пн","Вт","Ср","Чт","Пт","Сб","Вс"))</f>
        <v/>
      </c>
      <c r="C3062" s="53">
        <f>IF(A3062="","",YEAR(A3062))</f>
        <v/>
      </c>
      <c r="D3062" s="54">
        <f>IF(A3062="","",INDEX(lst_months,MONTH(A3062)))</f>
        <v/>
      </c>
      <c r="E3062" s="55" t="n"/>
      <c r="F3062" s="54">
        <f>IF(E3062="","",IFERROR(IF(INDEX(lst_exp_item_cat,MATCH(E3062,lst_exp_items,0))="","❔ Без категории",INDEX(lst_exp_item_cat,MATCH(E3062,lst_exp_items,0))),"❔ Без категории"))</f>
        <v/>
      </c>
      <c r="G3062" s="43" t="n"/>
      <c r="H3062" s="56" t="n"/>
      <c r="I3062" s="43" t="n"/>
      <c r="J3062" s="57">
        <f>IF(OR(A3062="",H3062=""),"",IF(COUNTIFS(exp_year,C3062,exp_month,D3062,exp_item,E3062,exp_status,"&lt;&gt;❌ Отменено")&gt;0,1,0))</f>
        <v/>
      </c>
    </row>
    <row r="3063">
      <c r="A3063" s="52" t="n"/>
      <c r="B3063" s="53">
        <f>IF(A3063="","",CHOOSE(WEEKDAY(A3063,2),"Пн","Вт","Ср","Чт","Пт","Сб","Вс"))</f>
        <v/>
      </c>
      <c r="C3063" s="53">
        <f>IF(A3063="","",YEAR(A3063))</f>
        <v/>
      </c>
      <c r="D3063" s="54">
        <f>IF(A3063="","",INDEX(lst_months,MONTH(A3063)))</f>
        <v/>
      </c>
      <c r="E3063" s="55" t="n"/>
      <c r="F3063" s="54">
        <f>IF(E3063="","",IFERROR(IF(INDEX(lst_exp_item_cat,MATCH(E3063,lst_exp_items,0))="","❔ Без категории",INDEX(lst_exp_item_cat,MATCH(E3063,lst_exp_items,0))),"❔ Без категории"))</f>
        <v/>
      </c>
      <c r="G3063" s="43" t="n"/>
      <c r="H3063" s="56" t="n"/>
      <c r="I3063" s="43" t="n"/>
      <c r="J3063" s="57">
        <f>IF(OR(A3063="",H3063=""),"",IF(COUNTIFS(exp_year,C3063,exp_month,D3063,exp_item,E3063,exp_status,"&lt;&gt;❌ Отменено")&gt;0,1,0))</f>
        <v/>
      </c>
    </row>
    <row r="3064">
      <c r="A3064" s="52" t="n"/>
      <c r="B3064" s="53">
        <f>IF(A3064="","",CHOOSE(WEEKDAY(A3064,2),"Пн","Вт","Ср","Чт","Пт","Сб","Вс"))</f>
        <v/>
      </c>
      <c r="C3064" s="53">
        <f>IF(A3064="","",YEAR(A3064))</f>
        <v/>
      </c>
      <c r="D3064" s="54">
        <f>IF(A3064="","",INDEX(lst_months,MONTH(A3064)))</f>
        <v/>
      </c>
      <c r="E3064" s="55" t="n"/>
      <c r="F3064" s="54">
        <f>IF(E3064="","",IFERROR(IF(INDEX(lst_exp_item_cat,MATCH(E3064,lst_exp_items,0))="","❔ Без категории",INDEX(lst_exp_item_cat,MATCH(E3064,lst_exp_items,0))),"❔ Без категории"))</f>
        <v/>
      </c>
      <c r="G3064" s="43" t="n"/>
      <c r="H3064" s="56" t="n"/>
      <c r="I3064" s="43" t="n"/>
      <c r="J3064" s="57">
        <f>IF(OR(A3064="",H3064=""),"",IF(COUNTIFS(exp_year,C3064,exp_month,D3064,exp_item,E3064,exp_status,"&lt;&gt;❌ Отменено")&gt;0,1,0))</f>
        <v/>
      </c>
    </row>
    <row r="3065">
      <c r="A3065" s="52" t="n"/>
      <c r="B3065" s="53">
        <f>IF(A3065="","",CHOOSE(WEEKDAY(A3065,2),"Пн","Вт","Ср","Чт","Пт","Сб","Вс"))</f>
        <v/>
      </c>
      <c r="C3065" s="53">
        <f>IF(A3065="","",YEAR(A3065))</f>
        <v/>
      </c>
      <c r="D3065" s="54">
        <f>IF(A3065="","",INDEX(lst_months,MONTH(A3065)))</f>
        <v/>
      </c>
      <c r="E3065" s="55" t="n"/>
      <c r="F3065" s="54">
        <f>IF(E3065="","",IFERROR(IF(INDEX(lst_exp_item_cat,MATCH(E3065,lst_exp_items,0))="","❔ Без категории",INDEX(lst_exp_item_cat,MATCH(E3065,lst_exp_items,0))),"❔ Без категории"))</f>
        <v/>
      </c>
      <c r="G3065" s="43" t="n"/>
      <c r="H3065" s="56" t="n"/>
      <c r="I3065" s="43" t="n"/>
      <c r="J3065" s="57">
        <f>IF(OR(A3065="",H3065=""),"",IF(COUNTIFS(exp_year,C3065,exp_month,D3065,exp_item,E3065,exp_status,"&lt;&gt;❌ Отменено")&gt;0,1,0))</f>
        <v/>
      </c>
    </row>
    <row r="3066">
      <c r="A3066" s="52" t="n"/>
      <c r="B3066" s="53">
        <f>IF(A3066="","",CHOOSE(WEEKDAY(A3066,2),"Пн","Вт","Ср","Чт","Пт","Сб","Вс"))</f>
        <v/>
      </c>
      <c r="C3066" s="53">
        <f>IF(A3066="","",YEAR(A3066))</f>
        <v/>
      </c>
      <c r="D3066" s="54">
        <f>IF(A3066="","",INDEX(lst_months,MONTH(A3066)))</f>
        <v/>
      </c>
      <c r="E3066" s="55" t="n"/>
      <c r="F3066" s="54">
        <f>IF(E3066="","",IFERROR(IF(INDEX(lst_exp_item_cat,MATCH(E3066,lst_exp_items,0))="","❔ Без категории",INDEX(lst_exp_item_cat,MATCH(E3066,lst_exp_items,0))),"❔ Без категории"))</f>
        <v/>
      </c>
      <c r="G3066" s="43" t="n"/>
      <c r="H3066" s="56" t="n"/>
      <c r="I3066" s="43" t="n"/>
      <c r="J3066" s="57">
        <f>IF(OR(A3066="",H3066=""),"",IF(COUNTIFS(exp_year,C3066,exp_month,D3066,exp_item,E3066,exp_status,"&lt;&gt;❌ Отменено")&gt;0,1,0))</f>
        <v/>
      </c>
    </row>
    <row r="3067">
      <c r="A3067" s="52" t="n"/>
      <c r="B3067" s="53">
        <f>IF(A3067="","",CHOOSE(WEEKDAY(A3067,2),"Пн","Вт","Ср","Чт","Пт","Сб","Вс"))</f>
        <v/>
      </c>
      <c r="C3067" s="53">
        <f>IF(A3067="","",YEAR(A3067))</f>
        <v/>
      </c>
      <c r="D3067" s="54">
        <f>IF(A3067="","",INDEX(lst_months,MONTH(A3067)))</f>
        <v/>
      </c>
      <c r="E3067" s="55" t="n"/>
      <c r="F3067" s="54">
        <f>IF(E3067="","",IFERROR(IF(INDEX(lst_exp_item_cat,MATCH(E3067,lst_exp_items,0))="","❔ Без категории",INDEX(lst_exp_item_cat,MATCH(E3067,lst_exp_items,0))),"❔ Без категории"))</f>
        <v/>
      </c>
      <c r="G3067" s="43" t="n"/>
      <c r="H3067" s="56" t="n"/>
      <c r="I3067" s="43" t="n"/>
      <c r="J3067" s="57">
        <f>IF(OR(A3067="",H3067=""),"",IF(COUNTIFS(exp_year,C3067,exp_month,D3067,exp_item,E3067,exp_status,"&lt;&gt;❌ Отменено")&gt;0,1,0))</f>
        <v/>
      </c>
    </row>
    <row r="3068">
      <c r="A3068" s="52" t="n"/>
      <c r="B3068" s="53">
        <f>IF(A3068="","",CHOOSE(WEEKDAY(A3068,2),"Пн","Вт","Ср","Чт","Пт","Сб","Вс"))</f>
        <v/>
      </c>
      <c r="C3068" s="53">
        <f>IF(A3068="","",YEAR(A3068))</f>
        <v/>
      </c>
      <c r="D3068" s="54">
        <f>IF(A3068="","",INDEX(lst_months,MONTH(A3068)))</f>
        <v/>
      </c>
      <c r="E3068" s="55" t="n"/>
      <c r="F3068" s="54">
        <f>IF(E3068="","",IFERROR(IF(INDEX(lst_exp_item_cat,MATCH(E3068,lst_exp_items,0))="","❔ Без категории",INDEX(lst_exp_item_cat,MATCH(E3068,lst_exp_items,0))),"❔ Без категории"))</f>
        <v/>
      </c>
      <c r="G3068" s="43" t="n"/>
      <c r="H3068" s="56" t="n"/>
      <c r="I3068" s="43" t="n"/>
      <c r="J3068" s="57">
        <f>IF(OR(A3068="",H3068=""),"",IF(COUNTIFS(exp_year,C3068,exp_month,D3068,exp_item,E3068,exp_status,"&lt;&gt;❌ Отменено")&gt;0,1,0))</f>
        <v/>
      </c>
    </row>
    <row r="3069">
      <c r="A3069" s="52" t="n"/>
      <c r="B3069" s="53">
        <f>IF(A3069="","",CHOOSE(WEEKDAY(A3069,2),"Пн","Вт","Ср","Чт","Пт","Сб","Вс"))</f>
        <v/>
      </c>
      <c r="C3069" s="53">
        <f>IF(A3069="","",YEAR(A3069))</f>
        <v/>
      </c>
      <c r="D3069" s="54">
        <f>IF(A3069="","",INDEX(lst_months,MONTH(A3069)))</f>
        <v/>
      </c>
      <c r="E3069" s="55" t="n"/>
      <c r="F3069" s="54">
        <f>IF(E3069="","",IFERROR(IF(INDEX(lst_exp_item_cat,MATCH(E3069,lst_exp_items,0))="","❔ Без категории",INDEX(lst_exp_item_cat,MATCH(E3069,lst_exp_items,0))),"❔ Без категории"))</f>
        <v/>
      </c>
      <c r="G3069" s="43" t="n"/>
      <c r="H3069" s="56" t="n"/>
      <c r="I3069" s="43" t="n"/>
      <c r="J3069" s="57">
        <f>IF(OR(A3069="",H3069=""),"",IF(COUNTIFS(exp_year,C3069,exp_month,D3069,exp_item,E3069,exp_status,"&lt;&gt;❌ Отменено")&gt;0,1,0))</f>
        <v/>
      </c>
    </row>
    <row r="3070">
      <c r="A3070" s="52" t="n"/>
      <c r="B3070" s="53">
        <f>IF(A3070="","",CHOOSE(WEEKDAY(A3070,2),"Пн","Вт","Ср","Чт","Пт","Сб","Вс"))</f>
        <v/>
      </c>
      <c r="C3070" s="53">
        <f>IF(A3070="","",YEAR(A3070))</f>
        <v/>
      </c>
      <c r="D3070" s="54">
        <f>IF(A3070="","",INDEX(lst_months,MONTH(A3070)))</f>
        <v/>
      </c>
      <c r="E3070" s="55" t="n"/>
      <c r="F3070" s="54">
        <f>IF(E3070="","",IFERROR(IF(INDEX(lst_exp_item_cat,MATCH(E3070,lst_exp_items,0))="","❔ Без категории",INDEX(lst_exp_item_cat,MATCH(E3070,lst_exp_items,0))),"❔ Без категории"))</f>
        <v/>
      </c>
      <c r="G3070" s="43" t="n"/>
      <c r="H3070" s="56" t="n"/>
      <c r="I3070" s="43" t="n"/>
      <c r="J3070" s="57">
        <f>IF(OR(A3070="",H3070=""),"",IF(COUNTIFS(exp_year,C3070,exp_month,D3070,exp_item,E3070,exp_status,"&lt;&gt;❌ Отменено")&gt;0,1,0))</f>
        <v/>
      </c>
    </row>
    <row r="3071">
      <c r="A3071" s="52" t="n"/>
      <c r="B3071" s="53">
        <f>IF(A3071="","",CHOOSE(WEEKDAY(A3071,2),"Пн","Вт","Ср","Чт","Пт","Сб","Вс"))</f>
        <v/>
      </c>
      <c r="C3071" s="53">
        <f>IF(A3071="","",YEAR(A3071))</f>
        <v/>
      </c>
      <c r="D3071" s="54">
        <f>IF(A3071="","",INDEX(lst_months,MONTH(A3071)))</f>
        <v/>
      </c>
      <c r="E3071" s="55" t="n"/>
      <c r="F3071" s="54">
        <f>IF(E3071="","",IFERROR(IF(INDEX(lst_exp_item_cat,MATCH(E3071,lst_exp_items,0))="","❔ Без категории",INDEX(lst_exp_item_cat,MATCH(E3071,lst_exp_items,0))),"❔ Без категории"))</f>
        <v/>
      </c>
      <c r="G3071" s="43" t="n"/>
      <c r="H3071" s="56" t="n"/>
      <c r="I3071" s="43" t="n"/>
      <c r="J3071" s="57">
        <f>IF(OR(A3071="",H3071=""),"",IF(COUNTIFS(exp_year,C3071,exp_month,D3071,exp_item,E3071,exp_status,"&lt;&gt;❌ Отменено")&gt;0,1,0))</f>
        <v/>
      </c>
    </row>
    <row r="3072">
      <c r="A3072" s="52" t="n"/>
      <c r="B3072" s="53">
        <f>IF(A3072="","",CHOOSE(WEEKDAY(A3072,2),"Пн","Вт","Ср","Чт","Пт","Сб","Вс"))</f>
        <v/>
      </c>
      <c r="C3072" s="53">
        <f>IF(A3072="","",YEAR(A3072))</f>
        <v/>
      </c>
      <c r="D3072" s="54">
        <f>IF(A3072="","",INDEX(lst_months,MONTH(A3072)))</f>
        <v/>
      </c>
      <c r="E3072" s="55" t="n"/>
      <c r="F3072" s="54">
        <f>IF(E3072="","",IFERROR(IF(INDEX(lst_exp_item_cat,MATCH(E3072,lst_exp_items,0))="","❔ Без категории",INDEX(lst_exp_item_cat,MATCH(E3072,lst_exp_items,0))),"❔ Без категории"))</f>
        <v/>
      </c>
      <c r="G3072" s="43" t="n"/>
      <c r="H3072" s="56" t="n"/>
      <c r="I3072" s="43" t="n"/>
      <c r="J3072" s="57">
        <f>IF(OR(A3072="",H3072=""),"",IF(COUNTIFS(exp_year,C3072,exp_month,D3072,exp_item,E3072,exp_status,"&lt;&gt;❌ Отменено")&gt;0,1,0))</f>
        <v/>
      </c>
    </row>
    <row r="3073">
      <c r="A3073" s="52" t="n"/>
      <c r="B3073" s="53">
        <f>IF(A3073="","",CHOOSE(WEEKDAY(A3073,2),"Пн","Вт","Ср","Чт","Пт","Сб","Вс"))</f>
        <v/>
      </c>
      <c r="C3073" s="53">
        <f>IF(A3073="","",YEAR(A3073))</f>
        <v/>
      </c>
      <c r="D3073" s="54">
        <f>IF(A3073="","",INDEX(lst_months,MONTH(A3073)))</f>
        <v/>
      </c>
      <c r="E3073" s="55" t="n"/>
      <c r="F3073" s="54">
        <f>IF(E3073="","",IFERROR(IF(INDEX(lst_exp_item_cat,MATCH(E3073,lst_exp_items,0))="","❔ Без категории",INDEX(lst_exp_item_cat,MATCH(E3073,lst_exp_items,0))),"❔ Без категории"))</f>
        <v/>
      </c>
      <c r="G3073" s="43" t="n"/>
      <c r="H3073" s="56" t="n"/>
      <c r="I3073" s="43" t="n"/>
      <c r="J3073" s="57">
        <f>IF(OR(A3073="",H3073=""),"",IF(COUNTIFS(exp_year,C3073,exp_month,D3073,exp_item,E3073,exp_status,"&lt;&gt;❌ Отменено")&gt;0,1,0))</f>
        <v/>
      </c>
    </row>
    <row r="3074">
      <c r="A3074" s="52" t="n"/>
      <c r="B3074" s="53">
        <f>IF(A3074="","",CHOOSE(WEEKDAY(A3074,2),"Пн","Вт","Ср","Чт","Пт","Сб","Вс"))</f>
        <v/>
      </c>
      <c r="C3074" s="53">
        <f>IF(A3074="","",YEAR(A3074))</f>
        <v/>
      </c>
      <c r="D3074" s="54">
        <f>IF(A3074="","",INDEX(lst_months,MONTH(A3074)))</f>
        <v/>
      </c>
      <c r="E3074" s="55" t="n"/>
      <c r="F3074" s="54">
        <f>IF(E3074="","",IFERROR(IF(INDEX(lst_exp_item_cat,MATCH(E3074,lst_exp_items,0))="","❔ Без категории",INDEX(lst_exp_item_cat,MATCH(E3074,lst_exp_items,0))),"❔ Без категории"))</f>
        <v/>
      </c>
      <c r="G3074" s="43" t="n"/>
      <c r="H3074" s="56" t="n"/>
      <c r="I3074" s="43" t="n"/>
      <c r="J3074" s="57">
        <f>IF(OR(A3074="",H3074=""),"",IF(COUNTIFS(exp_year,C3074,exp_month,D3074,exp_item,E3074,exp_status,"&lt;&gt;❌ Отменено")&gt;0,1,0))</f>
        <v/>
      </c>
    </row>
    <row r="3075">
      <c r="A3075" s="52" t="n"/>
      <c r="B3075" s="53">
        <f>IF(A3075="","",CHOOSE(WEEKDAY(A3075,2),"Пн","Вт","Ср","Чт","Пт","Сб","Вс"))</f>
        <v/>
      </c>
      <c r="C3075" s="53">
        <f>IF(A3075="","",YEAR(A3075))</f>
        <v/>
      </c>
      <c r="D3075" s="54">
        <f>IF(A3075="","",INDEX(lst_months,MONTH(A3075)))</f>
        <v/>
      </c>
      <c r="E3075" s="55" t="n"/>
      <c r="F3075" s="54">
        <f>IF(E3075="","",IFERROR(IF(INDEX(lst_exp_item_cat,MATCH(E3075,lst_exp_items,0))="","❔ Без категории",INDEX(lst_exp_item_cat,MATCH(E3075,lst_exp_items,0))),"❔ Без категории"))</f>
        <v/>
      </c>
      <c r="G3075" s="43" t="n"/>
      <c r="H3075" s="56" t="n"/>
      <c r="I3075" s="43" t="n"/>
      <c r="J3075" s="57">
        <f>IF(OR(A3075="",H3075=""),"",IF(COUNTIFS(exp_year,C3075,exp_month,D3075,exp_item,E3075,exp_status,"&lt;&gt;❌ Отменено")&gt;0,1,0))</f>
        <v/>
      </c>
    </row>
    <row r="3076">
      <c r="A3076" s="52" t="n"/>
      <c r="B3076" s="53">
        <f>IF(A3076="","",CHOOSE(WEEKDAY(A3076,2),"Пн","Вт","Ср","Чт","Пт","Сб","Вс"))</f>
        <v/>
      </c>
      <c r="C3076" s="53">
        <f>IF(A3076="","",YEAR(A3076))</f>
        <v/>
      </c>
      <c r="D3076" s="54">
        <f>IF(A3076="","",INDEX(lst_months,MONTH(A3076)))</f>
        <v/>
      </c>
      <c r="E3076" s="55" t="n"/>
      <c r="F3076" s="54">
        <f>IF(E3076="","",IFERROR(IF(INDEX(lst_exp_item_cat,MATCH(E3076,lst_exp_items,0))="","❔ Без категории",INDEX(lst_exp_item_cat,MATCH(E3076,lst_exp_items,0))),"❔ Без категории"))</f>
        <v/>
      </c>
      <c r="G3076" s="43" t="n"/>
      <c r="H3076" s="56" t="n"/>
      <c r="I3076" s="43" t="n"/>
      <c r="J3076" s="57">
        <f>IF(OR(A3076="",H3076=""),"",IF(COUNTIFS(exp_year,C3076,exp_month,D3076,exp_item,E3076,exp_status,"&lt;&gt;❌ Отменено")&gt;0,1,0))</f>
        <v/>
      </c>
    </row>
    <row r="3077">
      <c r="A3077" s="52" t="n"/>
      <c r="B3077" s="53">
        <f>IF(A3077="","",CHOOSE(WEEKDAY(A3077,2),"Пн","Вт","Ср","Чт","Пт","Сб","Вс"))</f>
        <v/>
      </c>
      <c r="C3077" s="53">
        <f>IF(A3077="","",YEAR(A3077))</f>
        <v/>
      </c>
      <c r="D3077" s="54">
        <f>IF(A3077="","",INDEX(lst_months,MONTH(A3077)))</f>
        <v/>
      </c>
      <c r="E3077" s="55" t="n"/>
      <c r="F3077" s="54">
        <f>IF(E3077="","",IFERROR(IF(INDEX(lst_exp_item_cat,MATCH(E3077,lst_exp_items,0))="","❔ Без категории",INDEX(lst_exp_item_cat,MATCH(E3077,lst_exp_items,0))),"❔ Без категории"))</f>
        <v/>
      </c>
      <c r="G3077" s="43" t="n"/>
      <c r="H3077" s="56" t="n"/>
      <c r="I3077" s="43" t="n"/>
      <c r="J3077" s="57">
        <f>IF(OR(A3077="",H3077=""),"",IF(COUNTIFS(exp_year,C3077,exp_month,D3077,exp_item,E3077,exp_status,"&lt;&gt;❌ Отменено")&gt;0,1,0))</f>
        <v/>
      </c>
    </row>
    <row r="3078">
      <c r="A3078" s="52" t="n"/>
      <c r="B3078" s="53">
        <f>IF(A3078="","",CHOOSE(WEEKDAY(A3078,2),"Пн","Вт","Ср","Чт","Пт","Сб","Вс"))</f>
        <v/>
      </c>
      <c r="C3078" s="53">
        <f>IF(A3078="","",YEAR(A3078))</f>
        <v/>
      </c>
      <c r="D3078" s="54">
        <f>IF(A3078="","",INDEX(lst_months,MONTH(A3078)))</f>
        <v/>
      </c>
      <c r="E3078" s="55" t="n"/>
      <c r="F3078" s="54">
        <f>IF(E3078="","",IFERROR(IF(INDEX(lst_exp_item_cat,MATCH(E3078,lst_exp_items,0))="","❔ Без категории",INDEX(lst_exp_item_cat,MATCH(E3078,lst_exp_items,0))),"❔ Без категории"))</f>
        <v/>
      </c>
      <c r="G3078" s="43" t="n"/>
      <c r="H3078" s="56" t="n"/>
      <c r="I3078" s="43" t="n"/>
      <c r="J3078" s="57">
        <f>IF(OR(A3078="",H3078=""),"",IF(COUNTIFS(exp_year,C3078,exp_month,D3078,exp_item,E3078,exp_status,"&lt;&gt;❌ Отменено")&gt;0,1,0))</f>
        <v/>
      </c>
    </row>
    <row r="3079">
      <c r="A3079" s="52" t="n"/>
      <c r="B3079" s="53">
        <f>IF(A3079="","",CHOOSE(WEEKDAY(A3079,2),"Пн","Вт","Ср","Чт","Пт","Сб","Вс"))</f>
        <v/>
      </c>
      <c r="C3079" s="53">
        <f>IF(A3079="","",YEAR(A3079))</f>
        <v/>
      </c>
      <c r="D3079" s="54">
        <f>IF(A3079="","",INDEX(lst_months,MONTH(A3079)))</f>
        <v/>
      </c>
      <c r="E3079" s="55" t="n"/>
      <c r="F3079" s="54">
        <f>IF(E3079="","",IFERROR(IF(INDEX(lst_exp_item_cat,MATCH(E3079,lst_exp_items,0))="","❔ Без категории",INDEX(lst_exp_item_cat,MATCH(E3079,lst_exp_items,0))),"❔ Без категории"))</f>
        <v/>
      </c>
      <c r="G3079" s="43" t="n"/>
      <c r="H3079" s="56" t="n"/>
      <c r="I3079" s="43" t="n"/>
      <c r="J3079" s="57">
        <f>IF(OR(A3079="",H3079=""),"",IF(COUNTIFS(exp_year,C3079,exp_month,D3079,exp_item,E3079,exp_status,"&lt;&gt;❌ Отменено")&gt;0,1,0))</f>
        <v/>
      </c>
    </row>
    <row r="3080">
      <c r="A3080" s="52" t="n"/>
      <c r="B3080" s="53">
        <f>IF(A3080="","",CHOOSE(WEEKDAY(A3080,2),"Пн","Вт","Ср","Чт","Пт","Сб","Вс"))</f>
        <v/>
      </c>
      <c r="C3080" s="53">
        <f>IF(A3080="","",YEAR(A3080))</f>
        <v/>
      </c>
      <c r="D3080" s="54">
        <f>IF(A3080="","",INDEX(lst_months,MONTH(A3080)))</f>
        <v/>
      </c>
      <c r="E3080" s="55" t="n"/>
      <c r="F3080" s="54">
        <f>IF(E3080="","",IFERROR(IF(INDEX(lst_exp_item_cat,MATCH(E3080,lst_exp_items,0))="","❔ Без категории",INDEX(lst_exp_item_cat,MATCH(E3080,lst_exp_items,0))),"❔ Без категории"))</f>
        <v/>
      </c>
      <c r="G3080" s="43" t="n"/>
      <c r="H3080" s="56" t="n"/>
      <c r="I3080" s="43" t="n"/>
      <c r="J3080" s="57">
        <f>IF(OR(A3080="",H3080=""),"",IF(COUNTIFS(exp_year,C3080,exp_month,D3080,exp_item,E3080,exp_status,"&lt;&gt;❌ Отменено")&gt;0,1,0))</f>
        <v/>
      </c>
    </row>
    <row r="3081">
      <c r="A3081" s="52" t="n"/>
      <c r="B3081" s="53">
        <f>IF(A3081="","",CHOOSE(WEEKDAY(A3081,2),"Пн","Вт","Ср","Чт","Пт","Сб","Вс"))</f>
        <v/>
      </c>
      <c r="C3081" s="53">
        <f>IF(A3081="","",YEAR(A3081))</f>
        <v/>
      </c>
      <c r="D3081" s="54">
        <f>IF(A3081="","",INDEX(lst_months,MONTH(A3081)))</f>
        <v/>
      </c>
      <c r="E3081" s="55" t="n"/>
      <c r="F3081" s="54">
        <f>IF(E3081="","",IFERROR(IF(INDEX(lst_exp_item_cat,MATCH(E3081,lst_exp_items,0))="","❔ Без категории",INDEX(lst_exp_item_cat,MATCH(E3081,lst_exp_items,0))),"❔ Без категории"))</f>
        <v/>
      </c>
      <c r="G3081" s="43" t="n"/>
      <c r="H3081" s="56" t="n"/>
      <c r="I3081" s="43" t="n"/>
      <c r="J3081" s="57">
        <f>IF(OR(A3081="",H3081=""),"",IF(COUNTIFS(exp_year,C3081,exp_month,D3081,exp_item,E3081,exp_status,"&lt;&gt;❌ Отменено")&gt;0,1,0))</f>
        <v/>
      </c>
    </row>
    <row r="3082">
      <c r="A3082" s="52" t="n"/>
      <c r="B3082" s="53">
        <f>IF(A3082="","",CHOOSE(WEEKDAY(A3082,2),"Пн","Вт","Ср","Чт","Пт","Сб","Вс"))</f>
        <v/>
      </c>
      <c r="C3082" s="53">
        <f>IF(A3082="","",YEAR(A3082))</f>
        <v/>
      </c>
      <c r="D3082" s="54">
        <f>IF(A3082="","",INDEX(lst_months,MONTH(A3082)))</f>
        <v/>
      </c>
      <c r="E3082" s="55" t="n"/>
      <c r="F3082" s="54">
        <f>IF(E3082="","",IFERROR(IF(INDEX(lst_exp_item_cat,MATCH(E3082,lst_exp_items,0))="","❔ Без категории",INDEX(lst_exp_item_cat,MATCH(E3082,lst_exp_items,0))),"❔ Без категории"))</f>
        <v/>
      </c>
      <c r="G3082" s="43" t="n"/>
      <c r="H3082" s="56" t="n"/>
      <c r="I3082" s="43" t="n"/>
      <c r="J3082" s="57">
        <f>IF(OR(A3082="",H3082=""),"",IF(COUNTIFS(exp_year,C3082,exp_month,D3082,exp_item,E3082,exp_status,"&lt;&gt;❌ Отменено")&gt;0,1,0))</f>
        <v/>
      </c>
    </row>
    <row r="3083">
      <c r="A3083" s="52" t="n"/>
      <c r="B3083" s="53">
        <f>IF(A3083="","",CHOOSE(WEEKDAY(A3083,2),"Пн","Вт","Ср","Чт","Пт","Сб","Вс"))</f>
        <v/>
      </c>
      <c r="C3083" s="53">
        <f>IF(A3083="","",YEAR(A3083))</f>
        <v/>
      </c>
      <c r="D3083" s="54">
        <f>IF(A3083="","",INDEX(lst_months,MONTH(A3083)))</f>
        <v/>
      </c>
      <c r="E3083" s="55" t="n"/>
      <c r="F3083" s="54">
        <f>IF(E3083="","",IFERROR(IF(INDEX(lst_exp_item_cat,MATCH(E3083,lst_exp_items,0))="","❔ Без категории",INDEX(lst_exp_item_cat,MATCH(E3083,lst_exp_items,0))),"❔ Без категории"))</f>
        <v/>
      </c>
      <c r="G3083" s="43" t="n"/>
      <c r="H3083" s="56" t="n"/>
      <c r="I3083" s="43" t="n"/>
      <c r="J3083" s="57">
        <f>IF(OR(A3083="",H3083=""),"",IF(COUNTIFS(exp_year,C3083,exp_month,D3083,exp_item,E3083,exp_status,"&lt;&gt;❌ Отменено")&gt;0,1,0))</f>
        <v/>
      </c>
    </row>
    <row r="3084">
      <c r="A3084" s="52" t="n"/>
      <c r="B3084" s="53">
        <f>IF(A3084="","",CHOOSE(WEEKDAY(A3084,2),"Пн","Вт","Ср","Чт","Пт","Сб","Вс"))</f>
        <v/>
      </c>
      <c r="C3084" s="53">
        <f>IF(A3084="","",YEAR(A3084))</f>
        <v/>
      </c>
      <c r="D3084" s="54">
        <f>IF(A3084="","",INDEX(lst_months,MONTH(A3084)))</f>
        <v/>
      </c>
      <c r="E3084" s="55" t="n"/>
      <c r="F3084" s="54">
        <f>IF(E3084="","",IFERROR(IF(INDEX(lst_exp_item_cat,MATCH(E3084,lst_exp_items,0))="","❔ Без категории",INDEX(lst_exp_item_cat,MATCH(E3084,lst_exp_items,0))),"❔ Без категории"))</f>
        <v/>
      </c>
      <c r="G3084" s="43" t="n"/>
      <c r="H3084" s="56" t="n"/>
      <c r="I3084" s="43" t="n"/>
      <c r="J3084" s="57">
        <f>IF(OR(A3084="",H3084=""),"",IF(COUNTIFS(exp_year,C3084,exp_month,D3084,exp_item,E3084,exp_status,"&lt;&gt;❌ Отменено")&gt;0,1,0))</f>
        <v/>
      </c>
    </row>
    <row r="3085">
      <c r="A3085" s="52" t="n"/>
      <c r="B3085" s="53">
        <f>IF(A3085="","",CHOOSE(WEEKDAY(A3085,2),"Пн","Вт","Ср","Чт","Пт","Сб","Вс"))</f>
        <v/>
      </c>
      <c r="C3085" s="53">
        <f>IF(A3085="","",YEAR(A3085))</f>
        <v/>
      </c>
      <c r="D3085" s="54">
        <f>IF(A3085="","",INDEX(lst_months,MONTH(A3085)))</f>
        <v/>
      </c>
      <c r="E3085" s="55" t="n"/>
      <c r="F3085" s="54">
        <f>IF(E3085="","",IFERROR(IF(INDEX(lst_exp_item_cat,MATCH(E3085,lst_exp_items,0))="","❔ Без категории",INDEX(lst_exp_item_cat,MATCH(E3085,lst_exp_items,0))),"❔ Без категории"))</f>
        <v/>
      </c>
      <c r="G3085" s="43" t="n"/>
      <c r="H3085" s="56" t="n"/>
      <c r="I3085" s="43" t="n"/>
      <c r="J3085" s="57">
        <f>IF(OR(A3085="",H3085=""),"",IF(COUNTIFS(exp_year,C3085,exp_month,D3085,exp_item,E3085,exp_status,"&lt;&gt;❌ Отменено")&gt;0,1,0))</f>
        <v/>
      </c>
    </row>
    <row r="3086">
      <c r="A3086" s="52" t="n"/>
      <c r="B3086" s="53">
        <f>IF(A3086="","",CHOOSE(WEEKDAY(A3086,2),"Пн","Вт","Ср","Чт","Пт","Сб","Вс"))</f>
        <v/>
      </c>
      <c r="C3086" s="53">
        <f>IF(A3086="","",YEAR(A3086))</f>
        <v/>
      </c>
      <c r="D3086" s="54">
        <f>IF(A3086="","",INDEX(lst_months,MONTH(A3086)))</f>
        <v/>
      </c>
      <c r="E3086" s="55" t="n"/>
      <c r="F3086" s="54">
        <f>IF(E3086="","",IFERROR(IF(INDEX(lst_exp_item_cat,MATCH(E3086,lst_exp_items,0))="","❔ Без категории",INDEX(lst_exp_item_cat,MATCH(E3086,lst_exp_items,0))),"❔ Без категории"))</f>
        <v/>
      </c>
      <c r="G3086" s="43" t="n"/>
      <c r="H3086" s="56" t="n"/>
      <c r="I3086" s="43" t="n"/>
      <c r="J3086" s="57">
        <f>IF(OR(A3086="",H3086=""),"",IF(COUNTIFS(exp_year,C3086,exp_month,D3086,exp_item,E3086,exp_status,"&lt;&gt;❌ Отменено")&gt;0,1,0))</f>
        <v/>
      </c>
    </row>
    <row r="3087">
      <c r="A3087" s="52" t="n"/>
      <c r="B3087" s="53">
        <f>IF(A3087="","",CHOOSE(WEEKDAY(A3087,2),"Пн","Вт","Ср","Чт","Пт","Сб","Вс"))</f>
        <v/>
      </c>
      <c r="C3087" s="53">
        <f>IF(A3087="","",YEAR(A3087))</f>
        <v/>
      </c>
      <c r="D3087" s="54">
        <f>IF(A3087="","",INDEX(lst_months,MONTH(A3087)))</f>
        <v/>
      </c>
      <c r="E3087" s="55" t="n"/>
      <c r="F3087" s="54">
        <f>IF(E3087="","",IFERROR(IF(INDEX(lst_exp_item_cat,MATCH(E3087,lst_exp_items,0))="","❔ Без категории",INDEX(lst_exp_item_cat,MATCH(E3087,lst_exp_items,0))),"❔ Без категории"))</f>
        <v/>
      </c>
      <c r="G3087" s="43" t="n"/>
      <c r="H3087" s="56" t="n"/>
      <c r="I3087" s="43" t="n"/>
      <c r="J3087" s="57">
        <f>IF(OR(A3087="",H3087=""),"",IF(COUNTIFS(exp_year,C3087,exp_month,D3087,exp_item,E3087,exp_status,"&lt;&gt;❌ Отменено")&gt;0,1,0))</f>
        <v/>
      </c>
    </row>
    <row r="3088">
      <c r="A3088" s="52" t="n"/>
      <c r="B3088" s="53">
        <f>IF(A3088="","",CHOOSE(WEEKDAY(A3088,2),"Пн","Вт","Ср","Чт","Пт","Сб","Вс"))</f>
        <v/>
      </c>
      <c r="C3088" s="53">
        <f>IF(A3088="","",YEAR(A3088))</f>
        <v/>
      </c>
      <c r="D3088" s="54">
        <f>IF(A3088="","",INDEX(lst_months,MONTH(A3088)))</f>
        <v/>
      </c>
      <c r="E3088" s="55" t="n"/>
      <c r="F3088" s="54">
        <f>IF(E3088="","",IFERROR(IF(INDEX(lst_exp_item_cat,MATCH(E3088,lst_exp_items,0))="","❔ Без категории",INDEX(lst_exp_item_cat,MATCH(E3088,lst_exp_items,0))),"❔ Без категории"))</f>
        <v/>
      </c>
      <c r="G3088" s="43" t="n"/>
      <c r="H3088" s="56" t="n"/>
      <c r="I3088" s="43" t="n"/>
      <c r="J3088" s="57">
        <f>IF(OR(A3088="",H3088=""),"",IF(COUNTIFS(exp_year,C3088,exp_month,D3088,exp_item,E3088,exp_status,"&lt;&gt;❌ Отменено")&gt;0,1,0))</f>
        <v/>
      </c>
    </row>
    <row r="3089">
      <c r="A3089" s="52" t="n"/>
      <c r="B3089" s="53">
        <f>IF(A3089="","",CHOOSE(WEEKDAY(A3089,2),"Пн","Вт","Ср","Чт","Пт","Сб","Вс"))</f>
        <v/>
      </c>
      <c r="C3089" s="53">
        <f>IF(A3089="","",YEAR(A3089))</f>
        <v/>
      </c>
      <c r="D3089" s="54">
        <f>IF(A3089="","",INDEX(lst_months,MONTH(A3089)))</f>
        <v/>
      </c>
      <c r="E3089" s="55" t="n"/>
      <c r="F3089" s="54">
        <f>IF(E3089="","",IFERROR(IF(INDEX(lst_exp_item_cat,MATCH(E3089,lst_exp_items,0))="","❔ Без категории",INDEX(lst_exp_item_cat,MATCH(E3089,lst_exp_items,0))),"❔ Без категории"))</f>
        <v/>
      </c>
      <c r="G3089" s="43" t="n"/>
      <c r="H3089" s="56" t="n"/>
      <c r="I3089" s="43" t="n"/>
      <c r="J3089" s="57">
        <f>IF(OR(A3089="",H3089=""),"",IF(COUNTIFS(exp_year,C3089,exp_month,D3089,exp_item,E3089,exp_status,"&lt;&gt;❌ Отменено")&gt;0,1,0))</f>
        <v/>
      </c>
    </row>
    <row r="3090">
      <c r="A3090" s="52" t="n"/>
      <c r="B3090" s="53">
        <f>IF(A3090="","",CHOOSE(WEEKDAY(A3090,2),"Пн","Вт","Ср","Чт","Пт","Сб","Вс"))</f>
        <v/>
      </c>
      <c r="C3090" s="53">
        <f>IF(A3090="","",YEAR(A3090))</f>
        <v/>
      </c>
      <c r="D3090" s="54">
        <f>IF(A3090="","",INDEX(lst_months,MONTH(A3090)))</f>
        <v/>
      </c>
      <c r="E3090" s="55" t="n"/>
      <c r="F3090" s="54">
        <f>IF(E3090="","",IFERROR(IF(INDEX(lst_exp_item_cat,MATCH(E3090,lst_exp_items,0))="","❔ Без категории",INDEX(lst_exp_item_cat,MATCH(E3090,lst_exp_items,0))),"❔ Без категории"))</f>
        <v/>
      </c>
      <c r="G3090" s="43" t="n"/>
      <c r="H3090" s="56" t="n"/>
      <c r="I3090" s="43" t="n"/>
      <c r="J3090" s="57">
        <f>IF(OR(A3090="",H3090=""),"",IF(COUNTIFS(exp_year,C3090,exp_month,D3090,exp_item,E3090,exp_status,"&lt;&gt;❌ Отменено")&gt;0,1,0))</f>
        <v/>
      </c>
    </row>
    <row r="3091">
      <c r="A3091" s="52" t="n"/>
      <c r="B3091" s="53">
        <f>IF(A3091="","",CHOOSE(WEEKDAY(A3091,2),"Пн","Вт","Ср","Чт","Пт","Сб","Вс"))</f>
        <v/>
      </c>
      <c r="C3091" s="53">
        <f>IF(A3091="","",YEAR(A3091))</f>
        <v/>
      </c>
      <c r="D3091" s="54">
        <f>IF(A3091="","",INDEX(lst_months,MONTH(A3091)))</f>
        <v/>
      </c>
      <c r="E3091" s="55" t="n"/>
      <c r="F3091" s="54">
        <f>IF(E3091="","",IFERROR(IF(INDEX(lst_exp_item_cat,MATCH(E3091,lst_exp_items,0))="","❔ Без категории",INDEX(lst_exp_item_cat,MATCH(E3091,lst_exp_items,0))),"❔ Без категории"))</f>
        <v/>
      </c>
      <c r="G3091" s="43" t="n"/>
      <c r="H3091" s="56" t="n"/>
      <c r="I3091" s="43" t="n"/>
      <c r="J3091" s="57">
        <f>IF(OR(A3091="",H3091=""),"",IF(COUNTIFS(exp_year,C3091,exp_month,D3091,exp_item,E3091,exp_status,"&lt;&gt;❌ Отменено")&gt;0,1,0))</f>
        <v/>
      </c>
    </row>
    <row r="3092">
      <c r="A3092" s="52" t="n"/>
      <c r="B3092" s="53">
        <f>IF(A3092="","",CHOOSE(WEEKDAY(A3092,2),"Пн","Вт","Ср","Чт","Пт","Сб","Вс"))</f>
        <v/>
      </c>
      <c r="C3092" s="53">
        <f>IF(A3092="","",YEAR(A3092))</f>
        <v/>
      </c>
      <c r="D3092" s="54">
        <f>IF(A3092="","",INDEX(lst_months,MONTH(A3092)))</f>
        <v/>
      </c>
      <c r="E3092" s="55" t="n"/>
      <c r="F3092" s="54">
        <f>IF(E3092="","",IFERROR(IF(INDEX(lst_exp_item_cat,MATCH(E3092,lst_exp_items,0))="","❔ Без категории",INDEX(lst_exp_item_cat,MATCH(E3092,lst_exp_items,0))),"❔ Без категории"))</f>
        <v/>
      </c>
      <c r="G3092" s="43" t="n"/>
      <c r="H3092" s="56" t="n"/>
      <c r="I3092" s="43" t="n"/>
      <c r="J3092" s="57">
        <f>IF(OR(A3092="",H3092=""),"",IF(COUNTIFS(exp_year,C3092,exp_month,D3092,exp_item,E3092,exp_status,"&lt;&gt;❌ Отменено")&gt;0,1,0))</f>
        <v/>
      </c>
    </row>
    <row r="3093">
      <c r="A3093" s="52" t="n"/>
      <c r="B3093" s="53">
        <f>IF(A3093="","",CHOOSE(WEEKDAY(A3093,2),"Пн","Вт","Ср","Чт","Пт","Сб","Вс"))</f>
        <v/>
      </c>
      <c r="C3093" s="53">
        <f>IF(A3093="","",YEAR(A3093))</f>
        <v/>
      </c>
      <c r="D3093" s="54">
        <f>IF(A3093="","",INDEX(lst_months,MONTH(A3093)))</f>
        <v/>
      </c>
      <c r="E3093" s="55" t="n"/>
      <c r="F3093" s="54">
        <f>IF(E3093="","",IFERROR(IF(INDEX(lst_exp_item_cat,MATCH(E3093,lst_exp_items,0))="","❔ Без категории",INDEX(lst_exp_item_cat,MATCH(E3093,lst_exp_items,0))),"❔ Без категории"))</f>
        <v/>
      </c>
      <c r="G3093" s="43" t="n"/>
      <c r="H3093" s="56" t="n"/>
      <c r="I3093" s="43" t="n"/>
      <c r="J3093" s="57">
        <f>IF(OR(A3093="",H3093=""),"",IF(COUNTIFS(exp_year,C3093,exp_month,D3093,exp_item,E3093,exp_status,"&lt;&gt;❌ Отменено")&gt;0,1,0))</f>
        <v/>
      </c>
    </row>
    <row r="3094">
      <c r="A3094" s="52" t="n"/>
      <c r="B3094" s="53">
        <f>IF(A3094="","",CHOOSE(WEEKDAY(A3094,2),"Пн","Вт","Ср","Чт","Пт","Сб","Вс"))</f>
        <v/>
      </c>
      <c r="C3094" s="53">
        <f>IF(A3094="","",YEAR(A3094))</f>
        <v/>
      </c>
      <c r="D3094" s="54">
        <f>IF(A3094="","",INDEX(lst_months,MONTH(A3094)))</f>
        <v/>
      </c>
      <c r="E3094" s="55" t="n"/>
      <c r="F3094" s="54">
        <f>IF(E3094="","",IFERROR(IF(INDEX(lst_exp_item_cat,MATCH(E3094,lst_exp_items,0))="","❔ Без категории",INDEX(lst_exp_item_cat,MATCH(E3094,lst_exp_items,0))),"❔ Без категории"))</f>
        <v/>
      </c>
      <c r="G3094" s="43" t="n"/>
      <c r="H3094" s="56" t="n"/>
      <c r="I3094" s="43" t="n"/>
      <c r="J3094" s="57">
        <f>IF(OR(A3094="",H3094=""),"",IF(COUNTIFS(exp_year,C3094,exp_month,D3094,exp_item,E3094,exp_status,"&lt;&gt;❌ Отменено")&gt;0,1,0))</f>
        <v/>
      </c>
    </row>
    <row r="3095">
      <c r="A3095" s="52" t="n"/>
      <c r="B3095" s="53">
        <f>IF(A3095="","",CHOOSE(WEEKDAY(A3095,2),"Пн","Вт","Ср","Чт","Пт","Сб","Вс"))</f>
        <v/>
      </c>
      <c r="C3095" s="53">
        <f>IF(A3095="","",YEAR(A3095))</f>
        <v/>
      </c>
      <c r="D3095" s="54">
        <f>IF(A3095="","",INDEX(lst_months,MONTH(A3095)))</f>
        <v/>
      </c>
      <c r="E3095" s="55" t="n"/>
      <c r="F3095" s="54">
        <f>IF(E3095="","",IFERROR(IF(INDEX(lst_exp_item_cat,MATCH(E3095,lst_exp_items,0))="","❔ Без категории",INDEX(lst_exp_item_cat,MATCH(E3095,lst_exp_items,0))),"❔ Без категории"))</f>
        <v/>
      </c>
      <c r="G3095" s="43" t="n"/>
      <c r="H3095" s="56" t="n"/>
      <c r="I3095" s="43" t="n"/>
      <c r="J3095" s="57">
        <f>IF(OR(A3095="",H3095=""),"",IF(COUNTIFS(exp_year,C3095,exp_month,D3095,exp_item,E3095,exp_status,"&lt;&gt;❌ Отменено")&gt;0,1,0))</f>
        <v/>
      </c>
    </row>
    <row r="3096">
      <c r="A3096" s="52" t="n"/>
      <c r="B3096" s="53">
        <f>IF(A3096="","",CHOOSE(WEEKDAY(A3096,2),"Пн","Вт","Ср","Чт","Пт","Сб","Вс"))</f>
        <v/>
      </c>
      <c r="C3096" s="53">
        <f>IF(A3096="","",YEAR(A3096))</f>
        <v/>
      </c>
      <c r="D3096" s="54">
        <f>IF(A3096="","",INDEX(lst_months,MONTH(A3096)))</f>
        <v/>
      </c>
      <c r="E3096" s="55" t="n"/>
      <c r="F3096" s="54">
        <f>IF(E3096="","",IFERROR(IF(INDEX(lst_exp_item_cat,MATCH(E3096,lst_exp_items,0))="","❔ Без категории",INDEX(lst_exp_item_cat,MATCH(E3096,lst_exp_items,0))),"❔ Без категории"))</f>
        <v/>
      </c>
      <c r="G3096" s="43" t="n"/>
      <c r="H3096" s="56" t="n"/>
      <c r="I3096" s="43" t="n"/>
      <c r="J3096" s="57">
        <f>IF(OR(A3096="",H3096=""),"",IF(COUNTIFS(exp_year,C3096,exp_month,D3096,exp_item,E3096,exp_status,"&lt;&gt;❌ Отменено")&gt;0,1,0))</f>
        <v/>
      </c>
    </row>
    <row r="3097">
      <c r="A3097" s="52" t="n"/>
      <c r="B3097" s="53">
        <f>IF(A3097="","",CHOOSE(WEEKDAY(A3097,2),"Пн","Вт","Ср","Чт","Пт","Сб","Вс"))</f>
        <v/>
      </c>
      <c r="C3097" s="53">
        <f>IF(A3097="","",YEAR(A3097))</f>
        <v/>
      </c>
      <c r="D3097" s="54">
        <f>IF(A3097="","",INDEX(lst_months,MONTH(A3097)))</f>
        <v/>
      </c>
      <c r="E3097" s="55" t="n"/>
      <c r="F3097" s="54">
        <f>IF(E3097="","",IFERROR(IF(INDEX(lst_exp_item_cat,MATCH(E3097,lst_exp_items,0))="","❔ Без категории",INDEX(lst_exp_item_cat,MATCH(E3097,lst_exp_items,0))),"❔ Без категории"))</f>
        <v/>
      </c>
      <c r="G3097" s="43" t="n"/>
      <c r="H3097" s="56" t="n"/>
      <c r="I3097" s="43" t="n"/>
      <c r="J3097" s="57">
        <f>IF(OR(A3097="",H3097=""),"",IF(COUNTIFS(exp_year,C3097,exp_month,D3097,exp_item,E3097,exp_status,"&lt;&gt;❌ Отменено")&gt;0,1,0))</f>
        <v/>
      </c>
    </row>
    <row r="3098">
      <c r="A3098" s="52" t="n"/>
      <c r="B3098" s="53">
        <f>IF(A3098="","",CHOOSE(WEEKDAY(A3098,2),"Пн","Вт","Ср","Чт","Пт","Сб","Вс"))</f>
        <v/>
      </c>
      <c r="C3098" s="53">
        <f>IF(A3098="","",YEAR(A3098))</f>
        <v/>
      </c>
      <c r="D3098" s="54">
        <f>IF(A3098="","",INDEX(lst_months,MONTH(A3098)))</f>
        <v/>
      </c>
      <c r="E3098" s="55" t="n"/>
      <c r="F3098" s="54">
        <f>IF(E3098="","",IFERROR(IF(INDEX(lst_exp_item_cat,MATCH(E3098,lst_exp_items,0))="","❔ Без категории",INDEX(lst_exp_item_cat,MATCH(E3098,lst_exp_items,0))),"❔ Без категории"))</f>
        <v/>
      </c>
      <c r="G3098" s="43" t="n"/>
      <c r="H3098" s="56" t="n"/>
      <c r="I3098" s="43" t="n"/>
      <c r="J3098" s="57">
        <f>IF(OR(A3098="",H3098=""),"",IF(COUNTIFS(exp_year,C3098,exp_month,D3098,exp_item,E3098,exp_status,"&lt;&gt;❌ Отменено")&gt;0,1,0))</f>
        <v/>
      </c>
    </row>
    <row r="3099">
      <c r="A3099" s="52" t="n"/>
      <c r="B3099" s="53">
        <f>IF(A3099="","",CHOOSE(WEEKDAY(A3099,2),"Пн","Вт","Ср","Чт","Пт","Сб","Вс"))</f>
        <v/>
      </c>
      <c r="C3099" s="53">
        <f>IF(A3099="","",YEAR(A3099))</f>
        <v/>
      </c>
      <c r="D3099" s="54">
        <f>IF(A3099="","",INDEX(lst_months,MONTH(A3099)))</f>
        <v/>
      </c>
      <c r="E3099" s="55" t="n"/>
      <c r="F3099" s="54">
        <f>IF(E3099="","",IFERROR(IF(INDEX(lst_exp_item_cat,MATCH(E3099,lst_exp_items,0))="","❔ Без категории",INDEX(lst_exp_item_cat,MATCH(E3099,lst_exp_items,0))),"❔ Без категории"))</f>
        <v/>
      </c>
      <c r="G3099" s="43" t="n"/>
      <c r="H3099" s="56" t="n"/>
      <c r="I3099" s="43" t="n"/>
      <c r="J3099" s="57">
        <f>IF(OR(A3099="",H3099=""),"",IF(COUNTIFS(exp_year,C3099,exp_month,D3099,exp_item,E3099,exp_status,"&lt;&gt;❌ Отменено")&gt;0,1,0))</f>
        <v/>
      </c>
    </row>
    <row r="3100">
      <c r="A3100" s="52" t="n"/>
      <c r="B3100" s="53">
        <f>IF(A3100="","",CHOOSE(WEEKDAY(A3100,2),"Пн","Вт","Ср","Чт","Пт","Сб","Вс"))</f>
        <v/>
      </c>
      <c r="C3100" s="53">
        <f>IF(A3100="","",YEAR(A3100))</f>
        <v/>
      </c>
      <c r="D3100" s="54">
        <f>IF(A3100="","",INDEX(lst_months,MONTH(A3100)))</f>
        <v/>
      </c>
      <c r="E3100" s="55" t="n"/>
      <c r="F3100" s="54">
        <f>IF(E3100="","",IFERROR(IF(INDEX(lst_exp_item_cat,MATCH(E3100,lst_exp_items,0))="","❔ Без категории",INDEX(lst_exp_item_cat,MATCH(E3100,lst_exp_items,0))),"❔ Без категории"))</f>
        <v/>
      </c>
      <c r="G3100" s="43" t="n"/>
      <c r="H3100" s="56" t="n"/>
      <c r="I3100" s="43" t="n"/>
      <c r="J3100" s="57">
        <f>IF(OR(A3100="",H3100=""),"",IF(COUNTIFS(exp_year,C3100,exp_month,D3100,exp_item,E3100,exp_status,"&lt;&gt;❌ Отменено")&gt;0,1,0))</f>
        <v/>
      </c>
    </row>
    <row r="3101">
      <c r="A3101" s="52" t="n"/>
      <c r="B3101" s="53">
        <f>IF(A3101="","",CHOOSE(WEEKDAY(A3101,2),"Пн","Вт","Ср","Чт","Пт","Сб","Вс"))</f>
        <v/>
      </c>
      <c r="C3101" s="53">
        <f>IF(A3101="","",YEAR(A3101))</f>
        <v/>
      </c>
      <c r="D3101" s="54">
        <f>IF(A3101="","",INDEX(lst_months,MONTH(A3101)))</f>
        <v/>
      </c>
      <c r="E3101" s="55" t="n"/>
      <c r="F3101" s="54">
        <f>IF(E3101="","",IFERROR(IF(INDEX(lst_exp_item_cat,MATCH(E3101,lst_exp_items,0))="","❔ Без категории",INDEX(lst_exp_item_cat,MATCH(E3101,lst_exp_items,0))),"❔ Без категории"))</f>
        <v/>
      </c>
      <c r="G3101" s="43" t="n"/>
      <c r="H3101" s="56" t="n"/>
      <c r="I3101" s="43" t="n"/>
      <c r="J3101" s="57">
        <f>IF(OR(A3101="",H3101=""),"",IF(COUNTIFS(exp_year,C3101,exp_month,D3101,exp_item,E3101,exp_status,"&lt;&gt;❌ Отменено")&gt;0,1,0))</f>
        <v/>
      </c>
    </row>
    <row r="3102">
      <c r="A3102" s="52" t="n"/>
      <c r="B3102" s="53">
        <f>IF(A3102="","",CHOOSE(WEEKDAY(A3102,2),"Пн","Вт","Ср","Чт","Пт","Сб","Вс"))</f>
        <v/>
      </c>
      <c r="C3102" s="53">
        <f>IF(A3102="","",YEAR(A3102))</f>
        <v/>
      </c>
      <c r="D3102" s="54">
        <f>IF(A3102="","",INDEX(lst_months,MONTH(A3102)))</f>
        <v/>
      </c>
      <c r="E3102" s="55" t="n"/>
      <c r="F3102" s="54">
        <f>IF(E3102="","",IFERROR(IF(INDEX(lst_exp_item_cat,MATCH(E3102,lst_exp_items,0))="","❔ Без категории",INDEX(lst_exp_item_cat,MATCH(E3102,lst_exp_items,0))),"❔ Без категории"))</f>
        <v/>
      </c>
      <c r="G3102" s="43" t="n"/>
      <c r="H3102" s="56" t="n"/>
      <c r="I3102" s="43" t="n"/>
      <c r="J3102" s="57">
        <f>IF(OR(A3102="",H3102=""),"",IF(COUNTIFS(exp_year,C3102,exp_month,D3102,exp_item,E3102,exp_status,"&lt;&gt;❌ Отменено")&gt;0,1,0))</f>
        <v/>
      </c>
    </row>
    <row r="3103">
      <c r="A3103" s="52" t="n"/>
      <c r="B3103" s="53">
        <f>IF(A3103="","",CHOOSE(WEEKDAY(A3103,2),"Пн","Вт","Ср","Чт","Пт","Сб","Вс"))</f>
        <v/>
      </c>
      <c r="C3103" s="53">
        <f>IF(A3103="","",YEAR(A3103))</f>
        <v/>
      </c>
      <c r="D3103" s="54">
        <f>IF(A3103="","",INDEX(lst_months,MONTH(A3103)))</f>
        <v/>
      </c>
      <c r="E3103" s="55" t="n"/>
      <c r="F3103" s="54">
        <f>IF(E3103="","",IFERROR(IF(INDEX(lst_exp_item_cat,MATCH(E3103,lst_exp_items,0))="","❔ Без категории",INDEX(lst_exp_item_cat,MATCH(E3103,lst_exp_items,0))),"❔ Без категории"))</f>
        <v/>
      </c>
      <c r="G3103" s="43" t="n"/>
      <c r="H3103" s="56" t="n"/>
      <c r="I3103" s="43" t="n"/>
      <c r="J3103" s="57">
        <f>IF(OR(A3103="",H3103=""),"",IF(COUNTIFS(exp_year,C3103,exp_month,D3103,exp_item,E3103,exp_status,"&lt;&gt;❌ Отменено")&gt;0,1,0))</f>
        <v/>
      </c>
    </row>
    <row r="3104">
      <c r="A3104" s="52" t="n"/>
      <c r="B3104" s="53">
        <f>IF(A3104="","",CHOOSE(WEEKDAY(A3104,2),"Пн","Вт","Ср","Чт","Пт","Сб","Вс"))</f>
        <v/>
      </c>
      <c r="C3104" s="53">
        <f>IF(A3104="","",YEAR(A3104))</f>
        <v/>
      </c>
      <c r="D3104" s="54">
        <f>IF(A3104="","",INDEX(lst_months,MONTH(A3104)))</f>
        <v/>
      </c>
      <c r="E3104" s="55" t="n"/>
      <c r="F3104" s="54">
        <f>IF(E3104="","",IFERROR(IF(INDEX(lst_exp_item_cat,MATCH(E3104,lst_exp_items,0))="","❔ Без категории",INDEX(lst_exp_item_cat,MATCH(E3104,lst_exp_items,0))),"❔ Без категории"))</f>
        <v/>
      </c>
      <c r="G3104" s="43" t="n"/>
      <c r="H3104" s="56" t="n"/>
      <c r="I3104" s="43" t="n"/>
      <c r="J3104" s="57">
        <f>IF(OR(A3104="",H3104=""),"",IF(COUNTIFS(exp_year,C3104,exp_month,D3104,exp_item,E3104,exp_status,"&lt;&gt;❌ Отменено")&gt;0,1,0))</f>
        <v/>
      </c>
    </row>
    <row r="3105">
      <c r="A3105" s="52" t="n"/>
      <c r="B3105" s="53">
        <f>IF(A3105="","",CHOOSE(WEEKDAY(A3105,2),"Пн","Вт","Ср","Чт","Пт","Сб","Вс"))</f>
        <v/>
      </c>
      <c r="C3105" s="53">
        <f>IF(A3105="","",YEAR(A3105))</f>
        <v/>
      </c>
      <c r="D3105" s="54">
        <f>IF(A3105="","",INDEX(lst_months,MONTH(A3105)))</f>
        <v/>
      </c>
      <c r="E3105" s="55" t="n"/>
      <c r="F3105" s="54">
        <f>IF(E3105="","",IFERROR(IF(INDEX(lst_exp_item_cat,MATCH(E3105,lst_exp_items,0))="","❔ Без категории",INDEX(lst_exp_item_cat,MATCH(E3105,lst_exp_items,0))),"❔ Без категории"))</f>
        <v/>
      </c>
      <c r="G3105" s="43" t="n"/>
      <c r="H3105" s="56" t="n"/>
      <c r="I3105" s="43" t="n"/>
      <c r="J3105" s="57">
        <f>IF(OR(A3105="",H3105=""),"",IF(COUNTIFS(exp_year,C3105,exp_month,D3105,exp_item,E3105,exp_status,"&lt;&gt;❌ Отменено")&gt;0,1,0))</f>
        <v/>
      </c>
    </row>
    <row r="3106">
      <c r="A3106" s="52" t="n"/>
      <c r="B3106" s="53">
        <f>IF(A3106="","",CHOOSE(WEEKDAY(A3106,2),"Пн","Вт","Ср","Чт","Пт","Сб","Вс"))</f>
        <v/>
      </c>
      <c r="C3106" s="53">
        <f>IF(A3106="","",YEAR(A3106))</f>
        <v/>
      </c>
      <c r="D3106" s="54">
        <f>IF(A3106="","",INDEX(lst_months,MONTH(A3106)))</f>
        <v/>
      </c>
      <c r="E3106" s="55" t="n"/>
      <c r="F3106" s="54">
        <f>IF(E3106="","",IFERROR(IF(INDEX(lst_exp_item_cat,MATCH(E3106,lst_exp_items,0))="","❔ Без категории",INDEX(lst_exp_item_cat,MATCH(E3106,lst_exp_items,0))),"❔ Без категории"))</f>
        <v/>
      </c>
      <c r="G3106" s="43" t="n"/>
      <c r="H3106" s="56" t="n"/>
      <c r="I3106" s="43" t="n"/>
      <c r="J3106" s="57">
        <f>IF(OR(A3106="",H3106=""),"",IF(COUNTIFS(exp_year,C3106,exp_month,D3106,exp_item,E3106,exp_status,"&lt;&gt;❌ Отменено")&gt;0,1,0))</f>
        <v/>
      </c>
    </row>
    <row r="3107">
      <c r="A3107" s="52" t="n"/>
      <c r="B3107" s="53">
        <f>IF(A3107="","",CHOOSE(WEEKDAY(A3107,2),"Пн","Вт","Ср","Чт","Пт","Сб","Вс"))</f>
        <v/>
      </c>
      <c r="C3107" s="53">
        <f>IF(A3107="","",YEAR(A3107))</f>
        <v/>
      </c>
      <c r="D3107" s="54">
        <f>IF(A3107="","",INDEX(lst_months,MONTH(A3107)))</f>
        <v/>
      </c>
      <c r="E3107" s="55" t="n"/>
      <c r="F3107" s="54">
        <f>IF(E3107="","",IFERROR(IF(INDEX(lst_exp_item_cat,MATCH(E3107,lst_exp_items,0))="","❔ Без категории",INDEX(lst_exp_item_cat,MATCH(E3107,lst_exp_items,0))),"❔ Без категории"))</f>
        <v/>
      </c>
      <c r="G3107" s="43" t="n"/>
      <c r="H3107" s="56" t="n"/>
      <c r="I3107" s="43" t="n"/>
      <c r="J3107" s="57">
        <f>IF(OR(A3107="",H3107=""),"",IF(COUNTIFS(exp_year,C3107,exp_month,D3107,exp_item,E3107,exp_status,"&lt;&gt;❌ Отменено")&gt;0,1,0))</f>
        <v/>
      </c>
    </row>
    <row r="3108">
      <c r="A3108" s="52" t="n"/>
      <c r="B3108" s="53">
        <f>IF(A3108="","",CHOOSE(WEEKDAY(A3108,2),"Пн","Вт","Ср","Чт","Пт","Сб","Вс"))</f>
        <v/>
      </c>
      <c r="C3108" s="53">
        <f>IF(A3108="","",YEAR(A3108))</f>
        <v/>
      </c>
      <c r="D3108" s="54">
        <f>IF(A3108="","",INDEX(lst_months,MONTH(A3108)))</f>
        <v/>
      </c>
      <c r="E3108" s="55" t="n"/>
      <c r="F3108" s="54">
        <f>IF(E3108="","",IFERROR(IF(INDEX(lst_exp_item_cat,MATCH(E3108,lst_exp_items,0))="","❔ Без категории",INDEX(lst_exp_item_cat,MATCH(E3108,lst_exp_items,0))),"❔ Без категории"))</f>
        <v/>
      </c>
      <c r="G3108" s="43" t="n"/>
      <c r="H3108" s="56" t="n"/>
      <c r="I3108" s="43" t="n"/>
      <c r="J3108" s="57">
        <f>IF(OR(A3108="",H3108=""),"",IF(COUNTIFS(exp_year,C3108,exp_month,D3108,exp_item,E3108,exp_status,"&lt;&gt;❌ Отменено")&gt;0,1,0))</f>
        <v/>
      </c>
    </row>
    <row r="3109">
      <c r="A3109" s="52" t="n"/>
      <c r="B3109" s="53">
        <f>IF(A3109="","",CHOOSE(WEEKDAY(A3109,2),"Пн","Вт","Ср","Чт","Пт","Сб","Вс"))</f>
        <v/>
      </c>
      <c r="C3109" s="53">
        <f>IF(A3109="","",YEAR(A3109))</f>
        <v/>
      </c>
      <c r="D3109" s="54">
        <f>IF(A3109="","",INDEX(lst_months,MONTH(A3109)))</f>
        <v/>
      </c>
      <c r="E3109" s="55" t="n"/>
      <c r="F3109" s="54">
        <f>IF(E3109="","",IFERROR(IF(INDEX(lst_exp_item_cat,MATCH(E3109,lst_exp_items,0))="","❔ Без категории",INDEX(lst_exp_item_cat,MATCH(E3109,lst_exp_items,0))),"❔ Без категории"))</f>
        <v/>
      </c>
      <c r="G3109" s="43" t="n"/>
      <c r="H3109" s="56" t="n"/>
      <c r="I3109" s="43" t="n"/>
      <c r="J3109" s="57">
        <f>IF(OR(A3109="",H3109=""),"",IF(COUNTIFS(exp_year,C3109,exp_month,D3109,exp_item,E3109,exp_status,"&lt;&gt;❌ Отменено")&gt;0,1,0))</f>
        <v/>
      </c>
    </row>
    <row r="3110">
      <c r="A3110" s="52" t="n"/>
      <c r="B3110" s="53">
        <f>IF(A3110="","",CHOOSE(WEEKDAY(A3110,2),"Пн","Вт","Ср","Чт","Пт","Сб","Вс"))</f>
        <v/>
      </c>
      <c r="C3110" s="53">
        <f>IF(A3110="","",YEAR(A3110))</f>
        <v/>
      </c>
      <c r="D3110" s="54">
        <f>IF(A3110="","",INDEX(lst_months,MONTH(A3110)))</f>
        <v/>
      </c>
      <c r="E3110" s="55" t="n"/>
      <c r="F3110" s="54">
        <f>IF(E3110="","",IFERROR(IF(INDEX(lst_exp_item_cat,MATCH(E3110,lst_exp_items,0))="","❔ Без категории",INDEX(lst_exp_item_cat,MATCH(E3110,lst_exp_items,0))),"❔ Без категории"))</f>
        <v/>
      </c>
      <c r="G3110" s="43" t="n"/>
      <c r="H3110" s="56" t="n"/>
      <c r="I3110" s="43" t="n"/>
      <c r="J3110" s="57">
        <f>IF(OR(A3110="",H3110=""),"",IF(COUNTIFS(exp_year,C3110,exp_month,D3110,exp_item,E3110,exp_status,"&lt;&gt;❌ Отменено")&gt;0,1,0))</f>
        <v/>
      </c>
    </row>
    <row r="3111">
      <c r="A3111" s="52" t="n"/>
      <c r="B3111" s="53">
        <f>IF(A3111="","",CHOOSE(WEEKDAY(A3111,2),"Пн","Вт","Ср","Чт","Пт","Сб","Вс"))</f>
        <v/>
      </c>
      <c r="C3111" s="53">
        <f>IF(A3111="","",YEAR(A3111))</f>
        <v/>
      </c>
      <c r="D3111" s="54">
        <f>IF(A3111="","",INDEX(lst_months,MONTH(A3111)))</f>
        <v/>
      </c>
      <c r="E3111" s="55" t="n"/>
      <c r="F3111" s="54">
        <f>IF(E3111="","",IFERROR(IF(INDEX(lst_exp_item_cat,MATCH(E3111,lst_exp_items,0))="","❔ Без категории",INDEX(lst_exp_item_cat,MATCH(E3111,lst_exp_items,0))),"❔ Без категории"))</f>
        <v/>
      </c>
      <c r="G3111" s="43" t="n"/>
      <c r="H3111" s="56" t="n"/>
      <c r="I3111" s="43" t="n"/>
      <c r="J3111" s="57">
        <f>IF(OR(A3111="",H3111=""),"",IF(COUNTIFS(exp_year,C3111,exp_month,D3111,exp_item,E3111,exp_status,"&lt;&gt;❌ Отменено")&gt;0,1,0))</f>
        <v/>
      </c>
    </row>
    <row r="3112">
      <c r="A3112" s="52" t="n"/>
      <c r="B3112" s="53">
        <f>IF(A3112="","",CHOOSE(WEEKDAY(A3112,2),"Пн","Вт","Ср","Чт","Пт","Сб","Вс"))</f>
        <v/>
      </c>
      <c r="C3112" s="53">
        <f>IF(A3112="","",YEAR(A3112))</f>
        <v/>
      </c>
      <c r="D3112" s="54">
        <f>IF(A3112="","",INDEX(lst_months,MONTH(A3112)))</f>
        <v/>
      </c>
      <c r="E3112" s="55" t="n"/>
      <c r="F3112" s="54">
        <f>IF(E3112="","",IFERROR(IF(INDEX(lst_exp_item_cat,MATCH(E3112,lst_exp_items,0))="","❔ Без категории",INDEX(lst_exp_item_cat,MATCH(E3112,lst_exp_items,0))),"❔ Без категории"))</f>
        <v/>
      </c>
      <c r="G3112" s="43" t="n"/>
      <c r="H3112" s="56" t="n"/>
      <c r="I3112" s="43" t="n"/>
      <c r="J3112" s="57">
        <f>IF(OR(A3112="",H3112=""),"",IF(COUNTIFS(exp_year,C3112,exp_month,D3112,exp_item,E3112,exp_status,"&lt;&gt;❌ Отменено")&gt;0,1,0))</f>
        <v/>
      </c>
    </row>
    <row r="3113">
      <c r="A3113" s="52" t="n"/>
      <c r="B3113" s="53">
        <f>IF(A3113="","",CHOOSE(WEEKDAY(A3113,2),"Пн","Вт","Ср","Чт","Пт","Сб","Вс"))</f>
        <v/>
      </c>
      <c r="C3113" s="53">
        <f>IF(A3113="","",YEAR(A3113))</f>
        <v/>
      </c>
      <c r="D3113" s="54">
        <f>IF(A3113="","",INDEX(lst_months,MONTH(A3113)))</f>
        <v/>
      </c>
      <c r="E3113" s="55" t="n"/>
      <c r="F3113" s="54">
        <f>IF(E3113="","",IFERROR(IF(INDEX(lst_exp_item_cat,MATCH(E3113,lst_exp_items,0))="","❔ Без категории",INDEX(lst_exp_item_cat,MATCH(E3113,lst_exp_items,0))),"❔ Без категории"))</f>
        <v/>
      </c>
      <c r="G3113" s="43" t="n"/>
      <c r="H3113" s="56" t="n"/>
      <c r="I3113" s="43" t="n"/>
      <c r="J3113" s="57">
        <f>IF(OR(A3113="",H3113=""),"",IF(COUNTIFS(exp_year,C3113,exp_month,D3113,exp_item,E3113,exp_status,"&lt;&gt;❌ Отменено")&gt;0,1,0))</f>
        <v/>
      </c>
    </row>
    <row r="3114">
      <c r="A3114" s="52" t="n"/>
      <c r="B3114" s="53">
        <f>IF(A3114="","",CHOOSE(WEEKDAY(A3114,2),"Пн","Вт","Ср","Чт","Пт","Сб","Вс"))</f>
        <v/>
      </c>
      <c r="C3114" s="53">
        <f>IF(A3114="","",YEAR(A3114))</f>
        <v/>
      </c>
      <c r="D3114" s="54">
        <f>IF(A3114="","",INDEX(lst_months,MONTH(A3114)))</f>
        <v/>
      </c>
      <c r="E3114" s="55" t="n"/>
      <c r="F3114" s="54">
        <f>IF(E3114="","",IFERROR(IF(INDEX(lst_exp_item_cat,MATCH(E3114,lst_exp_items,0))="","❔ Без категории",INDEX(lst_exp_item_cat,MATCH(E3114,lst_exp_items,0))),"❔ Без категории"))</f>
        <v/>
      </c>
      <c r="G3114" s="43" t="n"/>
      <c r="H3114" s="56" t="n"/>
      <c r="I3114" s="43" t="n"/>
      <c r="J3114" s="57">
        <f>IF(OR(A3114="",H3114=""),"",IF(COUNTIFS(exp_year,C3114,exp_month,D3114,exp_item,E3114,exp_status,"&lt;&gt;❌ Отменено")&gt;0,1,0))</f>
        <v/>
      </c>
    </row>
    <row r="3115">
      <c r="A3115" s="52" t="n"/>
      <c r="B3115" s="53">
        <f>IF(A3115="","",CHOOSE(WEEKDAY(A3115,2),"Пн","Вт","Ср","Чт","Пт","Сб","Вс"))</f>
        <v/>
      </c>
      <c r="C3115" s="53">
        <f>IF(A3115="","",YEAR(A3115))</f>
        <v/>
      </c>
      <c r="D3115" s="54">
        <f>IF(A3115="","",INDEX(lst_months,MONTH(A3115)))</f>
        <v/>
      </c>
      <c r="E3115" s="55" t="n"/>
      <c r="F3115" s="54">
        <f>IF(E3115="","",IFERROR(IF(INDEX(lst_exp_item_cat,MATCH(E3115,lst_exp_items,0))="","❔ Без категории",INDEX(lst_exp_item_cat,MATCH(E3115,lst_exp_items,0))),"❔ Без категории"))</f>
        <v/>
      </c>
      <c r="G3115" s="43" t="n"/>
      <c r="H3115" s="56" t="n"/>
      <c r="I3115" s="43" t="n"/>
      <c r="J3115" s="57">
        <f>IF(OR(A3115="",H3115=""),"",IF(COUNTIFS(exp_year,C3115,exp_month,D3115,exp_item,E3115,exp_status,"&lt;&gt;❌ Отменено")&gt;0,1,0))</f>
        <v/>
      </c>
    </row>
    <row r="3116">
      <c r="A3116" s="52" t="n"/>
      <c r="B3116" s="53">
        <f>IF(A3116="","",CHOOSE(WEEKDAY(A3116,2),"Пн","Вт","Ср","Чт","Пт","Сб","Вс"))</f>
        <v/>
      </c>
      <c r="C3116" s="53">
        <f>IF(A3116="","",YEAR(A3116))</f>
        <v/>
      </c>
      <c r="D3116" s="54">
        <f>IF(A3116="","",INDEX(lst_months,MONTH(A3116)))</f>
        <v/>
      </c>
      <c r="E3116" s="55" t="n"/>
      <c r="F3116" s="54">
        <f>IF(E3116="","",IFERROR(IF(INDEX(lst_exp_item_cat,MATCH(E3116,lst_exp_items,0))="","❔ Без категории",INDEX(lst_exp_item_cat,MATCH(E3116,lst_exp_items,0))),"❔ Без категории"))</f>
        <v/>
      </c>
      <c r="G3116" s="43" t="n"/>
      <c r="H3116" s="56" t="n"/>
      <c r="I3116" s="43" t="n"/>
      <c r="J3116" s="57">
        <f>IF(OR(A3116="",H3116=""),"",IF(COUNTIFS(exp_year,C3116,exp_month,D3116,exp_item,E3116,exp_status,"&lt;&gt;❌ Отменено")&gt;0,1,0))</f>
        <v/>
      </c>
    </row>
    <row r="3117">
      <c r="A3117" s="52" t="n"/>
      <c r="B3117" s="53">
        <f>IF(A3117="","",CHOOSE(WEEKDAY(A3117,2),"Пн","Вт","Ср","Чт","Пт","Сб","Вс"))</f>
        <v/>
      </c>
      <c r="C3117" s="53">
        <f>IF(A3117="","",YEAR(A3117))</f>
        <v/>
      </c>
      <c r="D3117" s="54">
        <f>IF(A3117="","",INDEX(lst_months,MONTH(A3117)))</f>
        <v/>
      </c>
      <c r="E3117" s="55" t="n"/>
      <c r="F3117" s="54">
        <f>IF(E3117="","",IFERROR(IF(INDEX(lst_exp_item_cat,MATCH(E3117,lst_exp_items,0))="","❔ Без категории",INDEX(lst_exp_item_cat,MATCH(E3117,lst_exp_items,0))),"❔ Без категории"))</f>
        <v/>
      </c>
      <c r="G3117" s="43" t="n"/>
      <c r="H3117" s="56" t="n"/>
      <c r="I3117" s="43" t="n"/>
      <c r="J3117" s="57">
        <f>IF(OR(A3117="",H3117=""),"",IF(COUNTIFS(exp_year,C3117,exp_month,D3117,exp_item,E3117,exp_status,"&lt;&gt;❌ Отменено")&gt;0,1,0))</f>
        <v/>
      </c>
    </row>
    <row r="3118">
      <c r="A3118" s="52" t="n"/>
      <c r="B3118" s="53">
        <f>IF(A3118="","",CHOOSE(WEEKDAY(A3118,2),"Пн","Вт","Ср","Чт","Пт","Сб","Вс"))</f>
        <v/>
      </c>
      <c r="C3118" s="53">
        <f>IF(A3118="","",YEAR(A3118))</f>
        <v/>
      </c>
      <c r="D3118" s="54">
        <f>IF(A3118="","",INDEX(lst_months,MONTH(A3118)))</f>
        <v/>
      </c>
      <c r="E3118" s="55" t="n"/>
      <c r="F3118" s="54">
        <f>IF(E3118="","",IFERROR(IF(INDEX(lst_exp_item_cat,MATCH(E3118,lst_exp_items,0))="","❔ Без категории",INDEX(lst_exp_item_cat,MATCH(E3118,lst_exp_items,0))),"❔ Без категории"))</f>
        <v/>
      </c>
      <c r="G3118" s="43" t="n"/>
      <c r="H3118" s="56" t="n"/>
      <c r="I3118" s="43" t="n"/>
      <c r="J3118" s="57">
        <f>IF(OR(A3118="",H3118=""),"",IF(COUNTIFS(exp_year,C3118,exp_month,D3118,exp_item,E3118,exp_status,"&lt;&gt;❌ Отменено")&gt;0,1,0))</f>
        <v/>
      </c>
    </row>
    <row r="3119">
      <c r="A3119" s="52" t="n"/>
      <c r="B3119" s="53">
        <f>IF(A3119="","",CHOOSE(WEEKDAY(A3119,2),"Пн","Вт","Ср","Чт","Пт","Сб","Вс"))</f>
        <v/>
      </c>
      <c r="C3119" s="53">
        <f>IF(A3119="","",YEAR(A3119))</f>
        <v/>
      </c>
      <c r="D3119" s="54">
        <f>IF(A3119="","",INDEX(lst_months,MONTH(A3119)))</f>
        <v/>
      </c>
      <c r="E3119" s="55" t="n"/>
      <c r="F3119" s="54">
        <f>IF(E3119="","",IFERROR(IF(INDEX(lst_exp_item_cat,MATCH(E3119,lst_exp_items,0))="","❔ Без категории",INDEX(lst_exp_item_cat,MATCH(E3119,lst_exp_items,0))),"❔ Без категории"))</f>
        <v/>
      </c>
      <c r="G3119" s="43" t="n"/>
      <c r="H3119" s="56" t="n"/>
      <c r="I3119" s="43" t="n"/>
      <c r="J3119" s="57">
        <f>IF(OR(A3119="",H3119=""),"",IF(COUNTIFS(exp_year,C3119,exp_month,D3119,exp_item,E3119,exp_status,"&lt;&gt;❌ Отменено")&gt;0,1,0))</f>
        <v/>
      </c>
    </row>
    <row r="3120">
      <c r="A3120" s="52" t="n"/>
      <c r="B3120" s="53">
        <f>IF(A3120="","",CHOOSE(WEEKDAY(A3120,2),"Пн","Вт","Ср","Чт","Пт","Сб","Вс"))</f>
        <v/>
      </c>
      <c r="C3120" s="53">
        <f>IF(A3120="","",YEAR(A3120))</f>
        <v/>
      </c>
      <c r="D3120" s="54">
        <f>IF(A3120="","",INDEX(lst_months,MONTH(A3120)))</f>
        <v/>
      </c>
      <c r="E3120" s="55" t="n"/>
      <c r="F3120" s="54">
        <f>IF(E3120="","",IFERROR(IF(INDEX(lst_exp_item_cat,MATCH(E3120,lst_exp_items,0))="","❔ Без категории",INDEX(lst_exp_item_cat,MATCH(E3120,lst_exp_items,0))),"❔ Без категории"))</f>
        <v/>
      </c>
      <c r="G3120" s="43" t="n"/>
      <c r="H3120" s="56" t="n"/>
      <c r="I3120" s="43" t="n"/>
      <c r="J3120" s="57">
        <f>IF(OR(A3120="",H3120=""),"",IF(COUNTIFS(exp_year,C3120,exp_month,D3120,exp_item,E3120,exp_status,"&lt;&gt;❌ Отменено")&gt;0,1,0))</f>
        <v/>
      </c>
    </row>
    <row r="3121">
      <c r="A3121" s="52" t="n"/>
      <c r="B3121" s="53">
        <f>IF(A3121="","",CHOOSE(WEEKDAY(A3121,2),"Пн","Вт","Ср","Чт","Пт","Сб","Вс"))</f>
        <v/>
      </c>
      <c r="C3121" s="53">
        <f>IF(A3121="","",YEAR(A3121))</f>
        <v/>
      </c>
      <c r="D3121" s="54">
        <f>IF(A3121="","",INDEX(lst_months,MONTH(A3121)))</f>
        <v/>
      </c>
      <c r="E3121" s="55" t="n"/>
      <c r="F3121" s="54">
        <f>IF(E3121="","",IFERROR(IF(INDEX(lst_exp_item_cat,MATCH(E3121,lst_exp_items,0))="","❔ Без категории",INDEX(lst_exp_item_cat,MATCH(E3121,lst_exp_items,0))),"❔ Без категории"))</f>
        <v/>
      </c>
      <c r="G3121" s="43" t="n"/>
      <c r="H3121" s="56" t="n"/>
      <c r="I3121" s="43" t="n"/>
      <c r="J3121" s="57">
        <f>IF(OR(A3121="",H3121=""),"",IF(COUNTIFS(exp_year,C3121,exp_month,D3121,exp_item,E3121,exp_status,"&lt;&gt;❌ Отменено")&gt;0,1,0))</f>
        <v/>
      </c>
    </row>
    <row r="3122">
      <c r="A3122" s="52" t="n"/>
      <c r="B3122" s="53">
        <f>IF(A3122="","",CHOOSE(WEEKDAY(A3122,2),"Пн","Вт","Ср","Чт","Пт","Сб","Вс"))</f>
        <v/>
      </c>
      <c r="C3122" s="53">
        <f>IF(A3122="","",YEAR(A3122))</f>
        <v/>
      </c>
      <c r="D3122" s="54">
        <f>IF(A3122="","",INDEX(lst_months,MONTH(A3122)))</f>
        <v/>
      </c>
      <c r="E3122" s="55" t="n"/>
      <c r="F3122" s="54">
        <f>IF(E3122="","",IFERROR(IF(INDEX(lst_exp_item_cat,MATCH(E3122,lst_exp_items,0))="","❔ Без категории",INDEX(lst_exp_item_cat,MATCH(E3122,lst_exp_items,0))),"❔ Без категории"))</f>
        <v/>
      </c>
      <c r="G3122" s="43" t="n"/>
      <c r="H3122" s="56" t="n"/>
      <c r="I3122" s="43" t="n"/>
      <c r="J3122" s="57">
        <f>IF(OR(A3122="",H3122=""),"",IF(COUNTIFS(exp_year,C3122,exp_month,D3122,exp_item,E3122,exp_status,"&lt;&gt;❌ Отменено")&gt;0,1,0))</f>
        <v/>
      </c>
    </row>
    <row r="3123">
      <c r="A3123" s="52" t="n"/>
      <c r="B3123" s="53">
        <f>IF(A3123="","",CHOOSE(WEEKDAY(A3123,2),"Пн","Вт","Ср","Чт","Пт","Сб","Вс"))</f>
        <v/>
      </c>
      <c r="C3123" s="53">
        <f>IF(A3123="","",YEAR(A3123))</f>
        <v/>
      </c>
      <c r="D3123" s="54">
        <f>IF(A3123="","",INDEX(lst_months,MONTH(A3123)))</f>
        <v/>
      </c>
      <c r="E3123" s="55" t="n"/>
      <c r="F3123" s="54">
        <f>IF(E3123="","",IFERROR(IF(INDEX(lst_exp_item_cat,MATCH(E3123,lst_exp_items,0))="","❔ Без категории",INDEX(lst_exp_item_cat,MATCH(E3123,lst_exp_items,0))),"❔ Без категории"))</f>
        <v/>
      </c>
      <c r="G3123" s="43" t="n"/>
      <c r="H3123" s="56" t="n"/>
      <c r="I3123" s="43" t="n"/>
      <c r="J3123" s="57">
        <f>IF(OR(A3123="",H3123=""),"",IF(COUNTIFS(exp_year,C3123,exp_month,D3123,exp_item,E3123,exp_status,"&lt;&gt;❌ Отменено")&gt;0,1,0))</f>
        <v/>
      </c>
    </row>
    <row r="3124">
      <c r="A3124" s="52" t="n"/>
      <c r="B3124" s="53">
        <f>IF(A3124="","",CHOOSE(WEEKDAY(A3124,2),"Пн","Вт","Ср","Чт","Пт","Сб","Вс"))</f>
        <v/>
      </c>
      <c r="C3124" s="53">
        <f>IF(A3124="","",YEAR(A3124))</f>
        <v/>
      </c>
      <c r="D3124" s="54">
        <f>IF(A3124="","",INDEX(lst_months,MONTH(A3124)))</f>
        <v/>
      </c>
      <c r="E3124" s="55" t="n"/>
      <c r="F3124" s="54">
        <f>IF(E3124="","",IFERROR(IF(INDEX(lst_exp_item_cat,MATCH(E3124,lst_exp_items,0))="","❔ Без категории",INDEX(lst_exp_item_cat,MATCH(E3124,lst_exp_items,0))),"❔ Без категории"))</f>
        <v/>
      </c>
      <c r="G3124" s="43" t="n"/>
      <c r="H3124" s="56" t="n"/>
      <c r="I3124" s="43" t="n"/>
      <c r="J3124" s="57">
        <f>IF(OR(A3124="",H3124=""),"",IF(COUNTIFS(exp_year,C3124,exp_month,D3124,exp_item,E3124,exp_status,"&lt;&gt;❌ Отменено")&gt;0,1,0))</f>
        <v/>
      </c>
    </row>
    <row r="3125">
      <c r="A3125" s="52" t="n"/>
      <c r="B3125" s="53">
        <f>IF(A3125="","",CHOOSE(WEEKDAY(A3125,2),"Пн","Вт","Ср","Чт","Пт","Сб","Вс"))</f>
        <v/>
      </c>
      <c r="C3125" s="53">
        <f>IF(A3125="","",YEAR(A3125))</f>
        <v/>
      </c>
      <c r="D3125" s="54">
        <f>IF(A3125="","",INDEX(lst_months,MONTH(A3125)))</f>
        <v/>
      </c>
      <c r="E3125" s="55" t="n"/>
      <c r="F3125" s="54">
        <f>IF(E3125="","",IFERROR(IF(INDEX(lst_exp_item_cat,MATCH(E3125,lst_exp_items,0))="","❔ Без категории",INDEX(lst_exp_item_cat,MATCH(E3125,lst_exp_items,0))),"❔ Без категории"))</f>
        <v/>
      </c>
      <c r="G3125" s="43" t="n"/>
      <c r="H3125" s="56" t="n"/>
      <c r="I3125" s="43" t="n"/>
      <c r="J3125" s="57">
        <f>IF(OR(A3125="",H3125=""),"",IF(COUNTIFS(exp_year,C3125,exp_month,D3125,exp_item,E3125,exp_status,"&lt;&gt;❌ Отменено")&gt;0,1,0))</f>
        <v/>
      </c>
    </row>
    <row r="3126">
      <c r="A3126" s="52" t="n"/>
      <c r="B3126" s="53">
        <f>IF(A3126="","",CHOOSE(WEEKDAY(A3126,2),"Пн","Вт","Ср","Чт","Пт","Сб","Вс"))</f>
        <v/>
      </c>
      <c r="C3126" s="53">
        <f>IF(A3126="","",YEAR(A3126))</f>
        <v/>
      </c>
      <c r="D3126" s="54">
        <f>IF(A3126="","",INDEX(lst_months,MONTH(A3126)))</f>
        <v/>
      </c>
      <c r="E3126" s="55" t="n"/>
      <c r="F3126" s="54">
        <f>IF(E3126="","",IFERROR(IF(INDEX(lst_exp_item_cat,MATCH(E3126,lst_exp_items,0))="","❔ Без категории",INDEX(lst_exp_item_cat,MATCH(E3126,lst_exp_items,0))),"❔ Без категории"))</f>
        <v/>
      </c>
      <c r="G3126" s="43" t="n"/>
      <c r="H3126" s="56" t="n"/>
      <c r="I3126" s="43" t="n"/>
      <c r="J3126" s="57">
        <f>IF(OR(A3126="",H3126=""),"",IF(COUNTIFS(exp_year,C3126,exp_month,D3126,exp_item,E3126,exp_status,"&lt;&gt;❌ Отменено")&gt;0,1,0))</f>
        <v/>
      </c>
    </row>
    <row r="3127">
      <c r="A3127" s="52" t="n"/>
      <c r="B3127" s="53">
        <f>IF(A3127="","",CHOOSE(WEEKDAY(A3127,2),"Пн","Вт","Ср","Чт","Пт","Сб","Вс"))</f>
        <v/>
      </c>
      <c r="C3127" s="53">
        <f>IF(A3127="","",YEAR(A3127))</f>
        <v/>
      </c>
      <c r="D3127" s="54">
        <f>IF(A3127="","",INDEX(lst_months,MONTH(A3127)))</f>
        <v/>
      </c>
      <c r="E3127" s="55" t="n"/>
      <c r="F3127" s="54">
        <f>IF(E3127="","",IFERROR(IF(INDEX(lst_exp_item_cat,MATCH(E3127,lst_exp_items,0))="","❔ Без категории",INDEX(lst_exp_item_cat,MATCH(E3127,lst_exp_items,0))),"❔ Без категории"))</f>
        <v/>
      </c>
      <c r="G3127" s="43" t="n"/>
      <c r="H3127" s="56" t="n"/>
      <c r="I3127" s="43" t="n"/>
      <c r="J3127" s="57">
        <f>IF(OR(A3127="",H3127=""),"",IF(COUNTIFS(exp_year,C3127,exp_month,D3127,exp_item,E3127,exp_status,"&lt;&gt;❌ Отменено")&gt;0,1,0))</f>
        <v/>
      </c>
    </row>
    <row r="3128">
      <c r="A3128" s="52" t="n"/>
      <c r="B3128" s="53">
        <f>IF(A3128="","",CHOOSE(WEEKDAY(A3128,2),"Пн","Вт","Ср","Чт","Пт","Сб","Вс"))</f>
        <v/>
      </c>
      <c r="C3128" s="53">
        <f>IF(A3128="","",YEAR(A3128))</f>
        <v/>
      </c>
      <c r="D3128" s="54">
        <f>IF(A3128="","",INDEX(lst_months,MONTH(A3128)))</f>
        <v/>
      </c>
      <c r="E3128" s="55" t="n"/>
      <c r="F3128" s="54">
        <f>IF(E3128="","",IFERROR(IF(INDEX(lst_exp_item_cat,MATCH(E3128,lst_exp_items,0))="","❔ Без категории",INDEX(lst_exp_item_cat,MATCH(E3128,lst_exp_items,0))),"❔ Без категории"))</f>
        <v/>
      </c>
      <c r="G3128" s="43" t="n"/>
      <c r="H3128" s="56" t="n"/>
      <c r="I3128" s="43" t="n"/>
      <c r="J3128" s="57">
        <f>IF(OR(A3128="",H3128=""),"",IF(COUNTIFS(exp_year,C3128,exp_month,D3128,exp_item,E3128,exp_status,"&lt;&gt;❌ Отменено")&gt;0,1,0))</f>
        <v/>
      </c>
    </row>
    <row r="3129">
      <c r="A3129" s="52" t="n"/>
      <c r="B3129" s="53">
        <f>IF(A3129="","",CHOOSE(WEEKDAY(A3129,2),"Пн","Вт","Ср","Чт","Пт","Сб","Вс"))</f>
        <v/>
      </c>
      <c r="C3129" s="53">
        <f>IF(A3129="","",YEAR(A3129))</f>
        <v/>
      </c>
      <c r="D3129" s="54">
        <f>IF(A3129="","",INDEX(lst_months,MONTH(A3129)))</f>
        <v/>
      </c>
      <c r="E3129" s="55" t="n"/>
      <c r="F3129" s="54">
        <f>IF(E3129="","",IFERROR(IF(INDEX(lst_exp_item_cat,MATCH(E3129,lst_exp_items,0))="","❔ Без категории",INDEX(lst_exp_item_cat,MATCH(E3129,lst_exp_items,0))),"❔ Без категории"))</f>
        <v/>
      </c>
      <c r="G3129" s="43" t="n"/>
      <c r="H3129" s="56" t="n"/>
      <c r="I3129" s="43" t="n"/>
      <c r="J3129" s="57">
        <f>IF(OR(A3129="",H3129=""),"",IF(COUNTIFS(exp_year,C3129,exp_month,D3129,exp_item,E3129,exp_status,"&lt;&gt;❌ Отменено")&gt;0,1,0))</f>
        <v/>
      </c>
    </row>
    <row r="3130">
      <c r="A3130" s="52" t="n"/>
      <c r="B3130" s="53">
        <f>IF(A3130="","",CHOOSE(WEEKDAY(A3130,2),"Пн","Вт","Ср","Чт","Пт","Сб","Вс"))</f>
        <v/>
      </c>
      <c r="C3130" s="53">
        <f>IF(A3130="","",YEAR(A3130))</f>
        <v/>
      </c>
      <c r="D3130" s="54">
        <f>IF(A3130="","",INDEX(lst_months,MONTH(A3130)))</f>
        <v/>
      </c>
      <c r="E3130" s="55" t="n"/>
      <c r="F3130" s="54">
        <f>IF(E3130="","",IFERROR(IF(INDEX(lst_exp_item_cat,MATCH(E3130,lst_exp_items,0))="","❔ Без категории",INDEX(lst_exp_item_cat,MATCH(E3130,lst_exp_items,0))),"❔ Без категории"))</f>
        <v/>
      </c>
      <c r="G3130" s="43" t="n"/>
      <c r="H3130" s="56" t="n"/>
      <c r="I3130" s="43" t="n"/>
      <c r="J3130" s="57">
        <f>IF(OR(A3130="",H3130=""),"",IF(COUNTIFS(exp_year,C3130,exp_month,D3130,exp_item,E3130,exp_status,"&lt;&gt;❌ Отменено")&gt;0,1,0))</f>
        <v/>
      </c>
    </row>
    <row r="3131">
      <c r="A3131" s="52" t="n"/>
      <c r="B3131" s="53">
        <f>IF(A3131="","",CHOOSE(WEEKDAY(A3131,2),"Пн","Вт","Ср","Чт","Пт","Сб","Вс"))</f>
        <v/>
      </c>
      <c r="C3131" s="53">
        <f>IF(A3131="","",YEAR(A3131))</f>
        <v/>
      </c>
      <c r="D3131" s="54">
        <f>IF(A3131="","",INDEX(lst_months,MONTH(A3131)))</f>
        <v/>
      </c>
      <c r="E3131" s="55" t="n"/>
      <c r="F3131" s="54">
        <f>IF(E3131="","",IFERROR(IF(INDEX(lst_exp_item_cat,MATCH(E3131,lst_exp_items,0))="","❔ Без категории",INDEX(lst_exp_item_cat,MATCH(E3131,lst_exp_items,0))),"❔ Без категории"))</f>
        <v/>
      </c>
      <c r="G3131" s="43" t="n"/>
      <c r="H3131" s="56" t="n"/>
      <c r="I3131" s="43" t="n"/>
      <c r="J3131" s="57">
        <f>IF(OR(A3131="",H3131=""),"",IF(COUNTIFS(exp_year,C3131,exp_month,D3131,exp_item,E3131,exp_status,"&lt;&gt;❌ Отменено")&gt;0,1,0))</f>
        <v/>
      </c>
    </row>
    <row r="3132">
      <c r="A3132" s="52" t="n"/>
      <c r="B3132" s="53">
        <f>IF(A3132="","",CHOOSE(WEEKDAY(A3132,2),"Пн","Вт","Ср","Чт","Пт","Сб","Вс"))</f>
        <v/>
      </c>
      <c r="C3132" s="53">
        <f>IF(A3132="","",YEAR(A3132))</f>
        <v/>
      </c>
      <c r="D3132" s="54">
        <f>IF(A3132="","",INDEX(lst_months,MONTH(A3132)))</f>
        <v/>
      </c>
      <c r="E3132" s="55" t="n"/>
      <c r="F3132" s="54">
        <f>IF(E3132="","",IFERROR(IF(INDEX(lst_exp_item_cat,MATCH(E3132,lst_exp_items,0))="","❔ Без категории",INDEX(lst_exp_item_cat,MATCH(E3132,lst_exp_items,0))),"❔ Без категории"))</f>
        <v/>
      </c>
      <c r="G3132" s="43" t="n"/>
      <c r="H3132" s="56" t="n"/>
      <c r="I3132" s="43" t="n"/>
      <c r="J3132" s="57">
        <f>IF(OR(A3132="",H3132=""),"",IF(COUNTIFS(exp_year,C3132,exp_month,D3132,exp_item,E3132,exp_status,"&lt;&gt;❌ Отменено")&gt;0,1,0))</f>
        <v/>
      </c>
    </row>
    <row r="3133">
      <c r="A3133" s="52" t="n"/>
      <c r="B3133" s="53">
        <f>IF(A3133="","",CHOOSE(WEEKDAY(A3133,2),"Пн","Вт","Ср","Чт","Пт","Сб","Вс"))</f>
        <v/>
      </c>
      <c r="C3133" s="53">
        <f>IF(A3133="","",YEAR(A3133))</f>
        <v/>
      </c>
      <c r="D3133" s="54">
        <f>IF(A3133="","",INDEX(lst_months,MONTH(A3133)))</f>
        <v/>
      </c>
      <c r="E3133" s="55" t="n"/>
      <c r="F3133" s="54">
        <f>IF(E3133="","",IFERROR(IF(INDEX(lst_exp_item_cat,MATCH(E3133,lst_exp_items,0))="","❔ Без категории",INDEX(lst_exp_item_cat,MATCH(E3133,lst_exp_items,0))),"❔ Без категории"))</f>
        <v/>
      </c>
      <c r="G3133" s="43" t="n"/>
      <c r="H3133" s="56" t="n"/>
      <c r="I3133" s="43" t="n"/>
      <c r="J3133" s="57">
        <f>IF(OR(A3133="",H3133=""),"",IF(COUNTIFS(exp_year,C3133,exp_month,D3133,exp_item,E3133,exp_status,"&lt;&gt;❌ Отменено")&gt;0,1,0))</f>
        <v/>
      </c>
    </row>
    <row r="3134">
      <c r="A3134" s="52" t="n"/>
      <c r="B3134" s="53">
        <f>IF(A3134="","",CHOOSE(WEEKDAY(A3134,2),"Пн","Вт","Ср","Чт","Пт","Сб","Вс"))</f>
        <v/>
      </c>
      <c r="C3134" s="53">
        <f>IF(A3134="","",YEAR(A3134))</f>
        <v/>
      </c>
      <c r="D3134" s="54">
        <f>IF(A3134="","",INDEX(lst_months,MONTH(A3134)))</f>
        <v/>
      </c>
      <c r="E3134" s="55" t="n"/>
      <c r="F3134" s="54">
        <f>IF(E3134="","",IFERROR(IF(INDEX(lst_exp_item_cat,MATCH(E3134,lst_exp_items,0))="","❔ Без категории",INDEX(lst_exp_item_cat,MATCH(E3134,lst_exp_items,0))),"❔ Без категории"))</f>
        <v/>
      </c>
      <c r="G3134" s="43" t="n"/>
      <c r="H3134" s="56" t="n"/>
      <c r="I3134" s="43" t="n"/>
      <c r="J3134" s="57">
        <f>IF(OR(A3134="",H3134=""),"",IF(COUNTIFS(exp_year,C3134,exp_month,D3134,exp_item,E3134,exp_status,"&lt;&gt;❌ Отменено")&gt;0,1,0))</f>
        <v/>
      </c>
    </row>
    <row r="3135">
      <c r="A3135" s="52" t="n"/>
      <c r="B3135" s="53">
        <f>IF(A3135="","",CHOOSE(WEEKDAY(A3135,2),"Пн","Вт","Ср","Чт","Пт","Сб","Вс"))</f>
        <v/>
      </c>
      <c r="C3135" s="53">
        <f>IF(A3135="","",YEAR(A3135))</f>
        <v/>
      </c>
      <c r="D3135" s="54">
        <f>IF(A3135="","",INDEX(lst_months,MONTH(A3135)))</f>
        <v/>
      </c>
      <c r="E3135" s="55" t="n"/>
      <c r="F3135" s="54">
        <f>IF(E3135="","",IFERROR(IF(INDEX(lst_exp_item_cat,MATCH(E3135,lst_exp_items,0))="","❔ Без категории",INDEX(lst_exp_item_cat,MATCH(E3135,lst_exp_items,0))),"❔ Без категории"))</f>
        <v/>
      </c>
      <c r="G3135" s="43" t="n"/>
      <c r="H3135" s="56" t="n"/>
      <c r="I3135" s="43" t="n"/>
      <c r="J3135" s="57">
        <f>IF(OR(A3135="",H3135=""),"",IF(COUNTIFS(exp_year,C3135,exp_month,D3135,exp_item,E3135,exp_status,"&lt;&gt;❌ Отменено")&gt;0,1,0))</f>
        <v/>
      </c>
    </row>
    <row r="3136">
      <c r="A3136" s="52" t="n"/>
      <c r="B3136" s="53">
        <f>IF(A3136="","",CHOOSE(WEEKDAY(A3136,2),"Пн","Вт","Ср","Чт","Пт","Сб","Вс"))</f>
        <v/>
      </c>
      <c r="C3136" s="53">
        <f>IF(A3136="","",YEAR(A3136))</f>
        <v/>
      </c>
      <c r="D3136" s="54">
        <f>IF(A3136="","",INDEX(lst_months,MONTH(A3136)))</f>
        <v/>
      </c>
      <c r="E3136" s="55" t="n"/>
      <c r="F3136" s="54">
        <f>IF(E3136="","",IFERROR(IF(INDEX(lst_exp_item_cat,MATCH(E3136,lst_exp_items,0))="","❔ Без категории",INDEX(lst_exp_item_cat,MATCH(E3136,lst_exp_items,0))),"❔ Без категории"))</f>
        <v/>
      </c>
      <c r="G3136" s="43" t="n"/>
      <c r="H3136" s="56" t="n"/>
      <c r="I3136" s="43" t="n"/>
      <c r="J3136" s="57">
        <f>IF(OR(A3136="",H3136=""),"",IF(COUNTIFS(exp_year,C3136,exp_month,D3136,exp_item,E3136,exp_status,"&lt;&gt;❌ Отменено")&gt;0,1,0))</f>
        <v/>
      </c>
    </row>
    <row r="3137">
      <c r="A3137" s="52" t="n"/>
      <c r="B3137" s="53">
        <f>IF(A3137="","",CHOOSE(WEEKDAY(A3137,2),"Пн","Вт","Ср","Чт","Пт","Сб","Вс"))</f>
        <v/>
      </c>
      <c r="C3137" s="53">
        <f>IF(A3137="","",YEAR(A3137))</f>
        <v/>
      </c>
      <c r="D3137" s="54">
        <f>IF(A3137="","",INDEX(lst_months,MONTH(A3137)))</f>
        <v/>
      </c>
      <c r="E3137" s="55" t="n"/>
      <c r="F3137" s="54">
        <f>IF(E3137="","",IFERROR(IF(INDEX(lst_exp_item_cat,MATCH(E3137,lst_exp_items,0))="","❔ Без категории",INDEX(lst_exp_item_cat,MATCH(E3137,lst_exp_items,0))),"❔ Без категории"))</f>
        <v/>
      </c>
      <c r="G3137" s="43" t="n"/>
      <c r="H3137" s="56" t="n"/>
      <c r="I3137" s="43" t="n"/>
      <c r="J3137" s="57">
        <f>IF(OR(A3137="",H3137=""),"",IF(COUNTIFS(exp_year,C3137,exp_month,D3137,exp_item,E3137,exp_status,"&lt;&gt;❌ Отменено")&gt;0,1,0))</f>
        <v/>
      </c>
    </row>
    <row r="3138">
      <c r="A3138" s="52" t="n"/>
      <c r="B3138" s="53">
        <f>IF(A3138="","",CHOOSE(WEEKDAY(A3138,2),"Пн","Вт","Ср","Чт","Пт","Сб","Вс"))</f>
        <v/>
      </c>
      <c r="C3138" s="53">
        <f>IF(A3138="","",YEAR(A3138))</f>
        <v/>
      </c>
      <c r="D3138" s="54">
        <f>IF(A3138="","",INDEX(lst_months,MONTH(A3138)))</f>
        <v/>
      </c>
      <c r="E3138" s="55" t="n"/>
      <c r="F3138" s="54">
        <f>IF(E3138="","",IFERROR(IF(INDEX(lst_exp_item_cat,MATCH(E3138,lst_exp_items,0))="","❔ Без категории",INDEX(lst_exp_item_cat,MATCH(E3138,lst_exp_items,0))),"❔ Без категории"))</f>
        <v/>
      </c>
      <c r="G3138" s="43" t="n"/>
      <c r="H3138" s="56" t="n"/>
      <c r="I3138" s="43" t="n"/>
      <c r="J3138" s="57">
        <f>IF(OR(A3138="",H3138=""),"",IF(COUNTIFS(exp_year,C3138,exp_month,D3138,exp_item,E3138,exp_status,"&lt;&gt;❌ Отменено")&gt;0,1,0))</f>
        <v/>
      </c>
    </row>
    <row r="3139">
      <c r="A3139" s="52" t="n"/>
      <c r="B3139" s="53">
        <f>IF(A3139="","",CHOOSE(WEEKDAY(A3139,2),"Пн","Вт","Ср","Чт","Пт","Сб","Вс"))</f>
        <v/>
      </c>
      <c r="C3139" s="53">
        <f>IF(A3139="","",YEAR(A3139))</f>
        <v/>
      </c>
      <c r="D3139" s="54">
        <f>IF(A3139="","",INDEX(lst_months,MONTH(A3139)))</f>
        <v/>
      </c>
      <c r="E3139" s="55" t="n"/>
      <c r="F3139" s="54">
        <f>IF(E3139="","",IFERROR(IF(INDEX(lst_exp_item_cat,MATCH(E3139,lst_exp_items,0))="","❔ Без категории",INDEX(lst_exp_item_cat,MATCH(E3139,lst_exp_items,0))),"❔ Без категории"))</f>
        <v/>
      </c>
      <c r="G3139" s="43" t="n"/>
      <c r="H3139" s="56" t="n"/>
      <c r="I3139" s="43" t="n"/>
      <c r="J3139" s="57">
        <f>IF(OR(A3139="",H3139=""),"",IF(COUNTIFS(exp_year,C3139,exp_month,D3139,exp_item,E3139,exp_status,"&lt;&gt;❌ Отменено")&gt;0,1,0))</f>
        <v/>
      </c>
    </row>
    <row r="3140">
      <c r="A3140" s="52" t="n"/>
      <c r="B3140" s="53">
        <f>IF(A3140="","",CHOOSE(WEEKDAY(A3140,2),"Пн","Вт","Ср","Чт","Пт","Сб","Вс"))</f>
        <v/>
      </c>
      <c r="C3140" s="53">
        <f>IF(A3140="","",YEAR(A3140))</f>
        <v/>
      </c>
      <c r="D3140" s="54">
        <f>IF(A3140="","",INDEX(lst_months,MONTH(A3140)))</f>
        <v/>
      </c>
      <c r="E3140" s="55" t="n"/>
      <c r="F3140" s="54">
        <f>IF(E3140="","",IFERROR(IF(INDEX(lst_exp_item_cat,MATCH(E3140,lst_exp_items,0))="","❔ Без категории",INDEX(lst_exp_item_cat,MATCH(E3140,lst_exp_items,0))),"❔ Без категории"))</f>
        <v/>
      </c>
      <c r="G3140" s="43" t="n"/>
      <c r="H3140" s="56" t="n"/>
      <c r="I3140" s="43" t="n"/>
      <c r="J3140" s="57">
        <f>IF(OR(A3140="",H3140=""),"",IF(COUNTIFS(exp_year,C3140,exp_month,D3140,exp_item,E3140,exp_status,"&lt;&gt;❌ Отменено")&gt;0,1,0))</f>
        <v/>
      </c>
    </row>
    <row r="3141">
      <c r="A3141" s="52" t="n"/>
      <c r="B3141" s="53">
        <f>IF(A3141="","",CHOOSE(WEEKDAY(A3141,2),"Пн","Вт","Ср","Чт","Пт","Сб","Вс"))</f>
        <v/>
      </c>
      <c r="C3141" s="53">
        <f>IF(A3141="","",YEAR(A3141))</f>
        <v/>
      </c>
      <c r="D3141" s="54">
        <f>IF(A3141="","",INDEX(lst_months,MONTH(A3141)))</f>
        <v/>
      </c>
      <c r="E3141" s="55" t="n"/>
      <c r="F3141" s="54">
        <f>IF(E3141="","",IFERROR(IF(INDEX(lst_exp_item_cat,MATCH(E3141,lst_exp_items,0))="","❔ Без категории",INDEX(lst_exp_item_cat,MATCH(E3141,lst_exp_items,0))),"❔ Без категории"))</f>
        <v/>
      </c>
      <c r="G3141" s="43" t="n"/>
      <c r="H3141" s="56" t="n"/>
      <c r="I3141" s="43" t="n"/>
      <c r="J3141" s="57">
        <f>IF(OR(A3141="",H3141=""),"",IF(COUNTIFS(exp_year,C3141,exp_month,D3141,exp_item,E3141,exp_status,"&lt;&gt;❌ Отменено")&gt;0,1,0))</f>
        <v/>
      </c>
    </row>
    <row r="3142">
      <c r="A3142" s="52" t="n"/>
      <c r="B3142" s="53">
        <f>IF(A3142="","",CHOOSE(WEEKDAY(A3142,2),"Пн","Вт","Ср","Чт","Пт","Сб","Вс"))</f>
        <v/>
      </c>
      <c r="C3142" s="53">
        <f>IF(A3142="","",YEAR(A3142))</f>
        <v/>
      </c>
      <c r="D3142" s="54">
        <f>IF(A3142="","",INDEX(lst_months,MONTH(A3142)))</f>
        <v/>
      </c>
      <c r="E3142" s="55" t="n"/>
      <c r="F3142" s="54">
        <f>IF(E3142="","",IFERROR(IF(INDEX(lst_exp_item_cat,MATCH(E3142,lst_exp_items,0))="","❔ Без категории",INDEX(lst_exp_item_cat,MATCH(E3142,lst_exp_items,0))),"❔ Без категории"))</f>
        <v/>
      </c>
      <c r="G3142" s="43" t="n"/>
      <c r="H3142" s="56" t="n"/>
      <c r="I3142" s="43" t="n"/>
      <c r="J3142" s="57">
        <f>IF(OR(A3142="",H3142=""),"",IF(COUNTIFS(exp_year,C3142,exp_month,D3142,exp_item,E3142,exp_status,"&lt;&gt;❌ Отменено")&gt;0,1,0))</f>
        <v/>
      </c>
    </row>
    <row r="3143">
      <c r="A3143" s="52" t="n"/>
      <c r="B3143" s="53">
        <f>IF(A3143="","",CHOOSE(WEEKDAY(A3143,2),"Пн","Вт","Ср","Чт","Пт","Сб","Вс"))</f>
        <v/>
      </c>
      <c r="C3143" s="53">
        <f>IF(A3143="","",YEAR(A3143))</f>
        <v/>
      </c>
      <c r="D3143" s="54">
        <f>IF(A3143="","",INDEX(lst_months,MONTH(A3143)))</f>
        <v/>
      </c>
      <c r="E3143" s="55" t="n"/>
      <c r="F3143" s="54">
        <f>IF(E3143="","",IFERROR(IF(INDEX(lst_exp_item_cat,MATCH(E3143,lst_exp_items,0))="","❔ Без категории",INDEX(lst_exp_item_cat,MATCH(E3143,lst_exp_items,0))),"❔ Без категории"))</f>
        <v/>
      </c>
      <c r="G3143" s="43" t="n"/>
      <c r="H3143" s="56" t="n"/>
      <c r="I3143" s="43" t="n"/>
      <c r="J3143" s="57">
        <f>IF(OR(A3143="",H3143=""),"",IF(COUNTIFS(exp_year,C3143,exp_month,D3143,exp_item,E3143,exp_status,"&lt;&gt;❌ Отменено")&gt;0,1,0))</f>
        <v/>
      </c>
    </row>
    <row r="3144">
      <c r="A3144" s="52" t="n"/>
      <c r="B3144" s="53">
        <f>IF(A3144="","",CHOOSE(WEEKDAY(A3144,2),"Пн","Вт","Ср","Чт","Пт","Сб","Вс"))</f>
        <v/>
      </c>
      <c r="C3144" s="53">
        <f>IF(A3144="","",YEAR(A3144))</f>
        <v/>
      </c>
      <c r="D3144" s="54">
        <f>IF(A3144="","",INDEX(lst_months,MONTH(A3144)))</f>
        <v/>
      </c>
      <c r="E3144" s="55" t="n"/>
      <c r="F3144" s="54">
        <f>IF(E3144="","",IFERROR(IF(INDEX(lst_exp_item_cat,MATCH(E3144,lst_exp_items,0))="","❔ Без категории",INDEX(lst_exp_item_cat,MATCH(E3144,lst_exp_items,0))),"❔ Без категории"))</f>
        <v/>
      </c>
      <c r="G3144" s="43" t="n"/>
      <c r="H3144" s="56" t="n"/>
      <c r="I3144" s="43" t="n"/>
      <c r="J3144" s="57">
        <f>IF(OR(A3144="",H3144=""),"",IF(COUNTIFS(exp_year,C3144,exp_month,D3144,exp_item,E3144,exp_status,"&lt;&gt;❌ Отменено")&gt;0,1,0))</f>
        <v/>
      </c>
    </row>
    <row r="3145">
      <c r="A3145" s="52" t="n"/>
      <c r="B3145" s="53">
        <f>IF(A3145="","",CHOOSE(WEEKDAY(A3145,2),"Пн","Вт","Ср","Чт","Пт","Сб","Вс"))</f>
        <v/>
      </c>
      <c r="C3145" s="53">
        <f>IF(A3145="","",YEAR(A3145))</f>
        <v/>
      </c>
      <c r="D3145" s="54">
        <f>IF(A3145="","",INDEX(lst_months,MONTH(A3145)))</f>
        <v/>
      </c>
      <c r="E3145" s="55" t="n"/>
      <c r="F3145" s="54">
        <f>IF(E3145="","",IFERROR(IF(INDEX(lst_exp_item_cat,MATCH(E3145,lst_exp_items,0))="","❔ Без категории",INDEX(lst_exp_item_cat,MATCH(E3145,lst_exp_items,0))),"❔ Без категории"))</f>
        <v/>
      </c>
      <c r="G3145" s="43" t="n"/>
      <c r="H3145" s="56" t="n"/>
      <c r="I3145" s="43" t="n"/>
      <c r="J3145" s="57">
        <f>IF(OR(A3145="",H3145=""),"",IF(COUNTIFS(exp_year,C3145,exp_month,D3145,exp_item,E3145,exp_status,"&lt;&gt;❌ Отменено")&gt;0,1,0))</f>
        <v/>
      </c>
    </row>
    <row r="3146">
      <c r="A3146" s="52" t="n"/>
      <c r="B3146" s="53">
        <f>IF(A3146="","",CHOOSE(WEEKDAY(A3146,2),"Пн","Вт","Ср","Чт","Пт","Сб","Вс"))</f>
        <v/>
      </c>
      <c r="C3146" s="53">
        <f>IF(A3146="","",YEAR(A3146))</f>
        <v/>
      </c>
      <c r="D3146" s="54">
        <f>IF(A3146="","",INDEX(lst_months,MONTH(A3146)))</f>
        <v/>
      </c>
      <c r="E3146" s="55" t="n"/>
      <c r="F3146" s="54">
        <f>IF(E3146="","",IFERROR(IF(INDEX(lst_exp_item_cat,MATCH(E3146,lst_exp_items,0))="","❔ Без категории",INDEX(lst_exp_item_cat,MATCH(E3146,lst_exp_items,0))),"❔ Без категории"))</f>
        <v/>
      </c>
      <c r="G3146" s="43" t="n"/>
      <c r="H3146" s="56" t="n"/>
      <c r="I3146" s="43" t="n"/>
      <c r="J3146" s="57">
        <f>IF(OR(A3146="",H3146=""),"",IF(COUNTIFS(exp_year,C3146,exp_month,D3146,exp_item,E3146,exp_status,"&lt;&gt;❌ Отменено")&gt;0,1,0))</f>
        <v/>
      </c>
    </row>
    <row r="3147">
      <c r="A3147" s="52" t="n"/>
      <c r="B3147" s="53">
        <f>IF(A3147="","",CHOOSE(WEEKDAY(A3147,2),"Пн","Вт","Ср","Чт","Пт","Сб","Вс"))</f>
        <v/>
      </c>
      <c r="C3147" s="53">
        <f>IF(A3147="","",YEAR(A3147))</f>
        <v/>
      </c>
      <c r="D3147" s="54">
        <f>IF(A3147="","",INDEX(lst_months,MONTH(A3147)))</f>
        <v/>
      </c>
      <c r="E3147" s="55" t="n"/>
      <c r="F3147" s="54">
        <f>IF(E3147="","",IFERROR(IF(INDEX(lst_exp_item_cat,MATCH(E3147,lst_exp_items,0))="","❔ Без категории",INDEX(lst_exp_item_cat,MATCH(E3147,lst_exp_items,0))),"❔ Без категории"))</f>
        <v/>
      </c>
      <c r="G3147" s="43" t="n"/>
      <c r="H3147" s="56" t="n"/>
      <c r="I3147" s="43" t="n"/>
      <c r="J3147" s="57">
        <f>IF(OR(A3147="",H3147=""),"",IF(COUNTIFS(exp_year,C3147,exp_month,D3147,exp_item,E3147,exp_status,"&lt;&gt;❌ Отменено")&gt;0,1,0))</f>
        <v/>
      </c>
    </row>
    <row r="3148">
      <c r="A3148" s="52" t="n"/>
      <c r="B3148" s="53">
        <f>IF(A3148="","",CHOOSE(WEEKDAY(A3148,2),"Пн","Вт","Ср","Чт","Пт","Сб","Вс"))</f>
        <v/>
      </c>
      <c r="C3148" s="53">
        <f>IF(A3148="","",YEAR(A3148))</f>
        <v/>
      </c>
      <c r="D3148" s="54">
        <f>IF(A3148="","",INDEX(lst_months,MONTH(A3148)))</f>
        <v/>
      </c>
      <c r="E3148" s="55" t="n"/>
      <c r="F3148" s="54">
        <f>IF(E3148="","",IFERROR(IF(INDEX(lst_exp_item_cat,MATCH(E3148,lst_exp_items,0))="","❔ Без категории",INDEX(lst_exp_item_cat,MATCH(E3148,lst_exp_items,0))),"❔ Без категории"))</f>
        <v/>
      </c>
      <c r="G3148" s="43" t="n"/>
      <c r="H3148" s="56" t="n"/>
      <c r="I3148" s="43" t="n"/>
      <c r="J3148" s="57">
        <f>IF(OR(A3148="",H3148=""),"",IF(COUNTIFS(exp_year,C3148,exp_month,D3148,exp_item,E3148,exp_status,"&lt;&gt;❌ Отменено")&gt;0,1,0))</f>
        <v/>
      </c>
    </row>
    <row r="3149">
      <c r="A3149" s="52" t="n"/>
      <c r="B3149" s="53">
        <f>IF(A3149="","",CHOOSE(WEEKDAY(A3149,2),"Пн","Вт","Ср","Чт","Пт","Сб","Вс"))</f>
        <v/>
      </c>
      <c r="C3149" s="53">
        <f>IF(A3149="","",YEAR(A3149))</f>
        <v/>
      </c>
      <c r="D3149" s="54">
        <f>IF(A3149="","",INDEX(lst_months,MONTH(A3149)))</f>
        <v/>
      </c>
      <c r="E3149" s="55" t="n"/>
      <c r="F3149" s="54">
        <f>IF(E3149="","",IFERROR(IF(INDEX(lst_exp_item_cat,MATCH(E3149,lst_exp_items,0))="","❔ Без категории",INDEX(lst_exp_item_cat,MATCH(E3149,lst_exp_items,0))),"❔ Без категории"))</f>
        <v/>
      </c>
      <c r="G3149" s="43" t="n"/>
      <c r="H3149" s="56" t="n"/>
      <c r="I3149" s="43" t="n"/>
      <c r="J3149" s="57">
        <f>IF(OR(A3149="",H3149=""),"",IF(COUNTIFS(exp_year,C3149,exp_month,D3149,exp_item,E3149,exp_status,"&lt;&gt;❌ Отменено")&gt;0,1,0))</f>
        <v/>
      </c>
    </row>
    <row r="3150">
      <c r="A3150" s="52" t="n"/>
      <c r="B3150" s="53">
        <f>IF(A3150="","",CHOOSE(WEEKDAY(A3150,2),"Пн","Вт","Ср","Чт","Пт","Сб","Вс"))</f>
        <v/>
      </c>
      <c r="C3150" s="53">
        <f>IF(A3150="","",YEAR(A3150))</f>
        <v/>
      </c>
      <c r="D3150" s="54">
        <f>IF(A3150="","",INDEX(lst_months,MONTH(A3150)))</f>
        <v/>
      </c>
      <c r="E3150" s="55" t="n"/>
      <c r="F3150" s="54">
        <f>IF(E3150="","",IFERROR(IF(INDEX(lst_exp_item_cat,MATCH(E3150,lst_exp_items,0))="","❔ Без категории",INDEX(lst_exp_item_cat,MATCH(E3150,lst_exp_items,0))),"❔ Без категории"))</f>
        <v/>
      </c>
      <c r="G3150" s="43" t="n"/>
      <c r="H3150" s="56" t="n"/>
      <c r="I3150" s="43" t="n"/>
      <c r="J3150" s="57">
        <f>IF(OR(A3150="",H3150=""),"",IF(COUNTIFS(exp_year,C3150,exp_month,D3150,exp_item,E3150,exp_status,"&lt;&gt;❌ Отменено")&gt;0,1,0))</f>
        <v/>
      </c>
    </row>
    <row r="3151">
      <c r="A3151" s="52" t="n"/>
      <c r="B3151" s="53">
        <f>IF(A3151="","",CHOOSE(WEEKDAY(A3151,2),"Пн","Вт","Ср","Чт","Пт","Сб","Вс"))</f>
        <v/>
      </c>
      <c r="C3151" s="53">
        <f>IF(A3151="","",YEAR(A3151))</f>
        <v/>
      </c>
      <c r="D3151" s="54">
        <f>IF(A3151="","",INDEX(lst_months,MONTH(A3151)))</f>
        <v/>
      </c>
      <c r="E3151" s="55" t="n"/>
      <c r="F3151" s="54">
        <f>IF(E3151="","",IFERROR(IF(INDEX(lst_exp_item_cat,MATCH(E3151,lst_exp_items,0))="","❔ Без категории",INDEX(lst_exp_item_cat,MATCH(E3151,lst_exp_items,0))),"❔ Без категории"))</f>
        <v/>
      </c>
      <c r="G3151" s="43" t="n"/>
      <c r="H3151" s="56" t="n"/>
      <c r="I3151" s="43" t="n"/>
      <c r="J3151" s="57">
        <f>IF(OR(A3151="",H3151=""),"",IF(COUNTIFS(exp_year,C3151,exp_month,D3151,exp_item,E3151,exp_status,"&lt;&gt;❌ Отменено")&gt;0,1,0))</f>
        <v/>
      </c>
    </row>
    <row r="3152">
      <c r="A3152" s="52" t="n"/>
      <c r="B3152" s="53">
        <f>IF(A3152="","",CHOOSE(WEEKDAY(A3152,2),"Пн","Вт","Ср","Чт","Пт","Сб","Вс"))</f>
        <v/>
      </c>
      <c r="C3152" s="53">
        <f>IF(A3152="","",YEAR(A3152))</f>
        <v/>
      </c>
      <c r="D3152" s="54">
        <f>IF(A3152="","",INDEX(lst_months,MONTH(A3152)))</f>
        <v/>
      </c>
      <c r="E3152" s="55" t="n"/>
      <c r="F3152" s="54">
        <f>IF(E3152="","",IFERROR(IF(INDEX(lst_exp_item_cat,MATCH(E3152,lst_exp_items,0))="","❔ Без категории",INDEX(lst_exp_item_cat,MATCH(E3152,lst_exp_items,0))),"❔ Без категории"))</f>
        <v/>
      </c>
      <c r="G3152" s="43" t="n"/>
      <c r="H3152" s="56" t="n"/>
      <c r="I3152" s="43" t="n"/>
      <c r="J3152" s="57">
        <f>IF(OR(A3152="",H3152=""),"",IF(COUNTIFS(exp_year,C3152,exp_month,D3152,exp_item,E3152,exp_status,"&lt;&gt;❌ Отменено")&gt;0,1,0))</f>
        <v/>
      </c>
    </row>
    <row r="3153">
      <c r="A3153" s="52" t="n"/>
      <c r="B3153" s="53">
        <f>IF(A3153="","",CHOOSE(WEEKDAY(A3153,2),"Пн","Вт","Ср","Чт","Пт","Сб","Вс"))</f>
        <v/>
      </c>
      <c r="C3153" s="53">
        <f>IF(A3153="","",YEAR(A3153))</f>
        <v/>
      </c>
      <c r="D3153" s="54">
        <f>IF(A3153="","",INDEX(lst_months,MONTH(A3153)))</f>
        <v/>
      </c>
      <c r="E3153" s="55" t="n"/>
      <c r="F3153" s="54">
        <f>IF(E3153="","",IFERROR(IF(INDEX(lst_exp_item_cat,MATCH(E3153,lst_exp_items,0))="","❔ Без категории",INDEX(lst_exp_item_cat,MATCH(E3153,lst_exp_items,0))),"❔ Без категории"))</f>
        <v/>
      </c>
      <c r="G3153" s="43" t="n"/>
      <c r="H3153" s="56" t="n"/>
      <c r="I3153" s="43" t="n"/>
      <c r="J3153" s="57">
        <f>IF(OR(A3153="",H3153=""),"",IF(COUNTIFS(exp_year,C3153,exp_month,D3153,exp_item,E3153,exp_status,"&lt;&gt;❌ Отменено")&gt;0,1,0))</f>
        <v/>
      </c>
    </row>
    <row r="3154">
      <c r="A3154" s="52" t="n"/>
      <c r="B3154" s="53">
        <f>IF(A3154="","",CHOOSE(WEEKDAY(A3154,2),"Пн","Вт","Ср","Чт","Пт","Сб","Вс"))</f>
        <v/>
      </c>
      <c r="C3154" s="53">
        <f>IF(A3154="","",YEAR(A3154))</f>
        <v/>
      </c>
      <c r="D3154" s="54">
        <f>IF(A3154="","",INDEX(lst_months,MONTH(A3154)))</f>
        <v/>
      </c>
      <c r="E3154" s="55" t="n"/>
      <c r="F3154" s="54">
        <f>IF(E3154="","",IFERROR(IF(INDEX(lst_exp_item_cat,MATCH(E3154,lst_exp_items,0))="","❔ Без категории",INDEX(lst_exp_item_cat,MATCH(E3154,lst_exp_items,0))),"❔ Без категории"))</f>
        <v/>
      </c>
      <c r="G3154" s="43" t="n"/>
      <c r="H3154" s="56" t="n"/>
      <c r="I3154" s="43" t="n"/>
      <c r="J3154" s="57">
        <f>IF(OR(A3154="",H3154=""),"",IF(COUNTIFS(exp_year,C3154,exp_month,D3154,exp_item,E3154,exp_status,"&lt;&gt;❌ Отменено")&gt;0,1,0))</f>
        <v/>
      </c>
    </row>
    <row r="3155">
      <c r="A3155" s="52" t="n"/>
      <c r="B3155" s="53">
        <f>IF(A3155="","",CHOOSE(WEEKDAY(A3155,2),"Пн","Вт","Ср","Чт","Пт","Сб","Вс"))</f>
        <v/>
      </c>
      <c r="C3155" s="53">
        <f>IF(A3155="","",YEAR(A3155))</f>
        <v/>
      </c>
      <c r="D3155" s="54">
        <f>IF(A3155="","",INDEX(lst_months,MONTH(A3155)))</f>
        <v/>
      </c>
      <c r="E3155" s="55" t="n"/>
      <c r="F3155" s="54">
        <f>IF(E3155="","",IFERROR(IF(INDEX(lst_exp_item_cat,MATCH(E3155,lst_exp_items,0))="","❔ Без категории",INDEX(lst_exp_item_cat,MATCH(E3155,lst_exp_items,0))),"❔ Без категории"))</f>
        <v/>
      </c>
      <c r="G3155" s="43" t="n"/>
      <c r="H3155" s="56" t="n"/>
      <c r="I3155" s="43" t="n"/>
      <c r="J3155" s="57">
        <f>IF(OR(A3155="",H3155=""),"",IF(COUNTIFS(exp_year,C3155,exp_month,D3155,exp_item,E3155,exp_status,"&lt;&gt;❌ Отменено")&gt;0,1,0))</f>
        <v/>
      </c>
    </row>
    <row r="3156">
      <c r="A3156" s="52" t="n"/>
      <c r="B3156" s="53">
        <f>IF(A3156="","",CHOOSE(WEEKDAY(A3156,2),"Пн","Вт","Ср","Чт","Пт","Сб","Вс"))</f>
        <v/>
      </c>
      <c r="C3156" s="53">
        <f>IF(A3156="","",YEAR(A3156))</f>
        <v/>
      </c>
      <c r="D3156" s="54">
        <f>IF(A3156="","",INDEX(lst_months,MONTH(A3156)))</f>
        <v/>
      </c>
      <c r="E3156" s="55" t="n"/>
      <c r="F3156" s="54">
        <f>IF(E3156="","",IFERROR(IF(INDEX(lst_exp_item_cat,MATCH(E3156,lst_exp_items,0))="","❔ Без категории",INDEX(lst_exp_item_cat,MATCH(E3156,lst_exp_items,0))),"❔ Без категории"))</f>
        <v/>
      </c>
      <c r="G3156" s="43" t="n"/>
      <c r="H3156" s="56" t="n"/>
      <c r="I3156" s="43" t="n"/>
      <c r="J3156" s="57">
        <f>IF(OR(A3156="",H3156=""),"",IF(COUNTIFS(exp_year,C3156,exp_month,D3156,exp_item,E3156,exp_status,"&lt;&gt;❌ Отменено")&gt;0,1,0))</f>
        <v/>
      </c>
    </row>
    <row r="3157">
      <c r="A3157" s="52" t="n"/>
      <c r="B3157" s="53">
        <f>IF(A3157="","",CHOOSE(WEEKDAY(A3157,2),"Пн","Вт","Ср","Чт","Пт","Сб","Вс"))</f>
        <v/>
      </c>
      <c r="C3157" s="53">
        <f>IF(A3157="","",YEAR(A3157))</f>
        <v/>
      </c>
      <c r="D3157" s="54">
        <f>IF(A3157="","",INDEX(lst_months,MONTH(A3157)))</f>
        <v/>
      </c>
      <c r="E3157" s="55" t="n"/>
      <c r="F3157" s="54">
        <f>IF(E3157="","",IFERROR(IF(INDEX(lst_exp_item_cat,MATCH(E3157,lst_exp_items,0))="","❔ Без категории",INDEX(lst_exp_item_cat,MATCH(E3157,lst_exp_items,0))),"❔ Без категории"))</f>
        <v/>
      </c>
      <c r="G3157" s="43" t="n"/>
      <c r="H3157" s="56" t="n"/>
      <c r="I3157" s="43" t="n"/>
      <c r="J3157" s="57">
        <f>IF(OR(A3157="",H3157=""),"",IF(COUNTIFS(exp_year,C3157,exp_month,D3157,exp_item,E3157,exp_status,"&lt;&gt;❌ Отменено")&gt;0,1,0))</f>
        <v/>
      </c>
    </row>
    <row r="3158">
      <c r="A3158" s="52" t="n"/>
      <c r="B3158" s="53">
        <f>IF(A3158="","",CHOOSE(WEEKDAY(A3158,2),"Пн","Вт","Ср","Чт","Пт","Сб","Вс"))</f>
        <v/>
      </c>
      <c r="C3158" s="53">
        <f>IF(A3158="","",YEAR(A3158))</f>
        <v/>
      </c>
      <c r="D3158" s="54">
        <f>IF(A3158="","",INDEX(lst_months,MONTH(A3158)))</f>
        <v/>
      </c>
      <c r="E3158" s="55" t="n"/>
      <c r="F3158" s="54">
        <f>IF(E3158="","",IFERROR(IF(INDEX(lst_exp_item_cat,MATCH(E3158,lst_exp_items,0))="","❔ Без категории",INDEX(lst_exp_item_cat,MATCH(E3158,lst_exp_items,0))),"❔ Без категории"))</f>
        <v/>
      </c>
      <c r="G3158" s="43" t="n"/>
      <c r="H3158" s="56" t="n"/>
      <c r="I3158" s="43" t="n"/>
      <c r="J3158" s="57">
        <f>IF(OR(A3158="",H3158=""),"",IF(COUNTIFS(exp_year,C3158,exp_month,D3158,exp_item,E3158,exp_status,"&lt;&gt;❌ Отменено")&gt;0,1,0))</f>
        <v/>
      </c>
    </row>
    <row r="3159">
      <c r="A3159" s="52" t="n"/>
      <c r="B3159" s="53">
        <f>IF(A3159="","",CHOOSE(WEEKDAY(A3159,2),"Пн","Вт","Ср","Чт","Пт","Сб","Вс"))</f>
        <v/>
      </c>
      <c r="C3159" s="53">
        <f>IF(A3159="","",YEAR(A3159))</f>
        <v/>
      </c>
      <c r="D3159" s="54">
        <f>IF(A3159="","",INDEX(lst_months,MONTH(A3159)))</f>
        <v/>
      </c>
      <c r="E3159" s="55" t="n"/>
      <c r="F3159" s="54">
        <f>IF(E3159="","",IFERROR(IF(INDEX(lst_exp_item_cat,MATCH(E3159,lst_exp_items,0))="","❔ Без категории",INDEX(lst_exp_item_cat,MATCH(E3159,lst_exp_items,0))),"❔ Без категории"))</f>
        <v/>
      </c>
      <c r="G3159" s="43" t="n"/>
      <c r="H3159" s="56" t="n"/>
      <c r="I3159" s="43" t="n"/>
      <c r="J3159" s="57">
        <f>IF(OR(A3159="",H3159=""),"",IF(COUNTIFS(exp_year,C3159,exp_month,D3159,exp_item,E3159,exp_status,"&lt;&gt;❌ Отменено")&gt;0,1,0))</f>
        <v/>
      </c>
    </row>
    <row r="3160">
      <c r="A3160" s="52" t="n"/>
      <c r="B3160" s="53">
        <f>IF(A3160="","",CHOOSE(WEEKDAY(A3160,2),"Пн","Вт","Ср","Чт","Пт","Сб","Вс"))</f>
        <v/>
      </c>
      <c r="C3160" s="53">
        <f>IF(A3160="","",YEAR(A3160))</f>
        <v/>
      </c>
      <c r="D3160" s="54">
        <f>IF(A3160="","",INDEX(lst_months,MONTH(A3160)))</f>
        <v/>
      </c>
      <c r="E3160" s="55" t="n"/>
      <c r="F3160" s="54">
        <f>IF(E3160="","",IFERROR(IF(INDEX(lst_exp_item_cat,MATCH(E3160,lst_exp_items,0))="","❔ Без категории",INDEX(lst_exp_item_cat,MATCH(E3160,lst_exp_items,0))),"❔ Без категории"))</f>
        <v/>
      </c>
      <c r="G3160" s="43" t="n"/>
      <c r="H3160" s="56" t="n"/>
      <c r="I3160" s="43" t="n"/>
      <c r="J3160" s="57">
        <f>IF(OR(A3160="",H3160=""),"",IF(COUNTIFS(exp_year,C3160,exp_month,D3160,exp_item,E3160,exp_status,"&lt;&gt;❌ Отменено")&gt;0,1,0))</f>
        <v/>
      </c>
    </row>
    <row r="3161">
      <c r="A3161" s="52" t="n"/>
      <c r="B3161" s="53">
        <f>IF(A3161="","",CHOOSE(WEEKDAY(A3161,2),"Пн","Вт","Ср","Чт","Пт","Сб","Вс"))</f>
        <v/>
      </c>
      <c r="C3161" s="53">
        <f>IF(A3161="","",YEAR(A3161))</f>
        <v/>
      </c>
      <c r="D3161" s="54">
        <f>IF(A3161="","",INDEX(lst_months,MONTH(A3161)))</f>
        <v/>
      </c>
      <c r="E3161" s="55" t="n"/>
      <c r="F3161" s="54">
        <f>IF(E3161="","",IFERROR(IF(INDEX(lst_exp_item_cat,MATCH(E3161,lst_exp_items,0))="","❔ Без категории",INDEX(lst_exp_item_cat,MATCH(E3161,lst_exp_items,0))),"❔ Без категории"))</f>
        <v/>
      </c>
      <c r="G3161" s="43" t="n"/>
      <c r="H3161" s="56" t="n"/>
      <c r="I3161" s="43" t="n"/>
      <c r="J3161" s="57">
        <f>IF(OR(A3161="",H3161=""),"",IF(COUNTIFS(exp_year,C3161,exp_month,D3161,exp_item,E3161,exp_status,"&lt;&gt;❌ Отменено")&gt;0,1,0))</f>
        <v/>
      </c>
    </row>
    <row r="3162">
      <c r="A3162" s="52" t="n"/>
      <c r="B3162" s="53">
        <f>IF(A3162="","",CHOOSE(WEEKDAY(A3162,2),"Пн","Вт","Ср","Чт","Пт","Сб","Вс"))</f>
        <v/>
      </c>
      <c r="C3162" s="53">
        <f>IF(A3162="","",YEAR(A3162))</f>
        <v/>
      </c>
      <c r="D3162" s="54">
        <f>IF(A3162="","",INDEX(lst_months,MONTH(A3162)))</f>
        <v/>
      </c>
      <c r="E3162" s="55" t="n"/>
      <c r="F3162" s="54">
        <f>IF(E3162="","",IFERROR(IF(INDEX(lst_exp_item_cat,MATCH(E3162,lst_exp_items,0))="","❔ Без категории",INDEX(lst_exp_item_cat,MATCH(E3162,lst_exp_items,0))),"❔ Без категории"))</f>
        <v/>
      </c>
      <c r="G3162" s="43" t="n"/>
      <c r="H3162" s="56" t="n"/>
      <c r="I3162" s="43" t="n"/>
      <c r="J3162" s="57">
        <f>IF(OR(A3162="",H3162=""),"",IF(COUNTIFS(exp_year,C3162,exp_month,D3162,exp_item,E3162,exp_status,"&lt;&gt;❌ Отменено")&gt;0,1,0))</f>
        <v/>
      </c>
    </row>
    <row r="3163">
      <c r="A3163" s="52" t="n"/>
      <c r="B3163" s="53">
        <f>IF(A3163="","",CHOOSE(WEEKDAY(A3163,2),"Пн","Вт","Ср","Чт","Пт","Сб","Вс"))</f>
        <v/>
      </c>
      <c r="C3163" s="53">
        <f>IF(A3163="","",YEAR(A3163))</f>
        <v/>
      </c>
      <c r="D3163" s="54">
        <f>IF(A3163="","",INDEX(lst_months,MONTH(A3163)))</f>
        <v/>
      </c>
      <c r="E3163" s="55" t="n"/>
      <c r="F3163" s="54">
        <f>IF(E3163="","",IFERROR(IF(INDEX(lst_exp_item_cat,MATCH(E3163,lst_exp_items,0))="","❔ Без категории",INDEX(lst_exp_item_cat,MATCH(E3163,lst_exp_items,0))),"❔ Без категории"))</f>
        <v/>
      </c>
      <c r="G3163" s="43" t="n"/>
      <c r="H3163" s="56" t="n"/>
      <c r="I3163" s="43" t="n"/>
      <c r="J3163" s="57">
        <f>IF(OR(A3163="",H3163=""),"",IF(COUNTIFS(exp_year,C3163,exp_month,D3163,exp_item,E3163,exp_status,"&lt;&gt;❌ Отменено")&gt;0,1,0))</f>
        <v/>
      </c>
    </row>
    <row r="3164">
      <c r="A3164" s="52" t="n"/>
      <c r="B3164" s="53">
        <f>IF(A3164="","",CHOOSE(WEEKDAY(A3164,2),"Пн","Вт","Ср","Чт","Пт","Сб","Вс"))</f>
        <v/>
      </c>
      <c r="C3164" s="53">
        <f>IF(A3164="","",YEAR(A3164))</f>
        <v/>
      </c>
      <c r="D3164" s="54">
        <f>IF(A3164="","",INDEX(lst_months,MONTH(A3164)))</f>
        <v/>
      </c>
      <c r="E3164" s="55" t="n"/>
      <c r="F3164" s="54">
        <f>IF(E3164="","",IFERROR(IF(INDEX(lst_exp_item_cat,MATCH(E3164,lst_exp_items,0))="","❔ Без категории",INDEX(lst_exp_item_cat,MATCH(E3164,lst_exp_items,0))),"❔ Без категории"))</f>
        <v/>
      </c>
      <c r="G3164" s="43" t="n"/>
      <c r="H3164" s="56" t="n"/>
      <c r="I3164" s="43" t="n"/>
      <c r="J3164" s="57">
        <f>IF(OR(A3164="",H3164=""),"",IF(COUNTIFS(exp_year,C3164,exp_month,D3164,exp_item,E3164,exp_status,"&lt;&gt;❌ Отменено")&gt;0,1,0))</f>
        <v/>
      </c>
    </row>
    <row r="3165">
      <c r="A3165" s="52" t="n"/>
      <c r="B3165" s="53">
        <f>IF(A3165="","",CHOOSE(WEEKDAY(A3165,2),"Пн","Вт","Ср","Чт","Пт","Сб","Вс"))</f>
        <v/>
      </c>
      <c r="C3165" s="53">
        <f>IF(A3165="","",YEAR(A3165))</f>
        <v/>
      </c>
      <c r="D3165" s="54">
        <f>IF(A3165="","",INDEX(lst_months,MONTH(A3165)))</f>
        <v/>
      </c>
      <c r="E3165" s="55" t="n"/>
      <c r="F3165" s="54">
        <f>IF(E3165="","",IFERROR(IF(INDEX(lst_exp_item_cat,MATCH(E3165,lst_exp_items,0))="","❔ Без категории",INDEX(lst_exp_item_cat,MATCH(E3165,lst_exp_items,0))),"❔ Без категории"))</f>
        <v/>
      </c>
      <c r="G3165" s="43" t="n"/>
      <c r="H3165" s="56" t="n"/>
      <c r="I3165" s="43" t="n"/>
      <c r="J3165" s="57">
        <f>IF(OR(A3165="",H3165=""),"",IF(COUNTIFS(exp_year,C3165,exp_month,D3165,exp_item,E3165,exp_status,"&lt;&gt;❌ Отменено")&gt;0,1,0))</f>
        <v/>
      </c>
    </row>
    <row r="3166">
      <c r="A3166" s="52" t="n"/>
      <c r="B3166" s="53">
        <f>IF(A3166="","",CHOOSE(WEEKDAY(A3166,2),"Пн","Вт","Ср","Чт","Пт","Сб","Вс"))</f>
        <v/>
      </c>
      <c r="C3166" s="53">
        <f>IF(A3166="","",YEAR(A3166))</f>
        <v/>
      </c>
      <c r="D3166" s="54">
        <f>IF(A3166="","",INDEX(lst_months,MONTH(A3166)))</f>
        <v/>
      </c>
      <c r="E3166" s="55" t="n"/>
      <c r="F3166" s="54">
        <f>IF(E3166="","",IFERROR(IF(INDEX(lst_exp_item_cat,MATCH(E3166,lst_exp_items,0))="","❔ Без категории",INDEX(lst_exp_item_cat,MATCH(E3166,lst_exp_items,0))),"❔ Без категории"))</f>
        <v/>
      </c>
      <c r="G3166" s="43" t="n"/>
      <c r="H3166" s="56" t="n"/>
      <c r="I3166" s="43" t="n"/>
      <c r="J3166" s="57">
        <f>IF(OR(A3166="",H3166=""),"",IF(COUNTIFS(exp_year,C3166,exp_month,D3166,exp_item,E3166,exp_status,"&lt;&gt;❌ Отменено")&gt;0,1,0))</f>
        <v/>
      </c>
    </row>
    <row r="3167">
      <c r="A3167" s="52" t="n"/>
      <c r="B3167" s="53">
        <f>IF(A3167="","",CHOOSE(WEEKDAY(A3167,2),"Пн","Вт","Ср","Чт","Пт","Сб","Вс"))</f>
        <v/>
      </c>
      <c r="C3167" s="53">
        <f>IF(A3167="","",YEAR(A3167))</f>
        <v/>
      </c>
      <c r="D3167" s="54">
        <f>IF(A3167="","",INDEX(lst_months,MONTH(A3167)))</f>
        <v/>
      </c>
      <c r="E3167" s="55" t="n"/>
      <c r="F3167" s="54">
        <f>IF(E3167="","",IFERROR(IF(INDEX(lst_exp_item_cat,MATCH(E3167,lst_exp_items,0))="","❔ Без категории",INDEX(lst_exp_item_cat,MATCH(E3167,lst_exp_items,0))),"❔ Без категории"))</f>
        <v/>
      </c>
      <c r="G3167" s="43" t="n"/>
      <c r="H3167" s="56" t="n"/>
      <c r="I3167" s="43" t="n"/>
      <c r="J3167" s="57">
        <f>IF(OR(A3167="",H3167=""),"",IF(COUNTIFS(exp_year,C3167,exp_month,D3167,exp_item,E3167,exp_status,"&lt;&gt;❌ Отменено")&gt;0,1,0))</f>
        <v/>
      </c>
    </row>
    <row r="3168">
      <c r="A3168" s="52" t="n"/>
      <c r="B3168" s="53">
        <f>IF(A3168="","",CHOOSE(WEEKDAY(A3168,2),"Пн","Вт","Ср","Чт","Пт","Сб","Вс"))</f>
        <v/>
      </c>
      <c r="C3168" s="53">
        <f>IF(A3168="","",YEAR(A3168))</f>
        <v/>
      </c>
      <c r="D3168" s="54">
        <f>IF(A3168="","",INDEX(lst_months,MONTH(A3168)))</f>
        <v/>
      </c>
      <c r="E3168" s="55" t="n"/>
      <c r="F3168" s="54">
        <f>IF(E3168="","",IFERROR(IF(INDEX(lst_exp_item_cat,MATCH(E3168,lst_exp_items,0))="","❔ Без категории",INDEX(lst_exp_item_cat,MATCH(E3168,lst_exp_items,0))),"❔ Без категории"))</f>
        <v/>
      </c>
      <c r="G3168" s="43" t="n"/>
      <c r="H3168" s="56" t="n"/>
      <c r="I3168" s="43" t="n"/>
      <c r="J3168" s="57">
        <f>IF(OR(A3168="",H3168=""),"",IF(COUNTIFS(exp_year,C3168,exp_month,D3168,exp_item,E3168,exp_status,"&lt;&gt;❌ Отменено")&gt;0,1,0))</f>
        <v/>
      </c>
    </row>
    <row r="3169">
      <c r="A3169" s="52" t="n"/>
      <c r="B3169" s="53">
        <f>IF(A3169="","",CHOOSE(WEEKDAY(A3169,2),"Пн","Вт","Ср","Чт","Пт","Сб","Вс"))</f>
        <v/>
      </c>
      <c r="C3169" s="53">
        <f>IF(A3169="","",YEAR(A3169))</f>
        <v/>
      </c>
      <c r="D3169" s="54">
        <f>IF(A3169="","",INDEX(lst_months,MONTH(A3169)))</f>
        <v/>
      </c>
      <c r="E3169" s="55" t="n"/>
      <c r="F3169" s="54">
        <f>IF(E3169="","",IFERROR(IF(INDEX(lst_exp_item_cat,MATCH(E3169,lst_exp_items,0))="","❔ Без категории",INDEX(lst_exp_item_cat,MATCH(E3169,lst_exp_items,0))),"❔ Без категории"))</f>
        <v/>
      </c>
      <c r="G3169" s="43" t="n"/>
      <c r="H3169" s="56" t="n"/>
      <c r="I3169" s="43" t="n"/>
      <c r="J3169" s="57">
        <f>IF(OR(A3169="",H3169=""),"",IF(COUNTIFS(exp_year,C3169,exp_month,D3169,exp_item,E3169,exp_status,"&lt;&gt;❌ Отменено")&gt;0,1,0))</f>
        <v/>
      </c>
    </row>
    <row r="3170">
      <c r="A3170" s="52" t="n"/>
      <c r="B3170" s="53">
        <f>IF(A3170="","",CHOOSE(WEEKDAY(A3170,2),"Пн","Вт","Ср","Чт","Пт","Сб","Вс"))</f>
        <v/>
      </c>
      <c r="C3170" s="53">
        <f>IF(A3170="","",YEAR(A3170))</f>
        <v/>
      </c>
      <c r="D3170" s="54">
        <f>IF(A3170="","",INDEX(lst_months,MONTH(A3170)))</f>
        <v/>
      </c>
      <c r="E3170" s="55" t="n"/>
      <c r="F3170" s="54">
        <f>IF(E3170="","",IFERROR(IF(INDEX(lst_exp_item_cat,MATCH(E3170,lst_exp_items,0))="","❔ Без категории",INDEX(lst_exp_item_cat,MATCH(E3170,lst_exp_items,0))),"❔ Без категории"))</f>
        <v/>
      </c>
      <c r="G3170" s="43" t="n"/>
      <c r="H3170" s="56" t="n"/>
      <c r="I3170" s="43" t="n"/>
      <c r="J3170" s="57">
        <f>IF(OR(A3170="",H3170=""),"",IF(COUNTIFS(exp_year,C3170,exp_month,D3170,exp_item,E3170,exp_status,"&lt;&gt;❌ Отменено")&gt;0,1,0))</f>
        <v/>
      </c>
    </row>
    <row r="3171">
      <c r="A3171" s="52" t="n"/>
      <c r="B3171" s="53">
        <f>IF(A3171="","",CHOOSE(WEEKDAY(A3171,2),"Пн","Вт","Ср","Чт","Пт","Сб","Вс"))</f>
        <v/>
      </c>
      <c r="C3171" s="53">
        <f>IF(A3171="","",YEAR(A3171))</f>
        <v/>
      </c>
      <c r="D3171" s="54">
        <f>IF(A3171="","",INDEX(lst_months,MONTH(A3171)))</f>
        <v/>
      </c>
      <c r="E3171" s="55" t="n"/>
      <c r="F3171" s="54">
        <f>IF(E3171="","",IFERROR(IF(INDEX(lst_exp_item_cat,MATCH(E3171,lst_exp_items,0))="","❔ Без категории",INDEX(lst_exp_item_cat,MATCH(E3171,lst_exp_items,0))),"❔ Без категории"))</f>
        <v/>
      </c>
      <c r="G3171" s="43" t="n"/>
      <c r="H3171" s="56" t="n"/>
      <c r="I3171" s="43" t="n"/>
      <c r="J3171" s="57">
        <f>IF(OR(A3171="",H3171=""),"",IF(COUNTIFS(exp_year,C3171,exp_month,D3171,exp_item,E3171,exp_status,"&lt;&gt;❌ Отменено")&gt;0,1,0))</f>
        <v/>
      </c>
    </row>
    <row r="3172">
      <c r="A3172" s="52" t="n"/>
      <c r="B3172" s="53">
        <f>IF(A3172="","",CHOOSE(WEEKDAY(A3172,2),"Пн","Вт","Ср","Чт","Пт","Сб","Вс"))</f>
        <v/>
      </c>
      <c r="C3172" s="53">
        <f>IF(A3172="","",YEAR(A3172))</f>
        <v/>
      </c>
      <c r="D3172" s="54">
        <f>IF(A3172="","",INDEX(lst_months,MONTH(A3172)))</f>
        <v/>
      </c>
      <c r="E3172" s="55" t="n"/>
      <c r="F3172" s="54">
        <f>IF(E3172="","",IFERROR(IF(INDEX(lst_exp_item_cat,MATCH(E3172,lst_exp_items,0))="","❔ Без категории",INDEX(lst_exp_item_cat,MATCH(E3172,lst_exp_items,0))),"❔ Без категории"))</f>
        <v/>
      </c>
      <c r="G3172" s="43" t="n"/>
      <c r="H3172" s="56" t="n"/>
      <c r="I3172" s="43" t="n"/>
      <c r="J3172" s="57">
        <f>IF(OR(A3172="",H3172=""),"",IF(COUNTIFS(exp_year,C3172,exp_month,D3172,exp_item,E3172,exp_status,"&lt;&gt;❌ Отменено")&gt;0,1,0))</f>
        <v/>
      </c>
    </row>
    <row r="3173">
      <c r="A3173" s="52" t="n"/>
      <c r="B3173" s="53">
        <f>IF(A3173="","",CHOOSE(WEEKDAY(A3173,2),"Пн","Вт","Ср","Чт","Пт","Сб","Вс"))</f>
        <v/>
      </c>
      <c r="C3173" s="53">
        <f>IF(A3173="","",YEAR(A3173))</f>
        <v/>
      </c>
      <c r="D3173" s="54">
        <f>IF(A3173="","",INDEX(lst_months,MONTH(A3173)))</f>
        <v/>
      </c>
      <c r="E3173" s="55" t="n"/>
      <c r="F3173" s="54">
        <f>IF(E3173="","",IFERROR(IF(INDEX(lst_exp_item_cat,MATCH(E3173,lst_exp_items,0))="","❔ Без категории",INDEX(lst_exp_item_cat,MATCH(E3173,lst_exp_items,0))),"❔ Без категории"))</f>
        <v/>
      </c>
      <c r="G3173" s="43" t="n"/>
      <c r="H3173" s="56" t="n"/>
      <c r="I3173" s="43" t="n"/>
      <c r="J3173" s="57">
        <f>IF(OR(A3173="",H3173=""),"",IF(COUNTIFS(exp_year,C3173,exp_month,D3173,exp_item,E3173,exp_status,"&lt;&gt;❌ Отменено")&gt;0,1,0))</f>
        <v/>
      </c>
    </row>
    <row r="3174">
      <c r="A3174" s="52" t="n"/>
      <c r="B3174" s="53">
        <f>IF(A3174="","",CHOOSE(WEEKDAY(A3174,2),"Пн","Вт","Ср","Чт","Пт","Сб","Вс"))</f>
        <v/>
      </c>
      <c r="C3174" s="53">
        <f>IF(A3174="","",YEAR(A3174))</f>
        <v/>
      </c>
      <c r="D3174" s="54">
        <f>IF(A3174="","",INDEX(lst_months,MONTH(A3174)))</f>
        <v/>
      </c>
      <c r="E3174" s="55" t="n"/>
      <c r="F3174" s="54">
        <f>IF(E3174="","",IFERROR(IF(INDEX(lst_exp_item_cat,MATCH(E3174,lst_exp_items,0))="","❔ Без категории",INDEX(lst_exp_item_cat,MATCH(E3174,lst_exp_items,0))),"❔ Без категории"))</f>
        <v/>
      </c>
      <c r="G3174" s="43" t="n"/>
      <c r="H3174" s="56" t="n"/>
      <c r="I3174" s="43" t="n"/>
      <c r="J3174" s="57">
        <f>IF(OR(A3174="",H3174=""),"",IF(COUNTIFS(exp_year,C3174,exp_month,D3174,exp_item,E3174,exp_status,"&lt;&gt;❌ Отменено")&gt;0,1,0))</f>
        <v/>
      </c>
    </row>
    <row r="3175">
      <c r="A3175" s="52" t="n"/>
      <c r="B3175" s="53">
        <f>IF(A3175="","",CHOOSE(WEEKDAY(A3175,2),"Пн","Вт","Ср","Чт","Пт","Сб","Вс"))</f>
        <v/>
      </c>
      <c r="C3175" s="53">
        <f>IF(A3175="","",YEAR(A3175))</f>
        <v/>
      </c>
      <c r="D3175" s="54">
        <f>IF(A3175="","",INDEX(lst_months,MONTH(A3175)))</f>
        <v/>
      </c>
      <c r="E3175" s="55" t="n"/>
      <c r="F3175" s="54">
        <f>IF(E3175="","",IFERROR(IF(INDEX(lst_exp_item_cat,MATCH(E3175,lst_exp_items,0))="","❔ Без категории",INDEX(lst_exp_item_cat,MATCH(E3175,lst_exp_items,0))),"❔ Без категории"))</f>
        <v/>
      </c>
      <c r="G3175" s="43" t="n"/>
      <c r="H3175" s="56" t="n"/>
      <c r="I3175" s="43" t="n"/>
      <c r="J3175" s="57">
        <f>IF(OR(A3175="",H3175=""),"",IF(COUNTIFS(exp_year,C3175,exp_month,D3175,exp_item,E3175,exp_status,"&lt;&gt;❌ Отменено")&gt;0,1,0))</f>
        <v/>
      </c>
    </row>
    <row r="3176">
      <c r="A3176" s="52" t="n"/>
      <c r="B3176" s="53">
        <f>IF(A3176="","",CHOOSE(WEEKDAY(A3176,2),"Пн","Вт","Ср","Чт","Пт","Сб","Вс"))</f>
        <v/>
      </c>
      <c r="C3176" s="53">
        <f>IF(A3176="","",YEAR(A3176))</f>
        <v/>
      </c>
      <c r="D3176" s="54">
        <f>IF(A3176="","",INDEX(lst_months,MONTH(A3176)))</f>
        <v/>
      </c>
      <c r="E3176" s="55" t="n"/>
      <c r="F3176" s="54">
        <f>IF(E3176="","",IFERROR(IF(INDEX(lst_exp_item_cat,MATCH(E3176,lst_exp_items,0))="","❔ Без категории",INDEX(lst_exp_item_cat,MATCH(E3176,lst_exp_items,0))),"❔ Без категории"))</f>
        <v/>
      </c>
      <c r="G3176" s="43" t="n"/>
      <c r="H3176" s="56" t="n"/>
      <c r="I3176" s="43" t="n"/>
      <c r="J3176" s="57">
        <f>IF(OR(A3176="",H3176=""),"",IF(COUNTIFS(exp_year,C3176,exp_month,D3176,exp_item,E3176,exp_status,"&lt;&gt;❌ Отменено")&gt;0,1,0))</f>
        <v/>
      </c>
    </row>
    <row r="3177">
      <c r="A3177" s="52" t="n"/>
      <c r="B3177" s="53">
        <f>IF(A3177="","",CHOOSE(WEEKDAY(A3177,2),"Пн","Вт","Ср","Чт","Пт","Сб","Вс"))</f>
        <v/>
      </c>
      <c r="C3177" s="53">
        <f>IF(A3177="","",YEAR(A3177))</f>
        <v/>
      </c>
      <c r="D3177" s="54">
        <f>IF(A3177="","",INDEX(lst_months,MONTH(A3177)))</f>
        <v/>
      </c>
      <c r="E3177" s="55" t="n"/>
      <c r="F3177" s="54">
        <f>IF(E3177="","",IFERROR(IF(INDEX(lst_exp_item_cat,MATCH(E3177,lst_exp_items,0))="","❔ Без категории",INDEX(lst_exp_item_cat,MATCH(E3177,lst_exp_items,0))),"❔ Без категории"))</f>
        <v/>
      </c>
      <c r="G3177" s="43" t="n"/>
      <c r="H3177" s="56" t="n"/>
      <c r="I3177" s="43" t="n"/>
      <c r="J3177" s="57">
        <f>IF(OR(A3177="",H3177=""),"",IF(COUNTIFS(exp_year,C3177,exp_month,D3177,exp_item,E3177,exp_status,"&lt;&gt;❌ Отменено")&gt;0,1,0))</f>
        <v/>
      </c>
    </row>
    <row r="3178">
      <c r="A3178" s="52" t="n"/>
      <c r="B3178" s="53">
        <f>IF(A3178="","",CHOOSE(WEEKDAY(A3178,2),"Пн","Вт","Ср","Чт","Пт","Сб","Вс"))</f>
        <v/>
      </c>
      <c r="C3178" s="53">
        <f>IF(A3178="","",YEAR(A3178))</f>
        <v/>
      </c>
      <c r="D3178" s="54">
        <f>IF(A3178="","",INDEX(lst_months,MONTH(A3178)))</f>
        <v/>
      </c>
      <c r="E3178" s="55" t="n"/>
      <c r="F3178" s="54">
        <f>IF(E3178="","",IFERROR(IF(INDEX(lst_exp_item_cat,MATCH(E3178,lst_exp_items,0))="","❔ Без категории",INDEX(lst_exp_item_cat,MATCH(E3178,lst_exp_items,0))),"❔ Без категории"))</f>
        <v/>
      </c>
      <c r="G3178" s="43" t="n"/>
      <c r="H3178" s="56" t="n"/>
      <c r="I3178" s="43" t="n"/>
      <c r="J3178" s="57">
        <f>IF(OR(A3178="",H3178=""),"",IF(COUNTIFS(exp_year,C3178,exp_month,D3178,exp_item,E3178,exp_status,"&lt;&gt;❌ Отменено")&gt;0,1,0))</f>
        <v/>
      </c>
    </row>
    <row r="3179">
      <c r="A3179" s="52" t="n"/>
      <c r="B3179" s="53">
        <f>IF(A3179="","",CHOOSE(WEEKDAY(A3179,2),"Пн","Вт","Ср","Чт","Пт","Сб","Вс"))</f>
        <v/>
      </c>
      <c r="C3179" s="53">
        <f>IF(A3179="","",YEAR(A3179))</f>
        <v/>
      </c>
      <c r="D3179" s="54">
        <f>IF(A3179="","",INDEX(lst_months,MONTH(A3179)))</f>
        <v/>
      </c>
      <c r="E3179" s="55" t="n"/>
      <c r="F3179" s="54">
        <f>IF(E3179="","",IFERROR(IF(INDEX(lst_exp_item_cat,MATCH(E3179,lst_exp_items,0))="","❔ Без категории",INDEX(lst_exp_item_cat,MATCH(E3179,lst_exp_items,0))),"❔ Без категории"))</f>
        <v/>
      </c>
      <c r="G3179" s="43" t="n"/>
      <c r="H3179" s="56" t="n"/>
      <c r="I3179" s="43" t="n"/>
      <c r="J3179" s="57">
        <f>IF(OR(A3179="",H3179=""),"",IF(COUNTIFS(exp_year,C3179,exp_month,D3179,exp_item,E3179,exp_status,"&lt;&gt;❌ Отменено")&gt;0,1,0))</f>
        <v/>
      </c>
    </row>
    <row r="3180">
      <c r="A3180" s="52" t="n"/>
      <c r="B3180" s="53">
        <f>IF(A3180="","",CHOOSE(WEEKDAY(A3180,2),"Пн","Вт","Ср","Чт","Пт","Сб","Вс"))</f>
        <v/>
      </c>
      <c r="C3180" s="53">
        <f>IF(A3180="","",YEAR(A3180))</f>
        <v/>
      </c>
      <c r="D3180" s="54">
        <f>IF(A3180="","",INDEX(lst_months,MONTH(A3180)))</f>
        <v/>
      </c>
      <c r="E3180" s="55" t="n"/>
      <c r="F3180" s="54">
        <f>IF(E3180="","",IFERROR(IF(INDEX(lst_exp_item_cat,MATCH(E3180,lst_exp_items,0))="","❔ Без категории",INDEX(lst_exp_item_cat,MATCH(E3180,lst_exp_items,0))),"❔ Без категории"))</f>
        <v/>
      </c>
      <c r="G3180" s="43" t="n"/>
      <c r="H3180" s="56" t="n"/>
      <c r="I3180" s="43" t="n"/>
      <c r="J3180" s="57">
        <f>IF(OR(A3180="",H3180=""),"",IF(COUNTIFS(exp_year,C3180,exp_month,D3180,exp_item,E3180,exp_status,"&lt;&gt;❌ Отменено")&gt;0,1,0))</f>
        <v/>
      </c>
    </row>
    <row r="3181">
      <c r="A3181" s="52" t="n"/>
      <c r="B3181" s="53">
        <f>IF(A3181="","",CHOOSE(WEEKDAY(A3181,2),"Пн","Вт","Ср","Чт","Пт","Сб","Вс"))</f>
        <v/>
      </c>
      <c r="C3181" s="53">
        <f>IF(A3181="","",YEAR(A3181))</f>
        <v/>
      </c>
      <c r="D3181" s="54">
        <f>IF(A3181="","",INDEX(lst_months,MONTH(A3181)))</f>
        <v/>
      </c>
      <c r="E3181" s="55" t="n"/>
      <c r="F3181" s="54">
        <f>IF(E3181="","",IFERROR(IF(INDEX(lst_exp_item_cat,MATCH(E3181,lst_exp_items,0))="","❔ Без категории",INDEX(lst_exp_item_cat,MATCH(E3181,lst_exp_items,0))),"❔ Без категории"))</f>
        <v/>
      </c>
      <c r="G3181" s="43" t="n"/>
      <c r="H3181" s="56" t="n"/>
      <c r="I3181" s="43" t="n"/>
      <c r="J3181" s="57">
        <f>IF(OR(A3181="",H3181=""),"",IF(COUNTIFS(exp_year,C3181,exp_month,D3181,exp_item,E3181,exp_status,"&lt;&gt;❌ Отменено")&gt;0,1,0))</f>
        <v/>
      </c>
    </row>
    <row r="3182">
      <c r="A3182" s="52" t="n"/>
      <c r="B3182" s="53">
        <f>IF(A3182="","",CHOOSE(WEEKDAY(A3182,2),"Пн","Вт","Ср","Чт","Пт","Сб","Вс"))</f>
        <v/>
      </c>
      <c r="C3182" s="53">
        <f>IF(A3182="","",YEAR(A3182))</f>
        <v/>
      </c>
      <c r="D3182" s="54">
        <f>IF(A3182="","",INDEX(lst_months,MONTH(A3182)))</f>
        <v/>
      </c>
      <c r="E3182" s="55" t="n"/>
      <c r="F3182" s="54">
        <f>IF(E3182="","",IFERROR(IF(INDEX(lst_exp_item_cat,MATCH(E3182,lst_exp_items,0))="","❔ Без категории",INDEX(lst_exp_item_cat,MATCH(E3182,lst_exp_items,0))),"❔ Без категории"))</f>
        <v/>
      </c>
      <c r="G3182" s="43" t="n"/>
      <c r="H3182" s="56" t="n"/>
      <c r="I3182" s="43" t="n"/>
      <c r="J3182" s="57">
        <f>IF(OR(A3182="",H3182=""),"",IF(COUNTIFS(exp_year,C3182,exp_month,D3182,exp_item,E3182,exp_status,"&lt;&gt;❌ Отменено")&gt;0,1,0))</f>
        <v/>
      </c>
    </row>
    <row r="3183">
      <c r="A3183" s="52" t="n"/>
      <c r="B3183" s="53">
        <f>IF(A3183="","",CHOOSE(WEEKDAY(A3183,2),"Пн","Вт","Ср","Чт","Пт","Сб","Вс"))</f>
        <v/>
      </c>
      <c r="C3183" s="53">
        <f>IF(A3183="","",YEAR(A3183))</f>
        <v/>
      </c>
      <c r="D3183" s="54">
        <f>IF(A3183="","",INDEX(lst_months,MONTH(A3183)))</f>
        <v/>
      </c>
      <c r="E3183" s="55" t="n"/>
      <c r="F3183" s="54">
        <f>IF(E3183="","",IFERROR(IF(INDEX(lst_exp_item_cat,MATCH(E3183,lst_exp_items,0))="","❔ Без категории",INDEX(lst_exp_item_cat,MATCH(E3183,lst_exp_items,0))),"❔ Без категории"))</f>
        <v/>
      </c>
      <c r="G3183" s="43" t="n"/>
      <c r="H3183" s="56" t="n"/>
      <c r="I3183" s="43" t="n"/>
      <c r="J3183" s="57">
        <f>IF(OR(A3183="",H3183=""),"",IF(COUNTIFS(exp_year,C3183,exp_month,D3183,exp_item,E3183,exp_status,"&lt;&gt;❌ Отменено")&gt;0,1,0))</f>
        <v/>
      </c>
    </row>
    <row r="3184">
      <c r="A3184" s="52" t="n"/>
      <c r="B3184" s="53">
        <f>IF(A3184="","",CHOOSE(WEEKDAY(A3184,2),"Пн","Вт","Ср","Чт","Пт","Сб","Вс"))</f>
        <v/>
      </c>
      <c r="C3184" s="53">
        <f>IF(A3184="","",YEAR(A3184))</f>
        <v/>
      </c>
      <c r="D3184" s="54">
        <f>IF(A3184="","",INDEX(lst_months,MONTH(A3184)))</f>
        <v/>
      </c>
      <c r="E3184" s="55" t="n"/>
      <c r="F3184" s="54">
        <f>IF(E3184="","",IFERROR(IF(INDEX(lst_exp_item_cat,MATCH(E3184,lst_exp_items,0))="","❔ Без категории",INDEX(lst_exp_item_cat,MATCH(E3184,lst_exp_items,0))),"❔ Без категории"))</f>
        <v/>
      </c>
      <c r="G3184" s="43" t="n"/>
      <c r="H3184" s="56" t="n"/>
      <c r="I3184" s="43" t="n"/>
      <c r="J3184" s="57">
        <f>IF(OR(A3184="",H3184=""),"",IF(COUNTIFS(exp_year,C3184,exp_month,D3184,exp_item,E3184,exp_status,"&lt;&gt;❌ Отменено")&gt;0,1,0))</f>
        <v/>
      </c>
    </row>
    <row r="3185">
      <c r="A3185" s="52" t="n"/>
      <c r="B3185" s="53">
        <f>IF(A3185="","",CHOOSE(WEEKDAY(A3185,2),"Пн","Вт","Ср","Чт","Пт","Сб","Вс"))</f>
        <v/>
      </c>
      <c r="C3185" s="53">
        <f>IF(A3185="","",YEAR(A3185))</f>
        <v/>
      </c>
      <c r="D3185" s="54">
        <f>IF(A3185="","",INDEX(lst_months,MONTH(A3185)))</f>
        <v/>
      </c>
      <c r="E3185" s="55" t="n"/>
      <c r="F3185" s="54">
        <f>IF(E3185="","",IFERROR(IF(INDEX(lst_exp_item_cat,MATCH(E3185,lst_exp_items,0))="","❔ Без категории",INDEX(lst_exp_item_cat,MATCH(E3185,lst_exp_items,0))),"❔ Без категории"))</f>
        <v/>
      </c>
      <c r="G3185" s="43" t="n"/>
      <c r="H3185" s="56" t="n"/>
      <c r="I3185" s="43" t="n"/>
      <c r="J3185" s="57">
        <f>IF(OR(A3185="",H3185=""),"",IF(COUNTIFS(exp_year,C3185,exp_month,D3185,exp_item,E3185,exp_status,"&lt;&gt;❌ Отменено")&gt;0,1,0))</f>
        <v/>
      </c>
    </row>
    <row r="3186">
      <c r="A3186" s="52" t="n"/>
      <c r="B3186" s="53">
        <f>IF(A3186="","",CHOOSE(WEEKDAY(A3186,2),"Пн","Вт","Ср","Чт","Пт","Сб","Вс"))</f>
        <v/>
      </c>
      <c r="C3186" s="53">
        <f>IF(A3186="","",YEAR(A3186))</f>
        <v/>
      </c>
      <c r="D3186" s="54">
        <f>IF(A3186="","",INDEX(lst_months,MONTH(A3186)))</f>
        <v/>
      </c>
      <c r="E3186" s="55" t="n"/>
      <c r="F3186" s="54">
        <f>IF(E3186="","",IFERROR(IF(INDEX(lst_exp_item_cat,MATCH(E3186,lst_exp_items,0))="","❔ Без категории",INDEX(lst_exp_item_cat,MATCH(E3186,lst_exp_items,0))),"❔ Без категории"))</f>
        <v/>
      </c>
      <c r="G3186" s="43" t="n"/>
      <c r="H3186" s="56" t="n"/>
      <c r="I3186" s="43" t="n"/>
      <c r="J3186" s="57">
        <f>IF(OR(A3186="",H3186=""),"",IF(COUNTIFS(exp_year,C3186,exp_month,D3186,exp_item,E3186,exp_status,"&lt;&gt;❌ Отменено")&gt;0,1,0))</f>
        <v/>
      </c>
    </row>
    <row r="3187">
      <c r="A3187" s="52" t="n"/>
      <c r="B3187" s="53">
        <f>IF(A3187="","",CHOOSE(WEEKDAY(A3187,2),"Пн","Вт","Ср","Чт","Пт","Сб","Вс"))</f>
        <v/>
      </c>
      <c r="C3187" s="53">
        <f>IF(A3187="","",YEAR(A3187))</f>
        <v/>
      </c>
      <c r="D3187" s="54">
        <f>IF(A3187="","",INDEX(lst_months,MONTH(A3187)))</f>
        <v/>
      </c>
      <c r="E3187" s="55" t="n"/>
      <c r="F3187" s="54">
        <f>IF(E3187="","",IFERROR(IF(INDEX(lst_exp_item_cat,MATCH(E3187,lst_exp_items,0))="","❔ Без категории",INDEX(lst_exp_item_cat,MATCH(E3187,lst_exp_items,0))),"❔ Без категории"))</f>
        <v/>
      </c>
      <c r="G3187" s="43" t="n"/>
      <c r="H3187" s="56" t="n"/>
      <c r="I3187" s="43" t="n"/>
      <c r="J3187" s="57">
        <f>IF(OR(A3187="",H3187=""),"",IF(COUNTIFS(exp_year,C3187,exp_month,D3187,exp_item,E3187,exp_status,"&lt;&gt;❌ Отменено")&gt;0,1,0))</f>
        <v/>
      </c>
    </row>
    <row r="3188">
      <c r="A3188" s="52" t="n"/>
      <c r="B3188" s="53">
        <f>IF(A3188="","",CHOOSE(WEEKDAY(A3188,2),"Пн","Вт","Ср","Чт","Пт","Сб","Вс"))</f>
        <v/>
      </c>
      <c r="C3188" s="53">
        <f>IF(A3188="","",YEAR(A3188))</f>
        <v/>
      </c>
      <c r="D3188" s="54">
        <f>IF(A3188="","",INDEX(lst_months,MONTH(A3188)))</f>
        <v/>
      </c>
      <c r="E3188" s="55" t="n"/>
      <c r="F3188" s="54">
        <f>IF(E3188="","",IFERROR(IF(INDEX(lst_exp_item_cat,MATCH(E3188,lst_exp_items,0))="","❔ Без категории",INDEX(lst_exp_item_cat,MATCH(E3188,lst_exp_items,0))),"❔ Без категории"))</f>
        <v/>
      </c>
      <c r="G3188" s="43" t="n"/>
      <c r="H3188" s="56" t="n"/>
      <c r="I3188" s="43" t="n"/>
      <c r="J3188" s="57">
        <f>IF(OR(A3188="",H3188=""),"",IF(COUNTIFS(exp_year,C3188,exp_month,D3188,exp_item,E3188,exp_status,"&lt;&gt;❌ Отменено")&gt;0,1,0))</f>
        <v/>
      </c>
    </row>
    <row r="3189">
      <c r="A3189" s="52" t="n"/>
      <c r="B3189" s="53">
        <f>IF(A3189="","",CHOOSE(WEEKDAY(A3189,2),"Пн","Вт","Ср","Чт","Пт","Сб","Вс"))</f>
        <v/>
      </c>
      <c r="C3189" s="53">
        <f>IF(A3189="","",YEAR(A3189))</f>
        <v/>
      </c>
      <c r="D3189" s="54">
        <f>IF(A3189="","",INDEX(lst_months,MONTH(A3189)))</f>
        <v/>
      </c>
      <c r="E3189" s="55" t="n"/>
      <c r="F3189" s="54">
        <f>IF(E3189="","",IFERROR(IF(INDEX(lst_exp_item_cat,MATCH(E3189,lst_exp_items,0))="","❔ Без категории",INDEX(lst_exp_item_cat,MATCH(E3189,lst_exp_items,0))),"❔ Без категории"))</f>
        <v/>
      </c>
      <c r="G3189" s="43" t="n"/>
      <c r="H3189" s="56" t="n"/>
      <c r="I3189" s="43" t="n"/>
      <c r="J3189" s="57">
        <f>IF(OR(A3189="",H3189=""),"",IF(COUNTIFS(exp_year,C3189,exp_month,D3189,exp_item,E3189,exp_status,"&lt;&gt;❌ Отменено")&gt;0,1,0))</f>
        <v/>
      </c>
    </row>
    <row r="3190">
      <c r="A3190" s="52" t="n"/>
      <c r="B3190" s="53">
        <f>IF(A3190="","",CHOOSE(WEEKDAY(A3190,2),"Пн","Вт","Ср","Чт","Пт","Сб","Вс"))</f>
        <v/>
      </c>
      <c r="C3190" s="53">
        <f>IF(A3190="","",YEAR(A3190))</f>
        <v/>
      </c>
      <c r="D3190" s="54">
        <f>IF(A3190="","",INDEX(lst_months,MONTH(A3190)))</f>
        <v/>
      </c>
      <c r="E3190" s="55" t="n"/>
      <c r="F3190" s="54">
        <f>IF(E3190="","",IFERROR(IF(INDEX(lst_exp_item_cat,MATCH(E3190,lst_exp_items,0))="","❔ Без категории",INDEX(lst_exp_item_cat,MATCH(E3190,lst_exp_items,0))),"❔ Без категории"))</f>
        <v/>
      </c>
      <c r="G3190" s="43" t="n"/>
      <c r="H3190" s="56" t="n"/>
      <c r="I3190" s="43" t="n"/>
      <c r="J3190" s="57">
        <f>IF(OR(A3190="",H3190=""),"",IF(COUNTIFS(exp_year,C3190,exp_month,D3190,exp_item,E3190,exp_status,"&lt;&gt;❌ Отменено")&gt;0,1,0))</f>
        <v/>
      </c>
    </row>
    <row r="3191">
      <c r="A3191" s="52" t="n"/>
      <c r="B3191" s="53">
        <f>IF(A3191="","",CHOOSE(WEEKDAY(A3191,2),"Пн","Вт","Ср","Чт","Пт","Сб","Вс"))</f>
        <v/>
      </c>
      <c r="C3191" s="53">
        <f>IF(A3191="","",YEAR(A3191))</f>
        <v/>
      </c>
      <c r="D3191" s="54">
        <f>IF(A3191="","",INDEX(lst_months,MONTH(A3191)))</f>
        <v/>
      </c>
      <c r="E3191" s="55" t="n"/>
      <c r="F3191" s="54">
        <f>IF(E3191="","",IFERROR(IF(INDEX(lst_exp_item_cat,MATCH(E3191,lst_exp_items,0))="","❔ Без категории",INDEX(lst_exp_item_cat,MATCH(E3191,lst_exp_items,0))),"❔ Без категории"))</f>
        <v/>
      </c>
      <c r="G3191" s="43" t="n"/>
      <c r="H3191" s="56" t="n"/>
      <c r="I3191" s="43" t="n"/>
      <c r="J3191" s="57">
        <f>IF(OR(A3191="",H3191=""),"",IF(COUNTIFS(exp_year,C3191,exp_month,D3191,exp_item,E3191,exp_status,"&lt;&gt;❌ Отменено")&gt;0,1,0))</f>
        <v/>
      </c>
    </row>
    <row r="3192">
      <c r="A3192" s="52" t="n"/>
      <c r="B3192" s="53">
        <f>IF(A3192="","",CHOOSE(WEEKDAY(A3192,2),"Пн","Вт","Ср","Чт","Пт","Сб","Вс"))</f>
        <v/>
      </c>
      <c r="C3192" s="53">
        <f>IF(A3192="","",YEAR(A3192))</f>
        <v/>
      </c>
      <c r="D3192" s="54">
        <f>IF(A3192="","",INDEX(lst_months,MONTH(A3192)))</f>
        <v/>
      </c>
      <c r="E3192" s="55" t="n"/>
      <c r="F3192" s="54">
        <f>IF(E3192="","",IFERROR(IF(INDEX(lst_exp_item_cat,MATCH(E3192,lst_exp_items,0))="","❔ Без категории",INDEX(lst_exp_item_cat,MATCH(E3192,lst_exp_items,0))),"❔ Без категории"))</f>
        <v/>
      </c>
      <c r="G3192" s="43" t="n"/>
      <c r="H3192" s="56" t="n"/>
      <c r="I3192" s="43" t="n"/>
      <c r="J3192" s="57">
        <f>IF(OR(A3192="",H3192=""),"",IF(COUNTIFS(exp_year,C3192,exp_month,D3192,exp_item,E3192,exp_status,"&lt;&gt;❌ Отменено")&gt;0,1,0))</f>
        <v/>
      </c>
    </row>
    <row r="3193">
      <c r="A3193" s="52" t="n"/>
      <c r="B3193" s="53">
        <f>IF(A3193="","",CHOOSE(WEEKDAY(A3193,2),"Пн","Вт","Ср","Чт","Пт","Сб","Вс"))</f>
        <v/>
      </c>
      <c r="C3193" s="53">
        <f>IF(A3193="","",YEAR(A3193))</f>
        <v/>
      </c>
      <c r="D3193" s="54">
        <f>IF(A3193="","",INDEX(lst_months,MONTH(A3193)))</f>
        <v/>
      </c>
      <c r="E3193" s="55" t="n"/>
      <c r="F3193" s="54">
        <f>IF(E3193="","",IFERROR(IF(INDEX(lst_exp_item_cat,MATCH(E3193,lst_exp_items,0))="","❔ Без категории",INDEX(lst_exp_item_cat,MATCH(E3193,lst_exp_items,0))),"❔ Без категории"))</f>
        <v/>
      </c>
      <c r="G3193" s="43" t="n"/>
      <c r="H3193" s="56" t="n"/>
      <c r="I3193" s="43" t="n"/>
      <c r="J3193" s="57">
        <f>IF(OR(A3193="",H3193=""),"",IF(COUNTIFS(exp_year,C3193,exp_month,D3193,exp_item,E3193,exp_status,"&lt;&gt;❌ Отменено")&gt;0,1,0))</f>
        <v/>
      </c>
    </row>
    <row r="3194">
      <c r="A3194" s="52" t="n"/>
      <c r="B3194" s="53">
        <f>IF(A3194="","",CHOOSE(WEEKDAY(A3194,2),"Пн","Вт","Ср","Чт","Пт","Сб","Вс"))</f>
        <v/>
      </c>
      <c r="C3194" s="53">
        <f>IF(A3194="","",YEAR(A3194))</f>
        <v/>
      </c>
      <c r="D3194" s="54">
        <f>IF(A3194="","",INDEX(lst_months,MONTH(A3194)))</f>
        <v/>
      </c>
      <c r="E3194" s="55" t="n"/>
      <c r="F3194" s="54">
        <f>IF(E3194="","",IFERROR(IF(INDEX(lst_exp_item_cat,MATCH(E3194,lst_exp_items,0))="","❔ Без категории",INDEX(lst_exp_item_cat,MATCH(E3194,lst_exp_items,0))),"❔ Без категории"))</f>
        <v/>
      </c>
      <c r="G3194" s="43" t="n"/>
      <c r="H3194" s="56" t="n"/>
      <c r="I3194" s="43" t="n"/>
      <c r="J3194" s="57">
        <f>IF(OR(A3194="",H3194=""),"",IF(COUNTIFS(exp_year,C3194,exp_month,D3194,exp_item,E3194,exp_status,"&lt;&gt;❌ Отменено")&gt;0,1,0))</f>
        <v/>
      </c>
    </row>
    <row r="3195">
      <c r="A3195" s="52" t="n"/>
      <c r="B3195" s="53">
        <f>IF(A3195="","",CHOOSE(WEEKDAY(A3195,2),"Пн","Вт","Ср","Чт","Пт","Сб","Вс"))</f>
        <v/>
      </c>
      <c r="C3195" s="53">
        <f>IF(A3195="","",YEAR(A3195))</f>
        <v/>
      </c>
      <c r="D3195" s="54">
        <f>IF(A3195="","",INDEX(lst_months,MONTH(A3195)))</f>
        <v/>
      </c>
      <c r="E3195" s="55" t="n"/>
      <c r="F3195" s="54">
        <f>IF(E3195="","",IFERROR(IF(INDEX(lst_exp_item_cat,MATCH(E3195,lst_exp_items,0))="","❔ Без категории",INDEX(lst_exp_item_cat,MATCH(E3195,lst_exp_items,0))),"❔ Без категории"))</f>
        <v/>
      </c>
      <c r="G3195" s="43" t="n"/>
      <c r="H3195" s="56" t="n"/>
      <c r="I3195" s="43" t="n"/>
      <c r="J3195" s="57">
        <f>IF(OR(A3195="",H3195=""),"",IF(COUNTIFS(exp_year,C3195,exp_month,D3195,exp_item,E3195,exp_status,"&lt;&gt;❌ Отменено")&gt;0,1,0))</f>
        <v/>
      </c>
    </row>
    <row r="3196">
      <c r="A3196" s="52" t="n"/>
      <c r="B3196" s="53">
        <f>IF(A3196="","",CHOOSE(WEEKDAY(A3196,2),"Пн","Вт","Ср","Чт","Пт","Сб","Вс"))</f>
        <v/>
      </c>
      <c r="C3196" s="53">
        <f>IF(A3196="","",YEAR(A3196))</f>
        <v/>
      </c>
      <c r="D3196" s="54">
        <f>IF(A3196="","",INDEX(lst_months,MONTH(A3196)))</f>
        <v/>
      </c>
      <c r="E3196" s="55" t="n"/>
      <c r="F3196" s="54">
        <f>IF(E3196="","",IFERROR(IF(INDEX(lst_exp_item_cat,MATCH(E3196,lst_exp_items,0))="","❔ Без категории",INDEX(lst_exp_item_cat,MATCH(E3196,lst_exp_items,0))),"❔ Без категории"))</f>
        <v/>
      </c>
      <c r="G3196" s="43" t="n"/>
      <c r="H3196" s="56" t="n"/>
      <c r="I3196" s="43" t="n"/>
      <c r="J3196" s="57">
        <f>IF(OR(A3196="",H3196=""),"",IF(COUNTIFS(exp_year,C3196,exp_month,D3196,exp_item,E3196,exp_status,"&lt;&gt;❌ Отменено")&gt;0,1,0))</f>
        <v/>
      </c>
    </row>
    <row r="3197">
      <c r="A3197" s="52" t="n"/>
      <c r="B3197" s="53">
        <f>IF(A3197="","",CHOOSE(WEEKDAY(A3197,2),"Пн","Вт","Ср","Чт","Пт","Сб","Вс"))</f>
        <v/>
      </c>
      <c r="C3197" s="53">
        <f>IF(A3197="","",YEAR(A3197))</f>
        <v/>
      </c>
      <c r="D3197" s="54">
        <f>IF(A3197="","",INDEX(lst_months,MONTH(A3197)))</f>
        <v/>
      </c>
      <c r="E3197" s="55" t="n"/>
      <c r="F3197" s="54">
        <f>IF(E3197="","",IFERROR(IF(INDEX(lst_exp_item_cat,MATCH(E3197,lst_exp_items,0))="","❔ Без категории",INDEX(lst_exp_item_cat,MATCH(E3197,lst_exp_items,0))),"❔ Без категории"))</f>
        <v/>
      </c>
      <c r="G3197" s="43" t="n"/>
      <c r="H3197" s="56" t="n"/>
      <c r="I3197" s="43" t="n"/>
      <c r="J3197" s="57">
        <f>IF(OR(A3197="",H3197=""),"",IF(COUNTIFS(exp_year,C3197,exp_month,D3197,exp_item,E3197,exp_status,"&lt;&gt;❌ Отменено")&gt;0,1,0))</f>
        <v/>
      </c>
    </row>
    <row r="3198">
      <c r="A3198" s="52" t="n"/>
      <c r="B3198" s="53">
        <f>IF(A3198="","",CHOOSE(WEEKDAY(A3198,2),"Пн","Вт","Ср","Чт","Пт","Сб","Вс"))</f>
        <v/>
      </c>
      <c r="C3198" s="53">
        <f>IF(A3198="","",YEAR(A3198))</f>
        <v/>
      </c>
      <c r="D3198" s="54">
        <f>IF(A3198="","",INDEX(lst_months,MONTH(A3198)))</f>
        <v/>
      </c>
      <c r="E3198" s="55" t="n"/>
      <c r="F3198" s="54">
        <f>IF(E3198="","",IFERROR(IF(INDEX(lst_exp_item_cat,MATCH(E3198,lst_exp_items,0))="","❔ Без категории",INDEX(lst_exp_item_cat,MATCH(E3198,lst_exp_items,0))),"❔ Без категории"))</f>
        <v/>
      </c>
      <c r="G3198" s="43" t="n"/>
      <c r="H3198" s="56" t="n"/>
      <c r="I3198" s="43" t="n"/>
      <c r="J3198" s="57">
        <f>IF(OR(A3198="",H3198=""),"",IF(COUNTIFS(exp_year,C3198,exp_month,D3198,exp_item,E3198,exp_status,"&lt;&gt;❌ Отменено")&gt;0,1,0))</f>
        <v/>
      </c>
    </row>
    <row r="3199">
      <c r="A3199" s="52" t="n"/>
      <c r="B3199" s="53">
        <f>IF(A3199="","",CHOOSE(WEEKDAY(A3199,2),"Пн","Вт","Ср","Чт","Пт","Сб","Вс"))</f>
        <v/>
      </c>
      <c r="C3199" s="53">
        <f>IF(A3199="","",YEAR(A3199))</f>
        <v/>
      </c>
      <c r="D3199" s="54">
        <f>IF(A3199="","",INDEX(lst_months,MONTH(A3199)))</f>
        <v/>
      </c>
      <c r="E3199" s="55" t="n"/>
      <c r="F3199" s="54">
        <f>IF(E3199="","",IFERROR(IF(INDEX(lst_exp_item_cat,MATCH(E3199,lst_exp_items,0))="","❔ Без категории",INDEX(lst_exp_item_cat,MATCH(E3199,lst_exp_items,0))),"❔ Без категории"))</f>
        <v/>
      </c>
      <c r="G3199" s="43" t="n"/>
      <c r="H3199" s="56" t="n"/>
      <c r="I3199" s="43" t="n"/>
      <c r="J3199" s="57">
        <f>IF(OR(A3199="",H3199=""),"",IF(COUNTIFS(exp_year,C3199,exp_month,D3199,exp_item,E3199,exp_status,"&lt;&gt;❌ Отменено")&gt;0,1,0))</f>
        <v/>
      </c>
    </row>
    <row r="3200">
      <c r="A3200" s="52" t="n"/>
      <c r="B3200" s="53">
        <f>IF(A3200="","",CHOOSE(WEEKDAY(A3200,2),"Пн","Вт","Ср","Чт","Пт","Сб","Вс"))</f>
        <v/>
      </c>
      <c r="C3200" s="53">
        <f>IF(A3200="","",YEAR(A3200))</f>
        <v/>
      </c>
      <c r="D3200" s="54">
        <f>IF(A3200="","",INDEX(lst_months,MONTH(A3200)))</f>
        <v/>
      </c>
      <c r="E3200" s="55" t="n"/>
      <c r="F3200" s="54">
        <f>IF(E3200="","",IFERROR(IF(INDEX(lst_exp_item_cat,MATCH(E3200,lst_exp_items,0))="","❔ Без категории",INDEX(lst_exp_item_cat,MATCH(E3200,lst_exp_items,0))),"❔ Без категории"))</f>
        <v/>
      </c>
      <c r="G3200" s="43" t="n"/>
      <c r="H3200" s="56" t="n"/>
      <c r="I3200" s="43" t="n"/>
      <c r="J3200" s="57">
        <f>IF(OR(A3200="",H3200=""),"",IF(COUNTIFS(exp_year,C3200,exp_month,D3200,exp_item,E3200,exp_status,"&lt;&gt;❌ Отменено")&gt;0,1,0))</f>
        <v/>
      </c>
    </row>
    <row r="3201">
      <c r="A3201" s="52" t="n"/>
      <c r="B3201" s="53">
        <f>IF(A3201="","",CHOOSE(WEEKDAY(A3201,2),"Пн","Вт","Ср","Чт","Пт","Сб","Вс"))</f>
        <v/>
      </c>
      <c r="C3201" s="53">
        <f>IF(A3201="","",YEAR(A3201))</f>
        <v/>
      </c>
      <c r="D3201" s="54">
        <f>IF(A3201="","",INDEX(lst_months,MONTH(A3201)))</f>
        <v/>
      </c>
      <c r="E3201" s="55" t="n"/>
      <c r="F3201" s="54">
        <f>IF(E3201="","",IFERROR(IF(INDEX(lst_exp_item_cat,MATCH(E3201,lst_exp_items,0))="","❔ Без категории",INDEX(lst_exp_item_cat,MATCH(E3201,lst_exp_items,0))),"❔ Без категории"))</f>
        <v/>
      </c>
      <c r="G3201" s="43" t="n"/>
      <c r="H3201" s="56" t="n"/>
      <c r="I3201" s="43" t="n"/>
      <c r="J3201" s="57">
        <f>IF(OR(A3201="",H3201=""),"",IF(COUNTIFS(exp_year,C3201,exp_month,D3201,exp_item,E3201,exp_status,"&lt;&gt;❌ Отменено")&gt;0,1,0))</f>
        <v/>
      </c>
    </row>
    <row r="3202">
      <c r="A3202" s="52" t="n"/>
      <c r="B3202" s="53">
        <f>IF(A3202="","",CHOOSE(WEEKDAY(A3202,2),"Пн","Вт","Ср","Чт","Пт","Сб","Вс"))</f>
        <v/>
      </c>
      <c r="C3202" s="53">
        <f>IF(A3202="","",YEAR(A3202))</f>
        <v/>
      </c>
      <c r="D3202" s="54">
        <f>IF(A3202="","",INDEX(lst_months,MONTH(A3202)))</f>
        <v/>
      </c>
      <c r="E3202" s="55" t="n"/>
      <c r="F3202" s="54">
        <f>IF(E3202="","",IFERROR(IF(INDEX(lst_exp_item_cat,MATCH(E3202,lst_exp_items,0))="","❔ Без категории",INDEX(lst_exp_item_cat,MATCH(E3202,lst_exp_items,0))),"❔ Без категории"))</f>
        <v/>
      </c>
      <c r="G3202" s="43" t="n"/>
      <c r="H3202" s="56" t="n"/>
      <c r="I3202" s="43" t="n"/>
      <c r="J3202" s="57">
        <f>IF(OR(A3202="",H3202=""),"",IF(COUNTIFS(exp_year,C3202,exp_month,D3202,exp_item,E3202,exp_status,"&lt;&gt;❌ Отменено")&gt;0,1,0))</f>
        <v/>
      </c>
    </row>
    <row r="3203">
      <c r="A3203" s="52" t="n"/>
      <c r="B3203" s="53">
        <f>IF(A3203="","",CHOOSE(WEEKDAY(A3203,2),"Пн","Вт","Ср","Чт","Пт","Сб","Вс"))</f>
        <v/>
      </c>
      <c r="C3203" s="53">
        <f>IF(A3203="","",YEAR(A3203))</f>
        <v/>
      </c>
      <c r="D3203" s="54">
        <f>IF(A3203="","",INDEX(lst_months,MONTH(A3203)))</f>
        <v/>
      </c>
      <c r="E3203" s="55" t="n"/>
      <c r="F3203" s="54">
        <f>IF(E3203="","",IFERROR(IF(INDEX(lst_exp_item_cat,MATCH(E3203,lst_exp_items,0))="","❔ Без категории",INDEX(lst_exp_item_cat,MATCH(E3203,lst_exp_items,0))),"❔ Без категории"))</f>
        <v/>
      </c>
      <c r="G3203" s="43" t="n"/>
      <c r="H3203" s="56" t="n"/>
      <c r="I3203" s="43" t="n"/>
      <c r="J3203" s="57">
        <f>IF(OR(A3203="",H3203=""),"",IF(COUNTIFS(exp_year,C3203,exp_month,D3203,exp_item,E3203,exp_status,"&lt;&gt;❌ Отменено")&gt;0,1,0))</f>
        <v/>
      </c>
    </row>
    <row r="3204">
      <c r="A3204" s="52" t="n"/>
      <c r="B3204" s="53">
        <f>IF(A3204="","",CHOOSE(WEEKDAY(A3204,2),"Пн","Вт","Ср","Чт","Пт","Сб","Вс"))</f>
        <v/>
      </c>
      <c r="C3204" s="53">
        <f>IF(A3204="","",YEAR(A3204))</f>
        <v/>
      </c>
      <c r="D3204" s="54">
        <f>IF(A3204="","",INDEX(lst_months,MONTH(A3204)))</f>
        <v/>
      </c>
      <c r="E3204" s="55" t="n"/>
      <c r="F3204" s="54">
        <f>IF(E3204="","",IFERROR(IF(INDEX(lst_exp_item_cat,MATCH(E3204,lst_exp_items,0))="","❔ Без категории",INDEX(lst_exp_item_cat,MATCH(E3204,lst_exp_items,0))),"❔ Без категории"))</f>
        <v/>
      </c>
      <c r="G3204" s="43" t="n"/>
      <c r="H3204" s="56" t="n"/>
      <c r="I3204" s="43" t="n"/>
      <c r="J3204" s="57">
        <f>IF(OR(A3204="",H3204=""),"",IF(COUNTIFS(exp_year,C3204,exp_month,D3204,exp_item,E3204,exp_status,"&lt;&gt;❌ Отменено")&gt;0,1,0))</f>
        <v/>
      </c>
    </row>
    <row r="3205">
      <c r="A3205" s="52" t="n"/>
      <c r="B3205" s="53">
        <f>IF(A3205="","",CHOOSE(WEEKDAY(A3205,2),"Пн","Вт","Ср","Чт","Пт","Сб","Вс"))</f>
        <v/>
      </c>
      <c r="C3205" s="53">
        <f>IF(A3205="","",YEAR(A3205))</f>
        <v/>
      </c>
      <c r="D3205" s="54">
        <f>IF(A3205="","",INDEX(lst_months,MONTH(A3205)))</f>
        <v/>
      </c>
      <c r="E3205" s="55" t="n"/>
      <c r="F3205" s="54">
        <f>IF(E3205="","",IFERROR(IF(INDEX(lst_exp_item_cat,MATCH(E3205,lst_exp_items,0))="","❔ Без категории",INDEX(lst_exp_item_cat,MATCH(E3205,lst_exp_items,0))),"❔ Без категории"))</f>
        <v/>
      </c>
      <c r="G3205" s="43" t="n"/>
      <c r="H3205" s="56" t="n"/>
      <c r="I3205" s="43" t="n"/>
      <c r="J3205" s="57">
        <f>IF(OR(A3205="",H3205=""),"",IF(COUNTIFS(exp_year,C3205,exp_month,D3205,exp_item,E3205,exp_status,"&lt;&gt;❌ Отменено")&gt;0,1,0))</f>
        <v/>
      </c>
    </row>
    <row r="3206">
      <c r="A3206" s="52" t="n"/>
      <c r="B3206" s="53">
        <f>IF(A3206="","",CHOOSE(WEEKDAY(A3206,2),"Пн","Вт","Ср","Чт","Пт","Сб","Вс"))</f>
        <v/>
      </c>
      <c r="C3206" s="53">
        <f>IF(A3206="","",YEAR(A3206))</f>
        <v/>
      </c>
      <c r="D3206" s="54">
        <f>IF(A3206="","",INDEX(lst_months,MONTH(A3206)))</f>
        <v/>
      </c>
      <c r="E3206" s="55" t="n"/>
      <c r="F3206" s="54">
        <f>IF(E3206="","",IFERROR(IF(INDEX(lst_exp_item_cat,MATCH(E3206,lst_exp_items,0))="","❔ Без категории",INDEX(lst_exp_item_cat,MATCH(E3206,lst_exp_items,0))),"❔ Без категории"))</f>
        <v/>
      </c>
      <c r="G3206" s="43" t="n"/>
      <c r="H3206" s="56" t="n"/>
      <c r="I3206" s="43" t="n"/>
      <c r="J3206" s="57">
        <f>IF(OR(A3206="",H3206=""),"",IF(COUNTIFS(exp_year,C3206,exp_month,D3206,exp_item,E3206,exp_status,"&lt;&gt;❌ Отменено")&gt;0,1,0))</f>
        <v/>
      </c>
    </row>
    <row r="3207">
      <c r="A3207" s="52" t="n"/>
      <c r="B3207" s="53">
        <f>IF(A3207="","",CHOOSE(WEEKDAY(A3207,2),"Пн","Вт","Ср","Чт","Пт","Сб","Вс"))</f>
        <v/>
      </c>
      <c r="C3207" s="53">
        <f>IF(A3207="","",YEAR(A3207))</f>
        <v/>
      </c>
      <c r="D3207" s="54">
        <f>IF(A3207="","",INDEX(lst_months,MONTH(A3207)))</f>
        <v/>
      </c>
      <c r="E3207" s="55" t="n"/>
      <c r="F3207" s="54">
        <f>IF(E3207="","",IFERROR(IF(INDEX(lst_exp_item_cat,MATCH(E3207,lst_exp_items,0))="","❔ Без категории",INDEX(lst_exp_item_cat,MATCH(E3207,lst_exp_items,0))),"❔ Без категории"))</f>
        <v/>
      </c>
      <c r="G3207" s="43" t="n"/>
      <c r="H3207" s="56" t="n"/>
      <c r="I3207" s="43" t="n"/>
      <c r="J3207" s="57">
        <f>IF(OR(A3207="",H3207=""),"",IF(COUNTIFS(exp_year,C3207,exp_month,D3207,exp_item,E3207,exp_status,"&lt;&gt;❌ Отменено")&gt;0,1,0))</f>
        <v/>
      </c>
    </row>
    <row r="3208">
      <c r="A3208" s="52" t="n"/>
      <c r="B3208" s="53">
        <f>IF(A3208="","",CHOOSE(WEEKDAY(A3208,2),"Пн","Вт","Ср","Чт","Пт","Сб","Вс"))</f>
        <v/>
      </c>
      <c r="C3208" s="53">
        <f>IF(A3208="","",YEAR(A3208))</f>
        <v/>
      </c>
      <c r="D3208" s="54">
        <f>IF(A3208="","",INDEX(lst_months,MONTH(A3208)))</f>
        <v/>
      </c>
      <c r="E3208" s="55" t="n"/>
      <c r="F3208" s="54">
        <f>IF(E3208="","",IFERROR(IF(INDEX(lst_exp_item_cat,MATCH(E3208,lst_exp_items,0))="","❔ Без категории",INDEX(lst_exp_item_cat,MATCH(E3208,lst_exp_items,0))),"❔ Без категории"))</f>
        <v/>
      </c>
      <c r="G3208" s="43" t="n"/>
      <c r="H3208" s="56" t="n"/>
      <c r="I3208" s="43" t="n"/>
      <c r="J3208" s="57">
        <f>IF(OR(A3208="",H3208=""),"",IF(COUNTIFS(exp_year,C3208,exp_month,D3208,exp_item,E3208,exp_status,"&lt;&gt;❌ Отменено")&gt;0,1,0))</f>
        <v/>
      </c>
    </row>
    <row r="3209">
      <c r="A3209" s="52" t="n"/>
      <c r="B3209" s="53">
        <f>IF(A3209="","",CHOOSE(WEEKDAY(A3209,2),"Пн","Вт","Ср","Чт","Пт","Сб","Вс"))</f>
        <v/>
      </c>
      <c r="C3209" s="53">
        <f>IF(A3209="","",YEAR(A3209))</f>
        <v/>
      </c>
      <c r="D3209" s="54">
        <f>IF(A3209="","",INDEX(lst_months,MONTH(A3209)))</f>
        <v/>
      </c>
      <c r="E3209" s="55" t="n"/>
      <c r="F3209" s="54">
        <f>IF(E3209="","",IFERROR(IF(INDEX(lst_exp_item_cat,MATCH(E3209,lst_exp_items,0))="","❔ Без категории",INDEX(lst_exp_item_cat,MATCH(E3209,lst_exp_items,0))),"❔ Без категории"))</f>
        <v/>
      </c>
      <c r="G3209" s="43" t="n"/>
      <c r="H3209" s="56" t="n"/>
      <c r="I3209" s="43" t="n"/>
      <c r="J3209" s="57">
        <f>IF(OR(A3209="",H3209=""),"",IF(COUNTIFS(exp_year,C3209,exp_month,D3209,exp_item,E3209,exp_status,"&lt;&gt;❌ Отменено")&gt;0,1,0))</f>
        <v/>
      </c>
    </row>
    <row r="3210">
      <c r="A3210" s="52" t="n"/>
      <c r="B3210" s="53">
        <f>IF(A3210="","",CHOOSE(WEEKDAY(A3210,2),"Пн","Вт","Ср","Чт","Пт","Сб","Вс"))</f>
        <v/>
      </c>
      <c r="C3210" s="53">
        <f>IF(A3210="","",YEAR(A3210))</f>
        <v/>
      </c>
      <c r="D3210" s="54">
        <f>IF(A3210="","",INDEX(lst_months,MONTH(A3210)))</f>
        <v/>
      </c>
      <c r="E3210" s="55" t="n"/>
      <c r="F3210" s="54">
        <f>IF(E3210="","",IFERROR(IF(INDEX(lst_exp_item_cat,MATCH(E3210,lst_exp_items,0))="","❔ Без категории",INDEX(lst_exp_item_cat,MATCH(E3210,lst_exp_items,0))),"❔ Без категории"))</f>
        <v/>
      </c>
      <c r="G3210" s="43" t="n"/>
      <c r="H3210" s="56" t="n"/>
      <c r="I3210" s="43" t="n"/>
      <c r="J3210" s="57">
        <f>IF(OR(A3210="",H3210=""),"",IF(COUNTIFS(exp_year,C3210,exp_month,D3210,exp_item,E3210,exp_status,"&lt;&gt;❌ Отменено")&gt;0,1,0))</f>
        <v/>
      </c>
    </row>
    <row r="3211">
      <c r="A3211" s="52" t="n"/>
      <c r="B3211" s="53">
        <f>IF(A3211="","",CHOOSE(WEEKDAY(A3211,2),"Пн","Вт","Ср","Чт","Пт","Сб","Вс"))</f>
        <v/>
      </c>
      <c r="C3211" s="53">
        <f>IF(A3211="","",YEAR(A3211))</f>
        <v/>
      </c>
      <c r="D3211" s="54">
        <f>IF(A3211="","",INDEX(lst_months,MONTH(A3211)))</f>
        <v/>
      </c>
      <c r="E3211" s="55" t="n"/>
      <c r="F3211" s="54">
        <f>IF(E3211="","",IFERROR(IF(INDEX(lst_exp_item_cat,MATCH(E3211,lst_exp_items,0))="","❔ Без категории",INDEX(lst_exp_item_cat,MATCH(E3211,lst_exp_items,0))),"❔ Без категории"))</f>
        <v/>
      </c>
      <c r="G3211" s="43" t="n"/>
      <c r="H3211" s="56" t="n"/>
      <c r="I3211" s="43" t="n"/>
      <c r="J3211" s="57">
        <f>IF(OR(A3211="",H3211=""),"",IF(COUNTIFS(exp_year,C3211,exp_month,D3211,exp_item,E3211,exp_status,"&lt;&gt;❌ Отменено")&gt;0,1,0))</f>
        <v/>
      </c>
    </row>
    <row r="3212">
      <c r="A3212" s="52" t="n"/>
      <c r="B3212" s="53">
        <f>IF(A3212="","",CHOOSE(WEEKDAY(A3212,2),"Пн","Вт","Ср","Чт","Пт","Сб","Вс"))</f>
        <v/>
      </c>
      <c r="C3212" s="53">
        <f>IF(A3212="","",YEAR(A3212))</f>
        <v/>
      </c>
      <c r="D3212" s="54">
        <f>IF(A3212="","",INDEX(lst_months,MONTH(A3212)))</f>
        <v/>
      </c>
      <c r="E3212" s="55" t="n"/>
      <c r="F3212" s="54">
        <f>IF(E3212="","",IFERROR(IF(INDEX(lst_exp_item_cat,MATCH(E3212,lst_exp_items,0))="","❔ Без категории",INDEX(lst_exp_item_cat,MATCH(E3212,lst_exp_items,0))),"❔ Без категории"))</f>
        <v/>
      </c>
      <c r="G3212" s="43" t="n"/>
      <c r="H3212" s="56" t="n"/>
      <c r="I3212" s="43" t="n"/>
      <c r="J3212" s="57">
        <f>IF(OR(A3212="",H3212=""),"",IF(COUNTIFS(exp_year,C3212,exp_month,D3212,exp_item,E3212,exp_status,"&lt;&gt;❌ Отменено")&gt;0,1,0))</f>
        <v/>
      </c>
    </row>
    <row r="3213">
      <c r="A3213" s="52" t="n"/>
      <c r="B3213" s="53">
        <f>IF(A3213="","",CHOOSE(WEEKDAY(A3213,2),"Пн","Вт","Ср","Чт","Пт","Сб","Вс"))</f>
        <v/>
      </c>
      <c r="C3213" s="53">
        <f>IF(A3213="","",YEAR(A3213))</f>
        <v/>
      </c>
      <c r="D3213" s="54">
        <f>IF(A3213="","",INDEX(lst_months,MONTH(A3213)))</f>
        <v/>
      </c>
      <c r="E3213" s="55" t="n"/>
      <c r="F3213" s="54">
        <f>IF(E3213="","",IFERROR(IF(INDEX(lst_exp_item_cat,MATCH(E3213,lst_exp_items,0))="","❔ Без категории",INDEX(lst_exp_item_cat,MATCH(E3213,lst_exp_items,0))),"❔ Без категории"))</f>
        <v/>
      </c>
      <c r="G3213" s="43" t="n"/>
      <c r="H3213" s="56" t="n"/>
      <c r="I3213" s="43" t="n"/>
      <c r="J3213" s="57">
        <f>IF(OR(A3213="",H3213=""),"",IF(COUNTIFS(exp_year,C3213,exp_month,D3213,exp_item,E3213,exp_status,"&lt;&gt;❌ Отменено")&gt;0,1,0))</f>
        <v/>
      </c>
    </row>
    <row r="3214">
      <c r="A3214" s="52" t="n"/>
      <c r="B3214" s="53">
        <f>IF(A3214="","",CHOOSE(WEEKDAY(A3214,2),"Пн","Вт","Ср","Чт","Пт","Сб","Вс"))</f>
        <v/>
      </c>
      <c r="C3214" s="53">
        <f>IF(A3214="","",YEAR(A3214))</f>
        <v/>
      </c>
      <c r="D3214" s="54">
        <f>IF(A3214="","",INDEX(lst_months,MONTH(A3214)))</f>
        <v/>
      </c>
      <c r="E3214" s="55" t="n"/>
      <c r="F3214" s="54">
        <f>IF(E3214="","",IFERROR(IF(INDEX(lst_exp_item_cat,MATCH(E3214,lst_exp_items,0))="","❔ Без категории",INDEX(lst_exp_item_cat,MATCH(E3214,lst_exp_items,0))),"❔ Без категории"))</f>
        <v/>
      </c>
      <c r="G3214" s="43" t="n"/>
      <c r="H3214" s="56" t="n"/>
      <c r="I3214" s="43" t="n"/>
      <c r="J3214" s="57">
        <f>IF(OR(A3214="",H3214=""),"",IF(COUNTIFS(exp_year,C3214,exp_month,D3214,exp_item,E3214,exp_status,"&lt;&gt;❌ Отменено")&gt;0,1,0))</f>
        <v/>
      </c>
    </row>
    <row r="3215">
      <c r="A3215" s="52" t="n"/>
      <c r="B3215" s="53">
        <f>IF(A3215="","",CHOOSE(WEEKDAY(A3215,2),"Пн","Вт","Ср","Чт","Пт","Сб","Вс"))</f>
        <v/>
      </c>
      <c r="C3215" s="53">
        <f>IF(A3215="","",YEAR(A3215))</f>
        <v/>
      </c>
      <c r="D3215" s="54">
        <f>IF(A3215="","",INDEX(lst_months,MONTH(A3215)))</f>
        <v/>
      </c>
      <c r="E3215" s="55" t="n"/>
      <c r="F3215" s="54">
        <f>IF(E3215="","",IFERROR(IF(INDEX(lst_exp_item_cat,MATCH(E3215,lst_exp_items,0))="","❔ Без категории",INDEX(lst_exp_item_cat,MATCH(E3215,lst_exp_items,0))),"❔ Без категории"))</f>
        <v/>
      </c>
      <c r="G3215" s="43" t="n"/>
      <c r="H3215" s="56" t="n"/>
      <c r="I3215" s="43" t="n"/>
      <c r="J3215" s="57">
        <f>IF(OR(A3215="",H3215=""),"",IF(COUNTIFS(exp_year,C3215,exp_month,D3215,exp_item,E3215,exp_status,"&lt;&gt;❌ Отменено")&gt;0,1,0))</f>
        <v/>
      </c>
    </row>
    <row r="3216">
      <c r="A3216" s="52" t="n"/>
      <c r="B3216" s="53">
        <f>IF(A3216="","",CHOOSE(WEEKDAY(A3216,2),"Пн","Вт","Ср","Чт","Пт","Сб","Вс"))</f>
        <v/>
      </c>
      <c r="C3216" s="53">
        <f>IF(A3216="","",YEAR(A3216))</f>
        <v/>
      </c>
      <c r="D3216" s="54">
        <f>IF(A3216="","",INDEX(lst_months,MONTH(A3216)))</f>
        <v/>
      </c>
      <c r="E3216" s="55" t="n"/>
      <c r="F3216" s="54">
        <f>IF(E3216="","",IFERROR(IF(INDEX(lst_exp_item_cat,MATCH(E3216,lst_exp_items,0))="","❔ Без категории",INDEX(lst_exp_item_cat,MATCH(E3216,lst_exp_items,0))),"❔ Без категории"))</f>
        <v/>
      </c>
      <c r="G3216" s="43" t="n"/>
      <c r="H3216" s="56" t="n"/>
      <c r="I3216" s="43" t="n"/>
      <c r="J3216" s="57">
        <f>IF(OR(A3216="",H3216=""),"",IF(COUNTIFS(exp_year,C3216,exp_month,D3216,exp_item,E3216,exp_status,"&lt;&gt;❌ Отменено")&gt;0,1,0))</f>
        <v/>
      </c>
    </row>
    <row r="3217">
      <c r="A3217" s="52" t="n"/>
      <c r="B3217" s="53">
        <f>IF(A3217="","",CHOOSE(WEEKDAY(A3217,2),"Пн","Вт","Ср","Чт","Пт","Сб","Вс"))</f>
        <v/>
      </c>
      <c r="C3217" s="53">
        <f>IF(A3217="","",YEAR(A3217))</f>
        <v/>
      </c>
      <c r="D3217" s="54">
        <f>IF(A3217="","",INDEX(lst_months,MONTH(A3217)))</f>
        <v/>
      </c>
      <c r="E3217" s="55" t="n"/>
      <c r="F3217" s="54">
        <f>IF(E3217="","",IFERROR(IF(INDEX(lst_exp_item_cat,MATCH(E3217,lst_exp_items,0))="","❔ Без категории",INDEX(lst_exp_item_cat,MATCH(E3217,lst_exp_items,0))),"❔ Без категории"))</f>
        <v/>
      </c>
      <c r="G3217" s="43" t="n"/>
      <c r="H3217" s="56" t="n"/>
      <c r="I3217" s="43" t="n"/>
      <c r="J3217" s="57">
        <f>IF(OR(A3217="",H3217=""),"",IF(COUNTIFS(exp_year,C3217,exp_month,D3217,exp_item,E3217,exp_status,"&lt;&gt;❌ Отменено")&gt;0,1,0))</f>
        <v/>
      </c>
    </row>
    <row r="3218">
      <c r="A3218" s="52" t="n"/>
      <c r="B3218" s="53">
        <f>IF(A3218="","",CHOOSE(WEEKDAY(A3218,2),"Пн","Вт","Ср","Чт","Пт","Сб","Вс"))</f>
        <v/>
      </c>
      <c r="C3218" s="53">
        <f>IF(A3218="","",YEAR(A3218))</f>
        <v/>
      </c>
      <c r="D3218" s="54">
        <f>IF(A3218="","",INDEX(lst_months,MONTH(A3218)))</f>
        <v/>
      </c>
      <c r="E3218" s="55" t="n"/>
      <c r="F3218" s="54">
        <f>IF(E3218="","",IFERROR(IF(INDEX(lst_exp_item_cat,MATCH(E3218,lst_exp_items,0))="","❔ Без категории",INDEX(lst_exp_item_cat,MATCH(E3218,lst_exp_items,0))),"❔ Без категории"))</f>
        <v/>
      </c>
      <c r="G3218" s="43" t="n"/>
      <c r="H3218" s="56" t="n"/>
      <c r="I3218" s="43" t="n"/>
      <c r="J3218" s="57">
        <f>IF(OR(A3218="",H3218=""),"",IF(COUNTIFS(exp_year,C3218,exp_month,D3218,exp_item,E3218,exp_status,"&lt;&gt;❌ Отменено")&gt;0,1,0))</f>
        <v/>
      </c>
    </row>
    <row r="3219">
      <c r="A3219" s="52" t="n"/>
      <c r="B3219" s="53">
        <f>IF(A3219="","",CHOOSE(WEEKDAY(A3219,2),"Пн","Вт","Ср","Чт","Пт","Сб","Вс"))</f>
        <v/>
      </c>
      <c r="C3219" s="53">
        <f>IF(A3219="","",YEAR(A3219))</f>
        <v/>
      </c>
      <c r="D3219" s="54">
        <f>IF(A3219="","",INDEX(lst_months,MONTH(A3219)))</f>
        <v/>
      </c>
      <c r="E3219" s="55" t="n"/>
      <c r="F3219" s="54">
        <f>IF(E3219="","",IFERROR(IF(INDEX(lst_exp_item_cat,MATCH(E3219,lst_exp_items,0))="","❔ Без категории",INDEX(lst_exp_item_cat,MATCH(E3219,lst_exp_items,0))),"❔ Без категории"))</f>
        <v/>
      </c>
      <c r="G3219" s="43" t="n"/>
      <c r="H3219" s="56" t="n"/>
      <c r="I3219" s="43" t="n"/>
      <c r="J3219" s="57">
        <f>IF(OR(A3219="",H3219=""),"",IF(COUNTIFS(exp_year,C3219,exp_month,D3219,exp_item,E3219,exp_status,"&lt;&gt;❌ Отменено")&gt;0,1,0))</f>
        <v/>
      </c>
    </row>
    <row r="3220">
      <c r="A3220" s="52" t="n"/>
      <c r="B3220" s="53">
        <f>IF(A3220="","",CHOOSE(WEEKDAY(A3220,2),"Пн","Вт","Ср","Чт","Пт","Сб","Вс"))</f>
        <v/>
      </c>
      <c r="C3220" s="53">
        <f>IF(A3220="","",YEAR(A3220))</f>
        <v/>
      </c>
      <c r="D3220" s="54">
        <f>IF(A3220="","",INDEX(lst_months,MONTH(A3220)))</f>
        <v/>
      </c>
      <c r="E3220" s="55" t="n"/>
      <c r="F3220" s="54">
        <f>IF(E3220="","",IFERROR(IF(INDEX(lst_exp_item_cat,MATCH(E3220,lst_exp_items,0))="","❔ Без категории",INDEX(lst_exp_item_cat,MATCH(E3220,lst_exp_items,0))),"❔ Без категории"))</f>
        <v/>
      </c>
      <c r="G3220" s="43" t="n"/>
      <c r="H3220" s="56" t="n"/>
      <c r="I3220" s="43" t="n"/>
      <c r="J3220" s="57">
        <f>IF(OR(A3220="",H3220=""),"",IF(COUNTIFS(exp_year,C3220,exp_month,D3220,exp_item,E3220,exp_status,"&lt;&gt;❌ Отменено")&gt;0,1,0))</f>
        <v/>
      </c>
    </row>
    <row r="3221">
      <c r="A3221" s="52" t="n"/>
      <c r="B3221" s="53">
        <f>IF(A3221="","",CHOOSE(WEEKDAY(A3221,2),"Пн","Вт","Ср","Чт","Пт","Сб","Вс"))</f>
        <v/>
      </c>
      <c r="C3221" s="53">
        <f>IF(A3221="","",YEAR(A3221))</f>
        <v/>
      </c>
      <c r="D3221" s="54">
        <f>IF(A3221="","",INDEX(lst_months,MONTH(A3221)))</f>
        <v/>
      </c>
      <c r="E3221" s="55" t="n"/>
      <c r="F3221" s="54">
        <f>IF(E3221="","",IFERROR(IF(INDEX(lst_exp_item_cat,MATCH(E3221,lst_exp_items,0))="","❔ Без категории",INDEX(lst_exp_item_cat,MATCH(E3221,lst_exp_items,0))),"❔ Без категории"))</f>
        <v/>
      </c>
      <c r="G3221" s="43" t="n"/>
      <c r="H3221" s="56" t="n"/>
      <c r="I3221" s="43" t="n"/>
      <c r="J3221" s="57">
        <f>IF(OR(A3221="",H3221=""),"",IF(COUNTIFS(exp_year,C3221,exp_month,D3221,exp_item,E3221,exp_status,"&lt;&gt;❌ Отменено")&gt;0,1,0))</f>
        <v/>
      </c>
    </row>
    <row r="3222">
      <c r="A3222" s="52" t="n"/>
      <c r="B3222" s="53">
        <f>IF(A3222="","",CHOOSE(WEEKDAY(A3222,2),"Пн","Вт","Ср","Чт","Пт","Сб","Вс"))</f>
        <v/>
      </c>
      <c r="C3222" s="53">
        <f>IF(A3222="","",YEAR(A3222))</f>
        <v/>
      </c>
      <c r="D3222" s="54">
        <f>IF(A3222="","",INDEX(lst_months,MONTH(A3222)))</f>
        <v/>
      </c>
      <c r="E3222" s="55" t="n"/>
      <c r="F3222" s="54">
        <f>IF(E3222="","",IFERROR(IF(INDEX(lst_exp_item_cat,MATCH(E3222,lst_exp_items,0))="","❔ Без категории",INDEX(lst_exp_item_cat,MATCH(E3222,lst_exp_items,0))),"❔ Без категории"))</f>
        <v/>
      </c>
      <c r="G3222" s="43" t="n"/>
      <c r="H3222" s="56" t="n"/>
      <c r="I3222" s="43" t="n"/>
      <c r="J3222" s="57">
        <f>IF(OR(A3222="",H3222=""),"",IF(COUNTIFS(exp_year,C3222,exp_month,D3222,exp_item,E3222,exp_status,"&lt;&gt;❌ Отменено")&gt;0,1,0))</f>
        <v/>
      </c>
    </row>
    <row r="3223">
      <c r="A3223" s="52" t="n"/>
      <c r="B3223" s="53">
        <f>IF(A3223="","",CHOOSE(WEEKDAY(A3223,2),"Пн","Вт","Ср","Чт","Пт","Сб","Вс"))</f>
        <v/>
      </c>
      <c r="C3223" s="53">
        <f>IF(A3223="","",YEAR(A3223))</f>
        <v/>
      </c>
      <c r="D3223" s="54">
        <f>IF(A3223="","",INDEX(lst_months,MONTH(A3223)))</f>
        <v/>
      </c>
      <c r="E3223" s="55" t="n"/>
      <c r="F3223" s="54">
        <f>IF(E3223="","",IFERROR(IF(INDEX(lst_exp_item_cat,MATCH(E3223,lst_exp_items,0))="","❔ Без категории",INDEX(lst_exp_item_cat,MATCH(E3223,lst_exp_items,0))),"❔ Без категории"))</f>
        <v/>
      </c>
      <c r="G3223" s="43" t="n"/>
      <c r="H3223" s="56" t="n"/>
      <c r="I3223" s="43" t="n"/>
      <c r="J3223" s="57">
        <f>IF(OR(A3223="",H3223=""),"",IF(COUNTIFS(exp_year,C3223,exp_month,D3223,exp_item,E3223,exp_status,"&lt;&gt;❌ Отменено")&gt;0,1,0))</f>
        <v/>
      </c>
    </row>
    <row r="3224">
      <c r="A3224" s="52" t="n"/>
      <c r="B3224" s="53">
        <f>IF(A3224="","",CHOOSE(WEEKDAY(A3224,2),"Пн","Вт","Ср","Чт","Пт","Сб","Вс"))</f>
        <v/>
      </c>
      <c r="C3224" s="53">
        <f>IF(A3224="","",YEAR(A3224))</f>
        <v/>
      </c>
      <c r="D3224" s="54">
        <f>IF(A3224="","",INDEX(lst_months,MONTH(A3224)))</f>
        <v/>
      </c>
      <c r="E3224" s="55" t="n"/>
      <c r="F3224" s="54">
        <f>IF(E3224="","",IFERROR(IF(INDEX(lst_exp_item_cat,MATCH(E3224,lst_exp_items,0))="","❔ Без категории",INDEX(lst_exp_item_cat,MATCH(E3224,lst_exp_items,0))),"❔ Без категории"))</f>
        <v/>
      </c>
      <c r="G3224" s="43" t="n"/>
      <c r="H3224" s="56" t="n"/>
      <c r="I3224" s="43" t="n"/>
      <c r="J3224" s="57">
        <f>IF(OR(A3224="",H3224=""),"",IF(COUNTIFS(exp_year,C3224,exp_month,D3224,exp_item,E3224,exp_status,"&lt;&gt;❌ Отменено")&gt;0,1,0))</f>
        <v/>
      </c>
    </row>
    <row r="3225">
      <c r="A3225" s="52" t="n"/>
      <c r="B3225" s="53">
        <f>IF(A3225="","",CHOOSE(WEEKDAY(A3225,2),"Пн","Вт","Ср","Чт","Пт","Сб","Вс"))</f>
        <v/>
      </c>
      <c r="C3225" s="53">
        <f>IF(A3225="","",YEAR(A3225))</f>
        <v/>
      </c>
      <c r="D3225" s="54">
        <f>IF(A3225="","",INDEX(lst_months,MONTH(A3225)))</f>
        <v/>
      </c>
      <c r="E3225" s="55" t="n"/>
      <c r="F3225" s="54">
        <f>IF(E3225="","",IFERROR(IF(INDEX(lst_exp_item_cat,MATCH(E3225,lst_exp_items,0))="","❔ Без категории",INDEX(lst_exp_item_cat,MATCH(E3225,lst_exp_items,0))),"❔ Без категории"))</f>
        <v/>
      </c>
      <c r="G3225" s="43" t="n"/>
      <c r="H3225" s="56" t="n"/>
      <c r="I3225" s="43" t="n"/>
      <c r="J3225" s="57">
        <f>IF(OR(A3225="",H3225=""),"",IF(COUNTIFS(exp_year,C3225,exp_month,D3225,exp_item,E3225,exp_status,"&lt;&gt;❌ Отменено")&gt;0,1,0))</f>
        <v/>
      </c>
    </row>
    <row r="3226">
      <c r="A3226" s="52" t="n"/>
      <c r="B3226" s="53">
        <f>IF(A3226="","",CHOOSE(WEEKDAY(A3226,2),"Пн","Вт","Ср","Чт","Пт","Сб","Вс"))</f>
        <v/>
      </c>
      <c r="C3226" s="53">
        <f>IF(A3226="","",YEAR(A3226))</f>
        <v/>
      </c>
      <c r="D3226" s="54">
        <f>IF(A3226="","",INDEX(lst_months,MONTH(A3226)))</f>
        <v/>
      </c>
      <c r="E3226" s="55" t="n"/>
      <c r="F3226" s="54">
        <f>IF(E3226="","",IFERROR(IF(INDEX(lst_exp_item_cat,MATCH(E3226,lst_exp_items,0))="","❔ Без категории",INDEX(lst_exp_item_cat,MATCH(E3226,lst_exp_items,0))),"❔ Без категории"))</f>
        <v/>
      </c>
      <c r="G3226" s="43" t="n"/>
      <c r="H3226" s="56" t="n"/>
      <c r="I3226" s="43" t="n"/>
      <c r="J3226" s="57">
        <f>IF(OR(A3226="",H3226=""),"",IF(COUNTIFS(exp_year,C3226,exp_month,D3226,exp_item,E3226,exp_status,"&lt;&gt;❌ Отменено")&gt;0,1,0))</f>
        <v/>
      </c>
    </row>
    <row r="3227">
      <c r="A3227" s="52" t="n"/>
      <c r="B3227" s="53">
        <f>IF(A3227="","",CHOOSE(WEEKDAY(A3227,2),"Пн","Вт","Ср","Чт","Пт","Сб","Вс"))</f>
        <v/>
      </c>
      <c r="C3227" s="53">
        <f>IF(A3227="","",YEAR(A3227))</f>
        <v/>
      </c>
      <c r="D3227" s="54">
        <f>IF(A3227="","",INDEX(lst_months,MONTH(A3227)))</f>
        <v/>
      </c>
      <c r="E3227" s="55" t="n"/>
      <c r="F3227" s="54">
        <f>IF(E3227="","",IFERROR(IF(INDEX(lst_exp_item_cat,MATCH(E3227,lst_exp_items,0))="","❔ Без категории",INDEX(lst_exp_item_cat,MATCH(E3227,lst_exp_items,0))),"❔ Без категории"))</f>
        <v/>
      </c>
      <c r="G3227" s="43" t="n"/>
      <c r="H3227" s="56" t="n"/>
      <c r="I3227" s="43" t="n"/>
      <c r="J3227" s="57">
        <f>IF(OR(A3227="",H3227=""),"",IF(COUNTIFS(exp_year,C3227,exp_month,D3227,exp_item,E3227,exp_status,"&lt;&gt;❌ Отменено")&gt;0,1,0))</f>
        <v/>
      </c>
    </row>
    <row r="3228">
      <c r="A3228" s="52" t="n"/>
      <c r="B3228" s="53">
        <f>IF(A3228="","",CHOOSE(WEEKDAY(A3228,2),"Пн","Вт","Ср","Чт","Пт","Сб","Вс"))</f>
        <v/>
      </c>
      <c r="C3228" s="53">
        <f>IF(A3228="","",YEAR(A3228))</f>
        <v/>
      </c>
      <c r="D3228" s="54">
        <f>IF(A3228="","",INDEX(lst_months,MONTH(A3228)))</f>
        <v/>
      </c>
      <c r="E3228" s="55" t="n"/>
      <c r="F3228" s="54">
        <f>IF(E3228="","",IFERROR(IF(INDEX(lst_exp_item_cat,MATCH(E3228,lst_exp_items,0))="","❔ Без категории",INDEX(lst_exp_item_cat,MATCH(E3228,lst_exp_items,0))),"❔ Без категории"))</f>
        <v/>
      </c>
      <c r="G3228" s="43" t="n"/>
      <c r="H3228" s="56" t="n"/>
      <c r="I3228" s="43" t="n"/>
      <c r="J3228" s="57">
        <f>IF(OR(A3228="",H3228=""),"",IF(COUNTIFS(exp_year,C3228,exp_month,D3228,exp_item,E3228,exp_status,"&lt;&gt;❌ Отменено")&gt;0,1,0))</f>
        <v/>
      </c>
    </row>
    <row r="3229">
      <c r="A3229" s="52" t="n"/>
      <c r="B3229" s="53">
        <f>IF(A3229="","",CHOOSE(WEEKDAY(A3229,2),"Пн","Вт","Ср","Чт","Пт","Сб","Вс"))</f>
        <v/>
      </c>
      <c r="C3229" s="53">
        <f>IF(A3229="","",YEAR(A3229))</f>
        <v/>
      </c>
      <c r="D3229" s="54">
        <f>IF(A3229="","",INDEX(lst_months,MONTH(A3229)))</f>
        <v/>
      </c>
      <c r="E3229" s="55" t="n"/>
      <c r="F3229" s="54">
        <f>IF(E3229="","",IFERROR(IF(INDEX(lst_exp_item_cat,MATCH(E3229,lst_exp_items,0))="","❔ Без категории",INDEX(lst_exp_item_cat,MATCH(E3229,lst_exp_items,0))),"❔ Без категории"))</f>
        <v/>
      </c>
      <c r="G3229" s="43" t="n"/>
      <c r="H3229" s="56" t="n"/>
      <c r="I3229" s="43" t="n"/>
      <c r="J3229" s="57">
        <f>IF(OR(A3229="",H3229=""),"",IF(COUNTIFS(exp_year,C3229,exp_month,D3229,exp_item,E3229,exp_status,"&lt;&gt;❌ Отменено")&gt;0,1,0))</f>
        <v/>
      </c>
    </row>
    <row r="3230">
      <c r="A3230" s="52" t="n"/>
      <c r="B3230" s="53">
        <f>IF(A3230="","",CHOOSE(WEEKDAY(A3230,2),"Пн","Вт","Ср","Чт","Пт","Сб","Вс"))</f>
        <v/>
      </c>
      <c r="C3230" s="53">
        <f>IF(A3230="","",YEAR(A3230))</f>
        <v/>
      </c>
      <c r="D3230" s="54">
        <f>IF(A3230="","",INDEX(lst_months,MONTH(A3230)))</f>
        <v/>
      </c>
      <c r="E3230" s="55" t="n"/>
      <c r="F3230" s="54">
        <f>IF(E3230="","",IFERROR(IF(INDEX(lst_exp_item_cat,MATCH(E3230,lst_exp_items,0))="","❔ Без категории",INDEX(lst_exp_item_cat,MATCH(E3230,lst_exp_items,0))),"❔ Без категории"))</f>
        <v/>
      </c>
      <c r="G3230" s="43" t="n"/>
      <c r="H3230" s="56" t="n"/>
      <c r="I3230" s="43" t="n"/>
      <c r="J3230" s="57">
        <f>IF(OR(A3230="",H3230=""),"",IF(COUNTIFS(exp_year,C3230,exp_month,D3230,exp_item,E3230,exp_status,"&lt;&gt;❌ Отменено")&gt;0,1,0))</f>
        <v/>
      </c>
    </row>
    <row r="3231">
      <c r="A3231" s="52" t="n"/>
      <c r="B3231" s="53">
        <f>IF(A3231="","",CHOOSE(WEEKDAY(A3231,2),"Пн","Вт","Ср","Чт","Пт","Сб","Вс"))</f>
        <v/>
      </c>
      <c r="C3231" s="53">
        <f>IF(A3231="","",YEAR(A3231))</f>
        <v/>
      </c>
      <c r="D3231" s="54">
        <f>IF(A3231="","",INDEX(lst_months,MONTH(A3231)))</f>
        <v/>
      </c>
      <c r="E3231" s="55" t="n"/>
      <c r="F3231" s="54">
        <f>IF(E3231="","",IFERROR(IF(INDEX(lst_exp_item_cat,MATCH(E3231,lst_exp_items,0))="","❔ Без категории",INDEX(lst_exp_item_cat,MATCH(E3231,lst_exp_items,0))),"❔ Без категории"))</f>
        <v/>
      </c>
      <c r="G3231" s="43" t="n"/>
      <c r="H3231" s="56" t="n"/>
      <c r="I3231" s="43" t="n"/>
      <c r="J3231" s="57">
        <f>IF(OR(A3231="",H3231=""),"",IF(COUNTIFS(exp_year,C3231,exp_month,D3231,exp_item,E3231,exp_status,"&lt;&gt;❌ Отменено")&gt;0,1,0))</f>
        <v/>
      </c>
    </row>
    <row r="3232">
      <c r="A3232" s="52" t="n"/>
      <c r="B3232" s="53">
        <f>IF(A3232="","",CHOOSE(WEEKDAY(A3232,2),"Пн","Вт","Ср","Чт","Пт","Сб","Вс"))</f>
        <v/>
      </c>
      <c r="C3232" s="53">
        <f>IF(A3232="","",YEAR(A3232))</f>
        <v/>
      </c>
      <c r="D3232" s="54">
        <f>IF(A3232="","",INDEX(lst_months,MONTH(A3232)))</f>
        <v/>
      </c>
      <c r="E3232" s="55" t="n"/>
      <c r="F3232" s="54">
        <f>IF(E3232="","",IFERROR(IF(INDEX(lst_exp_item_cat,MATCH(E3232,lst_exp_items,0))="","❔ Без категории",INDEX(lst_exp_item_cat,MATCH(E3232,lst_exp_items,0))),"❔ Без категории"))</f>
        <v/>
      </c>
      <c r="G3232" s="43" t="n"/>
      <c r="H3232" s="56" t="n"/>
      <c r="I3232" s="43" t="n"/>
      <c r="J3232" s="57">
        <f>IF(OR(A3232="",H3232=""),"",IF(COUNTIFS(exp_year,C3232,exp_month,D3232,exp_item,E3232,exp_status,"&lt;&gt;❌ Отменено")&gt;0,1,0))</f>
        <v/>
      </c>
    </row>
    <row r="3233">
      <c r="A3233" s="52" t="n"/>
      <c r="B3233" s="53">
        <f>IF(A3233="","",CHOOSE(WEEKDAY(A3233,2),"Пн","Вт","Ср","Чт","Пт","Сб","Вс"))</f>
        <v/>
      </c>
      <c r="C3233" s="53">
        <f>IF(A3233="","",YEAR(A3233))</f>
        <v/>
      </c>
      <c r="D3233" s="54">
        <f>IF(A3233="","",INDEX(lst_months,MONTH(A3233)))</f>
        <v/>
      </c>
      <c r="E3233" s="55" t="n"/>
      <c r="F3233" s="54">
        <f>IF(E3233="","",IFERROR(IF(INDEX(lst_exp_item_cat,MATCH(E3233,lst_exp_items,0))="","❔ Без категории",INDEX(lst_exp_item_cat,MATCH(E3233,lst_exp_items,0))),"❔ Без категории"))</f>
        <v/>
      </c>
      <c r="G3233" s="43" t="n"/>
      <c r="H3233" s="56" t="n"/>
      <c r="I3233" s="43" t="n"/>
      <c r="J3233" s="57">
        <f>IF(OR(A3233="",H3233=""),"",IF(COUNTIFS(exp_year,C3233,exp_month,D3233,exp_item,E3233,exp_status,"&lt;&gt;❌ Отменено")&gt;0,1,0))</f>
        <v/>
      </c>
    </row>
    <row r="3234">
      <c r="A3234" s="52" t="n"/>
      <c r="B3234" s="53">
        <f>IF(A3234="","",CHOOSE(WEEKDAY(A3234,2),"Пн","Вт","Ср","Чт","Пт","Сб","Вс"))</f>
        <v/>
      </c>
      <c r="C3234" s="53">
        <f>IF(A3234="","",YEAR(A3234))</f>
        <v/>
      </c>
      <c r="D3234" s="54">
        <f>IF(A3234="","",INDEX(lst_months,MONTH(A3234)))</f>
        <v/>
      </c>
      <c r="E3234" s="55" t="n"/>
      <c r="F3234" s="54">
        <f>IF(E3234="","",IFERROR(IF(INDEX(lst_exp_item_cat,MATCH(E3234,lst_exp_items,0))="","❔ Без категории",INDEX(lst_exp_item_cat,MATCH(E3234,lst_exp_items,0))),"❔ Без категории"))</f>
        <v/>
      </c>
      <c r="G3234" s="43" t="n"/>
      <c r="H3234" s="56" t="n"/>
      <c r="I3234" s="43" t="n"/>
      <c r="J3234" s="57">
        <f>IF(OR(A3234="",H3234=""),"",IF(COUNTIFS(exp_year,C3234,exp_month,D3234,exp_item,E3234,exp_status,"&lt;&gt;❌ Отменено")&gt;0,1,0))</f>
        <v/>
      </c>
    </row>
    <row r="3235">
      <c r="A3235" s="52" t="n"/>
      <c r="B3235" s="53">
        <f>IF(A3235="","",CHOOSE(WEEKDAY(A3235,2),"Пн","Вт","Ср","Чт","Пт","Сб","Вс"))</f>
        <v/>
      </c>
      <c r="C3235" s="53">
        <f>IF(A3235="","",YEAR(A3235))</f>
        <v/>
      </c>
      <c r="D3235" s="54">
        <f>IF(A3235="","",INDEX(lst_months,MONTH(A3235)))</f>
        <v/>
      </c>
      <c r="E3235" s="55" t="n"/>
      <c r="F3235" s="54">
        <f>IF(E3235="","",IFERROR(IF(INDEX(lst_exp_item_cat,MATCH(E3235,lst_exp_items,0))="","❔ Без категории",INDEX(lst_exp_item_cat,MATCH(E3235,lst_exp_items,0))),"❔ Без категории"))</f>
        <v/>
      </c>
      <c r="G3235" s="43" t="n"/>
      <c r="H3235" s="56" t="n"/>
      <c r="I3235" s="43" t="n"/>
      <c r="J3235" s="57">
        <f>IF(OR(A3235="",H3235=""),"",IF(COUNTIFS(exp_year,C3235,exp_month,D3235,exp_item,E3235,exp_status,"&lt;&gt;❌ Отменено")&gt;0,1,0))</f>
        <v/>
      </c>
    </row>
    <row r="3236">
      <c r="A3236" s="52" t="n"/>
      <c r="B3236" s="53">
        <f>IF(A3236="","",CHOOSE(WEEKDAY(A3236,2),"Пн","Вт","Ср","Чт","Пт","Сб","Вс"))</f>
        <v/>
      </c>
      <c r="C3236" s="53">
        <f>IF(A3236="","",YEAR(A3236))</f>
        <v/>
      </c>
      <c r="D3236" s="54">
        <f>IF(A3236="","",INDEX(lst_months,MONTH(A3236)))</f>
        <v/>
      </c>
      <c r="E3236" s="55" t="n"/>
      <c r="F3236" s="54">
        <f>IF(E3236="","",IFERROR(IF(INDEX(lst_exp_item_cat,MATCH(E3236,lst_exp_items,0))="","❔ Без категории",INDEX(lst_exp_item_cat,MATCH(E3236,lst_exp_items,0))),"❔ Без категории"))</f>
        <v/>
      </c>
      <c r="G3236" s="43" t="n"/>
      <c r="H3236" s="56" t="n"/>
      <c r="I3236" s="43" t="n"/>
      <c r="J3236" s="57">
        <f>IF(OR(A3236="",H3236=""),"",IF(COUNTIFS(exp_year,C3236,exp_month,D3236,exp_item,E3236,exp_status,"&lt;&gt;❌ Отменено")&gt;0,1,0))</f>
        <v/>
      </c>
    </row>
    <row r="3237">
      <c r="A3237" s="52" t="n"/>
      <c r="B3237" s="53">
        <f>IF(A3237="","",CHOOSE(WEEKDAY(A3237,2),"Пн","Вт","Ср","Чт","Пт","Сб","Вс"))</f>
        <v/>
      </c>
      <c r="C3237" s="53">
        <f>IF(A3237="","",YEAR(A3237))</f>
        <v/>
      </c>
      <c r="D3237" s="54">
        <f>IF(A3237="","",INDEX(lst_months,MONTH(A3237)))</f>
        <v/>
      </c>
      <c r="E3237" s="55" t="n"/>
      <c r="F3237" s="54">
        <f>IF(E3237="","",IFERROR(IF(INDEX(lst_exp_item_cat,MATCH(E3237,lst_exp_items,0))="","❔ Без категории",INDEX(lst_exp_item_cat,MATCH(E3237,lst_exp_items,0))),"❔ Без категории"))</f>
        <v/>
      </c>
      <c r="G3237" s="43" t="n"/>
      <c r="H3237" s="56" t="n"/>
      <c r="I3237" s="43" t="n"/>
      <c r="J3237" s="57">
        <f>IF(OR(A3237="",H3237=""),"",IF(COUNTIFS(exp_year,C3237,exp_month,D3237,exp_item,E3237,exp_status,"&lt;&gt;❌ Отменено")&gt;0,1,0))</f>
        <v/>
      </c>
    </row>
    <row r="3238">
      <c r="A3238" s="52" t="n"/>
      <c r="B3238" s="53">
        <f>IF(A3238="","",CHOOSE(WEEKDAY(A3238,2),"Пн","Вт","Ср","Чт","Пт","Сб","Вс"))</f>
        <v/>
      </c>
      <c r="C3238" s="53">
        <f>IF(A3238="","",YEAR(A3238))</f>
        <v/>
      </c>
      <c r="D3238" s="54">
        <f>IF(A3238="","",INDEX(lst_months,MONTH(A3238)))</f>
        <v/>
      </c>
      <c r="E3238" s="55" t="n"/>
      <c r="F3238" s="54">
        <f>IF(E3238="","",IFERROR(IF(INDEX(lst_exp_item_cat,MATCH(E3238,lst_exp_items,0))="","❔ Без категории",INDEX(lst_exp_item_cat,MATCH(E3238,lst_exp_items,0))),"❔ Без категории"))</f>
        <v/>
      </c>
      <c r="G3238" s="43" t="n"/>
      <c r="H3238" s="56" t="n"/>
      <c r="I3238" s="43" t="n"/>
      <c r="J3238" s="57">
        <f>IF(OR(A3238="",H3238=""),"",IF(COUNTIFS(exp_year,C3238,exp_month,D3238,exp_item,E3238,exp_status,"&lt;&gt;❌ Отменено")&gt;0,1,0))</f>
        <v/>
      </c>
    </row>
    <row r="3239">
      <c r="A3239" s="52" t="n"/>
      <c r="B3239" s="53">
        <f>IF(A3239="","",CHOOSE(WEEKDAY(A3239,2),"Пн","Вт","Ср","Чт","Пт","Сб","Вс"))</f>
        <v/>
      </c>
      <c r="C3239" s="53">
        <f>IF(A3239="","",YEAR(A3239))</f>
        <v/>
      </c>
      <c r="D3239" s="54">
        <f>IF(A3239="","",INDEX(lst_months,MONTH(A3239)))</f>
        <v/>
      </c>
      <c r="E3239" s="55" t="n"/>
      <c r="F3239" s="54">
        <f>IF(E3239="","",IFERROR(IF(INDEX(lst_exp_item_cat,MATCH(E3239,lst_exp_items,0))="","❔ Без категории",INDEX(lst_exp_item_cat,MATCH(E3239,lst_exp_items,0))),"❔ Без категории"))</f>
        <v/>
      </c>
      <c r="G3239" s="43" t="n"/>
      <c r="H3239" s="56" t="n"/>
      <c r="I3239" s="43" t="n"/>
      <c r="J3239" s="57">
        <f>IF(OR(A3239="",H3239=""),"",IF(COUNTIFS(exp_year,C3239,exp_month,D3239,exp_item,E3239,exp_status,"&lt;&gt;❌ Отменено")&gt;0,1,0))</f>
        <v/>
      </c>
    </row>
    <row r="3240">
      <c r="A3240" s="52" t="n"/>
      <c r="B3240" s="53">
        <f>IF(A3240="","",CHOOSE(WEEKDAY(A3240,2),"Пн","Вт","Ср","Чт","Пт","Сб","Вс"))</f>
        <v/>
      </c>
      <c r="C3240" s="53">
        <f>IF(A3240="","",YEAR(A3240))</f>
        <v/>
      </c>
      <c r="D3240" s="54">
        <f>IF(A3240="","",INDEX(lst_months,MONTH(A3240)))</f>
        <v/>
      </c>
      <c r="E3240" s="55" t="n"/>
      <c r="F3240" s="54">
        <f>IF(E3240="","",IFERROR(IF(INDEX(lst_exp_item_cat,MATCH(E3240,lst_exp_items,0))="","❔ Без категории",INDEX(lst_exp_item_cat,MATCH(E3240,lst_exp_items,0))),"❔ Без категории"))</f>
        <v/>
      </c>
      <c r="G3240" s="43" t="n"/>
      <c r="H3240" s="56" t="n"/>
      <c r="I3240" s="43" t="n"/>
      <c r="J3240" s="57">
        <f>IF(OR(A3240="",H3240=""),"",IF(COUNTIFS(exp_year,C3240,exp_month,D3240,exp_item,E3240,exp_status,"&lt;&gt;❌ Отменено")&gt;0,1,0))</f>
        <v/>
      </c>
    </row>
    <row r="3241">
      <c r="A3241" s="52" t="n"/>
      <c r="B3241" s="53">
        <f>IF(A3241="","",CHOOSE(WEEKDAY(A3241,2),"Пн","Вт","Ср","Чт","Пт","Сб","Вс"))</f>
        <v/>
      </c>
      <c r="C3241" s="53">
        <f>IF(A3241="","",YEAR(A3241))</f>
        <v/>
      </c>
      <c r="D3241" s="54">
        <f>IF(A3241="","",INDEX(lst_months,MONTH(A3241)))</f>
        <v/>
      </c>
      <c r="E3241" s="55" t="n"/>
      <c r="F3241" s="54">
        <f>IF(E3241="","",IFERROR(IF(INDEX(lst_exp_item_cat,MATCH(E3241,lst_exp_items,0))="","❔ Без категории",INDEX(lst_exp_item_cat,MATCH(E3241,lst_exp_items,0))),"❔ Без категории"))</f>
        <v/>
      </c>
      <c r="G3241" s="43" t="n"/>
      <c r="H3241" s="56" t="n"/>
      <c r="I3241" s="43" t="n"/>
      <c r="J3241" s="57">
        <f>IF(OR(A3241="",H3241=""),"",IF(COUNTIFS(exp_year,C3241,exp_month,D3241,exp_item,E3241,exp_status,"&lt;&gt;❌ Отменено")&gt;0,1,0))</f>
        <v/>
      </c>
    </row>
    <row r="3242">
      <c r="A3242" s="52" t="n"/>
      <c r="B3242" s="53">
        <f>IF(A3242="","",CHOOSE(WEEKDAY(A3242,2),"Пн","Вт","Ср","Чт","Пт","Сб","Вс"))</f>
        <v/>
      </c>
      <c r="C3242" s="53">
        <f>IF(A3242="","",YEAR(A3242))</f>
        <v/>
      </c>
      <c r="D3242" s="54">
        <f>IF(A3242="","",INDEX(lst_months,MONTH(A3242)))</f>
        <v/>
      </c>
      <c r="E3242" s="55" t="n"/>
      <c r="F3242" s="54">
        <f>IF(E3242="","",IFERROR(IF(INDEX(lst_exp_item_cat,MATCH(E3242,lst_exp_items,0))="","❔ Без категории",INDEX(lst_exp_item_cat,MATCH(E3242,lst_exp_items,0))),"❔ Без категории"))</f>
        <v/>
      </c>
      <c r="G3242" s="43" t="n"/>
      <c r="H3242" s="56" t="n"/>
      <c r="I3242" s="43" t="n"/>
      <c r="J3242" s="57">
        <f>IF(OR(A3242="",H3242=""),"",IF(COUNTIFS(exp_year,C3242,exp_month,D3242,exp_item,E3242,exp_status,"&lt;&gt;❌ Отменено")&gt;0,1,0))</f>
        <v/>
      </c>
    </row>
    <row r="3243">
      <c r="A3243" s="52" t="n"/>
      <c r="B3243" s="53">
        <f>IF(A3243="","",CHOOSE(WEEKDAY(A3243,2),"Пн","Вт","Ср","Чт","Пт","Сб","Вс"))</f>
        <v/>
      </c>
      <c r="C3243" s="53">
        <f>IF(A3243="","",YEAR(A3243))</f>
        <v/>
      </c>
      <c r="D3243" s="54">
        <f>IF(A3243="","",INDEX(lst_months,MONTH(A3243)))</f>
        <v/>
      </c>
      <c r="E3243" s="55" t="n"/>
      <c r="F3243" s="54">
        <f>IF(E3243="","",IFERROR(IF(INDEX(lst_exp_item_cat,MATCH(E3243,lst_exp_items,0))="","❔ Без категории",INDEX(lst_exp_item_cat,MATCH(E3243,lst_exp_items,0))),"❔ Без категории"))</f>
        <v/>
      </c>
      <c r="G3243" s="43" t="n"/>
      <c r="H3243" s="56" t="n"/>
      <c r="I3243" s="43" t="n"/>
      <c r="J3243" s="57">
        <f>IF(OR(A3243="",H3243=""),"",IF(COUNTIFS(exp_year,C3243,exp_month,D3243,exp_item,E3243,exp_status,"&lt;&gt;❌ Отменено")&gt;0,1,0))</f>
        <v/>
      </c>
    </row>
    <row r="3244">
      <c r="A3244" s="52" t="n"/>
      <c r="B3244" s="53">
        <f>IF(A3244="","",CHOOSE(WEEKDAY(A3244,2),"Пн","Вт","Ср","Чт","Пт","Сб","Вс"))</f>
        <v/>
      </c>
      <c r="C3244" s="53">
        <f>IF(A3244="","",YEAR(A3244))</f>
        <v/>
      </c>
      <c r="D3244" s="54">
        <f>IF(A3244="","",INDEX(lst_months,MONTH(A3244)))</f>
        <v/>
      </c>
      <c r="E3244" s="55" t="n"/>
      <c r="F3244" s="54">
        <f>IF(E3244="","",IFERROR(IF(INDEX(lst_exp_item_cat,MATCH(E3244,lst_exp_items,0))="","❔ Без категории",INDEX(lst_exp_item_cat,MATCH(E3244,lst_exp_items,0))),"❔ Без категории"))</f>
        <v/>
      </c>
      <c r="G3244" s="43" t="n"/>
      <c r="H3244" s="56" t="n"/>
      <c r="I3244" s="43" t="n"/>
      <c r="J3244" s="57">
        <f>IF(OR(A3244="",H3244=""),"",IF(COUNTIFS(exp_year,C3244,exp_month,D3244,exp_item,E3244,exp_status,"&lt;&gt;❌ Отменено")&gt;0,1,0))</f>
        <v/>
      </c>
    </row>
    <row r="3245">
      <c r="A3245" s="52" t="n"/>
      <c r="B3245" s="53">
        <f>IF(A3245="","",CHOOSE(WEEKDAY(A3245,2),"Пн","Вт","Ср","Чт","Пт","Сб","Вс"))</f>
        <v/>
      </c>
      <c r="C3245" s="53">
        <f>IF(A3245="","",YEAR(A3245))</f>
        <v/>
      </c>
      <c r="D3245" s="54">
        <f>IF(A3245="","",INDEX(lst_months,MONTH(A3245)))</f>
        <v/>
      </c>
      <c r="E3245" s="55" t="n"/>
      <c r="F3245" s="54">
        <f>IF(E3245="","",IFERROR(IF(INDEX(lst_exp_item_cat,MATCH(E3245,lst_exp_items,0))="","❔ Без категории",INDEX(lst_exp_item_cat,MATCH(E3245,lst_exp_items,0))),"❔ Без категории"))</f>
        <v/>
      </c>
      <c r="G3245" s="43" t="n"/>
      <c r="H3245" s="56" t="n"/>
      <c r="I3245" s="43" t="n"/>
      <c r="J3245" s="57">
        <f>IF(OR(A3245="",H3245=""),"",IF(COUNTIFS(exp_year,C3245,exp_month,D3245,exp_item,E3245,exp_status,"&lt;&gt;❌ Отменено")&gt;0,1,0))</f>
        <v/>
      </c>
    </row>
    <row r="3246">
      <c r="A3246" s="52" t="n"/>
      <c r="B3246" s="53">
        <f>IF(A3246="","",CHOOSE(WEEKDAY(A3246,2),"Пн","Вт","Ср","Чт","Пт","Сб","Вс"))</f>
        <v/>
      </c>
      <c r="C3246" s="53">
        <f>IF(A3246="","",YEAR(A3246))</f>
        <v/>
      </c>
      <c r="D3246" s="54">
        <f>IF(A3246="","",INDEX(lst_months,MONTH(A3246)))</f>
        <v/>
      </c>
      <c r="E3246" s="55" t="n"/>
      <c r="F3246" s="54">
        <f>IF(E3246="","",IFERROR(IF(INDEX(lst_exp_item_cat,MATCH(E3246,lst_exp_items,0))="","❔ Без категории",INDEX(lst_exp_item_cat,MATCH(E3246,lst_exp_items,0))),"❔ Без категории"))</f>
        <v/>
      </c>
      <c r="G3246" s="43" t="n"/>
      <c r="H3246" s="56" t="n"/>
      <c r="I3246" s="43" t="n"/>
      <c r="J3246" s="57">
        <f>IF(OR(A3246="",H3246=""),"",IF(COUNTIFS(exp_year,C3246,exp_month,D3246,exp_item,E3246,exp_status,"&lt;&gt;❌ Отменено")&gt;0,1,0))</f>
        <v/>
      </c>
    </row>
    <row r="3247">
      <c r="A3247" s="52" t="n"/>
      <c r="B3247" s="53">
        <f>IF(A3247="","",CHOOSE(WEEKDAY(A3247,2),"Пн","Вт","Ср","Чт","Пт","Сб","Вс"))</f>
        <v/>
      </c>
      <c r="C3247" s="53">
        <f>IF(A3247="","",YEAR(A3247))</f>
        <v/>
      </c>
      <c r="D3247" s="54">
        <f>IF(A3247="","",INDEX(lst_months,MONTH(A3247)))</f>
        <v/>
      </c>
      <c r="E3247" s="55" t="n"/>
      <c r="F3247" s="54">
        <f>IF(E3247="","",IFERROR(IF(INDEX(lst_exp_item_cat,MATCH(E3247,lst_exp_items,0))="","❔ Без категории",INDEX(lst_exp_item_cat,MATCH(E3247,lst_exp_items,0))),"❔ Без категории"))</f>
        <v/>
      </c>
      <c r="G3247" s="43" t="n"/>
      <c r="H3247" s="56" t="n"/>
      <c r="I3247" s="43" t="n"/>
      <c r="J3247" s="57">
        <f>IF(OR(A3247="",H3247=""),"",IF(COUNTIFS(exp_year,C3247,exp_month,D3247,exp_item,E3247,exp_status,"&lt;&gt;❌ Отменено")&gt;0,1,0))</f>
        <v/>
      </c>
    </row>
    <row r="3248">
      <c r="A3248" s="52" t="n"/>
      <c r="B3248" s="53">
        <f>IF(A3248="","",CHOOSE(WEEKDAY(A3248,2),"Пн","Вт","Ср","Чт","Пт","Сб","Вс"))</f>
        <v/>
      </c>
      <c r="C3248" s="53">
        <f>IF(A3248="","",YEAR(A3248))</f>
        <v/>
      </c>
      <c r="D3248" s="54">
        <f>IF(A3248="","",INDEX(lst_months,MONTH(A3248)))</f>
        <v/>
      </c>
      <c r="E3248" s="55" t="n"/>
      <c r="F3248" s="54">
        <f>IF(E3248="","",IFERROR(IF(INDEX(lst_exp_item_cat,MATCH(E3248,lst_exp_items,0))="","❔ Без категории",INDEX(lst_exp_item_cat,MATCH(E3248,lst_exp_items,0))),"❔ Без категории"))</f>
        <v/>
      </c>
      <c r="G3248" s="43" t="n"/>
      <c r="H3248" s="56" t="n"/>
      <c r="I3248" s="43" t="n"/>
      <c r="J3248" s="57">
        <f>IF(OR(A3248="",H3248=""),"",IF(COUNTIFS(exp_year,C3248,exp_month,D3248,exp_item,E3248,exp_status,"&lt;&gt;❌ Отменено")&gt;0,1,0))</f>
        <v/>
      </c>
    </row>
    <row r="3249">
      <c r="A3249" s="52" t="n"/>
      <c r="B3249" s="53">
        <f>IF(A3249="","",CHOOSE(WEEKDAY(A3249,2),"Пн","Вт","Ср","Чт","Пт","Сб","Вс"))</f>
        <v/>
      </c>
      <c r="C3249" s="53">
        <f>IF(A3249="","",YEAR(A3249))</f>
        <v/>
      </c>
      <c r="D3249" s="54">
        <f>IF(A3249="","",INDEX(lst_months,MONTH(A3249)))</f>
        <v/>
      </c>
      <c r="E3249" s="55" t="n"/>
      <c r="F3249" s="54">
        <f>IF(E3249="","",IFERROR(IF(INDEX(lst_exp_item_cat,MATCH(E3249,lst_exp_items,0))="","❔ Без категории",INDEX(lst_exp_item_cat,MATCH(E3249,lst_exp_items,0))),"❔ Без категории"))</f>
        <v/>
      </c>
      <c r="G3249" s="43" t="n"/>
      <c r="H3249" s="56" t="n"/>
      <c r="I3249" s="43" t="n"/>
      <c r="J3249" s="57">
        <f>IF(OR(A3249="",H3249=""),"",IF(COUNTIFS(exp_year,C3249,exp_month,D3249,exp_item,E3249,exp_status,"&lt;&gt;❌ Отменено")&gt;0,1,0))</f>
        <v/>
      </c>
    </row>
    <row r="3250">
      <c r="A3250" s="52" t="n"/>
      <c r="B3250" s="53">
        <f>IF(A3250="","",CHOOSE(WEEKDAY(A3250,2),"Пн","Вт","Ср","Чт","Пт","Сб","Вс"))</f>
        <v/>
      </c>
      <c r="C3250" s="53">
        <f>IF(A3250="","",YEAR(A3250))</f>
        <v/>
      </c>
      <c r="D3250" s="54">
        <f>IF(A3250="","",INDEX(lst_months,MONTH(A3250)))</f>
        <v/>
      </c>
      <c r="E3250" s="55" t="n"/>
      <c r="F3250" s="54">
        <f>IF(E3250="","",IFERROR(IF(INDEX(lst_exp_item_cat,MATCH(E3250,lst_exp_items,0))="","❔ Без категории",INDEX(lst_exp_item_cat,MATCH(E3250,lst_exp_items,0))),"❔ Без категории"))</f>
        <v/>
      </c>
      <c r="G3250" s="43" t="n"/>
      <c r="H3250" s="56" t="n"/>
      <c r="I3250" s="43" t="n"/>
      <c r="J3250" s="57">
        <f>IF(OR(A3250="",H3250=""),"",IF(COUNTIFS(exp_year,C3250,exp_month,D3250,exp_item,E3250,exp_status,"&lt;&gt;❌ Отменено")&gt;0,1,0))</f>
        <v/>
      </c>
    </row>
    <row r="3251">
      <c r="A3251" s="52" t="n"/>
      <c r="B3251" s="53">
        <f>IF(A3251="","",CHOOSE(WEEKDAY(A3251,2),"Пн","Вт","Ср","Чт","Пт","Сб","Вс"))</f>
        <v/>
      </c>
      <c r="C3251" s="53">
        <f>IF(A3251="","",YEAR(A3251))</f>
        <v/>
      </c>
      <c r="D3251" s="54">
        <f>IF(A3251="","",INDEX(lst_months,MONTH(A3251)))</f>
        <v/>
      </c>
      <c r="E3251" s="55" t="n"/>
      <c r="F3251" s="54">
        <f>IF(E3251="","",IFERROR(IF(INDEX(lst_exp_item_cat,MATCH(E3251,lst_exp_items,0))="","❔ Без категории",INDEX(lst_exp_item_cat,MATCH(E3251,lst_exp_items,0))),"❔ Без категории"))</f>
        <v/>
      </c>
      <c r="G3251" s="43" t="n"/>
      <c r="H3251" s="56" t="n"/>
      <c r="I3251" s="43" t="n"/>
      <c r="J3251" s="57">
        <f>IF(OR(A3251="",H3251=""),"",IF(COUNTIFS(exp_year,C3251,exp_month,D3251,exp_item,E3251,exp_status,"&lt;&gt;❌ Отменено")&gt;0,1,0))</f>
        <v/>
      </c>
    </row>
    <row r="3252">
      <c r="A3252" s="52" t="n"/>
      <c r="B3252" s="53">
        <f>IF(A3252="","",CHOOSE(WEEKDAY(A3252,2),"Пн","Вт","Ср","Чт","Пт","Сб","Вс"))</f>
        <v/>
      </c>
      <c r="C3252" s="53">
        <f>IF(A3252="","",YEAR(A3252))</f>
        <v/>
      </c>
      <c r="D3252" s="54">
        <f>IF(A3252="","",INDEX(lst_months,MONTH(A3252)))</f>
        <v/>
      </c>
      <c r="E3252" s="55" t="n"/>
      <c r="F3252" s="54">
        <f>IF(E3252="","",IFERROR(IF(INDEX(lst_exp_item_cat,MATCH(E3252,lst_exp_items,0))="","❔ Без категории",INDEX(lst_exp_item_cat,MATCH(E3252,lst_exp_items,0))),"❔ Без категории"))</f>
        <v/>
      </c>
      <c r="G3252" s="43" t="n"/>
      <c r="H3252" s="56" t="n"/>
      <c r="I3252" s="43" t="n"/>
      <c r="J3252" s="57">
        <f>IF(OR(A3252="",H3252=""),"",IF(COUNTIFS(exp_year,C3252,exp_month,D3252,exp_item,E3252,exp_status,"&lt;&gt;❌ Отменено")&gt;0,1,0))</f>
        <v/>
      </c>
    </row>
    <row r="3253">
      <c r="A3253" s="52" t="n"/>
      <c r="B3253" s="53">
        <f>IF(A3253="","",CHOOSE(WEEKDAY(A3253,2),"Пн","Вт","Ср","Чт","Пт","Сб","Вс"))</f>
        <v/>
      </c>
      <c r="C3253" s="53">
        <f>IF(A3253="","",YEAR(A3253))</f>
        <v/>
      </c>
      <c r="D3253" s="54">
        <f>IF(A3253="","",INDEX(lst_months,MONTH(A3253)))</f>
        <v/>
      </c>
      <c r="E3253" s="55" t="n"/>
      <c r="F3253" s="54">
        <f>IF(E3253="","",IFERROR(IF(INDEX(lst_exp_item_cat,MATCH(E3253,lst_exp_items,0))="","❔ Без категории",INDEX(lst_exp_item_cat,MATCH(E3253,lst_exp_items,0))),"❔ Без категории"))</f>
        <v/>
      </c>
      <c r="G3253" s="43" t="n"/>
      <c r="H3253" s="56" t="n"/>
      <c r="I3253" s="43" t="n"/>
      <c r="J3253" s="57">
        <f>IF(OR(A3253="",H3253=""),"",IF(COUNTIFS(exp_year,C3253,exp_month,D3253,exp_item,E3253,exp_status,"&lt;&gt;❌ Отменено")&gt;0,1,0))</f>
        <v/>
      </c>
    </row>
    <row r="3254">
      <c r="A3254" s="52" t="n"/>
      <c r="B3254" s="53">
        <f>IF(A3254="","",CHOOSE(WEEKDAY(A3254,2),"Пн","Вт","Ср","Чт","Пт","Сб","Вс"))</f>
        <v/>
      </c>
      <c r="C3254" s="53">
        <f>IF(A3254="","",YEAR(A3254))</f>
        <v/>
      </c>
      <c r="D3254" s="54">
        <f>IF(A3254="","",INDEX(lst_months,MONTH(A3254)))</f>
        <v/>
      </c>
      <c r="E3254" s="55" t="n"/>
      <c r="F3254" s="54">
        <f>IF(E3254="","",IFERROR(IF(INDEX(lst_exp_item_cat,MATCH(E3254,lst_exp_items,0))="","❔ Без категории",INDEX(lst_exp_item_cat,MATCH(E3254,lst_exp_items,0))),"❔ Без категории"))</f>
        <v/>
      </c>
      <c r="G3254" s="43" t="n"/>
      <c r="H3254" s="56" t="n"/>
      <c r="I3254" s="43" t="n"/>
      <c r="J3254" s="57">
        <f>IF(OR(A3254="",H3254=""),"",IF(COUNTIFS(exp_year,C3254,exp_month,D3254,exp_item,E3254,exp_status,"&lt;&gt;❌ Отменено")&gt;0,1,0))</f>
        <v/>
      </c>
    </row>
    <row r="3255">
      <c r="A3255" s="52" t="n"/>
      <c r="B3255" s="53">
        <f>IF(A3255="","",CHOOSE(WEEKDAY(A3255,2),"Пн","Вт","Ср","Чт","Пт","Сб","Вс"))</f>
        <v/>
      </c>
      <c r="C3255" s="53">
        <f>IF(A3255="","",YEAR(A3255))</f>
        <v/>
      </c>
      <c r="D3255" s="54">
        <f>IF(A3255="","",INDEX(lst_months,MONTH(A3255)))</f>
        <v/>
      </c>
      <c r="E3255" s="55" t="n"/>
      <c r="F3255" s="54">
        <f>IF(E3255="","",IFERROR(IF(INDEX(lst_exp_item_cat,MATCH(E3255,lst_exp_items,0))="","❔ Без категории",INDEX(lst_exp_item_cat,MATCH(E3255,lst_exp_items,0))),"❔ Без категории"))</f>
        <v/>
      </c>
      <c r="G3255" s="43" t="n"/>
      <c r="H3255" s="56" t="n"/>
      <c r="I3255" s="43" t="n"/>
      <c r="J3255" s="57">
        <f>IF(OR(A3255="",H3255=""),"",IF(COUNTIFS(exp_year,C3255,exp_month,D3255,exp_item,E3255,exp_status,"&lt;&gt;❌ Отменено")&gt;0,1,0))</f>
        <v/>
      </c>
    </row>
    <row r="3256">
      <c r="A3256" s="52" t="n"/>
      <c r="B3256" s="53">
        <f>IF(A3256="","",CHOOSE(WEEKDAY(A3256,2),"Пн","Вт","Ср","Чт","Пт","Сб","Вс"))</f>
        <v/>
      </c>
      <c r="C3256" s="53">
        <f>IF(A3256="","",YEAR(A3256))</f>
        <v/>
      </c>
      <c r="D3256" s="54">
        <f>IF(A3256="","",INDEX(lst_months,MONTH(A3256)))</f>
        <v/>
      </c>
      <c r="E3256" s="55" t="n"/>
      <c r="F3256" s="54">
        <f>IF(E3256="","",IFERROR(IF(INDEX(lst_exp_item_cat,MATCH(E3256,lst_exp_items,0))="","❔ Без категории",INDEX(lst_exp_item_cat,MATCH(E3256,lst_exp_items,0))),"❔ Без категории"))</f>
        <v/>
      </c>
      <c r="G3256" s="43" t="n"/>
      <c r="H3256" s="56" t="n"/>
      <c r="I3256" s="43" t="n"/>
      <c r="J3256" s="57">
        <f>IF(OR(A3256="",H3256=""),"",IF(COUNTIFS(exp_year,C3256,exp_month,D3256,exp_item,E3256,exp_status,"&lt;&gt;❌ Отменено")&gt;0,1,0))</f>
        <v/>
      </c>
    </row>
    <row r="3257">
      <c r="A3257" s="52" t="n"/>
      <c r="B3257" s="53">
        <f>IF(A3257="","",CHOOSE(WEEKDAY(A3257,2),"Пн","Вт","Ср","Чт","Пт","Сб","Вс"))</f>
        <v/>
      </c>
      <c r="C3257" s="53">
        <f>IF(A3257="","",YEAR(A3257))</f>
        <v/>
      </c>
      <c r="D3257" s="54">
        <f>IF(A3257="","",INDEX(lst_months,MONTH(A3257)))</f>
        <v/>
      </c>
      <c r="E3257" s="55" t="n"/>
      <c r="F3257" s="54">
        <f>IF(E3257="","",IFERROR(IF(INDEX(lst_exp_item_cat,MATCH(E3257,lst_exp_items,0))="","❔ Без категории",INDEX(lst_exp_item_cat,MATCH(E3257,lst_exp_items,0))),"❔ Без категории"))</f>
        <v/>
      </c>
      <c r="G3257" s="43" t="n"/>
      <c r="H3257" s="56" t="n"/>
      <c r="I3257" s="43" t="n"/>
      <c r="J3257" s="57">
        <f>IF(OR(A3257="",H3257=""),"",IF(COUNTIFS(exp_year,C3257,exp_month,D3257,exp_item,E3257,exp_status,"&lt;&gt;❌ Отменено")&gt;0,1,0))</f>
        <v/>
      </c>
    </row>
    <row r="3258">
      <c r="A3258" s="52" t="n"/>
      <c r="B3258" s="53">
        <f>IF(A3258="","",CHOOSE(WEEKDAY(A3258,2),"Пн","Вт","Ср","Чт","Пт","Сб","Вс"))</f>
        <v/>
      </c>
      <c r="C3258" s="53">
        <f>IF(A3258="","",YEAR(A3258))</f>
        <v/>
      </c>
      <c r="D3258" s="54">
        <f>IF(A3258="","",INDEX(lst_months,MONTH(A3258)))</f>
        <v/>
      </c>
      <c r="E3258" s="55" t="n"/>
      <c r="F3258" s="54">
        <f>IF(E3258="","",IFERROR(IF(INDEX(lst_exp_item_cat,MATCH(E3258,lst_exp_items,0))="","❔ Без категории",INDEX(lst_exp_item_cat,MATCH(E3258,lst_exp_items,0))),"❔ Без категории"))</f>
        <v/>
      </c>
      <c r="G3258" s="43" t="n"/>
      <c r="H3258" s="56" t="n"/>
      <c r="I3258" s="43" t="n"/>
      <c r="J3258" s="57">
        <f>IF(OR(A3258="",H3258=""),"",IF(COUNTIFS(exp_year,C3258,exp_month,D3258,exp_item,E3258,exp_status,"&lt;&gt;❌ Отменено")&gt;0,1,0))</f>
        <v/>
      </c>
    </row>
    <row r="3259">
      <c r="A3259" s="52" t="n"/>
      <c r="B3259" s="53">
        <f>IF(A3259="","",CHOOSE(WEEKDAY(A3259,2),"Пн","Вт","Ср","Чт","Пт","Сб","Вс"))</f>
        <v/>
      </c>
      <c r="C3259" s="53">
        <f>IF(A3259="","",YEAR(A3259))</f>
        <v/>
      </c>
      <c r="D3259" s="54">
        <f>IF(A3259="","",INDEX(lst_months,MONTH(A3259)))</f>
        <v/>
      </c>
      <c r="E3259" s="55" t="n"/>
      <c r="F3259" s="54">
        <f>IF(E3259="","",IFERROR(IF(INDEX(lst_exp_item_cat,MATCH(E3259,lst_exp_items,0))="","❔ Без категории",INDEX(lst_exp_item_cat,MATCH(E3259,lst_exp_items,0))),"❔ Без категории"))</f>
        <v/>
      </c>
      <c r="G3259" s="43" t="n"/>
      <c r="H3259" s="56" t="n"/>
      <c r="I3259" s="43" t="n"/>
      <c r="J3259" s="57">
        <f>IF(OR(A3259="",H3259=""),"",IF(COUNTIFS(exp_year,C3259,exp_month,D3259,exp_item,E3259,exp_status,"&lt;&gt;❌ Отменено")&gt;0,1,0))</f>
        <v/>
      </c>
    </row>
    <row r="3260">
      <c r="A3260" s="52" t="n"/>
      <c r="B3260" s="53">
        <f>IF(A3260="","",CHOOSE(WEEKDAY(A3260,2),"Пн","Вт","Ср","Чт","Пт","Сб","Вс"))</f>
        <v/>
      </c>
      <c r="C3260" s="53">
        <f>IF(A3260="","",YEAR(A3260))</f>
        <v/>
      </c>
      <c r="D3260" s="54">
        <f>IF(A3260="","",INDEX(lst_months,MONTH(A3260)))</f>
        <v/>
      </c>
      <c r="E3260" s="55" t="n"/>
      <c r="F3260" s="54">
        <f>IF(E3260="","",IFERROR(IF(INDEX(lst_exp_item_cat,MATCH(E3260,lst_exp_items,0))="","❔ Без категории",INDEX(lst_exp_item_cat,MATCH(E3260,lst_exp_items,0))),"❔ Без категории"))</f>
        <v/>
      </c>
      <c r="G3260" s="43" t="n"/>
      <c r="H3260" s="56" t="n"/>
      <c r="I3260" s="43" t="n"/>
      <c r="J3260" s="57">
        <f>IF(OR(A3260="",H3260=""),"",IF(COUNTIFS(exp_year,C3260,exp_month,D3260,exp_item,E3260,exp_status,"&lt;&gt;❌ Отменено")&gt;0,1,0))</f>
        <v/>
      </c>
    </row>
    <row r="3261">
      <c r="A3261" s="52" t="n"/>
      <c r="B3261" s="53">
        <f>IF(A3261="","",CHOOSE(WEEKDAY(A3261,2),"Пн","Вт","Ср","Чт","Пт","Сб","Вс"))</f>
        <v/>
      </c>
      <c r="C3261" s="53">
        <f>IF(A3261="","",YEAR(A3261))</f>
        <v/>
      </c>
      <c r="D3261" s="54">
        <f>IF(A3261="","",INDEX(lst_months,MONTH(A3261)))</f>
        <v/>
      </c>
      <c r="E3261" s="55" t="n"/>
      <c r="F3261" s="54">
        <f>IF(E3261="","",IFERROR(IF(INDEX(lst_exp_item_cat,MATCH(E3261,lst_exp_items,0))="","❔ Без категории",INDEX(lst_exp_item_cat,MATCH(E3261,lst_exp_items,0))),"❔ Без категории"))</f>
        <v/>
      </c>
      <c r="G3261" s="43" t="n"/>
      <c r="H3261" s="56" t="n"/>
      <c r="I3261" s="43" t="n"/>
      <c r="J3261" s="57">
        <f>IF(OR(A3261="",H3261=""),"",IF(COUNTIFS(exp_year,C3261,exp_month,D3261,exp_item,E3261,exp_status,"&lt;&gt;❌ Отменено")&gt;0,1,0))</f>
        <v/>
      </c>
    </row>
    <row r="3262">
      <c r="A3262" s="52" t="n"/>
      <c r="B3262" s="53">
        <f>IF(A3262="","",CHOOSE(WEEKDAY(A3262,2),"Пн","Вт","Ср","Чт","Пт","Сб","Вс"))</f>
        <v/>
      </c>
      <c r="C3262" s="53">
        <f>IF(A3262="","",YEAR(A3262))</f>
        <v/>
      </c>
      <c r="D3262" s="54">
        <f>IF(A3262="","",INDEX(lst_months,MONTH(A3262)))</f>
        <v/>
      </c>
      <c r="E3262" s="55" t="n"/>
      <c r="F3262" s="54">
        <f>IF(E3262="","",IFERROR(IF(INDEX(lst_exp_item_cat,MATCH(E3262,lst_exp_items,0))="","❔ Без категории",INDEX(lst_exp_item_cat,MATCH(E3262,lst_exp_items,0))),"❔ Без категории"))</f>
        <v/>
      </c>
      <c r="G3262" s="43" t="n"/>
      <c r="H3262" s="56" t="n"/>
      <c r="I3262" s="43" t="n"/>
      <c r="J3262" s="57">
        <f>IF(OR(A3262="",H3262=""),"",IF(COUNTIFS(exp_year,C3262,exp_month,D3262,exp_item,E3262,exp_status,"&lt;&gt;❌ Отменено")&gt;0,1,0))</f>
        <v/>
      </c>
    </row>
    <row r="3263">
      <c r="A3263" s="52" t="n"/>
      <c r="B3263" s="53">
        <f>IF(A3263="","",CHOOSE(WEEKDAY(A3263,2),"Пн","Вт","Ср","Чт","Пт","Сб","Вс"))</f>
        <v/>
      </c>
      <c r="C3263" s="53">
        <f>IF(A3263="","",YEAR(A3263))</f>
        <v/>
      </c>
      <c r="D3263" s="54">
        <f>IF(A3263="","",INDEX(lst_months,MONTH(A3263)))</f>
        <v/>
      </c>
      <c r="E3263" s="55" t="n"/>
      <c r="F3263" s="54">
        <f>IF(E3263="","",IFERROR(IF(INDEX(lst_exp_item_cat,MATCH(E3263,lst_exp_items,0))="","❔ Без категории",INDEX(lst_exp_item_cat,MATCH(E3263,lst_exp_items,0))),"❔ Без категории"))</f>
        <v/>
      </c>
      <c r="G3263" s="43" t="n"/>
      <c r="H3263" s="56" t="n"/>
      <c r="I3263" s="43" t="n"/>
      <c r="J3263" s="57">
        <f>IF(OR(A3263="",H3263=""),"",IF(COUNTIFS(exp_year,C3263,exp_month,D3263,exp_item,E3263,exp_status,"&lt;&gt;❌ Отменено")&gt;0,1,0))</f>
        <v/>
      </c>
    </row>
    <row r="3264">
      <c r="A3264" s="52" t="n"/>
      <c r="B3264" s="53">
        <f>IF(A3264="","",CHOOSE(WEEKDAY(A3264,2),"Пн","Вт","Ср","Чт","Пт","Сб","Вс"))</f>
        <v/>
      </c>
      <c r="C3264" s="53">
        <f>IF(A3264="","",YEAR(A3264))</f>
        <v/>
      </c>
      <c r="D3264" s="54">
        <f>IF(A3264="","",INDEX(lst_months,MONTH(A3264)))</f>
        <v/>
      </c>
      <c r="E3264" s="55" t="n"/>
      <c r="F3264" s="54">
        <f>IF(E3264="","",IFERROR(IF(INDEX(lst_exp_item_cat,MATCH(E3264,lst_exp_items,0))="","❔ Без категории",INDEX(lst_exp_item_cat,MATCH(E3264,lst_exp_items,0))),"❔ Без категории"))</f>
        <v/>
      </c>
      <c r="G3264" s="43" t="n"/>
      <c r="H3264" s="56" t="n"/>
      <c r="I3264" s="43" t="n"/>
      <c r="J3264" s="57">
        <f>IF(OR(A3264="",H3264=""),"",IF(COUNTIFS(exp_year,C3264,exp_month,D3264,exp_item,E3264,exp_status,"&lt;&gt;❌ Отменено")&gt;0,1,0))</f>
        <v/>
      </c>
    </row>
    <row r="3265">
      <c r="A3265" s="52" t="n"/>
      <c r="B3265" s="53">
        <f>IF(A3265="","",CHOOSE(WEEKDAY(A3265,2),"Пн","Вт","Ср","Чт","Пт","Сб","Вс"))</f>
        <v/>
      </c>
      <c r="C3265" s="53">
        <f>IF(A3265="","",YEAR(A3265))</f>
        <v/>
      </c>
      <c r="D3265" s="54">
        <f>IF(A3265="","",INDEX(lst_months,MONTH(A3265)))</f>
        <v/>
      </c>
      <c r="E3265" s="55" t="n"/>
      <c r="F3265" s="54">
        <f>IF(E3265="","",IFERROR(IF(INDEX(lst_exp_item_cat,MATCH(E3265,lst_exp_items,0))="","❔ Без категории",INDEX(lst_exp_item_cat,MATCH(E3265,lst_exp_items,0))),"❔ Без категории"))</f>
        <v/>
      </c>
      <c r="G3265" s="43" t="n"/>
      <c r="H3265" s="56" t="n"/>
      <c r="I3265" s="43" t="n"/>
      <c r="J3265" s="57">
        <f>IF(OR(A3265="",H3265=""),"",IF(COUNTIFS(exp_year,C3265,exp_month,D3265,exp_item,E3265,exp_status,"&lt;&gt;❌ Отменено")&gt;0,1,0))</f>
        <v/>
      </c>
    </row>
    <row r="3266">
      <c r="A3266" s="52" t="n"/>
      <c r="B3266" s="53">
        <f>IF(A3266="","",CHOOSE(WEEKDAY(A3266,2),"Пн","Вт","Ср","Чт","Пт","Сб","Вс"))</f>
        <v/>
      </c>
      <c r="C3266" s="53">
        <f>IF(A3266="","",YEAR(A3266))</f>
        <v/>
      </c>
      <c r="D3266" s="54">
        <f>IF(A3266="","",INDEX(lst_months,MONTH(A3266)))</f>
        <v/>
      </c>
      <c r="E3266" s="55" t="n"/>
      <c r="F3266" s="54">
        <f>IF(E3266="","",IFERROR(IF(INDEX(lst_exp_item_cat,MATCH(E3266,lst_exp_items,0))="","❔ Без категории",INDEX(lst_exp_item_cat,MATCH(E3266,lst_exp_items,0))),"❔ Без категории"))</f>
        <v/>
      </c>
      <c r="G3266" s="43" t="n"/>
      <c r="H3266" s="56" t="n"/>
      <c r="I3266" s="43" t="n"/>
      <c r="J3266" s="57">
        <f>IF(OR(A3266="",H3266=""),"",IF(COUNTIFS(exp_year,C3266,exp_month,D3266,exp_item,E3266,exp_status,"&lt;&gt;❌ Отменено")&gt;0,1,0))</f>
        <v/>
      </c>
    </row>
    <row r="3267">
      <c r="A3267" s="52" t="n"/>
      <c r="B3267" s="53">
        <f>IF(A3267="","",CHOOSE(WEEKDAY(A3267,2),"Пн","Вт","Ср","Чт","Пт","Сб","Вс"))</f>
        <v/>
      </c>
      <c r="C3267" s="53">
        <f>IF(A3267="","",YEAR(A3267))</f>
        <v/>
      </c>
      <c r="D3267" s="54">
        <f>IF(A3267="","",INDEX(lst_months,MONTH(A3267)))</f>
        <v/>
      </c>
      <c r="E3267" s="55" t="n"/>
      <c r="F3267" s="54">
        <f>IF(E3267="","",IFERROR(IF(INDEX(lst_exp_item_cat,MATCH(E3267,lst_exp_items,0))="","❔ Без категории",INDEX(lst_exp_item_cat,MATCH(E3267,lst_exp_items,0))),"❔ Без категории"))</f>
        <v/>
      </c>
      <c r="G3267" s="43" t="n"/>
      <c r="H3267" s="56" t="n"/>
      <c r="I3267" s="43" t="n"/>
      <c r="J3267" s="57">
        <f>IF(OR(A3267="",H3267=""),"",IF(COUNTIFS(exp_year,C3267,exp_month,D3267,exp_item,E3267,exp_status,"&lt;&gt;❌ Отменено")&gt;0,1,0))</f>
        <v/>
      </c>
    </row>
    <row r="3268">
      <c r="A3268" s="52" t="n"/>
      <c r="B3268" s="53">
        <f>IF(A3268="","",CHOOSE(WEEKDAY(A3268,2),"Пн","Вт","Ср","Чт","Пт","Сб","Вс"))</f>
        <v/>
      </c>
      <c r="C3268" s="53">
        <f>IF(A3268="","",YEAR(A3268))</f>
        <v/>
      </c>
      <c r="D3268" s="54">
        <f>IF(A3268="","",INDEX(lst_months,MONTH(A3268)))</f>
        <v/>
      </c>
      <c r="E3268" s="55" t="n"/>
      <c r="F3268" s="54">
        <f>IF(E3268="","",IFERROR(IF(INDEX(lst_exp_item_cat,MATCH(E3268,lst_exp_items,0))="","❔ Без категории",INDEX(lst_exp_item_cat,MATCH(E3268,lst_exp_items,0))),"❔ Без категории"))</f>
        <v/>
      </c>
      <c r="G3268" s="43" t="n"/>
      <c r="H3268" s="56" t="n"/>
      <c r="I3268" s="43" t="n"/>
      <c r="J3268" s="57">
        <f>IF(OR(A3268="",H3268=""),"",IF(COUNTIFS(exp_year,C3268,exp_month,D3268,exp_item,E3268,exp_status,"&lt;&gt;❌ Отменено")&gt;0,1,0))</f>
        <v/>
      </c>
    </row>
    <row r="3269">
      <c r="A3269" s="52" t="n"/>
      <c r="B3269" s="53">
        <f>IF(A3269="","",CHOOSE(WEEKDAY(A3269,2),"Пн","Вт","Ср","Чт","Пт","Сб","Вс"))</f>
        <v/>
      </c>
      <c r="C3269" s="53">
        <f>IF(A3269="","",YEAR(A3269))</f>
        <v/>
      </c>
      <c r="D3269" s="54">
        <f>IF(A3269="","",INDEX(lst_months,MONTH(A3269)))</f>
        <v/>
      </c>
      <c r="E3269" s="55" t="n"/>
      <c r="F3269" s="54">
        <f>IF(E3269="","",IFERROR(IF(INDEX(lst_exp_item_cat,MATCH(E3269,lst_exp_items,0))="","❔ Без категории",INDEX(lst_exp_item_cat,MATCH(E3269,lst_exp_items,0))),"❔ Без категории"))</f>
        <v/>
      </c>
      <c r="G3269" s="43" t="n"/>
      <c r="H3269" s="56" t="n"/>
      <c r="I3269" s="43" t="n"/>
      <c r="J3269" s="57">
        <f>IF(OR(A3269="",H3269=""),"",IF(COUNTIFS(exp_year,C3269,exp_month,D3269,exp_item,E3269,exp_status,"&lt;&gt;❌ Отменено")&gt;0,1,0))</f>
        <v/>
      </c>
    </row>
    <row r="3270">
      <c r="A3270" s="52" t="n"/>
      <c r="B3270" s="53">
        <f>IF(A3270="","",CHOOSE(WEEKDAY(A3270,2),"Пн","Вт","Ср","Чт","Пт","Сб","Вс"))</f>
        <v/>
      </c>
      <c r="C3270" s="53">
        <f>IF(A3270="","",YEAR(A3270))</f>
        <v/>
      </c>
      <c r="D3270" s="54">
        <f>IF(A3270="","",INDEX(lst_months,MONTH(A3270)))</f>
        <v/>
      </c>
      <c r="E3270" s="55" t="n"/>
      <c r="F3270" s="54">
        <f>IF(E3270="","",IFERROR(IF(INDEX(lst_exp_item_cat,MATCH(E3270,lst_exp_items,0))="","❔ Без категории",INDEX(lst_exp_item_cat,MATCH(E3270,lst_exp_items,0))),"❔ Без категории"))</f>
        <v/>
      </c>
      <c r="G3270" s="43" t="n"/>
      <c r="H3270" s="56" t="n"/>
      <c r="I3270" s="43" t="n"/>
      <c r="J3270" s="57">
        <f>IF(OR(A3270="",H3270=""),"",IF(COUNTIFS(exp_year,C3270,exp_month,D3270,exp_item,E3270,exp_status,"&lt;&gt;❌ Отменено")&gt;0,1,0))</f>
        <v/>
      </c>
    </row>
    <row r="3271">
      <c r="A3271" s="52" t="n"/>
      <c r="B3271" s="53">
        <f>IF(A3271="","",CHOOSE(WEEKDAY(A3271,2),"Пн","Вт","Ср","Чт","Пт","Сб","Вс"))</f>
        <v/>
      </c>
      <c r="C3271" s="53">
        <f>IF(A3271="","",YEAR(A3271))</f>
        <v/>
      </c>
      <c r="D3271" s="54">
        <f>IF(A3271="","",INDEX(lst_months,MONTH(A3271)))</f>
        <v/>
      </c>
      <c r="E3271" s="55" t="n"/>
      <c r="F3271" s="54">
        <f>IF(E3271="","",IFERROR(IF(INDEX(lst_exp_item_cat,MATCH(E3271,lst_exp_items,0))="","❔ Без категории",INDEX(lst_exp_item_cat,MATCH(E3271,lst_exp_items,0))),"❔ Без категории"))</f>
        <v/>
      </c>
      <c r="G3271" s="43" t="n"/>
      <c r="H3271" s="56" t="n"/>
      <c r="I3271" s="43" t="n"/>
      <c r="J3271" s="57">
        <f>IF(OR(A3271="",H3271=""),"",IF(COUNTIFS(exp_year,C3271,exp_month,D3271,exp_item,E3271,exp_status,"&lt;&gt;❌ Отменено")&gt;0,1,0))</f>
        <v/>
      </c>
    </row>
    <row r="3272">
      <c r="A3272" s="52" t="n"/>
      <c r="B3272" s="53">
        <f>IF(A3272="","",CHOOSE(WEEKDAY(A3272,2),"Пн","Вт","Ср","Чт","Пт","Сб","Вс"))</f>
        <v/>
      </c>
      <c r="C3272" s="53">
        <f>IF(A3272="","",YEAR(A3272))</f>
        <v/>
      </c>
      <c r="D3272" s="54">
        <f>IF(A3272="","",INDEX(lst_months,MONTH(A3272)))</f>
        <v/>
      </c>
      <c r="E3272" s="55" t="n"/>
      <c r="F3272" s="54">
        <f>IF(E3272="","",IFERROR(IF(INDEX(lst_exp_item_cat,MATCH(E3272,lst_exp_items,0))="","❔ Без категории",INDEX(lst_exp_item_cat,MATCH(E3272,lst_exp_items,0))),"❔ Без категории"))</f>
        <v/>
      </c>
      <c r="G3272" s="43" t="n"/>
      <c r="H3272" s="56" t="n"/>
      <c r="I3272" s="43" t="n"/>
      <c r="J3272" s="57">
        <f>IF(OR(A3272="",H3272=""),"",IF(COUNTIFS(exp_year,C3272,exp_month,D3272,exp_item,E3272,exp_status,"&lt;&gt;❌ Отменено")&gt;0,1,0))</f>
        <v/>
      </c>
    </row>
    <row r="3273">
      <c r="A3273" s="52" t="n"/>
      <c r="B3273" s="53">
        <f>IF(A3273="","",CHOOSE(WEEKDAY(A3273,2),"Пн","Вт","Ср","Чт","Пт","Сб","Вс"))</f>
        <v/>
      </c>
      <c r="C3273" s="53">
        <f>IF(A3273="","",YEAR(A3273))</f>
        <v/>
      </c>
      <c r="D3273" s="54">
        <f>IF(A3273="","",INDEX(lst_months,MONTH(A3273)))</f>
        <v/>
      </c>
      <c r="E3273" s="55" t="n"/>
      <c r="F3273" s="54">
        <f>IF(E3273="","",IFERROR(IF(INDEX(lst_exp_item_cat,MATCH(E3273,lst_exp_items,0))="","❔ Без категории",INDEX(lst_exp_item_cat,MATCH(E3273,lst_exp_items,0))),"❔ Без категории"))</f>
        <v/>
      </c>
      <c r="G3273" s="43" t="n"/>
      <c r="H3273" s="56" t="n"/>
      <c r="I3273" s="43" t="n"/>
      <c r="J3273" s="57">
        <f>IF(OR(A3273="",H3273=""),"",IF(COUNTIFS(exp_year,C3273,exp_month,D3273,exp_item,E3273,exp_status,"&lt;&gt;❌ Отменено")&gt;0,1,0))</f>
        <v/>
      </c>
    </row>
    <row r="3274">
      <c r="A3274" s="52" t="n"/>
      <c r="B3274" s="53">
        <f>IF(A3274="","",CHOOSE(WEEKDAY(A3274,2),"Пн","Вт","Ср","Чт","Пт","Сб","Вс"))</f>
        <v/>
      </c>
      <c r="C3274" s="53">
        <f>IF(A3274="","",YEAR(A3274))</f>
        <v/>
      </c>
      <c r="D3274" s="54">
        <f>IF(A3274="","",INDEX(lst_months,MONTH(A3274)))</f>
        <v/>
      </c>
      <c r="E3274" s="55" t="n"/>
      <c r="F3274" s="54">
        <f>IF(E3274="","",IFERROR(IF(INDEX(lst_exp_item_cat,MATCH(E3274,lst_exp_items,0))="","❔ Без категории",INDEX(lst_exp_item_cat,MATCH(E3274,lst_exp_items,0))),"❔ Без категории"))</f>
        <v/>
      </c>
      <c r="G3274" s="43" t="n"/>
      <c r="H3274" s="56" t="n"/>
      <c r="I3274" s="43" t="n"/>
      <c r="J3274" s="57">
        <f>IF(OR(A3274="",H3274=""),"",IF(COUNTIFS(exp_year,C3274,exp_month,D3274,exp_item,E3274,exp_status,"&lt;&gt;❌ Отменено")&gt;0,1,0))</f>
        <v/>
      </c>
    </row>
    <row r="3275">
      <c r="A3275" s="52" t="n"/>
      <c r="B3275" s="53">
        <f>IF(A3275="","",CHOOSE(WEEKDAY(A3275,2),"Пн","Вт","Ср","Чт","Пт","Сб","Вс"))</f>
        <v/>
      </c>
      <c r="C3275" s="53">
        <f>IF(A3275="","",YEAR(A3275))</f>
        <v/>
      </c>
      <c r="D3275" s="54">
        <f>IF(A3275="","",INDEX(lst_months,MONTH(A3275)))</f>
        <v/>
      </c>
      <c r="E3275" s="55" t="n"/>
      <c r="F3275" s="54">
        <f>IF(E3275="","",IFERROR(IF(INDEX(lst_exp_item_cat,MATCH(E3275,lst_exp_items,0))="","❔ Без категории",INDEX(lst_exp_item_cat,MATCH(E3275,lst_exp_items,0))),"❔ Без категории"))</f>
        <v/>
      </c>
      <c r="G3275" s="43" t="n"/>
      <c r="H3275" s="56" t="n"/>
      <c r="I3275" s="43" t="n"/>
      <c r="J3275" s="57">
        <f>IF(OR(A3275="",H3275=""),"",IF(COUNTIFS(exp_year,C3275,exp_month,D3275,exp_item,E3275,exp_status,"&lt;&gt;❌ Отменено")&gt;0,1,0))</f>
        <v/>
      </c>
    </row>
    <row r="3276">
      <c r="A3276" s="52" t="n"/>
      <c r="B3276" s="53">
        <f>IF(A3276="","",CHOOSE(WEEKDAY(A3276,2),"Пн","Вт","Ср","Чт","Пт","Сб","Вс"))</f>
        <v/>
      </c>
      <c r="C3276" s="53">
        <f>IF(A3276="","",YEAR(A3276))</f>
        <v/>
      </c>
      <c r="D3276" s="54">
        <f>IF(A3276="","",INDEX(lst_months,MONTH(A3276)))</f>
        <v/>
      </c>
      <c r="E3276" s="55" t="n"/>
      <c r="F3276" s="54">
        <f>IF(E3276="","",IFERROR(IF(INDEX(lst_exp_item_cat,MATCH(E3276,lst_exp_items,0))="","❔ Без категории",INDEX(lst_exp_item_cat,MATCH(E3276,lst_exp_items,0))),"❔ Без категории"))</f>
        <v/>
      </c>
      <c r="G3276" s="43" t="n"/>
      <c r="H3276" s="56" t="n"/>
      <c r="I3276" s="43" t="n"/>
      <c r="J3276" s="57">
        <f>IF(OR(A3276="",H3276=""),"",IF(COUNTIFS(exp_year,C3276,exp_month,D3276,exp_item,E3276,exp_status,"&lt;&gt;❌ Отменено")&gt;0,1,0))</f>
        <v/>
      </c>
    </row>
    <row r="3277">
      <c r="A3277" s="52" t="n"/>
      <c r="B3277" s="53">
        <f>IF(A3277="","",CHOOSE(WEEKDAY(A3277,2),"Пн","Вт","Ср","Чт","Пт","Сб","Вс"))</f>
        <v/>
      </c>
      <c r="C3277" s="53">
        <f>IF(A3277="","",YEAR(A3277))</f>
        <v/>
      </c>
      <c r="D3277" s="54">
        <f>IF(A3277="","",INDEX(lst_months,MONTH(A3277)))</f>
        <v/>
      </c>
      <c r="E3277" s="55" t="n"/>
      <c r="F3277" s="54">
        <f>IF(E3277="","",IFERROR(IF(INDEX(lst_exp_item_cat,MATCH(E3277,lst_exp_items,0))="","❔ Без категории",INDEX(lst_exp_item_cat,MATCH(E3277,lst_exp_items,0))),"❔ Без категории"))</f>
        <v/>
      </c>
      <c r="G3277" s="43" t="n"/>
      <c r="H3277" s="56" t="n"/>
      <c r="I3277" s="43" t="n"/>
      <c r="J3277" s="57">
        <f>IF(OR(A3277="",H3277=""),"",IF(COUNTIFS(exp_year,C3277,exp_month,D3277,exp_item,E3277,exp_status,"&lt;&gt;❌ Отменено")&gt;0,1,0))</f>
        <v/>
      </c>
    </row>
    <row r="3278">
      <c r="A3278" s="52" t="n"/>
      <c r="B3278" s="53">
        <f>IF(A3278="","",CHOOSE(WEEKDAY(A3278,2),"Пн","Вт","Ср","Чт","Пт","Сб","Вс"))</f>
        <v/>
      </c>
      <c r="C3278" s="53">
        <f>IF(A3278="","",YEAR(A3278))</f>
        <v/>
      </c>
      <c r="D3278" s="54">
        <f>IF(A3278="","",INDEX(lst_months,MONTH(A3278)))</f>
        <v/>
      </c>
      <c r="E3278" s="55" t="n"/>
      <c r="F3278" s="54">
        <f>IF(E3278="","",IFERROR(IF(INDEX(lst_exp_item_cat,MATCH(E3278,lst_exp_items,0))="","❔ Без категории",INDEX(lst_exp_item_cat,MATCH(E3278,lst_exp_items,0))),"❔ Без категории"))</f>
        <v/>
      </c>
      <c r="G3278" s="43" t="n"/>
      <c r="H3278" s="56" t="n"/>
      <c r="I3278" s="43" t="n"/>
      <c r="J3278" s="57">
        <f>IF(OR(A3278="",H3278=""),"",IF(COUNTIFS(exp_year,C3278,exp_month,D3278,exp_item,E3278,exp_status,"&lt;&gt;❌ Отменено")&gt;0,1,0))</f>
        <v/>
      </c>
    </row>
    <row r="3279">
      <c r="A3279" s="52" t="n"/>
      <c r="B3279" s="53">
        <f>IF(A3279="","",CHOOSE(WEEKDAY(A3279,2),"Пн","Вт","Ср","Чт","Пт","Сб","Вс"))</f>
        <v/>
      </c>
      <c r="C3279" s="53">
        <f>IF(A3279="","",YEAR(A3279))</f>
        <v/>
      </c>
      <c r="D3279" s="54">
        <f>IF(A3279="","",INDEX(lst_months,MONTH(A3279)))</f>
        <v/>
      </c>
      <c r="E3279" s="55" t="n"/>
      <c r="F3279" s="54">
        <f>IF(E3279="","",IFERROR(IF(INDEX(lst_exp_item_cat,MATCH(E3279,lst_exp_items,0))="","❔ Без категории",INDEX(lst_exp_item_cat,MATCH(E3279,lst_exp_items,0))),"❔ Без категории"))</f>
        <v/>
      </c>
      <c r="G3279" s="43" t="n"/>
      <c r="H3279" s="56" t="n"/>
      <c r="I3279" s="43" t="n"/>
      <c r="J3279" s="57">
        <f>IF(OR(A3279="",H3279=""),"",IF(COUNTIFS(exp_year,C3279,exp_month,D3279,exp_item,E3279,exp_status,"&lt;&gt;❌ Отменено")&gt;0,1,0))</f>
        <v/>
      </c>
    </row>
    <row r="3280">
      <c r="A3280" s="52" t="n"/>
      <c r="B3280" s="53">
        <f>IF(A3280="","",CHOOSE(WEEKDAY(A3280,2),"Пн","Вт","Ср","Чт","Пт","Сб","Вс"))</f>
        <v/>
      </c>
      <c r="C3280" s="53">
        <f>IF(A3280="","",YEAR(A3280))</f>
        <v/>
      </c>
      <c r="D3280" s="54">
        <f>IF(A3280="","",INDEX(lst_months,MONTH(A3280)))</f>
        <v/>
      </c>
      <c r="E3280" s="55" t="n"/>
      <c r="F3280" s="54">
        <f>IF(E3280="","",IFERROR(IF(INDEX(lst_exp_item_cat,MATCH(E3280,lst_exp_items,0))="","❔ Без категории",INDEX(lst_exp_item_cat,MATCH(E3280,lst_exp_items,0))),"❔ Без категории"))</f>
        <v/>
      </c>
      <c r="G3280" s="43" t="n"/>
      <c r="H3280" s="56" t="n"/>
      <c r="I3280" s="43" t="n"/>
      <c r="J3280" s="57">
        <f>IF(OR(A3280="",H3280=""),"",IF(COUNTIFS(exp_year,C3280,exp_month,D3280,exp_item,E3280,exp_status,"&lt;&gt;❌ Отменено")&gt;0,1,0))</f>
        <v/>
      </c>
    </row>
    <row r="3281">
      <c r="A3281" s="52" t="n"/>
      <c r="B3281" s="53">
        <f>IF(A3281="","",CHOOSE(WEEKDAY(A3281,2),"Пн","Вт","Ср","Чт","Пт","Сб","Вс"))</f>
        <v/>
      </c>
      <c r="C3281" s="53">
        <f>IF(A3281="","",YEAR(A3281))</f>
        <v/>
      </c>
      <c r="D3281" s="54">
        <f>IF(A3281="","",INDEX(lst_months,MONTH(A3281)))</f>
        <v/>
      </c>
      <c r="E3281" s="55" t="n"/>
      <c r="F3281" s="54">
        <f>IF(E3281="","",IFERROR(IF(INDEX(lst_exp_item_cat,MATCH(E3281,lst_exp_items,0))="","❔ Без категории",INDEX(lst_exp_item_cat,MATCH(E3281,lst_exp_items,0))),"❔ Без категории"))</f>
        <v/>
      </c>
      <c r="G3281" s="43" t="n"/>
      <c r="H3281" s="56" t="n"/>
      <c r="I3281" s="43" t="n"/>
      <c r="J3281" s="57">
        <f>IF(OR(A3281="",H3281=""),"",IF(COUNTIFS(exp_year,C3281,exp_month,D3281,exp_item,E3281,exp_status,"&lt;&gt;❌ Отменено")&gt;0,1,0))</f>
        <v/>
      </c>
    </row>
    <row r="3282">
      <c r="A3282" s="52" t="n"/>
      <c r="B3282" s="53">
        <f>IF(A3282="","",CHOOSE(WEEKDAY(A3282,2),"Пн","Вт","Ср","Чт","Пт","Сб","Вс"))</f>
        <v/>
      </c>
      <c r="C3282" s="53">
        <f>IF(A3282="","",YEAR(A3282))</f>
        <v/>
      </c>
      <c r="D3282" s="54">
        <f>IF(A3282="","",INDEX(lst_months,MONTH(A3282)))</f>
        <v/>
      </c>
      <c r="E3282" s="55" t="n"/>
      <c r="F3282" s="54">
        <f>IF(E3282="","",IFERROR(IF(INDEX(lst_exp_item_cat,MATCH(E3282,lst_exp_items,0))="","❔ Без категории",INDEX(lst_exp_item_cat,MATCH(E3282,lst_exp_items,0))),"❔ Без категории"))</f>
        <v/>
      </c>
      <c r="G3282" s="43" t="n"/>
      <c r="H3282" s="56" t="n"/>
      <c r="I3282" s="43" t="n"/>
      <c r="J3282" s="57">
        <f>IF(OR(A3282="",H3282=""),"",IF(COUNTIFS(exp_year,C3282,exp_month,D3282,exp_item,E3282,exp_status,"&lt;&gt;❌ Отменено")&gt;0,1,0))</f>
        <v/>
      </c>
    </row>
    <row r="3283">
      <c r="A3283" s="52" t="n"/>
      <c r="B3283" s="53">
        <f>IF(A3283="","",CHOOSE(WEEKDAY(A3283,2),"Пн","Вт","Ср","Чт","Пт","Сб","Вс"))</f>
        <v/>
      </c>
      <c r="C3283" s="53">
        <f>IF(A3283="","",YEAR(A3283))</f>
        <v/>
      </c>
      <c r="D3283" s="54">
        <f>IF(A3283="","",INDEX(lst_months,MONTH(A3283)))</f>
        <v/>
      </c>
      <c r="E3283" s="55" t="n"/>
      <c r="F3283" s="54">
        <f>IF(E3283="","",IFERROR(IF(INDEX(lst_exp_item_cat,MATCH(E3283,lst_exp_items,0))="","❔ Без категории",INDEX(lst_exp_item_cat,MATCH(E3283,lst_exp_items,0))),"❔ Без категории"))</f>
        <v/>
      </c>
      <c r="G3283" s="43" t="n"/>
      <c r="H3283" s="56" t="n"/>
      <c r="I3283" s="43" t="n"/>
      <c r="J3283" s="57">
        <f>IF(OR(A3283="",H3283=""),"",IF(COUNTIFS(exp_year,C3283,exp_month,D3283,exp_item,E3283,exp_status,"&lt;&gt;❌ Отменено")&gt;0,1,0))</f>
        <v/>
      </c>
    </row>
    <row r="3284">
      <c r="A3284" s="52" t="n"/>
      <c r="B3284" s="53">
        <f>IF(A3284="","",CHOOSE(WEEKDAY(A3284,2),"Пн","Вт","Ср","Чт","Пт","Сб","Вс"))</f>
        <v/>
      </c>
      <c r="C3284" s="53">
        <f>IF(A3284="","",YEAR(A3284))</f>
        <v/>
      </c>
      <c r="D3284" s="54">
        <f>IF(A3284="","",INDEX(lst_months,MONTH(A3284)))</f>
        <v/>
      </c>
      <c r="E3284" s="55" t="n"/>
      <c r="F3284" s="54">
        <f>IF(E3284="","",IFERROR(IF(INDEX(lst_exp_item_cat,MATCH(E3284,lst_exp_items,0))="","❔ Без категории",INDEX(lst_exp_item_cat,MATCH(E3284,lst_exp_items,0))),"❔ Без категории"))</f>
        <v/>
      </c>
      <c r="G3284" s="43" t="n"/>
      <c r="H3284" s="56" t="n"/>
      <c r="I3284" s="43" t="n"/>
      <c r="J3284" s="57">
        <f>IF(OR(A3284="",H3284=""),"",IF(COUNTIFS(exp_year,C3284,exp_month,D3284,exp_item,E3284,exp_status,"&lt;&gt;❌ Отменено")&gt;0,1,0))</f>
        <v/>
      </c>
    </row>
    <row r="3285">
      <c r="A3285" s="52" t="n"/>
      <c r="B3285" s="53">
        <f>IF(A3285="","",CHOOSE(WEEKDAY(A3285,2),"Пн","Вт","Ср","Чт","Пт","Сб","Вс"))</f>
        <v/>
      </c>
      <c r="C3285" s="53">
        <f>IF(A3285="","",YEAR(A3285))</f>
        <v/>
      </c>
      <c r="D3285" s="54">
        <f>IF(A3285="","",INDEX(lst_months,MONTH(A3285)))</f>
        <v/>
      </c>
      <c r="E3285" s="55" t="n"/>
      <c r="F3285" s="54">
        <f>IF(E3285="","",IFERROR(IF(INDEX(lst_exp_item_cat,MATCH(E3285,lst_exp_items,0))="","❔ Без категории",INDEX(lst_exp_item_cat,MATCH(E3285,lst_exp_items,0))),"❔ Без категории"))</f>
        <v/>
      </c>
      <c r="G3285" s="43" t="n"/>
      <c r="H3285" s="56" t="n"/>
      <c r="I3285" s="43" t="n"/>
      <c r="J3285" s="57">
        <f>IF(OR(A3285="",H3285=""),"",IF(COUNTIFS(exp_year,C3285,exp_month,D3285,exp_item,E3285,exp_status,"&lt;&gt;❌ Отменено")&gt;0,1,0))</f>
        <v/>
      </c>
    </row>
    <row r="3286">
      <c r="A3286" s="52" t="n"/>
      <c r="B3286" s="53">
        <f>IF(A3286="","",CHOOSE(WEEKDAY(A3286,2),"Пн","Вт","Ср","Чт","Пт","Сб","Вс"))</f>
        <v/>
      </c>
      <c r="C3286" s="53">
        <f>IF(A3286="","",YEAR(A3286))</f>
        <v/>
      </c>
      <c r="D3286" s="54">
        <f>IF(A3286="","",INDEX(lst_months,MONTH(A3286)))</f>
        <v/>
      </c>
      <c r="E3286" s="55" t="n"/>
      <c r="F3286" s="54">
        <f>IF(E3286="","",IFERROR(IF(INDEX(lst_exp_item_cat,MATCH(E3286,lst_exp_items,0))="","❔ Без категории",INDEX(lst_exp_item_cat,MATCH(E3286,lst_exp_items,0))),"❔ Без категории"))</f>
        <v/>
      </c>
      <c r="G3286" s="43" t="n"/>
      <c r="H3286" s="56" t="n"/>
      <c r="I3286" s="43" t="n"/>
      <c r="J3286" s="57">
        <f>IF(OR(A3286="",H3286=""),"",IF(COUNTIFS(exp_year,C3286,exp_month,D3286,exp_item,E3286,exp_status,"&lt;&gt;❌ Отменено")&gt;0,1,0))</f>
        <v/>
      </c>
    </row>
    <row r="3287">
      <c r="A3287" s="52" t="n"/>
      <c r="B3287" s="53">
        <f>IF(A3287="","",CHOOSE(WEEKDAY(A3287,2),"Пн","Вт","Ср","Чт","Пт","Сб","Вс"))</f>
        <v/>
      </c>
      <c r="C3287" s="53">
        <f>IF(A3287="","",YEAR(A3287))</f>
        <v/>
      </c>
      <c r="D3287" s="54">
        <f>IF(A3287="","",INDEX(lst_months,MONTH(A3287)))</f>
        <v/>
      </c>
      <c r="E3287" s="55" t="n"/>
      <c r="F3287" s="54">
        <f>IF(E3287="","",IFERROR(IF(INDEX(lst_exp_item_cat,MATCH(E3287,lst_exp_items,0))="","❔ Без категории",INDEX(lst_exp_item_cat,MATCH(E3287,lst_exp_items,0))),"❔ Без категории"))</f>
        <v/>
      </c>
      <c r="G3287" s="43" t="n"/>
      <c r="H3287" s="56" t="n"/>
      <c r="I3287" s="43" t="n"/>
      <c r="J3287" s="57">
        <f>IF(OR(A3287="",H3287=""),"",IF(COUNTIFS(exp_year,C3287,exp_month,D3287,exp_item,E3287,exp_status,"&lt;&gt;❌ Отменено")&gt;0,1,0))</f>
        <v/>
      </c>
    </row>
    <row r="3288">
      <c r="A3288" s="52" t="n"/>
      <c r="B3288" s="53">
        <f>IF(A3288="","",CHOOSE(WEEKDAY(A3288,2),"Пн","Вт","Ср","Чт","Пт","Сб","Вс"))</f>
        <v/>
      </c>
      <c r="C3288" s="53">
        <f>IF(A3288="","",YEAR(A3288))</f>
        <v/>
      </c>
      <c r="D3288" s="54">
        <f>IF(A3288="","",INDEX(lst_months,MONTH(A3288)))</f>
        <v/>
      </c>
      <c r="E3288" s="55" t="n"/>
      <c r="F3288" s="54">
        <f>IF(E3288="","",IFERROR(IF(INDEX(lst_exp_item_cat,MATCH(E3288,lst_exp_items,0))="","❔ Без категории",INDEX(lst_exp_item_cat,MATCH(E3288,lst_exp_items,0))),"❔ Без категории"))</f>
        <v/>
      </c>
      <c r="G3288" s="43" t="n"/>
      <c r="H3288" s="56" t="n"/>
      <c r="I3288" s="43" t="n"/>
      <c r="J3288" s="57">
        <f>IF(OR(A3288="",H3288=""),"",IF(COUNTIFS(exp_year,C3288,exp_month,D3288,exp_item,E3288,exp_status,"&lt;&gt;❌ Отменено")&gt;0,1,0))</f>
        <v/>
      </c>
    </row>
    <row r="3289">
      <c r="A3289" s="52" t="n"/>
      <c r="B3289" s="53">
        <f>IF(A3289="","",CHOOSE(WEEKDAY(A3289,2),"Пн","Вт","Ср","Чт","Пт","Сб","Вс"))</f>
        <v/>
      </c>
      <c r="C3289" s="53">
        <f>IF(A3289="","",YEAR(A3289))</f>
        <v/>
      </c>
      <c r="D3289" s="54">
        <f>IF(A3289="","",INDEX(lst_months,MONTH(A3289)))</f>
        <v/>
      </c>
      <c r="E3289" s="55" t="n"/>
      <c r="F3289" s="54">
        <f>IF(E3289="","",IFERROR(IF(INDEX(lst_exp_item_cat,MATCH(E3289,lst_exp_items,0))="","❔ Без категории",INDEX(lst_exp_item_cat,MATCH(E3289,lst_exp_items,0))),"❔ Без категории"))</f>
        <v/>
      </c>
      <c r="G3289" s="43" t="n"/>
      <c r="H3289" s="56" t="n"/>
      <c r="I3289" s="43" t="n"/>
      <c r="J3289" s="57">
        <f>IF(OR(A3289="",H3289=""),"",IF(COUNTIFS(exp_year,C3289,exp_month,D3289,exp_item,E3289,exp_status,"&lt;&gt;❌ Отменено")&gt;0,1,0))</f>
        <v/>
      </c>
    </row>
    <row r="3290">
      <c r="A3290" s="52" t="n"/>
      <c r="B3290" s="53">
        <f>IF(A3290="","",CHOOSE(WEEKDAY(A3290,2),"Пн","Вт","Ср","Чт","Пт","Сб","Вс"))</f>
        <v/>
      </c>
      <c r="C3290" s="53">
        <f>IF(A3290="","",YEAR(A3290))</f>
        <v/>
      </c>
      <c r="D3290" s="54">
        <f>IF(A3290="","",INDEX(lst_months,MONTH(A3290)))</f>
        <v/>
      </c>
      <c r="E3290" s="55" t="n"/>
      <c r="F3290" s="54">
        <f>IF(E3290="","",IFERROR(IF(INDEX(lst_exp_item_cat,MATCH(E3290,lst_exp_items,0))="","❔ Без категории",INDEX(lst_exp_item_cat,MATCH(E3290,lst_exp_items,0))),"❔ Без категории"))</f>
        <v/>
      </c>
      <c r="G3290" s="43" t="n"/>
      <c r="H3290" s="56" t="n"/>
      <c r="I3290" s="43" t="n"/>
      <c r="J3290" s="57">
        <f>IF(OR(A3290="",H3290=""),"",IF(COUNTIFS(exp_year,C3290,exp_month,D3290,exp_item,E3290,exp_status,"&lt;&gt;❌ Отменено")&gt;0,1,0))</f>
        <v/>
      </c>
    </row>
    <row r="3291">
      <c r="A3291" s="52" t="n"/>
      <c r="B3291" s="53">
        <f>IF(A3291="","",CHOOSE(WEEKDAY(A3291,2),"Пн","Вт","Ср","Чт","Пт","Сб","Вс"))</f>
        <v/>
      </c>
      <c r="C3291" s="53">
        <f>IF(A3291="","",YEAR(A3291))</f>
        <v/>
      </c>
      <c r="D3291" s="54">
        <f>IF(A3291="","",INDEX(lst_months,MONTH(A3291)))</f>
        <v/>
      </c>
      <c r="E3291" s="55" t="n"/>
      <c r="F3291" s="54">
        <f>IF(E3291="","",IFERROR(IF(INDEX(lst_exp_item_cat,MATCH(E3291,lst_exp_items,0))="","❔ Без категории",INDEX(lst_exp_item_cat,MATCH(E3291,lst_exp_items,0))),"❔ Без категории"))</f>
        <v/>
      </c>
      <c r="G3291" s="43" t="n"/>
      <c r="H3291" s="56" t="n"/>
      <c r="I3291" s="43" t="n"/>
      <c r="J3291" s="57">
        <f>IF(OR(A3291="",H3291=""),"",IF(COUNTIFS(exp_year,C3291,exp_month,D3291,exp_item,E3291,exp_status,"&lt;&gt;❌ Отменено")&gt;0,1,0))</f>
        <v/>
      </c>
    </row>
    <row r="3292">
      <c r="A3292" s="52" t="n"/>
      <c r="B3292" s="53">
        <f>IF(A3292="","",CHOOSE(WEEKDAY(A3292,2),"Пн","Вт","Ср","Чт","Пт","Сб","Вс"))</f>
        <v/>
      </c>
      <c r="C3292" s="53">
        <f>IF(A3292="","",YEAR(A3292))</f>
        <v/>
      </c>
      <c r="D3292" s="54">
        <f>IF(A3292="","",INDEX(lst_months,MONTH(A3292)))</f>
        <v/>
      </c>
      <c r="E3292" s="55" t="n"/>
      <c r="F3292" s="54">
        <f>IF(E3292="","",IFERROR(IF(INDEX(lst_exp_item_cat,MATCH(E3292,lst_exp_items,0))="","❔ Без категории",INDEX(lst_exp_item_cat,MATCH(E3292,lst_exp_items,0))),"❔ Без категории"))</f>
        <v/>
      </c>
      <c r="G3292" s="43" t="n"/>
      <c r="H3292" s="56" t="n"/>
      <c r="I3292" s="43" t="n"/>
      <c r="J3292" s="57">
        <f>IF(OR(A3292="",H3292=""),"",IF(COUNTIFS(exp_year,C3292,exp_month,D3292,exp_item,E3292,exp_status,"&lt;&gt;❌ Отменено")&gt;0,1,0))</f>
        <v/>
      </c>
    </row>
    <row r="3293">
      <c r="A3293" s="52" t="n"/>
      <c r="B3293" s="53">
        <f>IF(A3293="","",CHOOSE(WEEKDAY(A3293,2),"Пн","Вт","Ср","Чт","Пт","Сб","Вс"))</f>
        <v/>
      </c>
      <c r="C3293" s="53">
        <f>IF(A3293="","",YEAR(A3293))</f>
        <v/>
      </c>
      <c r="D3293" s="54">
        <f>IF(A3293="","",INDEX(lst_months,MONTH(A3293)))</f>
        <v/>
      </c>
      <c r="E3293" s="55" t="n"/>
      <c r="F3293" s="54">
        <f>IF(E3293="","",IFERROR(IF(INDEX(lst_exp_item_cat,MATCH(E3293,lst_exp_items,0))="","❔ Без категории",INDEX(lst_exp_item_cat,MATCH(E3293,lst_exp_items,0))),"❔ Без категории"))</f>
        <v/>
      </c>
      <c r="G3293" s="43" t="n"/>
      <c r="H3293" s="56" t="n"/>
      <c r="I3293" s="43" t="n"/>
      <c r="J3293" s="57">
        <f>IF(OR(A3293="",H3293=""),"",IF(COUNTIFS(exp_year,C3293,exp_month,D3293,exp_item,E3293,exp_status,"&lt;&gt;❌ Отменено")&gt;0,1,0))</f>
        <v/>
      </c>
    </row>
    <row r="3294">
      <c r="A3294" s="52" t="n"/>
      <c r="B3294" s="53">
        <f>IF(A3294="","",CHOOSE(WEEKDAY(A3294,2),"Пн","Вт","Ср","Чт","Пт","Сб","Вс"))</f>
        <v/>
      </c>
      <c r="C3294" s="53">
        <f>IF(A3294="","",YEAR(A3294))</f>
        <v/>
      </c>
      <c r="D3294" s="54">
        <f>IF(A3294="","",INDEX(lst_months,MONTH(A3294)))</f>
        <v/>
      </c>
      <c r="E3294" s="55" t="n"/>
      <c r="F3294" s="54">
        <f>IF(E3294="","",IFERROR(IF(INDEX(lst_exp_item_cat,MATCH(E3294,lst_exp_items,0))="","❔ Без категории",INDEX(lst_exp_item_cat,MATCH(E3294,lst_exp_items,0))),"❔ Без категории"))</f>
        <v/>
      </c>
      <c r="G3294" s="43" t="n"/>
      <c r="H3294" s="56" t="n"/>
      <c r="I3294" s="43" t="n"/>
      <c r="J3294" s="57">
        <f>IF(OR(A3294="",H3294=""),"",IF(COUNTIFS(exp_year,C3294,exp_month,D3294,exp_item,E3294,exp_status,"&lt;&gt;❌ Отменено")&gt;0,1,0))</f>
        <v/>
      </c>
    </row>
    <row r="3295">
      <c r="A3295" s="52" t="n"/>
      <c r="B3295" s="53">
        <f>IF(A3295="","",CHOOSE(WEEKDAY(A3295,2),"Пн","Вт","Ср","Чт","Пт","Сб","Вс"))</f>
        <v/>
      </c>
      <c r="C3295" s="53">
        <f>IF(A3295="","",YEAR(A3295))</f>
        <v/>
      </c>
      <c r="D3295" s="54">
        <f>IF(A3295="","",INDEX(lst_months,MONTH(A3295)))</f>
        <v/>
      </c>
      <c r="E3295" s="55" t="n"/>
      <c r="F3295" s="54">
        <f>IF(E3295="","",IFERROR(IF(INDEX(lst_exp_item_cat,MATCH(E3295,lst_exp_items,0))="","❔ Без категории",INDEX(lst_exp_item_cat,MATCH(E3295,lst_exp_items,0))),"❔ Без категории"))</f>
        <v/>
      </c>
      <c r="G3295" s="43" t="n"/>
      <c r="H3295" s="56" t="n"/>
      <c r="I3295" s="43" t="n"/>
      <c r="J3295" s="57">
        <f>IF(OR(A3295="",H3295=""),"",IF(COUNTIFS(exp_year,C3295,exp_month,D3295,exp_item,E3295,exp_status,"&lt;&gt;❌ Отменено")&gt;0,1,0))</f>
        <v/>
      </c>
    </row>
    <row r="3296">
      <c r="A3296" s="52" t="n"/>
      <c r="B3296" s="53">
        <f>IF(A3296="","",CHOOSE(WEEKDAY(A3296,2),"Пн","Вт","Ср","Чт","Пт","Сб","Вс"))</f>
        <v/>
      </c>
      <c r="C3296" s="53">
        <f>IF(A3296="","",YEAR(A3296))</f>
        <v/>
      </c>
      <c r="D3296" s="54">
        <f>IF(A3296="","",INDEX(lst_months,MONTH(A3296)))</f>
        <v/>
      </c>
      <c r="E3296" s="55" t="n"/>
      <c r="F3296" s="54">
        <f>IF(E3296="","",IFERROR(IF(INDEX(lst_exp_item_cat,MATCH(E3296,lst_exp_items,0))="","❔ Без категории",INDEX(lst_exp_item_cat,MATCH(E3296,lst_exp_items,0))),"❔ Без категории"))</f>
        <v/>
      </c>
      <c r="G3296" s="43" t="n"/>
      <c r="H3296" s="56" t="n"/>
      <c r="I3296" s="43" t="n"/>
      <c r="J3296" s="57">
        <f>IF(OR(A3296="",H3296=""),"",IF(COUNTIFS(exp_year,C3296,exp_month,D3296,exp_item,E3296,exp_status,"&lt;&gt;❌ Отменено")&gt;0,1,0))</f>
        <v/>
      </c>
    </row>
    <row r="3297">
      <c r="A3297" s="52" t="n"/>
      <c r="B3297" s="53">
        <f>IF(A3297="","",CHOOSE(WEEKDAY(A3297,2),"Пн","Вт","Ср","Чт","Пт","Сб","Вс"))</f>
        <v/>
      </c>
      <c r="C3297" s="53">
        <f>IF(A3297="","",YEAR(A3297))</f>
        <v/>
      </c>
      <c r="D3297" s="54">
        <f>IF(A3297="","",INDEX(lst_months,MONTH(A3297)))</f>
        <v/>
      </c>
      <c r="E3297" s="55" t="n"/>
      <c r="F3297" s="54">
        <f>IF(E3297="","",IFERROR(IF(INDEX(lst_exp_item_cat,MATCH(E3297,lst_exp_items,0))="","❔ Без категории",INDEX(lst_exp_item_cat,MATCH(E3297,lst_exp_items,0))),"❔ Без категории"))</f>
        <v/>
      </c>
      <c r="G3297" s="43" t="n"/>
      <c r="H3297" s="56" t="n"/>
      <c r="I3297" s="43" t="n"/>
      <c r="J3297" s="57">
        <f>IF(OR(A3297="",H3297=""),"",IF(COUNTIFS(exp_year,C3297,exp_month,D3297,exp_item,E3297,exp_status,"&lt;&gt;❌ Отменено")&gt;0,1,0))</f>
        <v/>
      </c>
    </row>
    <row r="3298">
      <c r="A3298" s="52" t="n"/>
      <c r="B3298" s="53">
        <f>IF(A3298="","",CHOOSE(WEEKDAY(A3298,2),"Пн","Вт","Ср","Чт","Пт","Сб","Вс"))</f>
        <v/>
      </c>
      <c r="C3298" s="53">
        <f>IF(A3298="","",YEAR(A3298))</f>
        <v/>
      </c>
      <c r="D3298" s="54">
        <f>IF(A3298="","",INDEX(lst_months,MONTH(A3298)))</f>
        <v/>
      </c>
      <c r="E3298" s="55" t="n"/>
      <c r="F3298" s="54">
        <f>IF(E3298="","",IFERROR(IF(INDEX(lst_exp_item_cat,MATCH(E3298,lst_exp_items,0))="","❔ Без категории",INDEX(lst_exp_item_cat,MATCH(E3298,lst_exp_items,0))),"❔ Без категории"))</f>
        <v/>
      </c>
      <c r="G3298" s="43" t="n"/>
      <c r="H3298" s="56" t="n"/>
      <c r="I3298" s="43" t="n"/>
      <c r="J3298" s="57">
        <f>IF(OR(A3298="",H3298=""),"",IF(COUNTIFS(exp_year,C3298,exp_month,D3298,exp_item,E3298,exp_status,"&lt;&gt;❌ Отменено")&gt;0,1,0))</f>
        <v/>
      </c>
    </row>
    <row r="3299">
      <c r="A3299" s="52" t="n"/>
      <c r="B3299" s="53">
        <f>IF(A3299="","",CHOOSE(WEEKDAY(A3299,2),"Пн","Вт","Ср","Чт","Пт","Сб","Вс"))</f>
        <v/>
      </c>
      <c r="C3299" s="53">
        <f>IF(A3299="","",YEAR(A3299))</f>
        <v/>
      </c>
      <c r="D3299" s="54">
        <f>IF(A3299="","",INDEX(lst_months,MONTH(A3299)))</f>
        <v/>
      </c>
      <c r="E3299" s="55" t="n"/>
      <c r="F3299" s="54">
        <f>IF(E3299="","",IFERROR(IF(INDEX(lst_exp_item_cat,MATCH(E3299,lst_exp_items,0))="","❔ Без категории",INDEX(lst_exp_item_cat,MATCH(E3299,lst_exp_items,0))),"❔ Без категории"))</f>
        <v/>
      </c>
      <c r="G3299" s="43" t="n"/>
      <c r="H3299" s="56" t="n"/>
      <c r="I3299" s="43" t="n"/>
      <c r="J3299" s="57">
        <f>IF(OR(A3299="",H3299=""),"",IF(COUNTIFS(exp_year,C3299,exp_month,D3299,exp_item,E3299,exp_status,"&lt;&gt;❌ Отменено")&gt;0,1,0))</f>
        <v/>
      </c>
    </row>
    <row r="3300">
      <c r="A3300" s="52" t="n"/>
      <c r="B3300" s="53">
        <f>IF(A3300="","",CHOOSE(WEEKDAY(A3300,2),"Пн","Вт","Ср","Чт","Пт","Сб","Вс"))</f>
        <v/>
      </c>
      <c r="C3300" s="53">
        <f>IF(A3300="","",YEAR(A3300))</f>
        <v/>
      </c>
      <c r="D3300" s="54">
        <f>IF(A3300="","",INDEX(lst_months,MONTH(A3300)))</f>
        <v/>
      </c>
      <c r="E3300" s="55" t="n"/>
      <c r="F3300" s="54">
        <f>IF(E3300="","",IFERROR(IF(INDEX(lst_exp_item_cat,MATCH(E3300,lst_exp_items,0))="","❔ Без категории",INDEX(lst_exp_item_cat,MATCH(E3300,lst_exp_items,0))),"❔ Без категории"))</f>
        <v/>
      </c>
      <c r="G3300" s="43" t="n"/>
      <c r="H3300" s="56" t="n"/>
      <c r="I3300" s="43" t="n"/>
      <c r="J3300" s="57">
        <f>IF(OR(A3300="",H3300=""),"",IF(COUNTIFS(exp_year,C3300,exp_month,D3300,exp_item,E3300,exp_status,"&lt;&gt;❌ Отменено")&gt;0,1,0))</f>
        <v/>
      </c>
    </row>
    <row r="3301">
      <c r="A3301" s="52" t="n"/>
      <c r="B3301" s="53">
        <f>IF(A3301="","",CHOOSE(WEEKDAY(A3301,2),"Пн","Вт","Ср","Чт","Пт","Сб","Вс"))</f>
        <v/>
      </c>
      <c r="C3301" s="53">
        <f>IF(A3301="","",YEAR(A3301))</f>
        <v/>
      </c>
      <c r="D3301" s="54">
        <f>IF(A3301="","",INDEX(lst_months,MONTH(A3301)))</f>
        <v/>
      </c>
      <c r="E3301" s="55" t="n"/>
      <c r="F3301" s="54">
        <f>IF(E3301="","",IFERROR(IF(INDEX(lst_exp_item_cat,MATCH(E3301,lst_exp_items,0))="","❔ Без категории",INDEX(lst_exp_item_cat,MATCH(E3301,lst_exp_items,0))),"❔ Без категории"))</f>
        <v/>
      </c>
      <c r="G3301" s="43" t="n"/>
      <c r="H3301" s="56" t="n"/>
      <c r="I3301" s="43" t="n"/>
      <c r="J3301" s="57">
        <f>IF(OR(A3301="",H3301=""),"",IF(COUNTIFS(exp_year,C3301,exp_month,D3301,exp_item,E3301,exp_status,"&lt;&gt;❌ Отменено")&gt;0,1,0))</f>
        <v/>
      </c>
    </row>
    <row r="3302">
      <c r="A3302" s="52" t="n"/>
      <c r="B3302" s="53">
        <f>IF(A3302="","",CHOOSE(WEEKDAY(A3302,2),"Пн","Вт","Ср","Чт","Пт","Сб","Вс"))</f>
        <v/>
      </c>
      <c r="C3302" s="53">
        <f>IF(A3302="","",YEAR(A3302))</f>
        <v/>
      </c>
      <c r="D3302" s="54">
        <f>IF(A3302="","",INDEX(lst_months,MONTH(A3302)))</f>
        <v/>
      </c>
      <c r="E3302" s="55" t="n"/>
      <c r="F3302" s="54">
        <f>IF(E3302="","",IFERROR(IF(INDEX(lst_exp_item_cat,MATCH(E3302,lst_exp_items,0))="","❔ Без категории",INDEX(lst_exp_item_cat,MATCH(E3302,lst_exp_items,0))),"❔ Без категории"))</f>
        <v/>
      </c>
      <c r="G3302" s="43" t="n"/>
      <c r="H3302" s="56" t="n"/>
      <c r="I3302" s="43" t="n"/>
      <c r="J3302" s="57">
        <f>IF(OR(A3302="",H3302=""),"",IF(COUNTIFS(exp_year,C3302,exp_month,D3302,exp_item,E3302,exp_status,"&lt;&gt;❌ Отменено")&gt;0,1,0))</f>
        <v/>
      </c>
    </row>
    <row r="3303">
      <c r="A3303" s="52" t="n"/>
      <c r="B3303" s="53">
        <f>IF(A3303="","",CHOOSE(WEEKDAY(A3303,2),"Пн","Вт","Ср","Чт","Пт","Сб","Вс"))</f>
        <v/>
      </c>
      <c r="C3303" s="53">
        <f>IF(A3303="","",YEAR(A3303))</f>
        <v/>
      </c>
      <c r="D3303" s="54">
        <f>IF(A3303="","",INDEX(lst_months,MONTH(A3303)))</f>
        <v/>
      </c>
      <c r="E3303" s="55" t="n"/>
      <c r="F3303" s="54">
        <f>IF(E3303="","",IFERROR(IF(INDEX(lst_exp_item_cat,MATCH(E3303,lst_exp_items,0))="","❔ Без категории",INDEX(lst_exp_item_cat,MATCH(E3303,lst_exp_items,0))),"❔ Без категории"))</f>
        <v/>
      </c>
      <c r="G3303" s="43" t="n"/>
      <c r="H3303" s="56" t="n"/>
      <c r="I3303" s="43" t="n"/>
      <c r="J3303" s="57">
        <f>IF(OR(A3303="",H3303=""),"",IF(COUNTIFS(exp_year,C3303,exp_month,D3303,exp_item,E3303,exp_status,"&lt;&gt;❌ Отменено")&gt;0,1,0))</f>
        <v/>
      </c>
    </row>
    <row r="3304">
      <c r="A3304" s="52" t="n"/>
      <c r="B3304" s="53">
        <f>IF(A3304="","",CHOOSE(WEEKDAY(A3304,2),"Пн","Вт","Ср","Чт","Пт","Сб","Вс"))</f>
        <v/>
      </c>
      <c r="C3304" s="53">
        <f>IF(A3304="","",YEAR(A3304))</f>
        <v/>
      </c>
      <c r="D3304" s="54">
        <f>IF(A3304="","",INDEX(lst_months,MONTH(A3304)))</f>
        <v/>
      </c>
      <c r="E3304" s="55" t="n"/>
      <c r="F3304" s="54">
        <f>IF(E3304="","",IFERROR(IF(INDEX(lst_exp_item_cat,MATCH(E3304,lst_exp_items,0))="","❔ Без категории",INDEX(lst_exp_item_cat,MATCH(E3304,lst_exp_items,0))),"❔ Без категории"))</f>
        <v/>
      </c>
      <c r="G3304" s="43" t="n"/>
      <c r="H3304" s="56" t="n"/>
      <c r="I3304" s="43" t="n"/>
      <c r="J3304" s="57">
        <f>IF(OR(A3304="",H3304=""),"",IF(COUNTIFS(exp_year,C3304,exp_month,D3304,exp_item,E3304,exp_status,"&lt;&gt;❌ Отменено")&gt;0,1,0))</f>
        <v/>
      </c>
    </row>
    <row r="3305">
      <c r="A3305" s="52" t="n"/>
      <c r="B3305" s="53">
        <f>IF(A3305="","",CHOOSE(WEEKDAY(A3305,2),"Пн","Вт","Ср","Чт","Пт","Сб","Вс"))</f>
        <v/>
      </c>
      <c r="C3305" s="53">
        <f>IF(A3305="","",YEAR(A3305))</f>
        <v/>
      </c>
      <c r="D3305" s="54">
        <f>IF(A3305="","",INDEX(lst_months,MONTH(A3305)))</f>
        <v/>
      </c>
      <c r="E3305" s="55" t="n"/>
      <c r="F3305" s="54">
        <f>IF(E3305="","",IFERROR(IF(INDEX(lst_exp_item_cat,MATCH(E3305,lst_exp_items,0))="","❔ Без категории",INDEX(lst_exp_item_cat,MATCH(E3305,lst_exp_items,0))),"❔ Без категории"))</f>
        <v/>
      </c>
      <c r="G3305" s="43" t="n"/>
      <c r="H3305" s="56" t="n"/>
      <c r="I3305" s="43" t="n"/>
      <c r="J3305" s="57">
        <f>IF(OR(A3305="",H3305=""),"",IF(COUNTIFS(exp_year,C3305,exp_month,D3305,exp_item,E3305,exp_status,"&lt;&gt;❌ Отменено")&gt;0,1,0))</f>
        <v/>
      </c>
    </row>
    <row r="3306">
      <c r="A3306" s="52" t="n"/>
      <c r="B3306" s="53">
        <f>IF(A3306="","",CHOOSE(WEEKDAY(A3306,2),"Пн","Вт","Ср","Чт","Пт","Сб","Вс"))</f>
        <v/>
      </c>
      <c r="C3306" s="53">
        <f>IF(A3306="","",YEAR(A3306))</f>
        <v/>
      </c>
      <c r="D3306" s="54">
        <f>IF(A3306="","",INDEX(lst_months,MONTH(A3306)))</f>
        <v/>
      </c>
      <c r="E3306" s="55" t="n"/>
      <c r="F3306" s="54">
        <f>IF(E3306="","",IFERROR(IF(INDEX(lst_exp_item_cat,MATCH(E3306,lst_exp_items,0))="","❔ Без категории",INDEX(lst_exp_item_cat,MATCH(E3306,lst_exp_items,0))),"❔ Без категории"))</f>
        <v/>
      </c>
      <c r="G3306" s="43" t="n"/>
      <c r="H3306" s="56" t="n"/>
      <c r="I3306" s="43" t="n"/>
      <c r="J3306" s="57">
        <f>IF(OR(A3306="",H3306=""),"",IF(COUNTIFS(exp_year,C3306,exp_month,D3306,exp_item,E3306,exp_status,"&lt;&gt;❌ Отменено")&gt;0,1,0))</f>
        <v/>
      </c>
    </row>
    <row r="3307">
      <c r="A3307" s="52" t="n"/>
      <c r="B3307" s="53">
        <f>IF(A3307="","",CHOOSE(WEEKDAY(A3307,2),"Пн","Вт","Ср","Чт","Пт","Сб","Вс"))</f>
        <v/>
      </c>
      <c r="C3307" s="53">
        <f>IF(A3307="","",YEAR(A3307))</f>
        <v/>
      </c>
      <c r="D3307" s="54">
        <f>IF(A3307="","",INDEX(lst_months,MONTH(A3307)))</f>
        <v/>
      </c>
      <c r="E3307" s="55" t="n"/>
      <c r="F3307" s="54">
        <f>IF(E3307="","",IFERROR(IF(INDEX(lst_exp_item_cat,MATCH(E3307,lst_exp_items,0))="","❔ Без категории",INDEX(lst_exp_item_cat,MATCH(E3307,lst_exp_items,0))),"❔ Без категории"))</f>
        <v/>
      </c>
      <c r="G3307" s="43" t="n"/>
      <c r="H3307" s="56" t="n"/>
      <c r="I3307" s="43" t="n"/>
      <c r="J3307" s="57">
        <f>IF(OR(A3307="",H3307=""),"",IF(COUNTIFS(exp_year,C3307,exp_month,D3307,exp_item,E3307,exp_status,"&lt;&gt;❌ Отменено")&gt;0,1,0))</f>
        <v/>
      </c>
    </row>
    <row r="3308">
      <c r="A3308" s="52" t="n"/>
      <c r="B3308" s="53">
        <f>IF(A3308="","",CHOOSE(WEEKDAY(A3308,2),"Пн","Вт","Ср","Чт","Пт","Сб","Вс"))</f>
        <v/>
      </c>
      <c r="C3308" s="53">
        <f>IF(A3308="","",YEAR(A3308))</f>
        <v/>
      </c>
      <c r="D3308" s="54">
        <f>IF(A3308="","",INDEX(lst_months,MONTH(A3308)))</f>
        <v/>
      </c>
      <c r="E3308" s="55" t="n"/>
      <c r="F3308" s="54">
        <f>IF(E3308="","",IFERROR(IF(INDEX(lst_exp_item_cat,MATCH(E3308,lst_exp_items,0))="","❔ Без категории",INDEX(lst_exp_item_cat,MATCH(E3308,lst_exp_items,0))),"❔ Без категории"))</f>
        <v/>
      </c>
      <c r="G3308" s="43" t="n"/>
      <c r="H3308" s="56" t="n"/>
      <c r="I3308" s="43" t="n"/>
      <c r="J3308" s="57">
        <f>IF(OR(A3308="",H3308=""),"",IF(COUNTIFS(exp_year,C3308,exp_month,D3308,exp_item,E3308,exp_status,"&lt;&gt;❌ Отменено")&gt;0,1,0))</f>
        <v/>
      </c>
    </row>
    <row r="3309">
      <c r="A3309" s="52" t="n"/>
      <c r="B3309" s="53">
        <f>IF(A3309="","",CHOOSE(WEEKDAY(A3309,2),"Пн","Вт","Ср","Чт","Пт","Сб","Вс"))</f>
        <v/>
      </c>
      <c r="C3309" s="53">
        <f>IF(A3309="","",YEAR(A3309))</f>
        <v/>
      </c>
      <c r="D3309" s="54">
        <f>IF(A3309="","",INDEX(lst_months,MONTH(A3309)))</f>
        <v/>
      </c>
      <c r="E3309" s="55" t="n"/>
      <c r="F3309" s="54">
        <f>IF(E3309="","",IFERROR(IF(INDEX(lst_exp_item_cat,MATCH(E3309,lst_exp_items,0))="","❔ Без категории",INDEX(lst_exp_item_cat,MATCH(E3309,lst_exp_items,0))),"❔ Без категории"))</f>
        <v/>
      </c>
      <c r="G3309" s="43" t="n"/>
      <c r="H3309" s="56" t="n"/>
      <c r="I3309" s="43" t="n"/>
      <c r="J3309" s="57">
        <f>IF(OR(A3309="",H3309=""),"",IF(COUNTIFS(exp_year,C3309,exp_month,D3309,exp_item,E3309,exp_status,"&lt;&gt;❌ Отменено")&gt;0,1,0))</f>
        <v/>
      </c>
    </row>
    <row r="3310">
      <c r="A3310" s="52" t="n"/>
      <c r="B3310" s="53">
        <f>IF(A3310="","",CHOOSE(WEEKDAY(A3310,2),"Пн","Вт","Ср","Чт","Пт","Сб","Вс"))</f>
        <v/>
      </c>
      <c r="C3310" s="53">
        <f>IF(A3310="","",YEAR(A3310))</f>
        <v/>
      </c>
      <c r="D3310" s="54">
        <f>IF(A3310="","",INDEX(lst_months,MONTH(A3310)))</f>
        <v/>
      </c>
      <c r="E3310" s="55" t="n"/>
      <c r="F3310" s="54">
        <f>IF(E3310="","",IFERROR(IF(INDEX(lst_exp_item_cat,MATCH(E3310,lst_exp_items,0))="","❔ Без категории",INDEX(lst_exp_item_cat,MATCH(E3310,lst_exp_items,0))),"❔ Без категории"))</f>
        <v/>
      </c>
      <c r="G3310" s="43" t="n"/>
      <c r="H3310" s="56" t="n"/>
      <c r="I3310" s="43" t="n"/>
      <c r="J3310" s="57">
        <f>IF(OR(A3310="",H3310=""),"",IF(COUNTIFS(exp_year,C3310,exp_month,D3310,exp_item,E3310,exp_status,"&lt;&gt;❌ Отменено")&gt;0,1,0))</f>
        <v/>
      </c>
    </row>
    <row r="3311">
      <c r="A3311" s="52" t="n"/>
      <c r="B3311" s="53">
        <f>IF(A3311="","",CHOOSE(WEEKDAY(A3311,2),"Пн","Вт","Ср","Чт","Пт","Сб","Вс"))</f>
        <v/>
      </c>
      <c r="C3311" s="53">
        <f>IF(A3311="","",YEAR(A3311))</f>
        <v/>
      </c>
      <c r="D3311" s="54">
        <f>IF(A3311="","",INDEX(lst_months,MONTH(A3311)))</f>
        <v/>
      </c>
      <c r="E3311" s="55" t="n"/>
      <c r="F3311" s="54">
        <f>IF(E3311="","",IFERROR(IF(INDEX(lst_exp_item_cat,MATCH(E3311,lst_exp_items,0))="","❔ Без категории",INDEX(lst_exp_item_cat,MATCH(E3311,lst_exp_items,0))),"❔ Без категории"))</f>
        <v/>
      </c>
      <c r="G3311" s="43" t="n"/>
      <c r="H3311" s="56" t="n"/>
      <c r="I3311" s="43" t="n"/>
      <c r="J3311" s="57">
        <f>IF(OR(A3311="",H3311=""),"",IF(COUNTIFS(exp_year,C3311,exp_month,D3311,exp_item,E3311,exp_status,"&lt;&gt;❌ Отменено")&gt;0,1,0))</f>
        <v/>
      </c>
    </row>
    <row r="3312">
      <c r="A3312" s="52" t="n"/>
      <c r="B3312" s="53">
        <f>IF(A3312="","",CHOOSE(WEEKDAY(A3312,2),"Пн","Вт","Ср","Чт","Пт","Сб","Вс"))</f>
        <v/>
      </c>
      <c r="C3312" s="53">
        <f>IF(A3312="","",YEAR(A3312))</f>
        <v/>
      </c>
      <c r="D3312" s="54">
        <f>IF(A3312="","",INDEX(lst_months,MONTH(A3312)))</f>
        <v/>
      </c>
      <c r="E3312" s="55" t="n"/>
      <c r="F3312" s="54">
        <f>IF(E3312="","",IFERROR(IF(INDEX(lst_exp_item_cat,MATCH(E3312,lst_exp_items,0))="","❔ Без категории",INDEX(lst_exp_item_cat,MATCH(E3312,lst_exp_items,0))),"❔ Без категории"))</f>
        <v/>
      </c>
      <c r="G3312" s="43" t="n"/>
      <c r="H3312" s="56" t="n"/>
      <c r="I3312" s="43" t="n"/>
      <c r="J3312" s="57">
        <f>IF(OR(A3312="",H3312=""),"",IF(COUNTIFS(exp_year,C3312,exp_month,D3312,exp_item,E3312,exp_status,"&lt;&gt;❌ Отменено")&gt;0,1,0))</f>
        <v/>
      </c>
    </row>
    <row r="3313">
      <c r="A3313" s="52" t="n"/>
      <c r="B3313" s="53">
        <f>IF(A3313="","",CHOOSE(WEEKDAY(A3313,2),"Пн","Вт","Ср","Чт","Пт","Сб","Вс"))</f>
        <v/>
      </c>
      <c r="C3313" s="53">
        <f>IF(A3313="","",YEAR(A3313))</f>
        <v/>
      </c>
      <c r="D3313" s="54">
        <f>IF(A3313="","",INDEX(lst_months,MONTH(A3313)))</f>
        <v/>
      </c>
      <c r="E3313" s="55" t="n"/>
      <c r="F3313" s="54">
        <f>IF(E3313="","",IFERROR(IF(INDEX(lst_exp_item_cat,MATCH(E3313,lst_exp_items,0))="","❔ Без категории",INDEX(lst_exp_item_cat,MATCH(E3313,lst_exp_items,0))),"❔ Без категории"))</f>
        <v/>
      </c>
      <c r="G3313" s="43" t="n"/>
      <c r="H3313" s="56" t="n"/>
      <c r="I3313" s="43" t="n"/>
      <c r="J3313" s="57">
        <f>IF(OR(A3313="",H3313=""),"",IF(COUNTIFS(exp_year,C3313,exp_month,D3313,exp_item,E3313,exp_status,"&lt;&gt;❌ Отменено")&gt;0,1,0))</f>
        <v/>
      </c>
    </row>
    <row r="3314">
      <c r="A3314" s="52" t="n"/>
      <c r="B3314" s="53">
        <f>IF(A3314="","",CHOOSE(WEEKDAY(A3314,2),"Пн","Вт","Ср","Чт","Пт","Сб","Вс"))</f>
        <v/>
      </c>
      <c r="C3314" s="53">
        <f>IF(A3314="","",YEAR(A3314))</f>
        <v/>
      </c>
      <c r="D3314" s="54">
        <f>IF(A3314="","",INDEX(lst_months,MONTH(A3314)))</f>
        <v/>
      </c>
      <c r="E3314" s="55" t="n"/>
      <c r="F3314" s="54">
        <f>IF(E3314="","",IFERROR(IF(INDEX(lst_exp_item_cat,MATCH(E3314,lst_exp_items,0))="","❔ Без категории",INDEX(lst_exp_item_cat,MATCH(E3314,lst_exp_items,0))),"❔ Без категории"))</f>
        <v/>
      </c>
      <c r="G3314" s="43" t="n"/>
      <c r="H3314" s="56" t="n"/>
      <c r="I3314" s="43" t="n"/>
      <c r="J3314" s="57">
        <f>IF(OR(A3314="",H3314=""),"",IF(COUNTIFS(exp_year,C3314,exp_month,D3314,exp_item,E3314,exp_status,"&lt;&gt;❌ Отменено")&gt;0,1,0))</f>
        <v/>
      </c>
    </row>
    <row r="3315">
      <c r="A3315" s="52" t="n"/>
      <c r="B3315" s="53">
        <f>IF(A3315="","",CHOOSE(WEEKDAY(A3315,2),"Пн","Вт","Ср","Чт","Пт","Сб","Вс"))</f>
        <v/>
      </c>
      <c r="C3315" s="53">
        <f>IF(A3315="","",YEAR(A3315))</f>
        <v/>
      </c>
      <c r="D3315" s="54">
        <f>IF(A3315="","",INDEX(lst_months,MONTH(A3315)))</f>
        <v/>
      </c>
      <c r="E3315" s="55" t="n"/>
      <c r="F3315" s="54">
        <f>IF(E3315="","",IFERROR(IF(INDEX(lst_exp_item_cat,MATCH(E3315,lst_exp_items,0))="","❔ Без категории",INDEX(lst_exp_item_cat,MATCH(E3315,lst_exp_items,0))),"❔ Без категории"))</f>
        <v/>
      </c>
      <c r="G3315" s="43" t="n"/>
      <c r="H3315" s="56" t="n"/>
      <c r="I3315" s="43" t="n"/>
      <c r="J3315" s="57">
        <f>IF(OR(A3315="",H3315=""),"",IF(COUNTIFS(exp_year,C3315,exp_month,D3315,exp_item,E3315,exp_status,"&lt;&gt;❌ Отменено")&gt;0,1,0))</f>
        <v/>
      </c>
    </row>
    <row r="3316">
      <c r="A3316" s="52" t="n"/>
      <c r="B3316" s="53">
        <f>IF(A3316="","",CHOOSE(WEEKDAY(A3316,2),"Пн","Вт","Ср","Чт","Пт","Сб","Вс"))</f>
        <v/>
      </c>
      <c r="C3316" s="53">
        <f>IF(A3316="","",YEAR(A3316))</f>
        <v/>
      </c>
      <c r="D3316" s="54">
        <f>IF(A3316="","",INDEX(lst_months,MONTH(A3316)))</f>
        <v/>
      </c>
      <c r="E3316" s="55" t="n"/>
      <c r="F3316" s="54">
        <f>IF(E3316="","",IFERROR(IF(INDEX(lst_exp_item_cat,MATCH(E3316,lst_exp_items,0))="","❔ Без категории",INDEX(lst_exp_item_cat,MATCH(E3316,lst_exp_items,0))),"❔ Без категории"))</f>
        <v/>
      </c>
      <c r="G3316" s="43" t="n"/>
      <c r="H3316" s="56" t="n"/>
      <c r="I3316" s="43" t="n"/>
      <c r="J3316" s="57">
        <f>IF(OR(A3316="",H3316=""),"",IF(COUNTIFS(exp_year,C3316,exp_month,D3316,exp_item,E3316,exp_status,"&lt;&gt;❌ Отменено")&gt;0,1,0))</f>
        <v/>
      </c>
    </row>
    <row r="3317">
      <c r="A3317" s="52" t="n"/>
      <c r="B3317" s="53">
        <f>IF(A3317="","",CHOOSE(WEEKDAY(A3317,2),"Пн","Вт","Ср","Чт","Пт","Сб","Вс"))</f>
        <v/>
      </c>
      <c r="C3317" s="53">
        <f>IF(A3317="","",YEAR(A3317))</f>
        <v/>
      </c>
      <c r="D3317" s="54">
        <f>IF(A3317="","",INDEX(lst_months,MONTH(A3317)))</f>
        <v/>
      </c>
      <c r="E3317" s="55" t="n"/>
      <c r="F3317" s="54">
        <f>IF(E3317="","",IFERROR(IF(INDEX(lst_exp_item_cat,MATCH(E3317,lst_exp_items,0))="","❔ Без категории",INDEX(lst_exp_item_cat,MATCH(E3317,lst_exp_items,0))),"❔ Без категории"))</f>
        <v/>
      </c>
      <c r="G3317" s="43" t="n"/>
      <c r="H3317" s="56" t="n"/>
      <c r="I3317" s="43" t="n"/>
      <c r="J3317" s="57">
        <f>IF(OR(A3317="",H3317=""),"",IF(COUNTIFS(exp_year,C3317,exp_month,D3317,exp_item,E3317,exp_status,"&lt;&gt;❌ Отменено")&gt;0,1,0))</f>
        <v/>
      </c>
    </row>
    <row r="3318">
      <c r="A3318" s="52" t="n"/>
      <c r="B3318" s="53">
        <f>IF(A3318="","",CHOOSE(WEEKDAY(A3318,2),"Пн","Вт","Ср","Чт","Пт","Сб","Вс"))</f>
        <v/>
      </c>
      <c r="C3318" s="53">
        <f>IF(A3318="","",YEAR(A3318))</f>
        <v/>
      </c>
      <c r="D3318" s="54">
        <f>IF(A3318="","",INDEX(lst_months,MONTH(A3318)))</f>
        <v/>
      </c>
      <c r="E3318" s="55" t="n"/>
      <c r="F3318" s="54">
        <f>IF(E3318="","",IFERROR(IF(INDEX(lst_exp_item_cat,MATCH(E3318,lst_exp_items,0))="","❔ Без категории",INDEX(lst_exp_item_cat,MATCH(E3318,lst_exp_items,0))),"❔ Без категории"))</f>
        <v/>
      </c>
      <c r="G3318" s="43" t="n"/>
      <c r="H3318" s="56" t="n"/>
      <c r="I3318" s="43" t="n"/>
      <c r="J3318" s="57">
        <f>IF(OR(A3318="",H3318=""),"",IF(COUNTIFS(exp_year,C3318,exp_month,D3318,exp_item,E3318,exp_status,"&lt;&gt;❌ Отменено")&gt;0,1,0))</f>
        <v/>
      </c>
    </row>
    <row r="3319">
      <c r="A3319" s="52" t="n"/>
      <c r="B3319" s="53">
        <f>IF(A3319="","",CHOOSE(WEEKDAY(A3319,2),"Пн","Вт","Ср","Чт","Пт","Сб","Вс"))</f>
        <v/>
      </c>
      <c r="C3319" s="53">
        <f>IF(A3319="","",YEAR(A3319))</f>
        <v/>
      </c>
      <c r="D3319" s="54">
        <f>IF(A3319="","",INDEX(lst_months,MONTH(A3319)))</f>
        <v/>
      </c>
      <c r="E3319" s="55" t="n"/>
      <c r="F3319" s="54">
        <f>IF(E3319="","",IFERROR(IF(INDEX(lst_exp_item_cat,MATCH(E3319,lst_exp_items,0))="","❔ Без категории",INDEX(lst_exp_item_cat,MATCH(E3319,lst_exp_items,0))),"❔ Без категории"))</f>
        <v/>
      </c>
      <c r="G3319" s="43" t="n"/>
      <c r="H3319" s="56" t="n"/>
      <c r="I3319" s="43" t="n"/>
      <c r="J3319" s="57">
        <f>IF(OR(A3319="",H3319=""),"",IF(COUNTIFS(exp_year,C3319,exp_month,D3319,exp_item,E3319,exp_status,"&lt;&gt;❌ Отменено")&gt;0,1,0))</f>
        <v/>
      </c>
    </row>
    <row r="3320">
      <c r="A3320" s="52" t="n"/>
      <c r="B3320" s="53">
        <f>IF(A3320="","",CHOOSE(WEEKDAY(A3320,2),"Пн","Вт","Ср","Чт","Пт","Сб","Вс"))</f>
        <v/>
      </c>
      <c r="C3320" s="53">
        <f>IF(A3320="","",YEAR(A3320))</f>
        <v/>
      </c>
      <c r="D3320" s="54">
        <f>IF(A3320="","",INDEX(lst_months,MONTH(A3320)))</f>
        <v/>
      </c>
      <c r="E3320" s="55" t="n"/>
      <c r="F3320" s="54">
        <f>IF(E3320="","",IFERROR(IF(INDEX(lst_exp_item_cat,MATCH(E3320,lst_exp_items,0))="","❔ Без категории",INDEX(lst_exp_item_cat,MATCH(E3320,lst_exp_items,0))),"❔ Без категории"))</f>
        <v/>
      </c>
      <c r="G3320" s="43" t="n"/>
      <c r="H3320" s="56" t="n"/>
      <c r="I3320" s="43" t="n"/>
      <c r="J3320" s="57">
        <f>IF(OR(A3320="",H3320=""),"",IF(COUNTIFS(exp_year,C3320,exp_month,D3320,exp_item,E3320,exp_status,"&lt;&gt;❌ Отменено")&gt;0,1,0))</f>
        <v/>
      </c>
    </row>
    <row r="3321">
      <c r="A3321" s="52" t="n"/>
      <c r="B3321" s="53">
        <f>IF(A3321="","",CHOOSE(WEEKDAY(A3321,2),"Пн","Вт","Ср","Чт","Пт","Сб","Вс"))</f>
        <v/>
      </c>
      <c r="C3321" s="53">
        <f>IF(A3321="","",YEAR(A3321))</f>
        <v/>
      </c>
      <c r="D3321" s="54">
        <f>IF(A3321="","",INDEX(lst_months,MONTH(A3321)))</f>
        <v/>
      </c>
      <c r="E3321" s="55" t="n"/>
      <c r="F3321" s="54">
        <f>IF(E3321="","",IFERROR(IF(INDEX(lst_exp_item_cat,MATCH(E3321,lst_exp_items,0))="","❔ Без категории",INDEX(lst_exp_item_cat,MATCH(E3321,lst_exp_items,0))),"❔ Без категории"))</f>
        <v/>
      </c>
      <c r="G3321" s="43" t="n"/>
      <c r="H3321" s="56" t="n"/>
      <c r="I3321" s="43" t="n"/>
      <c r="J3321" s="57">
        <f>IF(OR(A3321="",H3321=""),"",IF(COUNTIFS(exp_year,C3321,exp_month,D3321,exp_item,E3321,exp_status,"&lt;&gt;❌ Отменено")&gt;0,1,0))</f>
        <v/>
      </c>
    </row>
    <row r="3322">
      <c r="A3322" s="52" t="n"/>
      <c r="B3322" s="53">
        <f>IF(A3322="","",CHOOSE(WEEKDAY(A3322,2),"Пн","Вт","Ср","Чт","Пт","Сб","Вс"))</f>
        <v/>
      </c>
      <c r="C3322" s="53">
        <f>IF(A3322="","",YEAR(A3322))</f>
        <v/>
      </c>
      <c r="D3322" s="54">
        <f>IF(A3322="","",INDEX(lst_months,MONTH(A3322)))</f>
        <v/>
      </c>
      <c r="E3322" s="55" t="n"/>
      <c r="F3322" s="54">
        <f>IF(E3322="","",IFERROR(IF(INDEX(lst_exp_item_cat,MATCH(E3322,lst_exp_items,0))="","❔ Без категории",INDEX(lst_exp_item_cat,MATCH(E3322,lst_exp_items,0))),"❔ Без категории"))</f>
        <v/>
      </c>
      <c r="G3322" s="43" t="n"/>
      <c r="H3322" s="56" t="n"/>
      <c r="I3322" s="43" t="n"/>
      <c r="J3322" s="57">
        <f>IF(OR(A3322="",H3322=""),"",IF(COUNTIFS(exp_year,C3322,exp_month,D3322,exp_item,E3322,exp_status,"&lt;&gt;❌ Отменено")&gt;0,1,0))</f>
        <v/>
      </c>
    </row>
    <row r="3323">
      <c r="A3323" s="52" t="n"/>
      <c r="B3323" s="53">
        <f>IF(A3323="","",CHOOSE(WEEKDAY(A3323,2),"Пн","Вт","Ср","Чт","Пт","Сб","Вс"))</f>
        <v/>
      </c>
      <c r="C3323" s="53">
        <f>IF(A3323="","",YEAR(A3323))</f>
        <v/>
      </c>
      <c r="D3323" s="54">
        <f>IF(A3323="","",INDEX(lst_months,MONTH(A3323)))</f>
        <v/>
      </c>
      <c r="E3323" s="55" t="n"/>
      <c r="F3323" s="54">
        <f>IF(E3323="","",IFERROR(IF(INDEX(lst_exp_item_cat,MATCH(E3323,lst_exp_items,0))="","❔ Без категории",INDEX(lst_exp_item_cat,MATCH(E3323,lst_exp_items,0))),"❔ Без категории"))</f>
        <v/>
      </c>
      <c r="G3323" s="43" t="n"/>
      <c r="H3323" s="56" t="n"/>
      <c r="I3323" s="43" t="n"/>
      <c r="J3323" s="57">
        <f>IF(OR(A3323="",H3323=""),"",IF(COUNTIFS(exp_year,C3323,exp_month,D3323,exp_item,E3323,exp_status,"&lt;&gt;❌ Отменено")&gt;0,1,0))</f>
        <v/>
      </c>
    </row>
    <row r="3324">
      <c r="A3324" s="52" t="n"/>
      <c r="B3324" s="53">
        <f>IF(A3324="","",CHOOSE(WEEKDAY(A3324,2),"Пн","Вт","Ср","Чт","Пт","Сб","Вс"))</f>
        <v/>
      </c>
      <c r="C3324" s="53">
        <f>IF(A3324="","",YEAR(A3324))</f>
        <v/>
      </c>
      <c r="D3324" s="54">
        <f>IF(A3324="","",INDEX(lst_months,MONTH(A3324)))</f>
        <v/>
      </c>
      <c r="E3324" s="55" t="n"/>
      <c r="F3324" s="54">
        <f>IF(E3324="","",IFERROR(IF(INDEX(lst_exp_item_cat,MATCH(E3324,lst_exp_items,0))="","❔ Без категории",INDEX(lst_exp_item_cat,MATCH(E3324,lst_exp_items,0))),"❔ Без категории"))</f>
        <v/>
      </c>
      <c r="G3324" s="43" t="n"/>
      <c r="H3324" s="56" t="n"/>
      <c r="I3324" s="43" t="n"/>
      <c r="J3324" s="57">
        <f>IF(OR(A3324="",H3324=""),"",IF(COUNTIFS(exp_year,C3324,exp_month,D3324,exp_item,E3324,exp_status,"&lt;&gt;❌ Отменено")&gt;0,1,0))</f>
        <v/>
      </c>
    </row>
    <row r="3325">
      <c r="A3325" s="52" t="n"/>
      <c r="B3325" s="53">
        <f>IF(A3325="","",CHOOSE(WEEKDAY(A3325,2),"Пн","Вт","Ср","Чт","Пт","Сб","Вс"))</f>
        <v/>
      </c>
      <c r="C3325" s="53">
        <f>IF(A3325="","",YEAR(A3325))</f>
        <v/>
      </c>
      <c r="D3325" s="54">
        <f>IF(A3325="","",INDEX(lst_months,MONTH(A3325)))</f>
        <v/>
      </c>
      <c r="E3325" s="55" t="n"/>
      <c r="F3325" s="54">
        <f>IF(E3325="","",IFERROR(IF(INDEX(lst_exp_item_cat,MATCH(E3325,lst_exp_items,0))="","❔ Без категории",INDEX(lst_exp_item_cat,MATCH(E3325,lst_exp_items,0))),"❔ Без категории"))</f>
        <v/>
      </c>
      <c r="G3325" s="43" t="n"/>
      <c r="H3325" s="56" t="n"/>
      <c r="I3325" s="43" t="n"/>
      <c r="J3325" s="57">
        <f>IF(OR(A3325="",H3325=""),"",IF(COUNTIFS(exp_year,C3325,exp_month,D3325,exp_item,E3325,exp_status,"&lt;&gt;❌ Отменено")&gt;0,1,0))</f>
        <v/>
      </c>
    </row>
    <row r="3326">
      <c r="A3326" s="52" t="n"/>
      <c r="B3326" s="53">
        <f>IF(A3326="","",CHOOSE(WEEKDAY(A3326,2),"Пн","Вт","Ср","Чт","Пт","Сб","Вс"))</f>
        <v/>
      </c>
      <c r="C3326" s="53">
        <f>IF(A3326="","",YEAR(A3326))</f>
        <v/>
      </c>
      <c r="D3326" s="54">
        <f>IF(A3326="","",INDEX(lst_months,MONTH(A3326)))</f>
        <v/>
      </c>
      <c r="E3326" s="55" t="n"/>
      <c r="F3326" s="54">
        <f>IF(E3326="","",IFERROR(IF(INDEX(lst_exp_item_cat,MATCH(E3326,lst_exp_items,0))="","❔ Без категории",INDEX(lst_exp_item_cat,MATCH(E3326,lst_exp_items,0))),"❔ Без категории"))</f>
        <v/>
      </c>
      <c r="G3326" s="43" t="n"/>
      <c r="H3326" s="56" t="n"/>
      <c r="I3326" s="43" t="n"/>
      <c r="J3326" s="57">
        <f>IF(OR(A3326="",H3326=""),"",IF(COUNTIFS(exp_year,C3326,exp_month,D3326,exp_item,E3326,exp_status,"&lt;&gt;❌ Отменено")&gt;0,1,0))</f>
        <v/>
      </c>
    </row>
    <row r="3327">
      <c r="A3327" s="52" t="n"/>
      <c r="B3327" s="53">
        <f>IF(A3327="","",CHOOSE(WEEKDAY(A3327,2),"Пн","Вт","Ср","Чт","Пт","Сб","Вс"))</f>
        <v/>
      </c>
      <c r="C3327" s="53">
        <f>IF(A3327="","",YEAR(A3327))</f>
        <v/>
      </c>
      <c r="D3327" s="54">
        <f>IF(A3327="","",INDEX(lst_months,MONTH(A3327)))</f>
        <v/>
      </c>
      <c r="E3327" s="55" t="n"/>
      <c r="F3327" s="54">
        <f>IF(E3327="","",IFERROR(IF(INDEX(lst_exp_item_cat,MATCH(E3327,lst_exp_items,0))="","❔ Без категории",INDEX(lst_exp_item_cat,MATCH(E3327,lst_exp_items,0))),"❔ Без категории"))</f>
        <v/>
      </c>
      <c r="G3327" s="43" t="n"/>
      <c r="H3327" s="56" t="n"/>
      <c r="I3327" s="43" t="n"/>
      <c r="J3327" s="57">
        <f>IF(OR(A3327="",H3327=""),"",IF(COUNTIFS(exp_year,C3327,exp_month,D3327,exp_item,E3327,exp_status,"&lt;&gt;❌ Отменено")&gt;0,1,0))</f>
        <v/>
      </c>
    </row>
    <row r="3328">
      <c r="A3328" s="52" t="n"/>
      <c r="B3328" s="53">
        <f>IF(A3328="","",CHOOSE(WEEKDAY(A3328,2),"Пн","Вт","Ср","Чт","Пт","Сб","Вс"))</f>
        <v/>
      </c>
      <c r="C3328" s="53">
        <f>IF(A3328="","",YEAR(A3328))</f>
        <v/>
      </c>
      <c r="D3328" s="54">
        <f>IF(A3328="","",INDEX(lst_months,MONTH(A3328)))</f>
        <v/>
      </c>
      <c r="E3328" s="55" t="n"/>
      <c r="F3328" s="54">
        <f>IF(E3328="","",IFERROR(IF(INDEX(lst_exp_item_cat,MATCH(E3328,lst_exp_items,0))="","❔ Без категории",INDEX(lst_exp_item_cat,MATCH(E3328,lst_exp_items,0))),"❔ Без категории"))</f>
        <v/>
      </c>
      <c r="G3328" s="43" t="n"/>
      <c r="H3328" s="56" t="n"/>
      <c r="I3328" s="43" t="n"/>
      <c r="J3328" s="57">
        <f>IF(OR(A3328="",H3328=""),"",IF(COUNTIFS(exp_year,C3328,exp_month,D3328,exp_item,E3328,exp_status,"&lt;&gt;❌ Отменено")&gt;0,1,0))</f>
        <v/>
      </c>
    </row>
    <row r="3329">
      <c r="A3329" s="52" t="n"/>
      <c r="B3329" s="53">
        <f>IF(A3329="","",CHOOSE(WEEKDAY(A3329,2),"Пн","Вт","Ср","Чт","Пт","Сб","Вс"))</f>
        <v/>
      </c>
      <c r="C3329" s="53">
        <f>IF(A3329="","",YEAR(A3329))</f>
        <v/>
      </c>
      <c r="D3329" s="54">
        <f>IF(A3329="","",INDEX(lst_months,MONTH(A3329)))</f>
        <v/>
      </c>
      <c r="E3329" s="55" t="n"/>
      <c r="F3329" s="54">
        <f>IF(E3329="","",IFERROR(IF(INDEX(lst_exp_item_cat,MATCH(E3329,lst_exp_items,0))="","❔ Без категории",INDEX(lst_exp_item_cat,MATCH(E3329,lst_exp_items,0))),"❔ Без категории"))</f>
        <v/>
      </c>
      <c r="G3329" s="43" t="n"/>
      <c r="H3329" s="56" t="n"/>
      <c r="I3329" s="43" t="n"/>
      <c r="J3329" s="57">
        <f>IF(OR(A3329="",H3329=""),"",IF(COUNTIFS(exp_year,C3329,exp_month,D3329,exp_item,E3329,exp_status,"&lt;&gt;❌ Отменено")&gt;0,1,0))</f>
        <v/>
      </c>
    </row>
    <row r="3330">
      <c r="A3330" s="52" t="n"/>
      <c r="B3330" s="53">
        <f>IF(A3330="","",CHOOSE(WEEKDAY(A3330,2),"Пн","Вт","Ср","Чт","Пт","Сб","Вс"))</f>
        <v/>
      </c>
      <c r="C3330" s="53">
        <f>IF(A3330="","",YEAR(A3330))</f>
        <v/>
      </c>
      <c r="D3330" s="54">
        <f>IF(A3330="","",INDEX(lst_months,MONTH(A3330)))</f>
        <v/>
      </c>
      <c r="E3330" s="55" t="n"/>
      <c r="F3330" s="54">
        <f>IF(E3330="","",IFERROR(IF(INDEX(lst_exp_item_cat,MATCH(E3330,lst_exp_items,0))="","❔ Без категории",INDEX(lst_exp_item_cat,MATCH(E3330,lst_exp_items,0))),"❔ Без категории"))</f>
        <v/>
      </c>
      <c r="G3330" s="43" t="n"/>
      <c r="H3330" s="56" t="n"/>
      <c r="I3330" s="43" t="n"/>
      <c r="J3330" s="57">
        <f>IF(OR(A3330="",H3330=""),"",IF(COUNTIFS(exp_year,C3330,exp_month,D3330,exp_item,E3330,exp_status,"&lt;&gt;❌ Отменено")&gt;0,1,0))</f>
        <v/>
      </c>
    </row>
    <row r="3331">
      <c r="A3331" s="52" t="n"/>
      <c r="B3331" s="53">
        <f>IF(A3331="","",CHOOSE(WEEKDAY(A3331,2),"Пн","Вт","Ср","Чт","Пт","Сб","Вс"))</f>
        <v/>
      </c>
      <c r="C3331" s="53">
        <f>IF(A3331="","",YEAR(A3331))</f>
        <v/>
      </c>
      <c r="D3331" s="54">
        <f>IF(A3331="","",INDEX(lst_months,MONTH(A3331)))</f>
        <v/>
      </c>
      <c r="E3331" s="55" t="n"/>
      <c r="F3331" s="54">
        <f>IF(E3331="","",IFERROR(IF(INDEX(lst_exp_item_cat,MATCH(E3331,lst_exp_items,0))="","❔ Без категории",INDEX(lst_exp_item_cat,MATCH(E3331,lst_exp_items,0))),"❔ Без категории"))</f>
        <v/>
      </c>
      <c r="G3331" s="43" t="n"/>
      <c r="H3331" s="56" t="n"/>
      <c r="I3331" s="43" t="n"/>
      <c r="J3331" s="57">
        <f>IF(OR(A3331="",H3331=""),"",IF(COUNTIFS(exp_year,C3331,exp_month,D3331,exp_item,E3331,exp_status,"&lt;&gt;❌ Отменено")&gt;0,1,0))</f>
        <v/>
      </c>
    </row>
    <row r="3332">
      <c r="A3332" s="52" t="n"/>
      <c r="B3332" s="53">
        <f>IF(A3332="","",CHOOSE(WEEKDAY(A3332,2),"Пн","Вт","Ср","Чт","Пт","Сб","Вс"))</f>
        <v/>
      </c>
      <c r="C3332" s="53">
        <f>IF(A3332="","",YEAR(A3332))</f>
        <v/>
      </c>
      <c r="D3332" s="54">
        <f>IF(A3332="","",INDEX(lst_months,MONTH(A3332)))</f>
        <v/>
      </c>
      <c r="E3332" s="55" t="n"/>
      <c r="F3332" s="54">
        <f>IF(E3332="","",IFERROR(IF(INDEX(lst_exp_item_cat,MATCH(E3332,lst_exp_items,0))="","❔ Без категории",INDEX(lst_exp_item_cat,MATCH(E3332,lst_exp_items,0))),"❔ Без категории"))</f>
        <v/>
      </c>
      <c r="G3332" s="43" t="n"/>
      <c r="H3332" s="56" t="n"/>
      <c r="I3332" s="43" t="n"/>
      <c r="J3332" s="57">
        <f>IF(OR(A3332="",H3332=""),"",IF(COUNTIFS(exp_year,C3332,exp_month,D3332,exp_item,E3332,exp_status,"&lt;&gt;❌ Отменено")&gt;0,1,0))</f>
        <v/>
      </c>
    </row>
    <row r="3333">
      <c r="A3333" s="52" t="n"/>
      <c r="B3333" s="53">
        <f>IF(A3333="","",CHOOSE(WEEKDAY(A3333,2),"Пн","Вт","Ср","Чт","Пт","Сб","Вс"))</f>
        <v/>
      </c>
      <c r="C3333" s="53">
        <f>IF(A3333="","",YEAR(A3333))</f>
        <v/>
      </c>
      <c r="D3333" s="54">
        <f>IF(A3333="","",INDEX(lst_months,MONTH(A3333)))</f>
        <v/>
      </c>
      <c r="E3333" s="55" t="n"/>
      <c r="F3333" s="54">
        <f>IF(E3333="","",IFERROR(IF(INDEX(lst_exp_item_cat,MATCH(E3333,lst_exp_items,0))="","❔ Без категории",INDEX(lst_exp_item_cat,MATCH(E3333,lst_exp_items,0))),"❔ Без категории"))</f>
        <v/>
      </c>
      <c r="G3333" s="43" t="n"/>
      <c r="H3333" s="56" t="n"/>
      <c r="I3333" s="43" t="n"/>
      <c r="J3333" s="57">
        <f>IF(OR(A3333="",H3333=""),"",IF(COUNTIFS(exp_year,C3333,exp_month,D3333,exp_item,E3333,exp_status,"&lt;&gt;❌ Отменено")&gt;0,1,0))</f>
        <v/>
      </c>
    </row>
    <row r="3334">
      <c r="A3334" s="52" t="n"/>
      <c r="B3334" s="53">
        <f>IF(A3334="","",CHOOSE(WEEKDAY(A3334,2),"Пн","Вт","Ср","Чт","Пт","Сб","Вс"))</f>
        <v/>
      </c>
      <c r="C3334" s="53">
        <f>IF(A3334="","",YEAR(A3334))</f>
        <v/>
      </c>
      <c r="D3334" s="54">
        <f>IF(A3334="","",INDEX(lst_months,MONTH(A3334)))</f>
        <v/>
      </c>
      <c r="E3334" s="55" t="n"/>
      <c r="F3334" s="54">
        <f>IF(E3334="","",IFERROR(IF(INDEX(lst_exp_item_cat,MATCH(E3334,lst_exp_items,0))="","❔ Без категории",INDEX(lst_exp_item_cat,MATCH(E3334,lst_exp_items,0))),"❔ Без категории"))</f>
        <v/>
      </c>
      <c r="G3334" s="43" t="n"/>
      <c r="H3334" s="56" t="n"/>
      <c r="I3334" s="43" t="n"/>
      <c r="J3334" s="57">
        <f>IF(OR(A3334="",H3334=""),"",IF(COUNTIFS(exp_year,C3334,exp_month,D3334,exp_item,E3334,exp_status,"&lt;&gt;❌ Отменено")&gt;0,1,0))</f>
        <v/>
      </c>
    </row>
    <row r="3335">
      <c r="A3335" s="52" t="n"/>
      <c r="B3335" s="53">
        <f>IF(A3335="","",CHOOSE(WEEKDAY(A3335,2),"Пн","Вт","Ср","Чт","Пт","Сб","Вс"))</f>
        <v/>
      </c>
      <c r="C3335" s="53">
        <f>IF(A3335="","",YEAR(A3335))</f>
        <v/>
      </c>
      <c r="D3335" s="54">
        <f>IF(A3335="","",INDEX(lst_months,MONTH(A3335)))</f>
        <v/>
      </c>
      <c r="E3335" s="55" t="n"/>
      <c r="F3335" s="54">
        <f>IF(E3335="","",IFERROR(IF(INDEX(lst_exp_item_cat,MATCH(E3335,lst_exp_items,0))="","❔ Без категории",INDEX(lst_exp_item_cat,MATCH(E3335,lst_exp_items,0))),"❔ Без категории"))</f>
        <v/>
      </c>
      <c r="G3335" s="43" t="n"/>
      <c r="H3335" s="56" t="n"/>
      <c r="I3335" s="43" t="n"/>
      <c r="J3335" s="57">
        <f>IF(OR(A3335="",H3335=""),"",IF(COUNTIFS(exp_year,C3335,exp_month,D3335,exp_item,E3335,exp_status,"&lt;&gt;❌ Отменено")&gt;0,1,0))</f>
        <v/>
      </c>
    </row>
    <row r="3336">
      <c r="A3336" s="52" t="n"/>
      <c r="B3336" s="53">
        <f>IF(A3336="","",CHOOSE(WEEKDAY(A3336,2),"Пн","Вт","Ср","Чт","Пт","Сб","Вс"))</f>
        <v/>
      </c>
      <c r="C3336" s="53">
        <f>IF(A3336="","",YEAR(A3336))</f>
        <v/>
      </c>
      <c r="D3336" s="54">
        <f>IF(A3336="","",INDEX(lst_months,MONTH(A3336)))</f>
        <v/>
      </c>
      <c r="E3336" s="55" t="n"/>
      <c r="F3336" s="54">
        <f>IF(E3336="","",IFERROR(IF(INDEX(lst_exp_item_cat,MATCH(E3336,lst_exp_items,0))="","❔ Без категории",INDEX(lst_exp_item_cat,MATCH(E3336,lst_exp_items,0))),"❔ Без категории"))</f>
        <v/>
      </c>
      <c r="G3336" s="43" t="n"/>
      <c r="H3336" s="56" t="n"/>
      <c r="I3336" s="43" t="n"/>
      <c r="J3336" s="57">
        <f>IF(OR(A3336="",H3336=""),"",IF(COUNTIFS(exp_year,C3336,exp_month,D3336,exp_item,E3336,exp_status,"&lt;&gt;❌ Отменено")&gt;0,1,0))</f>
        <v/>
      </c>
    </row>
    <row r="3337">
      <c r="A3337" s="52" t="n"/>
      <c r="B3337" s="53">
        <f>IF(A3337="","",CHOOSE(WEEKDAY(A3337,2),"Пн","Вт","Ср","Чт","Пт","Сб","Вс"))</f>
        <v/>
      </c>
      <c r="C3337" s="53">
        <f>IF(A3337="","",YEAR(A3337))</f>
        <v/>
      </c>
      <c r="D3337" s="54">
        <f>IF(A3337="","",INDEX(lst_months,MONTH(A3337)))</f>
        <v/>
      </c>
      <c r="E3337" s="55" t="n"/>
      <c r="F3337" s="54">
        <f>IF(E3337="","",IFERROR(IF(INDEX(lst_exp_item_cat,MATCH(E3337,lst_exp_items,0))="","❔ Без категории",INDEX(lst_exp_item_cat,MATCH(E3337,lst_exp_items,0))),"❔ Без категории"))</f>
        <v/>
      </c>
      <c r="G3337" s="43" t="n"/>
      <c r="H3337" s="56" t="n"/>
      <c r="I3337" s="43" t="n"/>
      <c r="J3337" s="57">
        <f>IF(OR(A3337="",H3337=""),"",IF(COUNTIFS(exp_year,C3337,exp_month,D3337,exp_item,E3337,exp_status,"&lt;&gt;❌ Отменено")&gt;0,1,0))</f>
        <v/>
      </c>
    </row>
    <row r="3338">
      <c r="A3338" s="52" t="n"/>
      <c r="B3338" s="53">
        <f>IF(A3338="","",CHOOSE(WEEKDAY(A3338,2),"Пн","Вт","Ср","Чт","Пт","Сб","Вс"))</f>
        <v/>
      </c>
      <c r="C3338" s="53">
        <f>IF(A3338="","",YEAR(A3338))</f>
        <v/>
      </c>
      <c r="D3338" s="54">
        <f>IF(A3338="","",INDEX(lst_months,MONTH(A3338)))</f>
        <v/>
      </c>
      <c r="E3338" s="55" t="n"/>
      <c r="F3338" s="54">
        <f>IF(E3338="","",IFERROR(IF(INDEX(lst_exp_item_cat,MATCH(E3338,lst_exp_items,0))="","❔ Без категории",INDEX(lst_exp_item_cat,MATCH(E3338,lst_exp_items,0))),"❔ Без категории"))</f>
        <v/>
      </c>
      <c r="G3338" s="43" t="n"/>
      <c r="H3338" s="56" t="n"/>
      <c r="I3338" s="43" t="n"/>
      <c r="J3338" s="57">
        <f>IF(OR(A3338="",H3338=""),"",IF(COUNTIFS(exp_year,C3338,exp_month,D3338,exp_item,E3338,exp_status,"&lt;&gt;❌ Отменено")&gt;0,1,0))</f>
        <v/>
      </c>
    </row>
    <row r="3339">
      <c r="A3339" s="52" t="n"/>
      <c r="B3339" s="53">
        <f>IF(A3339="","",CHOOSE(WEEKDAY(A3339,2),"Пн","Вт","Ср","Чт","Пт","Сб","Вс"))</f>
        <v/>
      </c>
      <c r="C3339" s="53">
        <f>IF(A3339="","",YEAR(A3339))</f>
        <v/>
      </c>
      <c r="D3339" s="54">
        <f>IF(A3339="","",INDEX(lst_months,MONTH(A3339)))</f>
        <v/>
      </c>
      <c r="E3339" s="55" t="n"/>
      <c r="F3339" s="54">
        <f>IF(E3339="","",IFERROR(IF(INDEX(lst_exp_item_cat,MATCH(E3339,lst_exp_items,0))="","❔ Без категории",INDEX(lst_exp_item_cat,MATCH(E3339,lst_exp_items,0))),"❔ Без категории"))</f>
        <v/>
      </c>
      <c r="G3339" s="43" t="n"/>
      <c r="H3339" s="56" t="n"/>
      <c r="I3339" s="43" t="n"/>
      <c r="J3339" s="57">
        <f>IF(OR(A3339="",H3339=""),"",IF(COUNTIFS(exp_year,C3339,exp_month,D3339,exp_item,E3339,exp_status,"&lt;&gt;❌ Отменено")&gt;0,1,0))</f>
        <v/>
      </c>
    </row>
    <row r="3340">
      <c r="A3340" s="52" t="n"/>
      <c r="B3340" s="53">
        <f>IF(A3340="","",CHOOSE(WEEKDAY(A3340,2),"Пн","Вт","Ср","Чт","Пт","Сб","Вс"))</f>
        <v/>
      </c>
      <c r="C3340" s="53">
        <f>IF(A3340="","",YEAR(A3340))</f>
        <v/>
      </c>
      <c r="D3340" s="54">
        <f>IF(A3340="","",INDEX(lst_months,MONTH(A3340)))</f>
        <v/>
      </c>
      <c r="E3340" s="55" t="n"/>
      <c r="F3340" s="54">
        <f>IF(E3340="","",IFERROR(IF(INDEX(lst_exp_item_cat,MATCH(E3340,lst_exp_items,0))="","❔ Без категории",INDEX(lst_exp_item_cat,MATCH(E3340,lst_exp_items,0))),"❔ Без категории"))</f>
        <v/>
      </c>
      <c r="G3340" s="43" t="n"/>
      <c r="H3340" s="56" t="n"/>
      <c r="I3340" s="43" t="n"/>
      <c r="J3340" s="57">
        <f>IF(OR(A3340="",H3340=""),"",IF(COUNTIFS(exp_year,C3340,exp_month,D3340,exp_item,E3340,exp_status,"&lt;&gt;❌ Отменено")&gt;0,1,0))</f>
        <v/>
      </c>
    </row>
    <row r="3341">
      <c r="A3341" s="52" t="n"/>
      <c r="B3341" s="53">
        <f>IF(A3341="","",CHOOSE(WEEKDAY(A3341,2),"Пн","Вт","Ср","Чт","Пт","Сб","Вс"))</f>
        <v/>
      </c>
      <c r="C3341" s="53">
        <f>IF(A3341="","",YEAR(A3341))</f>
        <v/>
      </c>
      <c r="D3341" s="54">
        <f>IF(A3341="","",INDEX(lst_months,MONTH(A3341)))</f>
        <v/>
      </c>
      <c r="E3341" s="55" t="n"/>
      <c r="F3341" s="54">
        <f>IF(E3341="","",IFERROR(IF(INDEX(lst_exp_item_cat,MATCH(E3341,lst_exp_items,0))="","❔ Без категории",INDEX(lst_exp_item_cat,MATCH(E3341,lst_exp_items,0))),"❔ Без категории"))</f>
        <v/>
      </c>
      <c r="G3341" s="43" t="n"/>
      <c r="H3341" s="56" t="n"/>
      <c r="I3341" s="43" t="n"/>
      <c r="J3341" s="57">
        <f>IF(OR(A3341="",H3341=""),"",IF(COUNTIFS(exp_year,C3341,exp_month,D3341,exp_item,E3341,exp_status,"&lt;&gt;❌ Отменено")&gt;0,1,0))</f>
        <v/>
      </c>
    </row>
    <row r="3342">
      <c r="A3342" s="52" t="n"/>
      <c r="B3342" s="53">
        <f>IF(A3342="","",CHOOSE(WEEKDAY(A3342,2),"Пн","Вт","Ср","Чт","Пт","Сб","Вс"))</f>
        <v/>
      </c>
      <c r="C3342" s="53">
        <f>IF(A3342="","",YEAR(A3342))</f>
        <v/>
      </c>
      <c r="D3342" s="54">
        <f>IF(A3342="","",INDEX(lst_months,MONTH(A3342)))</f>
        <v/>
      </c>
      <c r="E3342" s="55" t="n"/>
      <c r="F3342" s="54">
        <f>IF(E3342="","",IFERROR(IF(INDEX(lst_exp_item_cat,MATCH(E3342,lst_exp_items,0))="","❔ Без категории",INDEX(lst_exp_item_cat,MATCH(E3342,lst_exp_items,0))),"❔ Без категории"))</f>
        <v/>
      </c>
      <c r="G3342" s="43" t="n"/>
      <c r="H3342" s="56" t="n"/>
      <c r="I3342" s="43" t="n"/>
      <c r="J3342" s="57">
        <f>IF(OR(A3342="",H3342=""),"",IF(COUNTIFS(exp_year,C3342,exp_month,D3342,exp_item,E3342,exp_status,"&lt;&gt;❌ Отменено")&gt;0,1,0))</f>
        <v/>
      </c>
    </row>
    <row r="3343">
      <c r="A3343" s="52" t="n"/>
      <c r="B3343" s="53">
        <f>IF(A3343="","",CHOOSE(WEEKDAY(A3343,2),"Пн","Вт","Ср","Чт","Пт","Сб","Вс"))</f>
        <v/>
      </c>
      <c r="C3343" s="53">
        <f>IF(A3343="","",YEAR(A3343))</f>
        <v/>
      </c>
      <c r="D3343" s="54">
        <f>IF(A3343="","",INDEX(lst_months,MONTH(A3343)))</f>
        <v/>
      </c>
      <c r="E3343" s="55" t="n"/>
      <c r="F3343" s="54">
        <f>IF(E3343="","",IFERROR(IF(INDEX(lst_exp_item_cat,MATCH(E3343,lst_exp_items,0))="","❔ Без категории",INDEX(lst_exp_item_cat,MATCH(E3343,lst_exp_items,0))),"❔ Без категории"))</f>
        <v/>
      </c>
      <c r="G3343" s="43" t="n"/>
      <c r="H3343" s="56" t="n"/>
      <c r="I3343" s="43" t="n"/>
      <c r="J3343" s="57">
        <f>IF(OR(A3343="",H3343=""),"",IF(COUNTIFS(exp_year,C3343,exp_month,D3343,exp_item,E3343,exp_status,"&lt;&gt;❌ Отменено")&gt;0,1,0))</f>
        <v/>
      </c>
    </row>
    <row r="3344">
      <c r="A3344" s="52" t="n"/>
      <c r="B3344" s="53">
        <f>IF(A3344="","",CHOOSE(WEEKDAY(A3344,2),"Пн","Вт","Ср","Чт","Пт","Сб","Вс"))</f>
        <v/>
      </c>
      <c r="C3344" s="53">
        <f>IF(A3344="","",YEAR(A3344))</f>
        <v/>
      </c>
      <c r="D3344" s="54">
        <f>IF(A3344="","",INDEX(lst_months,MONTH(A3344)))</f>
        <v/>
      </c>
      <c r="E3344" s="55" t="n"/>
      <c r="F3344" s="54">
        <f>IF(E3344="","",IFERROR(IF(INDEX(lst_exp_item_cat,MATCH(E3344,lst_exp_items,0))="","❔ Без категории",INDEX(lst_exp_item_cat,MATCH(E3344,lst_exp_items,0))),"❔ Без категории"))</f>
        <v/>
      </c>
      <c r="G3344" s="43" t="n"/>
      <c r="H3344" s="56" t="n"/>
      <c r="I3344" s="43" t="n"/>
      <c r="J3344" s="57">
        <f>IF(OR(A3344="",H3344=""),"",IF(COUNTIFS(exp_year,C3344,exp_month,D3344,exp_item,E3344,exp_status,"&lt;&gt;❌ Отменено")&gt;0,1,0))</f>
        <v/>
      </c>
    </row>
    <row r="3345">
      <c r="A3345" s="52" t="n"/>
      <c r="B3345" s="53">
        <f>IF(A3345="","",CHOOSE(WEEKDAY(A3345,2),"Пн","Вт","Ср","Чт","Пт","Сб","Вс"))</f>
        <v/>
      </c>
      <c r="C3345" s="53">
        <f>IF(A3345="","",YEAR(A3345))</f>
        <v/>
      </c>
      <c r="D3345" s="54">
        <f>IF(A3345="","",INDEX(lst_months,MONTH(A3345)))</f>
        <v/>
      </c>
      <c r="E3345" s="55" t="n"/>
      <c r="F3345" s="54">
        <f>IF(E3345="","",IFERROR(IF(INDEX(lst_exp_item_cat,MATCH(E3345,lst_exp_items,0))="","❔ Без категории",INDEX(lst_exp_item_cat,MATCH(E3345,lst_exp_items,0))),"❔ Без категории"))</f>
        <v/>
      </c>
      <c r="G3345" s="43" t="n"/>
      <c r="H3345" s="56" t="n"/>
      <c r="I3345" s="43" t="n"/>
      <c r="J3345" s="57">
        <f>IF(OR(A3345="",H3345=""),"",IF(COUNTIFS(exp_year,C3345,exp_month,D3345,exp_item,E3345,exp_status,"&lt;&gt;❌ Отменено")&gt;0,1,0))</f>
        <v/>
      </c>
    </row>
    <row r="3346">
      <c r="A3346" s="52" t="n"/>
      <c r="B3346" s="53">
        <f>IF(A3346="","",CHOOSE(WEEKDAY(A3346,2),"Пн","Вт","Ср","Чт","Пт","Сб","Вс"))</f>
        <v/>
      </c>
      <c r="C3346" s="53">
        <f>IF(A3346="","",YEAR(A3346))</f>
        <v/>
      </c>
      <c r="D3346" s="54">
        <f>IF(A3346="","",INDEX(lst_months,MONTH(A3346)))</f>
        <v/>
      </c>
      <c r="E3346" s="55" t="n"/>
      <c r="F3346" s="54">
        <f>IF(E3346="","",IFERROR(IF(INDEX(lst_exp_item_cat,MATCH(E3346,lst_exp_items,0))="","❔ Без категории",INDEX(lst_exp_item_cat,MATCH(E3346,lst_exp_items,0))),"❔ Без категории"))</f>
        <v/>
      </c>
      <c r="G3346" s="43" t="n"/>
      <c r="H3346" s="56" t="n"/>
      <c r="I3346" s="43" t="n"/>
      <c r="J3346" s="57">
        <f>IF(OR(A3346="",H3346=""),"",IF(COUNTIFS(exp_year,C3346,exp_month,D3346,exp_item,E3346,exp_status,"&lt;&gt;❌ Отменено")&gt;0,1,0))</f>
        <v/>
      </c>
    </row>
    <row r="3347">
      <c r="A3347" s="52" t="n"/>
      <c r="B3347" s="53">
        <f>IF(A3347="","",CHOOSE(WEEKDAY(A3347,2),"Пн","Вт","Ср","Чт","Пт","Сб","Вс"))</f>
        <v/>
      </c>
      <c r="C3347" s="53">
        <f>IF(A3347="","",YEAR(A3347))</f>
        <v/>
      </c>
      <c r="D3347" s="54">
        <f>IF(A3347="","",INDEX(lst_months,MONTH(A3347)))</f>
        <v/>
      </c>
      <c r="E3347" s="55" t="n"/>
      <c r="F3347" s="54">
        <f>IF(E3347="","",IFERROR(IF(INDEX(lst_exp_item_cat,MATCH(E3347,lst_exp_items,0))="","❔ Без категории",INDEX(lst_exp_item_cat,MATCH(E3347,lst_exp_items,0))),"❔ Без категории"))</f>
        <v/>
      </c>
      <c r="G3347" s="43" t="n"/>
      <c r="H3347" s="56" t="n"/>
      <c r="I3347" s="43" t="n"/>
      <c r="J3347" s="57">
        <f>IF(OR(A3347="",H3347=""),"",IF(COUNTIFS(exp_year,C3347,exp_month,D3347,exp_item,E3347,exp_status,"&lt;&gt;❌ Отменено")&gt;0,1,0))</f>
        <v/>
      </c>
    </row>
    <row r="3348">
      <c r="A3348" s="52" t="n"/>
      <c r="B3348" s="53">
        <f>IF(A3348="","",CHOOSE(WEEKDAY(A3348,2),"Пн","Вт","Ср","Чт","Пт","Сб","Вс"))</f>
        <v/>
      </c>
      <c r="C3348" s="53">
        <f>IF(A3348="","",YEAR(A3348))</f>
        <v/>
      </c>
      <c r="D3348" s="54">
        <f>IF(A3348="","",INDEX(lst_months,MONTH(A3348)))</f>
        <v/>
      </c>
      <c r="E3348" s="55" t="n"/>
      <c r="F3348" s="54">
        <f>IF(E3348="","",IFERROR(IF(INDEX(lst_exp_item_cat,MATCH(E3348,lst_exp_items,0))="","❔ Без категории",INDEX(lst_exp_item_cat,MATCH(E3348,lst_exp_items,0))),"❔ Без категории"))</f>
        <v/>
      </c>
      <c r="G3348" s="43" t="n"/>
      <c r="H3348" s="56" t="n"/>
      <c r="I3348" s="43" t="n"/>
      <c r="J3348" s="57">
        <f>IF(OR(A3348="",H3348=""),"",IF(COUNTIFS(exp_year,C3348,exp_month,D3348,exp_item,E3348,exp_status,"&lt;&gt;❌ Отменено")&gt;0,1,0))</f>
        <v/>
      </c>
    </row>
    <row r="3349">
      <c r="A3349" s="52" t="n"/>
      <c r="B3349" s="53">
        <f>IF(A3349="","",CHOOSE(WEEKDAY(A3349,2),"Пн","Вт","Ср","Чт","Пт","Сб","Вс"))</f>
        <v/>
      </c>
      <c r="C3349" s="53">
        <f>IF(A3349="","",YEAR(A3349))</f>
        <v/>
      </c>
      <c r="D3349" s="54">
        <f>IF(A3349="","",INDEX(lst_months,MONTH(A3349)))</f>
        <v/>
      </c>
      <c r="E3349" s="55" t="n"/>
      <c r="F3349" s="54">
        <f>IF(E3349="","",IFERROR(IF(INDEX(lst_exp_item_cat,MATCH(E3349,lst_exp_items,0))="","❔ Без категории",INDEX(lst_exp_item_cat,MATCH(E3349,lst_exp_items,0))),"❔ Без категории"))</f>
        <v/>
      </c>
      <c r="G3349" s="43" t="n"/>
      <c r="H3349" s="56" t="n"/>
      <c r="I3349" s="43" t="n"/>
      <c r="J3349" s="57">
        <f>IF(OR(A3349="",H3349=""),"",IF(COUNTIFS(exp_year,C3349,exp_month,D3349,exp_item,E3349,exp_status,"&lt;&gt;❌ Отменено")&gt;0,1,0))</f>
        <v/>
      </c>
    </row>
    <row r="3350">
      <c r="A3350" s="52" t="n"/>
      <c r="B3350" s="53">
        <f>IF(A3350="","",CHOOSE(WEEKDAY(A3350,2),"Пн","Вт","Ср","Чт","Пт","Сб","Вс"))</f>
        <v/>
      </c>
      <c r="C3350" s="53">
        <f>IF(A3350="","",YEAR(A3350))</f>
        <v/>
      </c>
      <c r="D3350" s="54">
        <f>IF(A3350="","",INDEX(lst_months,MONTH(A3350)))</f>
        <v/>
      </c>
      <c r="E3350" s="55" t="n"/>
      <c r="F3350" s="54">
        <f>IF(E3350="","",IFERROR(IF(INDEX(lst_exp_item_cat,MATCH(E3350,lst_exp_items,0))="","❔ Без категории",INDEX(lst_exp_item_cat,MATCH(E3350,lst_exp_items,0))),"❔ Без категории"))</f>
        <v/>
      </c>
      <c r="G3350" s="43" t="n"/>
      <c r="H3350" s="56" t="n"/>
      <c r="I3350" s="43" t="n"/>
      <c r="J3350" s="57">
        <f>IF(OR(A3350="",H3350=""),"",IF(COUNTIFS(exp_year,C3350,exp_month,D3350,exp_item,E3350,exp_status,"&lt;&gt;❌ Отменено")&gt;0,1,0))</f>
        <v/>
      </c>
    </row>
    <row r="3351">
      <c r="A3351" s="52" t="n"/>
      <c r="B3351" s="53">
        <f>IF(A3351="","",CHOOSE(WEEKDAY(A3351,2),"Пн","Вт","Ср","Чт","Пт","Сб","Вс"))</f>
        <v/>
      </c>
      <c r="C3351" s="53">
        <f>IF(A3351="","",YEAR(A3351))</f>
        <v/>
      </c>
      <c r="D3351" s="54">
        <f>IF(A3351="","",INDEX(lst_months,MONTH(A3351)))</f>
        <v/>
      </c>
      <c r="E3351" s="55" t="n"/>
      <c r="F3351" s="54">
        <f>IF(E3351="","",IFERROR(IF(INDEX(lst_exp_item_cat,MATCH(E3351,lst_exp_items,0))="","❔ Без категории",INDEX(lst_exp_item_cat,MATCH(E3351,lst_exp_items,0))),"❔ Без категории"))</f>
        <v/>
      </c>
      <c r="G3351" s="43" t="n"/>
      <c r="H3351" s="56" t="n"/>
      <c r="I3351" s="43" t="n"/>
      <c r="J3351" s="57">
        <f>IF(OR(A3351="",H3351=""),"",IF(COUNTIFS(exp_year,C3351,exp_month,D3351,exp_item,E3351,exp_status,"&lt;&gt;❌ Отменено")&gt;0,1,0))</f>
        <v/>
      </c>
    </row>
    <row r="3352">
      <c r="A3352" s="52" t="n"/>
      <c r="B3352" s="53">
        <f>IF(A3352="","",CHOOSE(WEEKDAY(A3352,2),"Пн","Вт","Ср","Чт","Пт","Сб","Вс"))</f>
        <v/>
      </c>
      <c r="C3352" s="53">
        <f>IF(A3352="","",YEAR(A3352))</f>
        <v/>
      </c>
      <c r="D3352" s="54">
        <f>IF(A3352="","",INDEX(lst_months,MONTH(A3352)))</f>
        <v/>
      </c>
      <c r="E3352" s="55" t="n"/>
      <c r="F3352" s="54">
        <f>IF(E3352="","",IFERROR(IF(INDEX(lst_exp_item_cat,MATCH(E3352,lst_exp_items,0))="","❔ Без категории",INDEX(lst_exp_item_cat,MATCH(E3352,lst_exp_items,0))),"❔ Без категории"))</f>
        <v/>
      </c>
      <c r="G3352" s="43" t="n"/>
      <c r="H3352" s="56" t="n"/>
      <c r="I3352" s="43" t="n"/>
      <c r="J3352" s="57">
        <f>IF(OR(A3352="",H3352=""),"",IF(COUNTIFS(exp_year,C3352,exp_month,D3352,exp_item,E3352,exp_status,"&lt;&gt;❌ Отменено")&gt;0,1,0))</f>
        <v/>
      </c>
    </row>
    <row r="3353">
      <c r="A3353" s="52" t="n"/>
      <c r="B3353" s="53">
        <f>IF(A3353="","",CHOOSE(WEEKDAY(A3353,2),"Пн","Вт","Ср","Чт","Пт","Сб","Вс"))</f>
        <v/>
      </c>
      <c r="C3353" s="53">
        <f>IF(A3353="","",YEAR(A3353))</f>
        <v/>
      </c>
      <c r="D3353" s="54">
        <f>IF(A3353="","",INDEX(lst_months,MONTH(A3353)))</f>
        <v/>
      </c>
      <c r="E3353" s="55" t="n"/>
      <c r="F3353" s="54">
        <f>IF(E3353="","",IFERROR(IF(INDEX(lst_exp_item_cat,MATCH(E3353,lst_exp_items,0))="","❔ Без категории",INDEX(lst_exp_item_cat,MATCH(E3353,lst_exp_items,0))),"❔ Без категории"))</f>
        <v/>
      </c>
      <c r="G3353" s="43" t="n"/>
      <c r="H3353" s="56" t="n"/>
      <c r="I3353" s="43" t="n"/>
      <c r="J3353" s="57">
        <f>IF(OR(A3353="",H3353=""),"",IF(COUNTIFS(exp_year,C3353,exp_month,D3353,exp_item,E3353,exp_status,"&lt;&gt;❌ Отменено")&gt;0,1,0))</f>
        <v/>
      </c>
    </row>
    <row r="3354">
      <c r="A3354" s="52" t="n"/>
      <c r="B3354" s="53">
        <f>IF(A3354="","",CHOOSE(WEEKDAY(A3354,2),"Пн","Вт","Ср","Чт","Пт","Сб","Вс"))</f>
        <v/>
      </c>
      <c r="C3354" s="53">
        <f>IF(A3354="","",YEAR(A3354))</f>
        <v/>
      </c>
      <c r="D3354" s="54">
        <f>IF(A3354="","",INDEX(lst_months,MONTH(A3354)))</f>
        <v/>
      </c>
      <c r="E3354" s="55" t="n"/>
      <c r="F3354" s="54">
        <f>IF(E3354="","",IFERROR(IF(INDEX(lst_exp_item_cat,MATCH(E3354,lst_exp_items,0))="","❔ Без категории",INDEX(lst_exp_item_cat,MATCH(E3354,lst_exp_items,0))),"❔ Без категории"))</f>
        <v/>
      </c>
      <c r="G3354" s="43" t="n"/>
      <c r="H3354" s="56" t="n"/>
      <c r="I3354" s="43" t="n"/>
      <c r="J3354" s="57">
        <f>IF(OR(A3354="",H3354=""),"",IF(COUNTIFS(exp_year,C3354,exp_month,D3354,exp_item,E3354,exp_status,"&lt;&gt;❌ Отменено")&gt;0,1,0))</f>
        <v/>
      </c>
    </row>
    <row r="3355">
      <c r="A3355" s="52" t="n"/>
      <c r="B3355" s="53">
        <f>IF(A3355="","",CHOOSE(WEEKDAY(A3355,2),"Пн","Вт","Ср","Чт","Пт","Сб","Вс"))</f>
        <v/>
      </c>
      <c r="C3355" s="53">
        <f>IF(A3355="","",YEAR(A3355))</f>
        <v/>
      </c>
      <c r="D3355" s="54">
        <f>IF(A3355="","",INDEX(lst_months,MONTH(A3355)))</f>
        <v/>
      </c>
      <c r="E3355" s="55" t="n"/>
      <c r="F3355" s="54">
        <f>IF(E3355="","",IFERROR(IF(INDEX(lst_exp_item_cat,MATCH(E3355,lst_exp_items,0))="","❔ Без категории",INDEX(lst_exp_item_cat,MATCH(E3355,lst_exp_items,0))),"❔ Без категории"))</f>
        <v/>
      </c>
      <c r="G3355" s="43" t="n"/>
      <c r="H3355" s="56" t="n"/>
      <c r="I3355" s="43" t="n"/>
      <c r="J3355" s="57">
        <f>IF(OR(A3355="",H3355=""),"",IF(COUNTIFS(exp_year,C3355,exp_month,D3355,exp_item,E3355,exp_status,"&lt;&gt;❌ Отменено")&gt;0,1,0))</f>
        <v/>
      </c>
    </row>
    <row r="3356">
      <c r="A3356" s="52" t="n"/>
      <c r="B3356" s="53">
        <f>IF(A3356="","",CHOOSE(WEEKDAY(A3356,2),"Пн","Вт","Ср","Чт","Пт","Сб","Вс"))</f>
        <v/>
      </c>
      <c r="C3356" s="53">
        <f>IF(A3356="","",YEAR(A3356))</f>
        <v/>
      </c>
      <c r="D3356" s="54">
        <f>IF(A3356="","",INDEX(lst_months,MONTH(A3356)))</f>
        <v/>
      </c>
      <c r="E3356" s="55" t="n"/>
      <c r="F3356" s="54">
        <f>IF(E3356="","",IFERROR(IF(INDEX(lst_exp_item_cat,MATCH(E3356,lst_exp_items,0))="","❔ Без категории",INDEX(lst_exp_item_cat,MATCH(E3356,lst_exp_items,0))),"❔ Без категории"))</f>
        <v/>
      </c>
      <c r="G3356" s="43" t="n"/>
      <c r="H3356" s="56" t="n"/>
      <c r="I3356" s="43" t="n"/>
      <c r="J3356" s="57">
        <f>IF(OR(A3356="",H3356=""),"",IF(COUNTIFS(exp_year,C3356,exp_month,D3356,exp_item,E3356,exp_status,"&lt;&gt;❌ Отменено")&gt;0,1,0))</f>
        <v/>
      </c>
    </row>
    <row r="3357">
      <c r="A3357" s="52" t="n"/>
      <c r="B3357" s="53">
        <f>IF(A3357="","",CHOOSE(WEEKDAY(A3357,2),"Пн","Вт","Ср","Чт","Пт","Сб","Вс"))</f>
        <v/>
      </c>
      <c r="C3357" s="53">
        <f>IF(A3357="","",YEAR(A3357))</f>
        <v/>
      </c>
      <c r="D3357" s="54">
        <f>IF(A3357="","",INDEX(lst_months,MONTH(A3357)))</f>
        <v/>
      </c>
      <c r="E3357" s="55" t="n"/>
      <c r="F3357" s="54">
        <f>IF(E3357="","",IFERROR(IF(INDEX(lst_exp_item_cat,MATCH(E3357,lst_exp_items,0))="","❔ Без категории",INDEX(lst_exp_item_cat,MATCH(E3357,lst_exp_items,0))),"❔ Без категории"))</f>
        <v/>
      </c>
      <c r="G3357" s="43" t="n"/>
      <c r="H3357" s="56" t="n"/>
      <c r="I3357" s="43" t="n"/>
      <c r="J3357" s="57">
        <f>IF(OR(A3357="",H3357=""),"",IF(COUNTIFS(exp_year,C3357,exp_month,D3357,exp_item,E3357,exp_status,"&lt;&gt;❌ Отменено")&gt;0,1,0))</f>
        <v/>
      </c>
    </row>
    <row r="3358">
      <c r="A3358" s="52" t="n"/>
      <c r="B3358" s="53">
        <f>IF(A3358="","",CHOOSE(WEEKDAY(A3358,2),"Пн","Вт","Ср","Чт","Пт","Сб","Вс"))</f>
        <v/>
      </c>
      <c r="C3358" s="53">
        <f>IF(A3358="","",YEAR(A3358))</f>
        <v/>
      </c>
      <c r="D3358" s="54">
        <f>IF(A3358="","",INDEX(lst_months,MONTH(A3358)))</f>
        <v/>
      </c>
      <c r="E3358" s="55" t="n"/>
      <c r="F3358" s="54">
        <f>IF(E3358="","",IFERROR(IF(INDEX(lst_exp_item_cat,MATCH(E3358,lst_exp_items,0))="","❔ Без категории",INDEX(lst_exp_item_cat,MATCH(E3358,lst_exp_items,0))),"❔ Без категории"))</f>
        <v/>
      </c>
      <c r="G3358" s="43" t="n"/>
      <c r="H3358" s="56" t="n"/>
      <c r="I3358" s="43" t="n"/>
      <c r="J3358" s="57">
        <f>IF(OR(A3358="",H3358=""),"",IF(COUNTIFS(exp_year,C3358,exp_month,D3358,exp_item,E3358,exp_status,"&lt;&gt;❌ Отменено")&gt;0,1,0))</f>
        <v/>
      </c>
    </row>
    <row r="3359">
      <c r="A3359" s="52" t="n"/>
      <c r="B3359" s="53">
        <f>IF(A3359="","",CHOOSE(WEEKDAY(A3359,2),"Пн","Вт","Ср","Чт","Пт","Сб","Вс"))</f>
        <v/>
      </c>
      <c r="C3359" s="53">
        <f>IF(A3359="","",YEAR(A3359))</f>
        <v/>
      </c>
      <c r="D3359" s="54">
        <f>IF(A3359="","",INDEX(lst_months,MONTH(A3359)))</f>
        <v/>
      </c>
      <c r="E3359" s="55" t="n"/>
      <c r="F3359" s="54">
        <f>IF(E3359="","",IFERROR(IF(INDEX(lst_exp_item_cat,MATCH(E3359,lst_exp_items,0))="","❔ Без категории",INDEX(lst_exp_item_cat,MATCH(E3359,lst_exp_items,0))),"❔ Без категории"))</f>
        <v/>
      </c>
      <c r="G3359" s="43" t="n"/>
      <c r="H3359" s="56" t="n"/>
      <c r="I3359" s="43" t="n"/>
      <c r="J3359" s="57">
        <f>IF(OR(A3359="",H3359=""),"",IF(COUNTIFS(exp_year,C3359,exp_month,D3359,exp_item,E3359,exp_status,"&lt;&gt;❌ Отменено")&gt;0,1,0))</f>
        <v/>
      </c>
    </row>
    <row r="3360">
      <c r="A3360" s="52" t="n"/>
      <c r="B3360" s="53">
        <f>IF(A3360="","",CHOOSE(WEEKDAY(A3360,2),"Пн","Вт","Ср","Чт","Пт","Сб","Вс"))</f>
        <v/>
      </c>
      <c r="C3360" s="53">
        <f>IF(A3360="","",YEAR(A3360))</f>
        <v/>
      </c>
      <c r="D3360" s="54">
        <f>IF(A3360="","",INDEX(lst_months,MONTH(A3360)))</f>
        <v/>
      </c>
      <c r="E3360" s="55" t="n"/>
      <c r="F3360" s="54">
        <f>IF(E3360="","",IFERROR(IF(INDEX(lst_exp_item_cat,MATCH(E3360,lst_exp_items,0))="","❔ Без категории",INDEX(lst_exp_item_cat,MATCH(E3360,lst_exp_items,0))),"❔ Без категории"))</f>
        <v/>
      </c>
      <c r="G3360" s="43" t="n"/>
      <c r="H3360" s="56" t="n"/>
      <c r="I3360" s="43" t="n"/>
      <c r="J3360" s="57">
        <f>IF(OR(A3360="",H3360=""),"",IF(COUNTIFS(exp_year,C3360,exp_month,D3360,exp_item,E3360,exp_status,"&lt;&gt;❌ Отменено")&gt;0,1,0))</f>
        <v/>
      </c>
    </row>
    <row r="3361">
      <c r="A3361" s="52" t="n"/>
      <c r="B3361" s="53">
        <f>IF(A3361="","",CHOOSE(WEEKDAY(A3361,2),"Пн","Вт","Ср","Чт","Пт","Сб","Вс"))</f>
        <v/>
      </c>
      <c r="C3361" s="53">
        <f>IF(A3361="","",YEAR(A3361))</f>
        <v/>
      </c>
      <c r="D3361" s="54">
        <f>IF(A3361="","",INDEX(lst_months,MONTH(A3361)))</f>
        <v/>
      </c>
      <c r="E3361" s="55" t="n"/>
      <c r="F3361" s="54">
        <f>IF(E3361="","",IFERROR(IF(INDEX(lst_exp_item_cat,MATCH(E3361,lst_exp_items,0))="","❔ Без категории",INDEX(lst_exp_item_cat,MATCH(E3361,lst_exp_items,0))),"❔ Без категории"))</f>
        <v/>
      </c>
      <c r="G3361" s="43" t="n"/>
      <c r="H3361" s="56" t="n"/>
      <c r="I3361" s="43" t="n"/>
      <c r="J3361" s="57">
        <f>IF(OR(A3361="",H3361=""),"",IF(COUNTIFS(exp_year,C3361,exp_month,D3361,exp_item,E3361,exp_status,"&lt;&gt;❌ Отменено")&gt;0,1,0))</f>
        <v/>
      </c>
    </row>
    <row r="3362">
      <c r="A3362" s="52" t="n"/>
      <c r="B3362" s="53">
        <f>IF(A3362="","",CHOOSE(WEEKDAY(A3362,2),"Пн","Вт","Ср","Чт","Пт","Сб","Вс"))</f>
        <v/>
      </c>
      <c r="C3362" s="53">
        <f>IF(A3362="","",YEAR(A3362))</f>
        <v/>
      </c>
      <c r="D3362" s="54">
        <f>IF(A3362="","",INDEX(lst_months,MONTH(A3362)))</f>
        <v/>
      </c>
      <c r="E3362" s="55" t="n"/>
      <c r="F3362" s="54">
        <f>IF(E3362="","",IFERROR(IF(INDEX(lst_exp_item_cat,MATCH(E3362,lst_exp_items,0))="","❔ Без категории",INDEX(lst_exp_item_cat,MATCH(E3362,lst_exp_items,0))),"❔ Без категории"))</f>
        <v/>
      </c>
      <c r="G3362" s="43" t="n"/>
      <c r="H3362" s="56" t="n"/>
      <c r="I3362" s="43" t="n"/>
      <c r="J3362" s="57">
        <f>IF(OR(A3362="",H3362=""),"",IF(COUNTIFS(exp_year,C3362,exp_month,D3362,exp_item,E3362,exp_status,"&lt;&gt;❌ Отменено")&gt;0,1,0))</f>
        <v/>
      </c>
    </row>
    <row r="3363">
      <c r="A3363" s="52" t="n"/>
      <c r="B3363" s="53">
        <f>IF(A3363="","",CHOOSE(WEEKDAY(A3363,2),"Пн","Вт","Ср","Чт","Пт","Сб","Вс"))</f>
        <v/>
      </c>
      <c r="C3363" s="53">
        <f>IF(A3363="","",YEAR(A3363))</f>
        <v/>
      </c>
      <c r="D3363" s="54">
        <f>IF(A3363="","",INDEX(lst_months,MONTH(A3363)))</f>
        <v/>
      </c>
      <c r="E3363" s="55" t="n"/>
      <c r="F3363" s="54">
        <f>IF(E3363="","",IFERROR(IF(INDEX(lst_exp_item_cat,MATCH(E3363,lst_exp_items,0))="","❔ Без категории",INDEX(lst_exp_item_cat,MATCH(E3363,lst_exp_items,0))),"❔ Без категории"))</f>
        <v/>
      </c>
      <c r="G3363" s="43" t="n"/>
      <c r="H3363" s="56" t="n"/>
      <c r="I3363" s="43" t="n"/>
      <c r="J3363" s="57">
        <f>IF(OR(A3363="",H3363=""),"",IF(COUNTIFS(exp_year,C3363,exp_month,D3363,exp_item,E3363,exp_status,"&lt;&gt;❌ Отменено")&gt;0,1,0))</f>
        <v/>
      </c>
    </row>
    <row r="3364">
      <c r="A3364" s="52" t="n"/>
      <c r="B3364" s="53">
        <f>IF(A3364="","",CHOOSE(WEEKDAY(A3364,2),"Пн","Вт","Ср","Чт","Пт","Сб","Вс"))</f>
        <v/>
      </c>
      <c r="C3364" s="53">
        <f>IF(A3364="","",YEAR(A3364))</f>
        <v/>
      </c>
      <c r="D3364" s="54">
        <f>IF(A3364="","",INDEX(lst_months,MONTH(A3364)))</f>
        <v/>
      </c>
      <c r="E3364" s="55" t="n"/>
      <c r="F3364" s="54">
        <f>IF(E3364="","",IFERROR(IF(INDEX(lst_exp_item_cat,MATCH(E3364,lst_exp_items,0))="","❔ Без категории",INDEX(lst_exp_item_cat,MATCH(E3364,lst_exp_items,0))),"❔ Без категории"))</f>
        <v/>
      </c>
      <c r="G3364" s="43" t="n"/>
      <c r="H3364" s="56" t="n"/>
      <c r="I3364" s="43" t="n"/>
      <c r="J3364" s="57">
        <f>IF(OR(A3364="",H3364=""),"",IF(COUNTIFS(exp_year,C3364,exp_month,D3364,exp_item,E3364,exp_status,"&lt;&gt;❌ Отменено")&gt;0,1,0))</f>
        <v/>
      </c>
    </row>
    <row r="3365">
      <c r="A3365" s="52" t="n"/>
      <c r="B3365" s="53">
        <f>IF(A3365="","",CHOOSE(WEEKDAY(A3365,2),"Пн","Вт","Ср","Чт","Пт","Сб","Вс"))</f>
        <v/>
      </c>
      <c r="C3365" s="53">
        <f>IF(A3365="","",YEAR(A3365))</f>
        <v/>
      </c>
      <c r="D3365" s="54">
        <f>IF(A3365="","",INDEX(lst_months,MONTH(A3365)))</f>
        <v/>
      </c>
      <c r="E3365" s="55" t="n"/>
      <c r="F3365" s="54">
        <f>IF(E3365="","",IFERROR(IF(INDEX(lst_exp_item_cat,MATCH(E3365,lst_exp_items,0))="","❔ Без категории",INDEX(lst_exp_item_cat,MATCH(E3365,lst_exp_items,0))),"❔ Без категории"))</f>
        <v/>
      </c>
      <c r="G3365" s="43" t="n"/>
      <c r="H3365" s="56" t="n"/>
      <c r="I3365" s="43" t="n"/>
      <c r="J3365" s="57">
        <f>IF(OR(A3365="",H3365=""),"",IF(COUNTIFS(exp_year,C3365,exp_month,D3365,exp_item,E3365,exp_status,"&lt;&gt;❌ Отменено")&gt;0,1,0))</f>
        <v/>
      </c>
    </row>
    <row r="3366">
      <c r="A3366" s="52" t="n"/>
      <c r="B3366" s="53">
        <f>IF(A3366="","",CHOOSE(WEEKDAY(A3366,2),"Пн","Вт","Ср","Чт","Пт","Сб","Вс"))</f>
        <v/>
      </c>
      <c r="C3366" s="53">
        <f>IF(A3366="","",YEAR(A3366))</f>
        <v/>
      </c>
      <c r="D3366" s="54">
        <f>IF(A3366="","",INDEX(lst_months,MONTH(A3366)))</f>
        <v/>
      </c>
      <c r="E3366" s="55" t="n"/>
      <c r="F3366" s="54">
        <f>IF(E3366="","",IFERROR(IF(INDEX(lst_exp_item_cat,MATCH(E3366,lst_exp_items,0))="","❔ Без категории",INDEX(lst_exp_item_cat,MATCH(E3366,lst_exp_items,0))),"❔ Без категории"))</f>
        <v/>
      </c>
      <c r="G3366" s="43" t="n"/>
      <c r="H3366" s="56" t="n"/>
      <c r="I3366" s="43" t="n"/>
      <c r="J3366" s="57">
        <f>IF(OR(A3366="",H3366=""),"",IF(COUNTIFS(exp_year,C3366,exp_month,D3366,exp_item,E3366,exp_status,"&lt;&gt;❌ Отменено")&gt;0,1,0))</f>
        <v/>
      </c>
    </row>
    <row r="3367">
      <c r="A3367" s="52" t="n"/>
      <c r="B3367" s="53">
        <f>IF(A3367="","",CHOOSE(WEEKDAY(A3367,2),"Пн","Вт","Ср","Чт","Пт","Сб","Вс"))</f>
        <v/>
      </c>
      <c r="C3367" s="53">
        <f>IF(A3367="","",YEAR(A3367))</f>
        <v/>
      </c>
      <c r="D3367" s="54">
        <f>IF(A3367="","",INDEX(lst_months,MONTH(A3367)))</f>
        <v/>
      </c>
      <c r="E3367" s="55" t="n"/>
      <c r="F3367" s="54">
        <f>IF(E3367="","",IFERROR(IF(INDEX(lst_exp_item_cat,MATCH(E3367,lst_exp_items,0))="","❔ Без категории",INDEX(lst_exp_item_cat,MATCH(E3367,lst_exp_items,0))),"❔ Без категории"))</f>
        <v/>
      </c>
      <c r="G3367" s="43" t="n"/>
      <c r="H3367" s="56" t="n"/>
      <c r="I3367" s="43" t="n"/>
      <c r="J3367" s="57">
        <f>IF(OR(A3367="",H3367=""),"",IF(COUNTIFS(exp_year,C3367,exp_month,D3367,exp_item,E3367,exp_status,"&lt;&gt;❌ Отменено")&gt;0,1,0))</f>
        <v/>
      </c>
    </row>
    <row r="3368">
      <c r="A3368" s="52" t="n"/>
      <c r="B3368" s="53">
        <f>IF(A3368="","",CHOOSE(WEEKDAY(A3368,2),"Пн","Вт","Ср","Чт","Пт","Сб","Вс"))</f>
        <v/>
      </c>
      <c r="C3368" s="53">
        <f>IF(A3368="","",YEAR(A3368))</f>
        <v/>
      </c>
      <c r="D3368" s="54">
        <f>IF(A3368="","",INDEX(lst_months,MONTH(A3368)))</f>
        <v/>
      </c>
      <c r="E3368" s="55" t="n"/>
      <c r="F3368" s="54">
        <f>IF(E3368="","",IFERROR(IF(INDEX(lst_exp_item_cat,MATCH(E3368,lst_exp_items,0))="","❔ Без категории",INDEX(lst_exp_item_cat,MATCH(E3368,lst_exp_items,0))),"❔ Без категории"))</f>
        <v/>
      </c>
      <c r="G3368" s="43" t="n"/>
      <c r="H3368" s="56" t="n"/>
      <c r="I3368" s="43" t="n"/>
      <c r="J3368" s="57">
        <f>IF(OR(A3368="",H3368=""),"",IF(COUNTIFS(exp_year,C3368,exp_month,D3368,exp_item,E3368,exp_status,"&lt;&gt;❌ Отменено")&gt;0,1,0))</f>
        <v/>
      </c>
    </row>
    <row r="3369">
      <c r="A3369" s="52" t="n"/>
      <c r="B3369" s="53">
        <f>IF(A3369="","",CHOOSE(WEEKDAY(A3369,2),"Пн","Вт","Ср","Чт","Пт","Сб","Вс"))</f>
        <v/>
      </c>
      <c r="C3369" s="53">
        <f>IF(A3369="","",YEAR(A3369))</f>
        <v/>
      </c>
      <c r="D3369" s="54">
        <f>IF(A3369="","",INDEX(lst_months,MONTH(A3369)))</f>
        <v/>
      </c>
      <c r="E3369" s="55" t="n"/>
      <c r="F3369" s="54">
        <f>IF(E3369="","",IFERROR(IF(INDEX(lst_exp_item_cat,MATCH(E3369,lst_exp_items,0))="","❔ Без категории",INDEX(lst_exp_item_cat,MATCH(E3369,lst_exp_items,0))),"❔ Без категории"))</f>
        <v/>
      </c>
      <c r="G3369" s="43" t="n"/>
      <c r="H3369" s="56" t="n"/>
      <c r="I3369" s="43" t="n"/>
      <c r="J3369" s="57">
        <f>IF(OR(A3369="",H3369=""),"",IF(COUNTIFS(exp_year,C3369,exp_month,D3369,exp_item,E3369,exp_status,"&lt;&gt;❌ Отменено")&gt;0,1,0))</f>
        <v/>
      </c>
    </row>
    <row r="3370">
      <c r="A3370" s="52" t="n"/>
      <c r="B3370" s="53">
        <f>IF(A3370="","",CHOOSE(WEEKDAY(A3370,2),"Пн","Вт","Ср","Чт","Пт","Сб","Вс"))</f>
        <v/>
      </c>
      <c r="C3370" s="53">
        <f>IF(A3370="","",YEAR(A3370))</f>
        <v/>
      </c>
      <c r="D3370" s="54">
        <f>IF(A3370="","",INDEX(lst_months,MONTH(A3370)))</f>
        <v/>
      </c>
      <c r="E3370" s="55" t="n"/>
      <c r="F3370" s="54">
        <f>IF(E3370="","",IFERROR(IF(INDEX(lst_exp_item_cat,MATCH(E3370,lst_exp_items,0))="","❔ Без категории",INDEX(lst_exp_item_cat,MATCH(E3370,lst_exp_items,0))),"❔ Без категории"))</f>
        <v/>
      </c>
      <c r="G3370" s="43" t="n"/>
      <c r="H3370" s="56" t="n"/>
      <c r="I3370" s="43" t="n"/>
      <c r="J3370" s="57">
        <f>IF(OR(A3370="",H3370=""),"",IF(COUNTIFS(exp_year,C3370,exp_month,D3370,exp_item,E3370,exp_status,"&lt;&gt;❌ Отменено")&gt;0,1,0))</f>
        <v/>
      </c>
    </row>
    <row r="3371">
      <c r="A3371" s="52" t="n"/>
      <c r="B3371" s="53">
        <f>IF(A3371="","",CHOOSE(WEEKDAY(A3371,2),"Пн","Вт","Ср","Чт","Пт","Сб","Вс"))</f>
        <v/>
      </c>
      <c r="C3371" s="53">
        <f>IF(A3371="","",YEAR(A3371))</f>
        <v/>
      </c>
      <c r="D3371" s="54">
        <f>IF(A3371="","",INDEX(lst_months,MONTH(A3371)))</f>
        <v/>
      </c>
      <c r="E3371" s="55" t="n"/>
      <c r="F3371" s="54">
        <f>IF(E3371="","",IFERROR(IF(INDEX(lst_exp_item_cat,MATCH(E3371,lst_exp_items,0))="","❔ Без категории",INDEX(lst_exp_item_cat,MATCH(E3371,lst_exp_items,0))),"❔ Без категории"))</f>
        <v/>
      </c>
      <c r="G3371" s="43" t="n"/>
      <c r="H3371" s="56" t="n"/>
      <c r="I3371" s="43" t="n"/>
      <c r="J3371" s="57">
        <f>IF(OR(A3371="",H3371=""),"",IF(COUNTIFS(exp_year,C3371,exp_month,D3371,exp_item,E3371,exp_status,"&lt;&gt;❌ Отменено")&gt;0,1,0))</f>
        <v/>
      </c>
    </row>
    <row r="3372">
      <c r="A3372" s="52" t="n"/>
      <c r="B3372" s="53">
        <f>IF(A3372="","",CHOOSE(WEEKDAY(A3372,2),"Пн","Вт","Ср","Чт","Пт","Сб","Вс"))</f>
        <v/>
      </c>
      <c r="C3372" s="53">
        <f>IF(A3372="","",YEAR(A3372))</f>
        <v/>
      </c>
      <c r="D3372" s="54">
        <f>IF(A3372="","",INDEX(lst_months,MONTH(A3372)))</f>
        <v/>
      </c>
      <c r="E3372" s="55" t="n"/>
      <c r="F3372" s="54">
        <f>IF(E3372="","",IFERROR(IF(INDEX(lst_exp_item_cat,MATCH(E3372,lst_exp_items,0))="","❔ Без категории",INDEX(lst_exp_item_cat,MATCH(E3372,lst_exp_items,0))),"❔ Без категории"))</f>
        <v/>
      </c>
      <c r="G3372" s="43" t="n"/>
      <c r="H3372" s="56" t="n"/>
      <c r="I3372" s="43" t="n"/>
      <c r="J3372" s="57">
        <f>IF(OR(A3372="",H3372=""),"",IF(COUNTIFS(exp_year,C3372,exp_month,D3372,exp_item,E3372,exp_status,"&lt;&gt;❌ Отменено")&gt;0,1,0))</f>
        <v/>
      </c>
    </row>
    <row r="3373">
      <c r="A3373" s="52" t="n"/>
      <c r="B3373" s="53">
        <f>IF(A3373="","",CHOOSE(WEEKDAY(A3373,2),"Пн","Вт","Ср","Чт","Пт","Сб","Вс"))</f>
        <v/>
      </c>
      <c r="C3373" s="53">
        <f>IF(A3373="","",YEAR(A3373))</f>
        <v/>
      </c>
      <c r="D3373" s="54">
        <f>IF(A3373="","",INDEX(lst_months,MONTH(A3373)))</f>
        <v/>
      </c>
      <c r="E3373" s="55" t="n"/>
      <c r="F3373" s="54">
        <f>IF(E3373="","",IFERROR(IF(INDEX(lst_exp_item_cat,MATCH(E3373,lst_exp_items,0))="","❔ Без категории",INDEX(lst_exp_item_cat,MATCH(E3373,lst_exp_items,0))),"❔ Без категории"))</f>
        <v/>
      </c>
      <c r="G3373" s="43" t="n"/>
      <c r="H3373" s="56" t="n"/>
      <c r="I3373" s="43" t="n"/>
      <c r="J3373" s="57">
        <f>IF(OR(A3373="",H3373=""),"",IF(COUNTIFS(exp_year,C3373,exp_month,D3373,exp_item,E3373,exp_status,"&lt;&gt;❌ Отменено")&gt;0,1,0))</f>
        <v/>
      </c>
    </row>
    <row r="3374">
      <c r="A3374" s="52" t="n"/>
      <c r="B3374" s="53">
        <f>IF(A3374="","",CHOOSE(WEEKDAY(A3374,2),"Пн","Вт","Ср","Чт","Пт","Сб","Вс"))</f>
        <v/>
      </c>
      <c r="C3374" s="53">
        <f>IF(A3374="","",YEAR(A3374))</f>
        <v/>
      </c>
      <c r="D3374" s="54">
        <f>IF(A3374="","",INDEX(lst_months,MONTH(A3374)))</f>
        <v/>
      </c>
      <c r="E3374" s="55" t="n"/>
      <c r="F3374" s="54">
        <f>IF(E3374="","",IFERROR(IF(INDEX(lst_exp_item_cat,MATCH(E3374,lst_exp_items,0))="","❔ Без категории",INDEX(lst_exp_item_cat,MATCH(E3374,lst_exp_items,0))),"❔ Без категории"))</f>
        <v/>
      </c>
      <c r="G3374" s="43" t="n"/>
      <c r="H3374" s="56" t="n"/>
      <c r="I3374" s="43" t="n"/>
      <c r="J3374" s="57">
        <f>IF(OR(A3374="",H3374=""),"",IF(COUNTIFS(exp_year,C3374,exp_month,D3374,exp_item,E3374,exp_status,"&lt;&gt;❌ Отменено")&gt;0,1,0))</f>
        <v/>
      </c>
    </row>
    <row r="3375">
      <c r="A3375" s="52" t="n"/>
      <c r="B3375" s="53">
        <f>IF(A3375="","",CHOOSE(WEEKDAY(A3375,2),"Пн","Вт","Ср","Чт","Пт","Сб","Вс"))</f>
        <v/>
      </c>
      <c r="C3375" s="53">
        <f>IF(A3375="","",YEAR(A3375))</f>
        <v/>
      </c>
      <c r="D3375" s="54">
        <f>IF(A3375="","",INDEX(lst_months,MONTH(A3375)))</f>
        <v/>
      </c>
      <c r="E3375" s="55" t="n"/>
      <c r="F3375" s="54">
        <f>IF(E3375="","",IFERROR(IF(INDEX(lst_exp_item_cat,MATCH(E3375,lst_exp_items,0))="","❔ Без категории",INDEX(lst_exp_item_cat,MATCH(E3375,lst_exp_items,0))),"❔ Без категории"))</f>
        <v/>
      </c>
      <c r="G3375" s="43" t="n"/>
      <c r="H3375" s="56" t="n"/>
      <c r="I3375" s="43" t="n"/>
      <c r="J3375" s="57">
        <f>IF(OR(A3375="",H3375=""),"",IF(COUNTIFS(exp_year,C3375,exp_month,D3375,exp_item,E3375,exp_status,"&lt;&gt;❌ Отменено")&gt;0,1,0))</f>
        <v/>
      </c>
    </row>
    <row r="3376">
      <c r="A3376" s="52" t="n"/>
      <c r="B3376" s="53">
        <f>IF(A3376="","",CHOOSE(WEEKDAY(A3376,2),"Пн","Вт","Ср","Чт","Пт","Сб","Вс"))</f>
        <v/>
      </c>
      <c r="C3376" s="53">
        <f>IF(A3376="","",YEAR(A3376))</f>
        <v/>
      </c>
      <c r="D3376" s="54">
        <f>IF(A3376="","",INDEX(lst_months,MONTH(A3376)))</f>
        <v/>
      </c>
      <c r="E3376" s="55" t="n"/>
      <c r="F3376" s="54">
        <f>IF(E3376="","",IFERROR(IF(INDEX(lst_exp_item_cat,MATCH(E3376,lst_exp_items,0))="","❔ Без категории",INDEX(lst_exp_item_cat,MATCH(E3376,lst_exp_items,0))),"❔ Без категории"))</f>
        <v/>
      </c>
      <c r="G3376" s="43" t="n"/>
      <c r="H3376" s="56" t="n"/>
      <c r="I3376" s="43" t="n"/>
      <c r="J3376" s="57">
        <f>IF(OR(A3376="",H3376=""),"",IF(COUNTIFS(exp_year,C3376,exp_month,D3376,exp_item,E3376,exp_status,"&lt;&gt;❌ Отменено")&gt;0,1,0))</f>
        <v/>
      </c>
    </row>
    <row r="3377">
      <c r="A3377" s="52" t="n"/>
      <c r="B3377" s="53">
        <f>IF(A3377="","",CHOOSE(WEEKDAY(A3377,2),"Пн","Вт","Ср","Чт","Пт","Сб","Вс"))</f>
        <v/>
      </c>
      <c r="C3377" s="53">
        <f>IF(A3377="","",YEAR(A3377))</f>
        <v/>
      </c>
      <c r="D3377" s="54">
        <f>IF(A3377="","",INDEX(lst_months,MONTH(A3377)))</f>
        <v/>
      </c>
      <c r="E3377" s="55" t="n"/>
      <c r="F3377" s="54">
        <f>IF(E3377="","",IFERROR(IF(INDEX(lst_exp_item_cat,MATCH(E3377,lst_exp_items,0))="","❔ Без категории",INDEX(lst_exp_item_cat,MATCH(E3377,lst_exp_items,0))),"❔ Без категории"))</f>
        <v/>
      </c>
      <c r="G3377" s="43" t="n"/>
      <c r="H3377" s="56" t="n"/>
      <c r="I3377" s="43" t="n"/>
      <c r="J3377" s="57">
        <f>IF(OR(A3377="",H3377=""),"",IF(COUNTIFS(exp_year,C3377,exp_month,D3377,exp_item,E3377,exp_status,"&lt;&gt;❌ Отменено")&gt;0,1,0))</f>
        <v/>
      </c>
    </row>
    <row r="3378">
      <c r="A3378" s="52" t="n"/>
      <c r="B3378" s="53">
        <f>IF(A3378="","",CHOOSE(WEEKDAY(A3378,2),"Пн","Вт","Ср","Чт","Пт","Сб","Вс"))</f>
        <v/>
      </c>
      <c r="C3378" s="53">
        <f>IF(A3378="","",YEAR(A3378))</f>
        <v/>
      </c>
      <c r="D3378" s="54">
        <f>IF(A3378="","",INDEX(lst_months,MONTH(A3378)))</f>
        <v/>
      </c>
      <c r="E3378" s="55" t="n"/>
      <c r="F3378" s="54">
        <f>IF(E3378="","",IFERROR(IF(INDEX(lst_exp_item_cat,MATCH(E3378,lst_exp_items,0))="","❔ Без категории",INDEX(lst_exp_item_cat,MATCH(E3378,lst_exp_items,0))),"❔ Без категории"))</f>
        <v/>
      </c>
      <c r="G3378" s="43" t="n"/>
      <c r="H3378" s="56" t="n"/>
      <c r="I3378" s="43" t="n"/>
      <c r="J3378" s="57">
        <f>IF(OR(A3378="",H3378=""),"",IF(COUNTIFS(exp_year,C3378,exp_month,D3378,exp_item,E3378,exp_status,"&lt;&gt;❌ Отменено")&gt;0,1,0))</f>
        <v/>
      </c>
    </row>
    <row r="3379">
      <c r="A3379" s="52" t="n"/>
      <c r="B3379" s="53">
        <f>IF(A3379="","",CHOOSE(WEEKDAY(A3379,2),"Пн","Вт","Ср","Чт","Пт","Сб","Вс"))</f>
        <v/>
      </c>
      <c r="C3379" s="53">
        <f>IF(A3379="","",YEAR(A3379))</f>
        <v/>
      </c>
      <c r="D3379" s="54">
        <f>IF(A3379="","",INDEX(lst_months,MONTH(A3379)))</f>
        <v/>
      </c>
      <c r="E3379" s="55" t="n"/>
      <c r="F3379" s="54">
        <f>IF(E3379="","",IFERROR(IF(INDEX(lst_exp_item_cat,MATCH(E3379,lst_exp_items,0))="","❔ Без категории",INDEX(lst_exp_item_cat,MATCH(E3379,lst_exp_items,0))),"❔ Без категории"))</f>
        <v/>
      </c>
      <c r="G3379" s="43" t="n"/>
      <c r="H3379" s="56" t="n"/>
      <c r="I3379" s="43" t="n"/>
      <c r="J3379" s="57">
        <f>IF(OR(A3379="",H3379=""),"",IF(COUNTIFS(exp_year,C3379,exp_month,D3379,exp_item,E3379,exp_status,"&lt;&gt;❌ Отменено")&gt;0,1,0))</f>
        <v/>
      </c>
    </row>
    <row r="3380">
      <c r="A3380" s="52" t="n"/>
      <c r="B3380" s="53">
        <f>IF(A3380="","",CHOOSE(WEEKDAY(A3380,2),"Пн","Вт","Ср","Чт","Пт","Сб","Вс"))</f>
        <v/>
      </c>
      <c r="C3380" s="53">
        <f>IF(A3380="","",YEAR(A3380))</f>
        <v/>
      </c>
      <c r="D3380" s="54">
        <f>IF(A3380="","",INDEX(lst_months,MONTH(A3380)))</f>
        <v/>
      </c>
      <c r="E3380" s="55" t="n"/>
      <c r="F3380" s="54">
        <f>IF(E3380="","",IFERROR(IF(INDEX(lst_exp_item_cat,MATCH(E3380,lst_exp_items,0))="","❔ Без категории",INDEX(lst_exp_item_cat,MATCH(E3380,lst_exp_items,0))),"❔ Без категории"))</f>
        <v/>
      </c>
      <c r="G3380" s="43" t="n"/>
      <c r="H3380" s="56" t="n"/>
      <c r="I3380" s="43" t="n"/>
      <c r="J3380" s="57">
        <f>IF(OR(A3380="",H3380=""),"",IF(COUNTIFS(exp_year,C3380,exp_month,D3380,exp_item,E3380,exp_status,"&lt;&gt;❌ Отменено")&gt;0,1,0))</f>
        <v/>
      </c>
    </row>
    <row r="3381">
      <c r="A3381" s="52" t="n"/>
      <c r="B3381" s="53">
        <f>IF(A3381="","",CHOOSE(WEEKDAY(A3381,2),"Пн","Вт","Ср","Чт","Пт","Сб","Вс"))</f>
        <v/>
      </c>
      <c r="C3381" s="53">
        <f>IF(A3381="","",YEAR(A3381))</f>
        <v/>
      </c>
      <c r="D3381" s="54">
        <f>IF(A3381="","",INDEX(lst_months,MONTH(A3381)))</f>
        <v/>
      </c>
      <c r="E3381" s="55" t="n"/>
      <c r="F3381" s="54">
        <f>IF(E3381="","",IFERROR(IF(INDEX(lst_exp_item_cat,MATCH(E3381,lst_exp_items,0))="","❔ Без категории",INDEX(lst_exp_item_cat,MATCH(E3381,lst_exp_items,0))),"❔ Без категории"))</f>
        <v/>
      </c>
      <c r="G3381" s="43" t="n"/>
      <c r="H3381" s="56" t="n"/>
      <c r="I3381" s="43" t="n"/>
      <c r="J3381" s="57">
        <f>IF(OR(A3381="",H3381=""),"",IF(COUNTIFS(exp_year,C3381,exp_month,D3381,exp_item,E3381,exp_status,"&lt;&gt;❌ Отменено")&gt;0,1,0))</f>
        <v/>
      </c>
    </row>
    <row r="3382">
      <c r="A3382" s="52" t="n"/>
      <c r="B3382" s="53">
        <f>IF(A3382="","",CHOOSE(WEEKDAY(A3382,2),"Пн","Вт","Ср","Чт","Пт","Сб","Вс"))</f>
        <v/>
      </c>
      <c r="C3382" s="53">
        <f>IF(A3382="","",YEAR(A3382))</f>
        <v/>
      </c>
      <c r="D3382" s="54">
        <f>IF(A3382="","",INDEX(lst_months,MONTH(A3382)))</f>
        <v/>
      </c>
      <c r="E3382" s="55" t="n"/>
      <c r="F3382" s="54">
        <f>IF(E3382="","",IFERROR(IF(INDEX(lst_exp_item_cat,MATCH(E3382,lst_exp_items,0))="","❔ Без категории",INDEX(lst_exp_item_cat,MATCH(E3382,lst_exp_items,0))),"❔ Без категории"))</f>
        <v/>
      </c>
      <c r="G3382" s="43" t="n"/>
      <c r="H3382" s="56" t="n"/>
      <c r="I3382" s="43" t="n"/>
      <c r="J3382" s="57">
        <f>IF(OR(A3382="",H3382=""),"",IF(COUNTIFS(exp_year,C3382,exp_month,D3382,exp_item,E3382,exp_status,"&lt;&gt;❌ Отменено")&gt;0,1,0))</f>
        <v/>
      </c>
    </row>
    <row r="3383">
      <c r="A3383" s="52" t="n"/>
      <c r="B3383" s="53">
        <f>IF(A3383="","",CHOOSE(WEEKDAY(A3383,2),"Пн","Вт","Ср","Чт","Пт","Сб","Вс"))</f>
        <v/>
      </c>
      <c r="C3383" s="53">
        <f>IF(A3383="","",YEAR(A3383))</f>
        <v/>
      </c>
      <c r="D3383" s="54">
        <f>IF(A3383="","",INDEX(lst_months,MONTH(A3383)))</f>
        <v/>
      </c>
      <c r="E3383" s="55" t="n"/>
      <c r="F3383" s="54">
        <f>IF(E3383="","",IFERROR(IF(INDEX(lst_exp_item_cat,MATCH(E3383,lst_exp_items,0))="","❔ Без категории",INDEX(lst_exp_item_cat,MATCH(E3383,lst_exp_items,0))),"❔ Без категории"))</f>
        <v/>
      </c>
      <c r="G3383" s="43" t="n"/>
      <c r="H3383" s="56" t="n"/>
      <c r="I3383" s="43" t="n"/>
      <c r="J3383" s="57">
        <f>IF(OR(A3383="",H3383=""),"",IF(COUNTIFS(exp_year,C3383,exp_month,D3383,exp_item,E3383,exp_status,"&lt;&gt;❌ Отменено")&gt;0,1,0))</f>
        <v/>
      </c>
    </row>
    <row r="3384">
      <c r="A3384" s="52" t="n"/>
      <c r="B3384" s="53">
        <f>IF(A3384="","",CHOOSE(WEEKDAY(A3384,2),"Пн","Вт","Ср","Чт","Пт","Сб","Вс"))</f>
        <v/>
      </c>
      <c r="C3384" s="53">
        <f>IF(A3384="","",YEAR(A3384))</f>
        <v/>
      </c>
      <c r="D3384" s="54">
        <f>IF(A3384="","",INDEX(lst_months,MONTH(A3384)))</f>
        <v/>
      </c>
      <c r="E3384" s="55" t="n"/>
      <c r="F3384" s="54">
        <f>IF(E3384="","",IFERROR(IF(INDEX(lst_exp_item_cat,MATCH(E3384,lst_exp_items,0))="","❔ Без категории",INDEX(lst_exp_item_cat,MATCH(E3384,lst_exp_items,0))),"❔ Без категории"))</f>
        <v/>
      </c>
      <c r="G3384" s="43" t="n"/>
      <c r="H3384" s="56" t="n"/>
      <c r="I3384" s="43" t="n"/>
      <c r="J3384" s="57">
        <f>IF(OR(A3384="",H3384=""),"",IF(COUNTIFS(exp_year,C3384,exp_month,D3384,exp_item,E3384,exp_status,"&lt;&gt;❌ Отменено")&gt;0,1,0))</f>
        <v/>
      </c>
    </row>
    <row r="3385">
      <c r="A3385" s="52" t="n"/>
      <c r="B3385" s="53">
        <f>IF(A3385="","",CHOOSE(WEEKDAY(A3385,2),"Пн","Вт","Ср","Чт","Пт","Сб","Вс"))</f>
        <v/>
      </c>
      <c r="C3385" s="53">
        <f>IF(A3385="","",YEAR(A3385))</f>
        <v/>
      </c>
      <c r="D3385" s="54">
        <f>IF(A3385="","",INDEX(lst_months,MONTH(A3385)))</f>
        <v/>
      </c>
      <c r="E3385" s="55" t="n"/>
      <c r="F3385" s="54">
        <f>IF(E3385="","",IFERROR(IF(INDEX(lst_exp_item_cat,MATCH(E3385,lst_exp_items,0))="","❔ Без категории",INDEX(lst_exp_item_cat,MATCH(E3385,lst_exp_items,0))),"❔ Без категории"))</f>
        <v/>
      </c>
      <c r="G3385" s="43" t="n"/>
      <c r="H3385" s="56" t="n"/>
      <c r="I3385" s="43" t="n"/>
      <c r="J3385" s="57">
        <f>IF(OR(A3385="",H3385=""),"",IF(COUNTIFS(exp_year,C3385,exp_month,D3385,exp_item,E3385,exp_status,"&lt;&gt;❌ Отменено")&gt;0,1,0))</f>
        <v/>
      </c>
    </row>
    <row r="3386">
      <c r="A3386" s="52" t="n"/>
      <c r="B3386" s="53">
        <f>IF(A3386="","",CHOOSE(WEEKDAY(A3386,2),"Пн","Вт","Ср","Чт","Пт","Сб","Вс"))</f>
        <v/>
      </c>
      <c r="C3386" s="53">
        <f>IF(A3386="","",YEAR(A3386))</f>
        <v/>
      </c>
      <c r="D3386" s="54">
        <f>IF(A3386="","",INDEX(lst_months,MONTH(A3386)))</f>
        <v/>
      </c>
      <c r="E3386" s="55" t="n"/>
      <c r="F3386" s="54">
        <f>IF(E3386="","",IFERROR(IF(INDEX(lst_exp_item_cat,MATCH(E3386,lst_exp_items,0))="","❔ Без категории",INDEX(lst_exp_item_cat,MATCH(E3386,lst_exp_items,0))),"❔ Без категории"))</f>
        <v/>
      </c>
      <c r="G3386" s="43" t="n"/>
      <c r="H3386" s="56" t="n"/>
      <c r="I3386" s="43" t="n"/>
      <c r="J3386" s="57">
        <f>IF(OR(A3386="",H3386=""),"",IF(COUNTIFS(exp_year,C3386,exp_month,D3386,exp_item,E3386,exp_status,"&lt;&gt;❌ Отменено")&gt;0,1,0))</f>
        <v/>
      </c>
    </row>
    <row r="3387">
      <c r="A3387" s="52" t="n"/>
      <c r="B3387" s="53">
        <f>IF(A3387="","",CHOOSE(WEEKDAY(A3387,2),"Пн","Вт","Ср","Чт","Пт","Сб","Вс"))</f>
        <v/>
      </c>
      <c r="C3387" s="53">
        <f>IF(A3387="","",YEAR(A3387))</f>
        <v/>
      </c>
      <c r="D3387" s="54">
        <f>IF(A3387="","",INDEX(lst_months,MONTH(A3387)))</f>
        <v/>
      </c>
      <c r="E3387" s="55" t="n"/>
      <c r="F3387" s="54">
        <f>IF(E3387="","",IFERROR(IF(INDEX(lst_exp_item_cat,MATCH(E3387,lst_exp_items,0))="","❔ Без категории",INDEX(lst_exp_item_cat,MATCH(E3387,lst_exp_items,0))),"❔ Без категории"))</f>
        <v/>
      </c>
      <c r="G3387" s="43" t="n"/>
      <c r="H3387" s="56" t="n"/>
      <c r="I3387" s="43" t="n"/>
      <c r="J3387" s="57">
        <f>IF(OR(A3387="",H3387=""),"",IF(COUNTIFS(exp_year,C3387,exp_month,D3387,exp_item,E3387,exp_status,"&lt;&gt;❌ Отменено")&gt;0,1,0))</f>
        <v/>
      </c>
    </row>
    <row r="3388">
      <c r="A3388" s="52" t="n"/>
      <c r="B3388" s="53">
        <f>IF(A3388="","",CHOOSE(WEEKDAY(A3388,2),"Пн","Вт","Ср","Чт","Пт","Сб","Вс"))</f>
        <v/>
      </c>
      <c r="C3388" s="53">
        <f>IF(A3388="","",YEAR(A3388))</f>
        <v/>
      </c>
      <c r="D3388" s="54">
        <f>IF(A3388="","",INDEX(lst_months,MONTH(A3388)))</f>
        <v/>
      </c>
      <c r="E3388" s="55" t="n"/>
      <c r="F3388" s="54">
        <f>IF(E3388="","",IFERROR(IF(INDEX(lst_exp_item_cat,MATCH(E3388,lst_exp_items,0))="","❔ Без категории",INDEX(lst_exp_item_cat,MATCH(E3388,lst_exp_items,0))),"❔ Без категории"))</f>
        <v/>
      </c>
      <c r="G3388" s="43" t="n"/>
      <c r="H3388" s="56" t="n"/>
      <c r="I3388" s="43" t="n"/>
      <c r="J3388" s="57">
        <f>IF(OR(A3388="",H3388=""),"",IF(COUNTIFS(exp_year,C3388,exp_month,D3388,exp_item,E3388,exp_status,"&lt;&gt;❌ Отменено")&gt;0,1,0))</f>
        <v/>
      </c>
    </row>
    <row r="3389">
      <c r="A3389" s="52" t="n"/>
      <c r="B3389" s="53">
        <f>IF(A3389="","",CHOOSE(WEEKDAY(A3389,2),"Пн","Вт","Ср","Чт","Пт","Сб","Вс"))</f>
        <v/>
      </c>
      <c r="C3389" s="53">
        <f>IF(A3389="","",YEAR(A3389))</f>
        <v/>
      </c>
      <c r="D3389" s="54">
        <f>IF(A3389="","",INDEX(lst_months,MONTH(A3389)))</f>
        <v/>
      </c>
      <c r="E3389" s="55" t="n"/>
      <c r="F3389" s="54">
        <f>IF(E3389="","",IFERROR(IF(INDEX(lst_exp_item_cat,MATCH(E3389,lst_exp_items,0))="","❔ Без категории",INDEX(lst_exp_item_cat,MATCH(E3389,lst_exp_items,0))),"❔ Без категории"))</f>
        <v/>
      </c>
      <c r="G3389" s="43" t="n"/>
      <c r="H3389" s="56" t="n"/>
      <c r="I3389" s="43" t="n"/>
      <c r="J3389" s="57">
        <f>IF(OR(A3389="",H3389=""),"",IF(COUNTIFS(exp_year,C3389,exp_month,D3389,exp_item,E3389,exp_status,"&lt;&gt;❌ Отменено")&gt;0,1,0))</f>
        <v/>
      </c>
    </row>
    <row r="3390">
      <c r="A3390" s="52" t="n"/>
      <c r="B3390" s="53">
        <f>IF(A3390="","",CHOOSE(WEEKDAY(A3390,2),"Пн","Вт","Ср","Чт","Пт","Сб","Вс"))</f>
        <v/>
      </c>
      <c r="C3390" s="53">
        <f>IF(A3390="","",YEAR(A3390))</f>
        <v/>
      </c>
      <c r="D3390" s="54">
        <f>IF(A3390="","",INDEX(lst_months,MONTH(A3390)))</f>
        <v/>
      </c>
      <c r="E3390" s="55" t="n"/>
      <c r="F3390" s="54">
        <f>IF(E3390="","",IFERROR(IF(INDEX(lst_exp_item_cat,MATCH(E3390,lst_exp_items,0))="","❔ Без категории",INDEX(lst_exp_item_cat,MATCH(E3390,lst_exp_items,0))),"❔ Без категории"))</f>
        <v/>
      </c>
      <c r="G3390" s="43" t="n"/>
      <c r="H3390" s="56" t="n"/>
      <c r="I3390" s="43" t="n"/>
      <c r="J3390" s="57">
        <f>IF(OR(A3390="",H3390=""),"",IF(COUNTIFS(exp_year,C3390,exp_month,D3390,exp_item,E3390,exp_status,"&lt;&gt;❌ Отменено")&gt;0,1,0))</f>
        <v/>
      </c>
    </row>
    <row r="3391">
      <c r="A3391" s="52" t="n"/>
      <c r="B3391" s="53">
        <f>IF(A3391="","",CHOOSE(WEEKDAY(A3391,2),"Пн","Вт","Ср","Чт","Пт","Сб","Вс"))</f>
        <v/>
      </c>
      <c r="C3391" s="53">
        <f>IF(A3391="","",YEAR(A3391))</f>
        <v/>
      </c>
      <c r="D3391" s="54">
        <f>IF(A3391="","",INDEX(lst_months,MONTH(A3391)))</f>
        <v/>
      </c>
      <c r="E3391" s="55" t="n"/>
      <c r="F3391" s="54">
        <f>IF(E3391="","",IFERROR(IF(INDEX(lst_exp_item_cat,MATCH(E3391,lst_exp_items,0))="","❔ Без категории",INDEX(lst_exp_item_cat,MATCH(E3391,lst_exp_items,0))),"❔ Без категории"))</f>
        <v/>
      </c>
      <c r="G3391" s="43" t="n"/>
      <c r="H3391" s="56" t="n"/>
      <c r="I3391" s="43" t="n"/>
      <c r="J3391" s="57">
        <f>IF(OR(A3391="",H3391=""),"",IF(COUNTIFS(exp_year,C3391,exp_month,D3391,exp_item,E3391,exp_status,"&lt;&gt;❌ Отменено")&gt;0,1,0))</f>
        <v/>
      </c>
    </row>
    <row r="3392">
      <c r="A3392" s="52" t="n"/>
      <c r="B3392" s="53">
        <f>IF(A3392="","",CHOOSE(WEEKDAY(A3392,2),"Пн","Вт","Ср","Чт","Пт","Сб","Вс"))</f>
        <v/>
      </c>
      <c r="C3392" s="53">
        <f>IF(A3392="","",YEAR(A3392))</f>
        <v/>
      </c>
      <c r="D3392" s="54">
        <f>IF(A3392="","",INDEX(lst_months,MONTH(A3392)))</f>
        <v/>
      </c>
      <c r="E3392" s="55" t="n"/>
      <c r="F3392" s="54">
        <f>IF(E3392="","",IFERROR(IF(INDEX(lst_exp_item_cat,MATCH(E3392,lst_exp_items,0))="","❔ Без категории",INDEX(lst_exp_item_cat,MATCH(E3392,lst_exp_items,0))),"❔ Без категории"))</f>
        <v/>
      </c>
      <c r="G3392" s="43" t="n"/>
      <c r="H3392" s="56" t="n"/>
      <c r="I3392" s="43" t="n"/>
      <c r="J3392" s="57">
        <f>IF(OR(A3392="",H3392=""),"",IF(COUNTIFS(exp_year,C3392,exp_month,D3392,exp_item,E3392,exp_status,"&lt;&gt;❌ Отменено")&gt;0,1,0))</f>
        <v/>
      </c>
    </row>
    <row r="3393">
      <c r="A3393" s="52" t="n"/>
      <c r="B3393" s="53">
        <f>IF(A3393="","",CHOOSE(WEEKDAY(A3393,2),"Пн","Вт","Ср","Чт","Пт","Сб","Вс"))</f>
        <v/>
      </c>
      <c r="C3393" s="53">
        <f>IF(A3393="","",YEAR(A3393))</f>
        <v/>
      </c>
      <c r="D3393" s="54">
        <f>IF(A3393="","",INDEX(lst_months,MONTH(A3393)))</f>
        <v/>
      </c>
      <c r="E3393" s="55" t="n"/>
      <c r="F3393" s="54">
        <f>IF(E3393="","",IFERROR(IF(INDEX(lst_exp_item_cat,MATCH(E3393,lst_exp_items,0))="","❔ Без категории",INDEX(lst_exp_item_cat,MATCH(E3393,lst_exp_items,0))),"❔ Без категории"))</f>
        <v/>
      </c>
      <c r="G3393" s="43" t="n"/>
      <c r="H3393" s="56" t="n"/>
      <c r="I3393" s="43" t="n"/>
      <c r="J3393" s="57">
        <f>IF(OR(A3393="",H3393=""),"",IF(COUNTIFS(exp_year,C3393,exp_month,D3393,exp_item,E3393,exp_status,"&lt;&gt;❌ Отменено")&gt;0,1,0))</f>
        <v/>
      </c>
    </row>
    <row r="3394">
      <c r="A3394" s="52" t="n"/>
      <c r="B3394" s="53">
        <f>IF(A3394="","",CHOOSE(WEEKDAY(A3394,2),"Пн","Вт","Ср","Чт","Пт","Сб","Вс"))</f>
        <v/>
      </c>
      <c r="C3394" s="53">
        <f>IF(A3394="","",YEAR(A3394))</f>
        <v/>
      </c>
      <c r="D3394" s="54">
        <f>IF(A3394="","",INDEX(lst_months,MONTH(A3394)))</f>
        <v/>
      </c>
      <c r="E3394" s="55" t="n"/>
      <c r="F3394" s="54">
        <f>IF(E3394="","",IFERROR(IF(INDEX(lst_exp_item_cat,MATCH(E3394,lst_exp_items,0))="","❔ Без категории",INDEX(lst_exp_item_cat,MATCH(E3394,lst_exp_items,0))),"❔ Без категории"))</f>
        <v/>
      </c>
      <c r="G3394" s="43" t="n"/>
      <c r="H3394" s="56" t="n"/>
      <c r="I3394" s="43" t="n"/>
      <c r="J3394" s="57">
        <f>IF(OR(A3394="",H3394=""),"",IF(COUNTIFS(exp_year,C3394,exp_month,D3394,exp_item,E3394,exp_status,"&lt;&gt;❌ Отменено")&gt;0,1,0))</f>
        <v/>
      </c>
    </row>
    <row r="3395">
      <c r="A3395" s="52" t="n"/>
      <c r="B3395" s="53">
        <f>IF(A3395="","",CHOOSE(WEEKDAY(A3395,2),"Пн","Вт","Ср","Чт","Пт","Сб","Вс"))</f>
        <v/>
      </c>
      <c r="C3395" s="53">
        <f>IF(A3395="","",YEAR(A3395))</f>
        <v/>
      </c>
      <c r="D3395" s="54">
        <f>IF(A3395="","",INDEX(lst_months,MONTH(A3395)))</f>
        <v/>
      </c>
      <c r="E3395" s="55" t="n"/>
      <c r="F3395" s="54">
        <f>IF(E3395="","",IFERROR(IF(INDEX(lst_exp_item_cat,MATCH(E3395,lst_exp_items,0))="","❔ Без категории",INDEX(lst_exp_item_cat,MATCH(E3395,lst_exp_items,0))),"❔ Без категории"))</f>
        <v/>
      </c>
      <c r="G3395" s="43" t="n"/>
      <c r="H3395" s="56" t="n"/>
      <c r="I3395" s="43" t="n"/>
      <c r="J3395" s="57">
        <f>IF(OR(A3395="",H3395=""),"",IF(COUNTIFS(exp_year,C3395,exp_month,D3395,exp_item,E3395,exp_status,"&lt;&gt;❌ Отменено")&gt;0,1,0))</f>
        <v/>
      </c>
    </row>
    <row r="3396">
      <c r="A3396" s="52" t="n"/>
      <c r="B3396" s="53">
        <f>IF(A3396="","",CHOOSE(WEEKDAY(A3396,2),"Пн","Вт","Ср","Чт","Пт","Сб","Вс"))</f>
        <v/>
      </c>
      <c r="C3396" s="53">
        <f>IF(A3396="","",YEAR(A3396))</f>
        <v/>
      </c>
      <c r="D3396" s="54">
        <f>IF(A3396="","",INDEX(lst_months,MONTH(A3396)))</f>
        <v/>
      </c>
      <c r="E3396" s="55" t="n"/>
      <c r="F3396" s="54">
        <f>IF(E3396="","",IFERROR(IF(INDEX(lst_exp_item_cat,MATCH(E3396,lst_exp_items,0))="","❔ Без категории",INDEX(lst_exp_item_cat,MATCH(E3396,lst_exp_items,0))),"❔ Без категории"))</f>
        <v/>
      </c>
      <c r="G3396" s="43" t="n"/>
      <c r="H3396" s="56" t="n"/>
      <c r="I3396" s="43" t="n"/>
      <c r="J3396" s="57">
        <f>IF(OR(A3396="",H3396=""),"",IF(COUNTIFS(exp_year,C3396,exp_month,D3396,exp_item,E3396,exp_status,"&lt;&gt;❌ Отменено")&gt;0,1,0))</f>
        <v/>
      </c>
    </row>
    <row r="3397">
      <c r="A3397" s="52" t="n"/>
      <c r="B3397" s="53">
        <f>IF(A3397="","",CHOOSE(WEEKDAY(A3397,2),"Пн","Вт","Ср","Чт","Пт","Сб","Вс"))</f>
        <v/>
      </c>
      <c r="C3397" s="53">
        <f>IF(A3397="","",YEAR(A3397))</f>
        <v/>
      </c>
      <c r="D3397" s="54">
        <f>IF(A3397="","",INDEX(lst_months,MONTH(A3397)))</f>
        <v/>
      </c>
      <c r="E3397" s="55" t="n"/>
      <c r="F3397" s="54">
        <f>IF(E3397="","",IFERROR(IF(INDEX(lst_exp_item_cat,MATCH(E3397,lst_exp_items,0))="","❔ Без категории",INDEX(lst_exp_item_cat,MATCH(E3397,lst_exp_items,0))),"❔ Без категории"))</f>
        <v/>
      </c>
      <c r="G3397" s="43" t="n"/>
      <c r="H3397" s="56" t="n"/>
      <c r="I3397" s="43" t="n"/>
      <c r="J3397" s="57">
        <f>IF(OR(A3397="",H3397=""),"",IF(COUNTIFS(exp_year,C3397,exp_month,D3397,exp_item,E3397,exp_status,"&lt;&gt;❌ Отменено")&gt;0,1,0))</f>
        <v/>
      </c>
    </row>
    <row r="3398">
      <c r="A3398" s="52" t="n"/>
      <c r="B3398" s="53">
        <f>IF(A3398="","",CHOOSE(WEEKDAY(A3398,2),"Пн","Вт","Ср","Чт","Пт","Сб","Вс"))</f>
        <v/>
      </c>
      <c r="C3398" s="53">
        <f>IF(A3398="","",YEAR(A3398))</f>
        <v/>
      </c>
      <c r="D3398" s="54">
        <f>IF(A3398="","",INDEX(lst_months,MONTH(A3398)))</f>
        <v/>
      </c>
      <c r="E3398" s="55" t="n"/>
      <c r="F3398" s="54">
        <f>IF(E3398="","",IFERROR(IF(INDEX(lst_exp_item_cat,MATCH(E3398,lst_exp_items,0))="","❔ Без категории",INDEX(lst_exp_item_cat,MATCH(E3398,lst_exp_items,0))),"❔ Без категории"))</f>
        <v/>
      </c>
      <c r="G3398" s="43" t="n"/>
      <c r="H3398" s="56" t="n"/>
      <c r="I3398" s="43" t="n"/>
      <c r="J3398" s="57">
        <f>IF(OR(A3398="",H3398=""),"",IF(COUNTIFS(exp_year,C3398,exp_month,D3398,exp_item,E3398,exp_status,"&lt;&gt;❌ Отменено")&gt;0,1,0))</f>
        <v/>
      </c>
    </row>
    <row r="3399">
      <c r="A3399" s="52" t="n"/>
      <c r="B3399" s="53">
        <f>IF(A3399="","",CHOOSE(WEEKDAY(A3399,2),"Пн","Вт","Ср","Чт","Пт","Сб","Вс"))</f>
        <v/>
      </c>
      <c r="C3399" s="53">
        <f>IF(A3399="","",YEAR(A3399))</f>
        <v/>
      </c>
      <c r="D3399" s="54">
        <f>IF(A3399="","",INDEX(lst_months,MONTH(A3399)))</f>
        <v/>
      </c>
      <c r="E3399" s="55" t="n"/>
      <c r="F3399" s="54">
        <f>IF(E3399="","",IFERROR(IF(INDEX(lst_exp_item_cat,MATCH(E3399,lst_exp_items,0))="","❔ Без категории",INDEX(lst_exp_item_cat,MATCH(E3399,lst_exp_items,0))),"❔ Без категории"))</f>
        <v/>
      </c>
      <c r="G3399" s="43" t="n"/>
      <c r="H3399" s="56" t="n"/>
      <c r="I3399" s="43" t="n"/>
      <c r="J3399" s="57">
        <f>IF(OR(A3399="",H3399=""),"",IF(COUNTIFS(exp_year,C3399,exp_month,D3399,exp_item,E3399,exp_status,"&lt;&gt;❌ Отменено")&gt;0,1,0))</f>
        <v/>
      </c>
    </row>
    <row r="3400">
      <c r="A3400" s="52" t="n"/>
      <c r="B3400" s="53">
        <f>IF(A3400="","",CHOOSE(WEEKDAY(A3400,2),"Пн","Вт","Ср","Чт","Пт","Сб","Вс"))</f>
        <v/>
      </c>
      <c r="C3400" s="53">
        <f>IF(A3400="","",YEAR(A3400))</f>
        <v/>
      </c>
      <c r="D3400" s="54">
        <f>IF(A3400="","",INDEX(lst_months,MONTH(A3400)))</f>
        <v/>
      </c>
      <c r="E3400" s="55" t="n"/>
      <c r="F3400" s="54">
        <f>IF(E3400="","",IFERROR(IF(INDEX(lst_exp_item_cat,MATCH(E3400,lst_exp_items,0))="","❔ Без категории",INDEX(lst_exp_item_cat,MATCH(E3400,lst_exp_items,0))),"❔ Без категории"))</f>
        <v/>
      </c>
      <c r="G3400" s="43" t="n"/>
      <c r="H3400" s="56" t="n"/>
      <c r="I3400" s="43" t="n"/>
      <c r="J3400" s="57">
        <f>IF(OR(A3400="",H3400=""),"",IF(COUNTIFS(exp_year,C3400,exp_month,D3400,exp_item,E3400,exp_status,"&lt;&gt;❌ Отменено")&gt;0,1,0))</f>
        <v/>
      </c>
    </row>
    <row r="3401">
      <c r="A3401" s="52" t="n"/>
      <c r="B3401" s="53">
        <f>IF(A3401="","",CHOOSE(WEEKDAY(A3401,2),"Пн","Вт","Ср","Чт","Пт","Сб","Вс"))</f>
        <v/>
      </c>
      <c r="C3401" s="53">
        <f>IF(A3401="","",YEAR(A3401))</f>
        <v/>
      </c>
      <c r="D3401" s="54">
        <f>IF(A3401="","",INDEX(lst_months,MONTH(A3401)))</f>
        <v/>
      </c>
      <c r="E3401" s="55" t="n"/>
      <c r="F3401" s="54">
        <f>IF(E3401="","",IFERROR(IF(INDEX(lst_exp_item_cat,MATCH(E3401,lst_exp_items,0))="","❔ Без категории",INDEX(lst_exp_item_cat,MATCH(E3401,lst_exp_items,0))),"❔ Без категории"))</f>
        <v/>
      </c>
      <c r="G3401" s="43" t="n"/>
      <c r="H3401" s="56" t="n"/>
      <c r="I3401" s="43" t="n"/>
      <c r="J3401" s="57">
        <f>IF(OR(A3401="",H3401=""),"",IF(COUNTIFS(exp_year,C3401,exp_month,D3401,exp_item,E3401,exp_status,"&lt;&gt;❌ Отменено")&gt;0,1,0))</f>
        <v/>
      </c>
    </row>
    <row r="3402">
      <c r="A3402" s="52" t="n"/>
      <c r="B3402" s="53">
        <f>IF(A3402="","",CHOOSE(WEEKDAY(A3402,2),"Пн","Вт","Ср","Чт","Пт","Сб","Вс"))</f>
        <v/>
      </c>
      <c r="C3402" s="53">
        <f>IF(A3402="","",YEAR(A3402))</f>
        <v/>
      </c>
      <c r="D3402" s="54">
        <f>IF(A3402="","",INDEX(lst_months,MONTH(A3402)))</f>
        <v/>
      </c>
      <c r="E3402" s="55" t="n"/>
      <c r="F3402" s="54">
        <f>IF(E3402="","",IFERROR(IF(INDEX(lst_exp_item_cat,MATCH(E3402,lst_exp_items,0))="","❔ Без категории",INDEX(lst_exp_item_cat,MATCH(E3402,lst_exp_items,0))),"❔ Без категории"))</f>
        <v/>
      </c>
      <c r="G3402" s="43" t="n"/>
      <c r="H3402" s="56" t="n"/>
      <c r="I3402" s="43" t="n"/>
      <c r="J3402" s="57">
        <f>IF(OR(A3402="",H3402=""),"",IF(COUNTIFS(exp_year,C3402,exp_month,D3402,exp_item,E3402,exp_status,"&lt;&gt;❌ Отменено")&gt;0,1,0))</f>
        <v/>
      </c>
    </row>
    <row r="3403">
      <c r="A3403" s="52" t="n"/>
      <c r="B3403" s="53">
        <f>IF(A3403="","",CHOOSE(WEEKDAY(A3403,2),"Пн","Вт","Ср","Чт","Пт","Сб","Вс"))</f>
        <v/>
      </c>
      <c r="C3403" s="53">
        <f>IF(A3403="","",YEAR(A3403))</f>
        <v/>
      </c>
      <c r="D3403" s="54">
        <f>IF(A3403="","",INDEX(lst_months,MONTH(A3403)))</f>
        <v/>
      </c>
      <c r="E3403" s="55" t="n"/>
      <c r="F3403" s="54">
        <f>IF(E3403="","",IFERROR(IF(INDEX(lst_exp_item_cat,MATCH(E3403,lst_exp_items,0))="","❔ Без категории",INDEX(lst_exp_item_cat,MATCH(E3403,lst_exp_items,0))),"❔ Без категории"))</f>
        <v/>
      </c>
      <c r="G3403" s="43" t="n"/>
      <c r="H3403" s="56" t="n"/>
      <c r="I3403" s="43" t="n"/>
      <c r="J3403" s="57">
        <f>IF(OR(A3403="",H3403=""),"",IF(COUNTIFS(exp_year,C3403,exp_month,D3403,exp_item,E3403,exp_status,"&lt;&gt;❌ Отменено")&gt;0,1,0))</f>
        <v/>
      </c>
    </row>
    <row r="3404">
      <c r="A3404" s="52" t="n"/>
      <c r="B3404" s="53">
        <f>IF(A3404="","",CHOOSE(WEEKDAY(A3404,2),"Пн","Вт","Ср","Чт","Пт","Сб","Вс"))</f>
        <v/>
      </c>
      <c r="C3404" s="53">
        <f>IF(A3404="","",YEAR(A3404))</f>
        <v/>
      </c>
      <c r="D3404" s="54">
        <f>IF(A3404="","",INDEX(lst_months,MONTH(A3404)))</f>
        <v/>
      </c>
      <c r="E3404" s="55" t="n"/>
      <c r="F3404" s="54">
        <f>IF(E3404="","",IFERROR(IF(INDEX(lst_exp_item_cat,MATCH(E3404,lst_exp_items,0))="","❔ Без категории",INDEX(lst_exp_item_cat,MATCH(E3404,lst_exp_items,0))),"❔ Без категории"))</f>
        <v/>
      </c>
      <c r="G3404" s="43" t="n"/>
      <c r="H3404" s="56" t="n"/>
      <c r="I3404" s="43" t="n"/>
      <c r="J3404" s="57">
        <f>IF(OR(A3404="",H3404=""),"",IF(COUNTIFS(exp_year,C3404,exp_month,D3404,exp_item,E3404,exp_status,"&lt;&gt;❌ Отменено")&gt;0,1,0))</f>
        <v/>
      </c>
    </row>
    <row r="3405">
      <c r="A3405" s="52" t="n"/>
      <c r="B3405" s="53">
        <f>IF(A3405="","",CHOOSE(WEEKDAY(A3405,2),"Пн","Вт","Ср","Чт","Пт","Сб","Вс"))</f>
        <v/>
      </c>
      <c r="C3405" s="53">
        <f>IF(A3405="","",YEAR(A3405))</f>
        <v/>
      </c>
      <c r="D3405" s="54">
        <f>IF(A3405="","",INDEX(lst_months,MONTH(A3405)))</f>
        <v/>
      </c>
      <c r="E3405" s="55" t="n"/>
      <c r="F3405" s="54">
        <f>IF(E3405="","",IFERROR(IF(INDEX(lst_exp_item_cat,MATCH(E3405,lst_exp_items,0))="","❔ Без категории",INDEX(lst_exp_item_cat,MATCH(E3405,lst_exp_items,0))),"❔ Без категории"))</f>
        <v/>
      </c>
      <c r="G3405" s="43" t="n"/>
      <c r="H3405" s="56" t="n"/>
      <c r="I3405" s="43" t="n"/>
      <c r="J3405" s="57">
        <f>IF(OR(A3405="",H3405=""),"",IF(COUNTIFS(exp_year,C3405,exp_month,D3405,exp_item,E3405,exp_status,"&lt;&gt;❌ Отменено")&gt;0,1,0))</f>
        <v/>
      </c>
    </row>
    <row r="3406">
      <c r="A3406" s="52" t="n"/>
      <c r="B3406" s="53">
        <f>IF(A3406="","",CHOOSE(WEEKDAY(A3406,2),"Пн","Вт","Ср","Чт","Пт","Сб","Вс"))</f>
        <v/>
      </c>
      <c r="C3406" s="53">
        <f>IF(A3406="","",YEAR(A3406))</f>
        <v/>
      </c>
      <c r="D3406" s="54">
        <f>IF(A3406="","",INDEX(lst_months,MONTH(A3406)))</f>
        <v/>
      </c>
      <c r="E3406" s="55" t="n"/>
      <c r="F3406" s="54">
        <f>IF(E3406="","",IFERROR(IF(INDEX(lst_exp_item_cat,MATCH(E3406,lst_exp_items,0))="","❔ Без категории",INDEX(lst_exp_item_cat,MATCH(E3406,lst_exp_items,0))),"❔ Без категории"))</f>
        <v/>
      </c>
      <c r="G3406" s="43" t="n"/>
      <c r="H3406" s="56" t="n"/>
      <c r="I3406" s="43" t="n"/>
      <c r="J3406" s="57">
        <f>IF(OR(A3406="",H3406=""),"",IF(COUNTIFS(exp_year,C3406,exp_month,D3406,exp_item,E3406,exp_status,"&lt;&gt;❌ Отменено")&gt;0,1,0))</f>
        <v/>
      </c>
    </row>
    <row r="3407">
      <c r="A3407" s="52" t="n"/>
      <c r="B3407" s="53">
        <f>IF(A3407="","",CHOOSE(WEEKDAY(A3407,2),"Пн","Вт","Ср","Чт","Пт","Сб","Вс"))</f>
        <v/>
      </c>
      <c r="C3407" s="53">
        <f>IF(A3407="","",YEAR(A3407))</f>
        <v/>
      </c>
      <c r="D3407" s="54">
        <f>IF(A3407="","",INDEX(lst_months,MONTH(A3407)))</f>
        <v/>
      </c>
      <c r="E3407" s="55" t="n"/>
      <c r="F3407" s="54">
        <f>IF(E3407="","",IFERROR(IF(INDEX(lst_exp_item_cat,MATCH(E3407,lst_exp_items,0))="","❔ Без категории",INDEX(lst_exp_item_cat,MATCH(E3407,lst_exp_items,0))),"❔ Без категории"))</f>
        <v/>
      </c>
      <c r="G3407" s="43" t="n"/>
      <c r="H3407" s="56" t="n"/>
      <c r="I3407" s="43" t="n"/>
      <c r="J3407" s="57">
        <f>IF(OR(A3407="",H3407=""),"",IF(COUNTIFS(exp_year,C3407,exp_month,D3407,exp_item,E3407,exp_status,"&lt;&gt;❌ Отменено")&gt;0,1,0))</f>
        <v/>
      </c>
    </row>
    <row r="3408">
      <c r="A3408" s="52" t="n"/>
      <c r="B3408" s="53">
        <f>IF(A3408="","",CHOOSE(WEEKDAY(A3408,2),"Пн","Вт","Ср","Чт","Пт","Сб","Вс"))</f>
        <v/>
      </c>
      <c r="C3408" s="53">
        <f>IF(A3408="","",YEAR(A3408))</f>
        <v/>
      </c>
      <c r="D3408" s="54">
        <f>IF(A3408="","",INDEX(lst_months,MONTH(A3408)))</f>
        <v/>
      </c>
      <c r="E3408" s="55" t="n"/>
      <c r="F3408" s="54">
        <f>IF(E3408="","",IFERROR(IF(INDEX(lst_exp_item_cat,MATCH(E3408,lst_exp_items,0))="","❔ Без категории",INDEX(lst_exp_item_cat,MATCH(E3408,lst_exp_items,0))),"❔ Без категории"))</f>
        <v/>
      </c>
      <c r="G3408" s="43" t="n"/>
      <c r="H3408" s="56" t="n"/>
      <c r="I3408" s="43" t="n"/>
      <c r="J3408" s="57">
        <f>IF(OR(A3408="",H3408=""),"",IF(COUNTIFS(exp_year,C3408,exp_month,D3408,exp_item,E3408,exp_status,"&lt;&gt;❌ Отменено")&gt;0,1,0))</f>
        <v/>
      </c>
    </row>
    <row r="3409">
      <c r="A3409" s="52" t="n"/>
      <c r="B3409" s="53">
        <f>IF(A3409="","",CHOOSE(WEEKDAY(A3409,2),"Пн","Вт","Ср","Чт","Пт","Сб","Вс"))</f>
        <v/>
      </c>
      <c r="C3409" s="53">
        <f>IF(A3409="","",YEAR(A3409))</f>
        <v/>
      </c>
      <c r="D3409" s="54">
        <f>IF(A3409="","",INDEX(lst_months,MONTH(A3409)))</f>
        <v/>
      </c>
      <c r="E3409" s="55" t="n"/>
      <c r="F3409" s="54">
        <f>IF(E3409="","",IFERROR(IF(INDEX(lst_exp_item_cat,MATCH(E3409,lst_exp_items,0))="","❔ Без категории",INDEX(lst_exp_item_cat,MATCH(E3409,lst_exp_items,0))),"❔ Без категории"))</f>
        <v/>
      </c>
      <c r="G3409" s="43" t="n"/>
      <c r="H3409" s="56" t="n"/>
      <c r="I3409" s="43" t="n"/>
      <c r="J3409" s="57">
        <f>IF(OR(A3409="",H3409=""),"",IF(COUNTIFS(exp_year,C3409,exp_month,D3409,exp_item,E3409,exp_status,"&lt;&gt;❌ Отменено")&gt;0,1,0))</f>
        <v/>
      </c>
    </row>
    <row r="3410">
      <c r="A3410" s="52" t="n"/>
      <c r="B3410" s="53">
        <f>IF(A3410="","",CHOOSE(WEEKDAY(A3410,2),"Пн","Вт","Ср","Чт","Пт","Сб","Вс"))</f>
        <v/>
      </c>
      <c r="C3410" s="53">
        <f>IF(A3410="","",YEAR(A3410))</f>
        <v/>
      </c>
      <c r="D3410" s="54">
        <f>IF(A3410="","",INDEX(lst_months,MONTH(A3410)))</f>
        <v/>
      </c>
      <c r="E3410" s="55" t="n"/>
      <c r="F3410" s="54">
        <f>IF(E3410="","",IFERROR(IF(INDEX(lst_exp_item_cat,MATCH(E3410,lst_exp_items,0))="","❔ Без категории",INDEX(lst_exp_item_cat,MATCH(E3410,lst_exp_items,0))),"❔ Без категории"))</f>
        <v/>
      </c>
      <c r="G3410" s="43" t="n"/>
      <c r="H3410" s="56" t="n"/>
      <c r="I3410" s="43" t="n"/>
      <c r="J3410" s="57">
        <f>IF(OR(A3410="",H3410=""),"",IF(COUNTIFS(exp_year,C3410,exp_month,D3410,exp_item,E3410,exp_status,"&lt;&gt;❌ Отменено")&gt;0,1,0))</f>
        <v/>
      </c>
    </row>
    <row r="3411">
      <c r="A3411" s="52" t="n"/>
      <c r="B3411" s="53">
        <f>IF(A3411="","",CHOOSE(WEEKDAY(A3411,2),"Пн","Вт","Ср","Чт","Пт","Сб","Вс"))</f>
        <v/>
      </c>
      <c r="C3411" s="53">
        <f>IF(A3411="","",YEAR(A3411))</f>
        <v/>
      </c>
      <c r="D3411" s="54">
        <f>IF(A3411="","",INDEX(lst_months,MONTH(A3411)))</f>
        <v/>
      </c>
      <c r="E3411" s="55" t="n"/>
      <c r="F3411" s="54">
        <f>IF(E3411="","",IFERROR(IF(INDEX(lst_exp_item_cat,MATCH(E3411,lst_exp_items,0))="","❔ Без категории",INDEX(lst_exp_item_cat,MATCH(E3411,lst_exp_items,0))),"❔ Без категории"))</f>
        <v/>
      </c>
      <c r="G3411" s="43" t="n"/>
      <c r="H3411" s="56" t="n"/>
      <c r="I3411" s="43" t="n"/>
      <c r="J3411" s="57">
        <f>IF(OR(A3411="",H3411=""),"",IF(COUNTIFS(exp_year,C3411,exp_month,D3411,exp_item,E3411,exp_status,"&lt;&gt;❌ Отменено")&gt;0,1,0))</f>
        <v/>
      </c>
    </row>
    <row r="3412">
      <c r="A3412" s="52" t="n"/>
      <c r="B3412" s="53">
        <f>IF(A3412="","",CHOOSE(WEEKDAY(A3412,2),"Пн","Вт","Ср","Чт","Пт","Сб","Вс"))</f>
        <v/>
      </c>
      <c r="C3412" s="53">
        <f>IF(A3412="","",YEAR(A3412))</f>
        <v/>
      </c>
      <c r="D3412" s="54">
        <f>IF(A3412="","",INDEX(lst_months,MONTH(A3412)))</f>
        <v/>
      </c>
      <c r="E3412" s="55" t="n"/>
      <c r="F3412" s="54">
        <f>IF(E3412="","",IFERROR(IF(INDEX(lst_exp_item_cat,MATCH(E3412,lst_exp_items,0))="","❔ Без категории",INDEX(lst_exp_item_cat,MATCH(E3412,lst_exp_items,0))),"❔ Без категории"))</f>
        <v/>
      </c>
      <c r="G3412" s="43" t="n"/>
      <c r="H3412" s="56" t="n"/>
      <c r="I3412" s="43" t="n"/>
      <c r="J3412" s="57">
        <f>IF(OR(A3412="",H3412=""),"",IF(COUNTIFS(exp_year,C3412,exp_month,D3412,exp_item,E3412,exp_status,"&lt;&gt;❌ Отменено")&gt;0,1,0))</f>
        <v/>
      </c>
    </row>
    <row r="3413">
      <c r="A3413" s="52" t="n"/>
      <c r="B3413" s="53">
        <f>IF(A3413="","",CHOOSE(WEEKDAY(A3413,2),"Пн","Вт","Ср","Чт","Пт","Сб","Вс"))</f>
        <v/>
      </c>
      <c r="C3413" s="53">
        <f>IF(A3413="","",YEAR(A3413))</f>
        <v/>
      </c>
      <c r="D3413" s="54">
        <f>IF(A3413="","",INDEX(lst_months,MONTH(A3413)))</f>
        <v/>
      </c>
      <c r="E3413" s="55" t="n"/>
      <c r="F3413" s="54">
        <f>IF(E3413="","",IFERROR(IF(INDEX(lst_exp_item_cat,MATCH(E3413,lst_exp_items,0))="","❔ Без категории",INDEX(lst_exp_item_cat,MATCH(E3413,lst_exp_items,0))),"❔ Без категории"))</f>
        <v/>
      </c>
      <c r="G3413" s="43" t="n"/>
      <c r="H3413" s="56" t="n"/>
      <c r="I3413" s="43" t="n"/>
      <c r="J3413" s="57">
        <f>IF(OR(A3413="",H3413=""),"",IF(COUNTIFS(exp_year,C3413,exp_month,D3413,exp_item,E3413,exp_status,"&lt;&gt;❌ Отменено")&gt;0,1,0))</f>
        <v/>
      </c>
    </row>
    <row r="3414">
      <c r="A3414" s="52" t="n"/>
      <c r="B3414" s="53">
        <f>IF(A3414="","",CHOOSE(WEEKDAY(A3414,2),"Пн","Вт","Ср","Чт","Пт","Сб","Вс"))</f>
        <v/>
      </c>
      <c r="C3414" s="53">
        <f>IF(A3414="","",YEAR(A3414))</f>
        <v/>
      </c>
      <c r="D3414" s="54">
        <f>IF(A3414="","",INDEX(lst_months,MONTH(A3414)))</f>
        <v/>
      </c>
      <c r="E3414" s="55" t="n"/>
      <c r="F3414" s="54">
        <f>IF(E3414="","",IFERROR(IF(INDEX(lst_exp_item_cat,MATCH(E3414,lst_exp_items,0))="","❔ Без категории",INDEX(lst_exp_item_cat,MATCH(E3414,lst_exp_items,0))),"❔ Без категории"))</f>
        <v/>
      </c>
      <c r="G3414" s="43" t="n"/>
      <c r="H3414" s="56" t="n"/>
      <c r="I3414" s="43" t="n"/>
      <c r="J3414" s="57">
        <f>IF(OR(A3414="",H3414=""),"",IF(COUNTIFS(exp_year,C3414,exp_month,D3414,exp_item,E3414,exp_status,"&lt;&gt;❌ Отменено")&gt;0,1,0))</f>
        <v/>
      </c>
    </row>
    <row r="3415">
      <c r="A3415" s="52" t="n"/>
      <c r="B3415" s="53">
        <f>IF(A3415="","",CHOOSE(WEEKDAY(A3415,2),"Пн","Вт","Ср","Чт","Пт","Сб","Вс"))</f>
        <v/>
      </c>
      <c r="C3415" s="53">
        <f>IF(A3415="","",YEAR(A3415))</f>
        <v/>
      </c>
      <c r="D3415" s="54">
        <f>IF(A3415="","",INDEX(lst_months,MONTH(A3415)))</f>
        <v/>
      </c>
      <c r="E3415" s="55" t="n"/>
      <c r="F3415" s="54">
        <f>IF(E3415="","",IFERROR(IF(INDEX(lst_exp_item_cat,MATCH(E3415,lst_exp_items,0))="","❔ Без категории",INDEX(lst_exp_item_cat,MATCH(E3415,lst_exp_items,0))),"❔ Без категории"))</f>
        <v/>
      </c>
      <c r="G3415" s="43" t="n"/>
      <c r="H3415" s="56" t="n"/>
      <c r="I3415" s="43" t="n"/>
      <c r="J3415" s="57">
        <f>IF(OR(A3415="",H3415=""),"",IF(COUNTIFS(exp_year,C3415,exp_month,D3415,exp_item,E3415,exp_status,"&lt;&gt;❌ Отменено")&gt;0,1,0))</f>
        <v/>
      </c>
    </row>
    <row r="3416">
      <c r="A3416" s="52" t="n"/>
      <c r="B3416" s="53">
        <f>IF(A3416="","",CHOOSE(WEEKDAY(A3416,2),"Пн","Вт","Ср","Чт","Пт","Сб","Вс"))</f>
        <v/>
      </c>
      <c r="C3416" s="53">
        <f>IF(A3416="","",YEAR(A3416))</f>
        <v/>
      </c>
      <c r="D3416" s="54">
        <f>IF(A3416="","",INDEX(lst_months,MONTH(A3416)))</f>
        <v/>
      </c>
      <c r="E3416" s="55" t="n"/>
      <c r="F3416" s="54">
        <f>IF(E3416="","",IFERROR(IF(INDEX(lst_exp_item_cat,MATCH(E3416,lst_exp_items,0))="","❔ Без категории",INDEX(lst_exp_item_cat,MATCH(E3416,lst_exp_items,0))),"❔ Без категории"))</f>
        <v/>
      </c>
      <c r="G3416" s="43" t="n"/>
      <c r="H3416" s="56" t="n"/>
      <c r="I3416" s="43" t="n"/>
      <c r="J3416" s="57">
        <f>IF(OR(A3416="",H3416=""),"",IF(COUNTIFS(exp_year,C3416,exp_month,D3416,exp_item,E3416,exp_status,"&lt;&gt;❌ Отменено")&gt;0,1,0))</f>
        <v/>
      </c>
    </row>
    <row r="3417">
      <c r="A3417" s="52" t="n"/>
      <c r="B3417" s="53">
        <f>IF(A3417="","",CHOOSE(WEEKDAY(A3417,2),"Пн","Вт","Ср","Чт","Пт","Сб","Вс"))</f>
        <v/>
      </c>
      <c r="C3417" s="53">
        <f>IF(A3417="","",YEAR(A3417))</f>
        <v/>
      </c>
      <c r="D3417" s="54">
        <f>IF(A3417="","",INDEX(lst_months,MONTH(A3417)))</f>
        <v/>
      </c>
      <c r="E3417" s="55" t="n"/>
      <c r="F3417" s="54">
        <f>IF(E3417="","",IFERROR(IF(INDEX(lst_exp_item_cat,MATCH(E3417,lst_exp_items,0))="","❔ Без категории",INDEX(lst_exp_item_cat,MATCH(E3417,lst_exp_items,0))),"❔ Без категории"))</f>
        <v/>
      </c>
      <c r="G3417" s="43" t="n"/>
      <c r="H3417" s="56" t="n"/>
      <c r="I3417" s="43" t="n"/>
      <c r="J3417" s="57">
        <f>IF(OR(A3417="",H3417=""),"",IF(COUNTIFS(exp_year,C3417,exp_month,D3417,exp_item,E3417,exp_status,"&lt;&gt;❌ Отменено")&gt;0,1,0))</f>
        <v/>
      </c>
    </row>
    <row r="3418">
      <c r="A3418" s="52" t="n"/>
      <c r="B3418" s="53">
        <f>IF(A3418="","",CHOOSE(WEEKDAY(A3418,2),"Пн","Вт","Ср","Чт","Пт","Сб","Вс"))</f>
        <v/>
      </c>
      <c r="C3418" s="53">
        <f>IF(A3418="","",YEAR(A3418))</f>
        <v/>
      </c>
      <c r="D3418" s="54">
        <f>IF(A3418="","",INDEX(lst_months,MONTH(A3418)))</f>
        <v/>
      </c>
      <c r="E3418" s="55" t="n"/>
      <c r="F3418" s="54">
        <f>IF(E3418="","",IFERROR(IF(INDEX(lst_exp_item_cat,MATCH(E3418,lst_exp_items,0))="","❔ Без категории",INDEX(lst_exp_item_cat,MATCH(E3418,lst_exp_items,0))),"❔ Без категории"))</f>
        <v/>
      </c>
      <c r="G3418" s="43" t="n"/>
      <c r="H3418" s="56" t="n"/>
      <c r="I3418" s="43" t="n"/>
      <c r="J3418" s="57">
        <f>IF(OR(A3418="",H3418=""),"",IF(COUNTIFS(exp_year,C3418,exp_month,D3418,exp_item,E3418,exp_status,"&lt;&gt;❌ Отменено")&gt;0,1,0))</f>
        <v/>
      </c>
    </row>
    <row r="3419">
      <c r="A3419" s="52" t="n"/>
      <c r="B3419" s="53">
        <f>IF(A3419="","",CHOOSE(WEEKDAY(A3419,2),"Пн","Вт","Ср","Чт","Пт","Сб","Вс"))</f>
        <v/>
      </c>
      <c r="C3419" s="53">
        <f>IF(A3419="","",YEAR(A3419))</f>
        <v/>
      </c>
      <c r="D3419" s="54">
        <f>IF(A3419="","",INDEX(lst_months,MONTH(A3419)))</f>
        <v/>
      </c>
      <c r="E3419" s="55" t="n"/>
      <c r="F3419" s="54">
        <f>IF(E3419="","",IFERROR(IF(INDEX(lst_exp_item_cat,MATCH(E3419,lst_exp_items,0))="","❔ Без категории",INDEX(lst_exp_item_cat,MATCH(E3419,lst_exp_items,0))),"❔ Без категории"))</f>
        <v/>
      </c>
      <c r="G3419" s="43" t="n"/>
      <c r="H3419" s="56" t="n"/>
      <c r="I3419" s="43" t="n"/>
      <c r="J3419" s="57">
        <f>IF(OR(A3419="",H3419=""),"",IF(COUNTIFS(exp_year,C3419,exp_month,D3419,exp_item,E3419,exp_status,"&lt;&gt;❌ Отменено")&gt;0,1,0))</f>
        <v/>
      </c>
    </row>
    <row r="3420">
      <c r="A3420" s="52" t="n"/>
      <c r="B3420" s="53">
        <f>IF(A3420="","",CHOOSE(WEEKDAY(A3420,2),"Пн","Вт","Ср","Чт","Пт","Сб","Вс"))</f>
        <v/>
      </c>
      <c r="C3420" s="53">
        <f>IF(A3420="","",YEAR(A3420))</f>
        <v/>
      </c>
      <c r="D3420" s="54">
        <f>IF(A3420="","",INDEX(lst_months,MONTH(A3420)))</f>
        <v/>
      </c>
      <c r="E3420" s="55" t="n"/>
      <c r="F3420" s="54">
        <f>IF(E3420="","",IFERROR(IF(INDEX(lst_exp_item_cat,MATCH(E3420,lst_exp_items,0))="","❔ Без категории",INDEX(lst_exp_item_cat,MATCH(E3420,lst_exp_items,0))),"❔ Без категории"))</f>
        <v/>
      </c>
      <c r="G3420" s="43" t="n"/>
      <c r="H3420" s="56" t="n"/>
      <c r="I3420" s="43" t="n"/>
      <c r="J3420" s="57">
        <f>IF(OR(A3420="",H3420=""),"",IF(COUNTIFS(exp_year,C3420,exp_month,D3420,exp_item,E3420,exp_status,"&lt;&gt;❌ Отменено")&gt;0,1,0))</f>
        <v/>
      </c>
    </row>
    <row r="3421">
      <c r="A3421" s="52" t="n"/>
      <c r="B3421" s="53">
        <f>IF(A3421="","",CHOOSE(WEEKDAY(A3421,2),"Пн","Вт","Ср","Чт","Пт","Сб","Вс"))</f>
        <v/>
      </c>
      <c r="C3421" s="53">
        <f>IF(A3421="","",YEAR(A3421))</f>
        <v/>
      </c>
      <c r="D3421" s="54">
        <f>IF(A3421="","",INDEX(lst_months,MONTH(A3421)))</f>
        <v/>
      </c>
      <c r="E3421" s="55" t="n"/>
      <c r="F3421" s="54">
        <f>IF(E3421="","",IFERROR(IF(INDEX(lst_exp_item_cat,MATCH(E3421,lst_exp_items,0))="","❔ Без категории",INDEX(lst_exp_item_cat,MATCH(E3421,lst_exp_items,0))),"❔ Без категории"))</f>
        <v/>
      </c>
      <c r="G3421" s="43" t="n"/>
      <c r="H3421" s="56" t="n"/>
      <c r="I3421" s="43" t="n"/>
      <c r="J3421" s="57">
        <f>IF(OR(A3421="",H3421=""),"",IF(COUNTIFS(exp_year,C3421,exp_month,D3421,exp_item,E3421,exp_status,"&lt;&gt;❌ Отменено")&gt;0,1,0))</f>
        <v/>
      </c>
    </row>
    <row r="3422">
      <c r="A3422" s="52" t="n"/>
      <c r="B3422" s="53">
        <f>IF(A3422="","",CHOOSE(WEEKDAY(A3422,2),"Пн","Вт","Ср","Чт","Пт","Сб","Вс"))</f>
        <v/>
      </c>
      <c r="C3422" s="53">
        <f>IF(A3422="","",YEAR(A3422))</f>
        <v/>
      </c>
      <c r="D3422" s="54">
        <f>IF(A3422="","",INDEX(lst_months,MONTH(A3422)))</f>
        <v/>
      </c>
      <c r="E3422" s="55" t="n"/>
      <c r="F3422" s="54">
        <f>IF(E3422="","",IFERROR(IF(INDEX(lst_exp_item_cat,MATCH(E3422,lst_exp_items,0))="","❔ Без категории",INDEX(lst_exp_item_cat,MATCH(E3422,lst_exp_items,0))),"❔ Без категории"))</f>
        <v/>
      </c>
      <c r="G3422" s="43" t="n"/>
      <c r="H3422" s="56" t="n"/>
      <c r="I3422" s="43" t="n"/>
      <c r="J3422" s="57">
        <f>IF(OR(A3422="",H3422=""),"",IF(COUNTIFS(exp_year,C3422,exp_month,D3422,exp_item,E3422,exp_status,"&lt;&gt;❌ Отменено")&gt;0,1,0))</f>
        <v/>
      </c>
    </row>
    <row r="3423">
      <c r="A3423" s="52" t="n"/>
      <c r="B3423" s="53">
        <f>IF(A3423="","",CHOOSE(WEEKDAY(A3423,2),"Пн","Вт","Ср","Чт","Пт","Сб","Вс"))</f>
        <v/>
      </c>
      <c r="C3423" s="53">
        <f>IF(A3423="","",YEAR(A3423))</f>
        <v/>
      </c>
      <c r="D3423" s="54">
        <f>IF(A3423="","",INDEX(lst_months,MONTH(A3423)))</f>
        <v/>
      </c>
      <c r="E3423" s="55" t="n"/>
      <c r="F3423" s="54">
        <f>IF(E3423="","",IFERROR(IF(INDEX(lst_exp_item_cat,MATCH(E3423,lst_exp_items,0))="","❔ Без категории",INDEX(lst_exp_item_cat,MATCH(E3423,lst_exp_items,0))),"❔ Без категории"))</f>
        <v/>
      </c>
      <c r="G3423" s="43" t="n"/>
      <c r="H3423" s="56" t="n"/>
      <c r="I3423" s="43" t="n"/>
      <c r="J3423" s="57">
        <f>IF(OR(A3423="",H3423=""),"",IF(COUNTIFS(exp_year,C3423,exp_month,D3423,exp_item,E3423,exp_status,"&lt;&gt;❌ Отменено")&gt;0,1,0))</f>
        <v/>
      </c>
    </row>
    <row r="3424">
      <c r="A3424" s="52" t="n"/>
      <c r="B3424" s="53">
        <f>IF(A3424="","",CHOOSE(WEEKDAY(A3424,2),"Пн","Вт","Ср","Чт","Пт","Сб","Вс"))</f>
        <v/>
      </c>
      <c r="C3424" s="53">
        <f>IF(A3424="","",YEAR(A3424))</f>
        <v/>
      </c>
      <c r="D3424" s="54">
        <f>IF(A3424="","",INDEX(lst_months,MONTH(A3424)))</f>
        <v/>
      </c>
      <c r="E3424" s="55" t="n"/>
      <c r="F3424" s="54">
        <f>IF(E3424="","",IFERROR(IF(INDEX(lst_exp_item_cat,MATCH(E3424,lst_exp_items,0))="","❔ Без категории",INDEX(lst_exp_item_cat,MATCH(E3424,lst_exp_items,0))),"❔ Без категории"))</f>
        <v/>
      </c>
      <c r="G3424" s="43" t="n"/>
      <c r="H3424" s="56" t="n"/>
      <c r="I3424" s="43" t="n"/>
      <c r="J3424" s="57">
        <f>IF(OR(A3424="",H3424=""),"",IF(COUNTIFS(exp_year,C3424,exp_month,D3424,exp_item,E3424,exp_status,"&lt;&gt;❌ Отменено")&gt;0,1,0))</f>
        <v/>
      </c>
    </row>
    <row r="3425">
      <c r="A3425" s="52" t="n"/>
      <c r="B3425" s="53">
        <f>IF(A3425="","",CHOOSE(WEEKDAY(A3425,2),"Пн","Вт","Ср","Чт","Пт","Сб","Вс"))</f>
        <v/>
      </c>
      <c r="C3425" s="53">
        <f>IF(A3425="","",YEAR(A3425))</f>
        <v/>
      </c>
      <c r="D3425" s="54">
        <f>IF(A3425="","",INDEX(lst_months,MONTH(A3425)))</f>
        <v/>
      </c>
      <c r="E3425" s="55" t="n"/>
      <c r="F3425" s="54">
        <f>IF(E3425="","",IFERROR(IF(INDEX(lst_exp_item_cat,MATCH(E3425,lst_exp_items,0))="","❔ Без категории",INDEX(lst_exp_item_cat,MATCH(E3425,lst_exp_items,0))),"❔ Без категории"))</f>
        <v/>
      </c>
      <c r="G3425" s="43" t="n"/>
      <c r="H3425" s="56" t="n"/>
      <c r="I3425" s="43" t="n"/>
      <c r="J3425" s="57">
        <f>IF(OR(A3425="",H3425=""),"",IF(COUNTIFS(exp_year,C3425,exp_month,D3425,exp_item,E3425,exp_status,"&lt;&gt;❌ Отменено")&gt;0,1,0))</f>
        <v/>
      </c>
    </row>
    <row r="3426">
      <c r="A3426" s="52" t="n"/>
      <c r="B3426" s="53">
        <f>IF(A3426="","",CHOOSE(WEEKDAY(A3426,2),"Пн","Вт","Ср","Чт","Пт","Сб","Вс"))</f>
        <v/>
      </c>
      <c r="C3426" s="53">
        <f>IF(A3426="","",YEAR(A3426))</f>
        <v/>
      </c>
      <c r="D3426" s="54">
        <f>IF(A3426="","",INDEX(lst_months,MONTH(A3426)))</f>
        <v/>
      </c>
      <c r="E3426" s="55" t="n"/>
      <c r="F3426" s="54">
        <f>IF(E3426="","",IFERROR(IF(INDEX(lst_exp_item_cat,MATCH(E3426,lst_exp_items,0))="","❔ Без категории",INDEX(lst_exp_item_cat,MATCH(E3426,lst_exp_items,0))),"❔ Без категории"))</f>
        <v/>
      </c>
      <c r="G3426" s="43" t="n"/>
      <c r="H3426" s="56" t="n"/>
      <c r="I3426" s="43" t="n"/>
      <c r="J3426" s="57">
        <f>IF(OR(A3426="",H3426=""),"",IF(COUNTIFS(exp_year,C3426,exp_month,D3426,exp_item,E3426,exp_status,"&lt;&gt;❌ Отменено")&gt;0,1,0))</f>
        <v/>
      </c>
    </row>
    <row r="3427">
      <c r="A3427" s="52" t="n"/>
      <c r="B3427" s="53">
        <f>IF(A3427="","",CHOOSE(WEEKDAY(A3427,2),"Пн","Вт","Ср","Чт","Пт","Сб","Вс"))</f>
        <v/>
      </c>
      <c r="C3427" s="53">
        <f>IF(A3427="","",YEAR(A3427))</f>
        <v/>
      </c>
      <c r="D3427" s="54">
        <f>IF(A3427="","",INDEX(lst_months,MONTH(A3427)))</f>
        <v/>
      </c>
      <c r="E3427" s="55" t="n"/>
      <c r="F3427" s="54">
        <f>IF(E3427="","",IFERROR(IF(INDEX(lst_exp_item_cat,MATCH(E3427,lst_exp_items,0))="","❔ Без категории",INDEX(lst_exp_item_cat,MATCH(E3427,lst_exp_items,0))),"❔ Без категории"))</f>
        <v/>
      </c>
      <c r="G3427" s="43" t="n"/>
      <c r="H3427" s="56" t="n"/>
      <c r="I3427" s="43" t="n"/>
      <c r="J3427" s="57">
        <f>IF(OR(A3427="",H3427=""),"",IF(COUNTIFS(exp_year,C3427,exp_month,D3427,exp_item,E3427,exp_status,"&lt;&gt;❌ Отменено")&gt;0,1,0))</f>
        <v/>
      </c>
    </row>
    <row r="3428">
      <c r="A3428" s="52" t="n"/>
      <c r="B3428" s="53">
        <f>IF(A3428="","",CHOOSE(WEEKDAY(A3428,2),"Пн","Вт","Ср","Чт","Пт","Сб","Вс"))</f>
        <v/>
      </c>
      <c r="C3428" s="53">
        <f>IF(A3428="","",YEAR(A3428))</f>
        <v/>
      </c>
      <c r="D3428" s="54">
        <f>IF(A3428="","",INDEX(lst_months,MONTH(A3428)))</f>
        <v/>
      </c>
      <c r="E3428" s="55" t="n"/>
      <c r="F3428" s="54">
        <f>IF(E3428="","",IFERROR(IF(INDEX(lst_exp_item_cat,MATCH(E3428,lst_exp_items,0))="","❔ Без категории",INDEX(lst_exp_item_cat,MATCH(E3428,lst_exp_items,0))),"❔ Без категории"))</f>
        <v/>
      </c>
      <c r="G3428" s="43" t="n"/>
      <c r="H3428" s="56" t="n"/>
      <c r="I3428" s="43" t="n"/>
      <c r="J3428" s="57">
        <f>IF(OR(A3428="",H3428=""),"",IF(COUNTIFS(exp_year,C3428,exp_month,D3428,exp_item,E3428,exp_status,"&lt;&gt;❌ Отменено")&gt;0,1,0))</f>
        <v/>
      </c>
    </row>
    <row r="3429">
      <c r="A3429" s="52" t="n"/>
      <c r="B3429" s="53">
        <f>IF(A3429="","",CHOOSE(WEEKDAY(A3429,2),"Пн","Вт","Ср","Чт","Пт","Сб","Вс"))</f>
        <v/>
      </c>
      <c r="C3429" s="53">
        <f>IF(A3429="","",YEAR(A3429))</f>
        <v/>
      </c>
      <c r="D3429" s="54">
        <f>IF(A3429="","",INDEX(lst_months,MONTH(A3429)))</f>
        <v/>
      </c>
      <c r="E3429" s="55" t="n"/>
      <c r="F3429" s="54">
        <f>IF(E3429="","",IFERROR(IF(INDEX(lst_exp_item_cat,MATCH(E3429,lst_exp_items,0))="","❔ Без категории",INDEX(lst_exp_item_cat,MATCH(E3429,lst_exp_items,0))),"❔ Без категории"))</f>
        <v/>
      </c>
      <c r="G3429" s="43" t="n"/>
      <c r="H3429" s="56" t="n"/>
      <c r="I3429" s="43" t="n"/>
      <c r="J3429" s="57">
        <f>IF(OR(A3429="",H3429=""),"",IF(COUNTIFS(exp_year,C3429,exp_month,D3429,exp_item,E3429,exp_status,"&lt;&gt;❌ Отменено")&gt;0,1,0))</f>
        <v/>
      </c>
    </row>
    <row r="3430">
      <c r="A3430" s="52" t="n"/>
      <c r="B3430" s="53">
        <f>IF(A3430="","",CHOOSE(WEEKDAY(A3430,2),"Пн","Вт","Ср","Чт","Пт","Сб","Вс"))</f>
        <v/>
      </c>
      <c r="C3430" s="53">
        <f>IF(A3430="","",YEAR(A3430))</f>
        <v/>
      </c>
      <c r="D3430" s="54">
        <f>IF(A3430="","",INDEX(lst_months,MONTH(A3430)))</f>
        <v/>
      </c>
      <c r="E3430" s="55" t="n"/>
      <c r="F3430" s="54">
        <f>IF(E3430="","",IFERROR(IF(INDEX(lst_exp_item_cat,MATCH(E3430,lst_exp_items,0))="","❔ Без категории",INDEX(lst_exp_item_cat,MATCH(E3430,lst_exp_items,0))),"❔ Без категории"))</f>
        <v/>
      </c>
      <c r="G3430" s="43" t="n"/>
      <c r="H3430" s="56" t="n"/>
      <c r="I3430" s="43" t="n"/>
      <c r="J3430" s="57">
        <f>IF(OR(A3430="",H3430=""),"",IF(COUNTIFS(exp_year,C3430,exp_month,D3430,exp_item,E3430,exp_status,"&lt;&gt;❌ Отменено")&gt;0,1,0))</f>
        <v/>
      </c>
    </row>
    <row r="3431">
      <c r="A3431" s="52" t="n"/>
      <c r="B3431" s="53">
        <f>IF(A3431="","",CHOOSE(WEEKDAY(A3431,2),"Пн","Вт","Ср","Чт","Пт","Сб","Вс"))</f>
        <v/>
      </c>
      <c r="C3431" s="53">
        <f>IF(A3431="","",YEAR(A3431))</f>
        <v/>
      </c>
      <c r="D3431" s="54">
        <f>IF(A3431="","",INDEX(lst_months,MONTH(A3431)))</f>
        <v/>
      </c>
      <c r="E3431" s="55" t="n"/>
      <c r="F3431" s="54">
        <f>IF(E3431="","",IFERROR(IF(INDEX(lst_exp_item_cat,MATCH(E3431,lst_exp_items,0))="","❔ Без категории",INDEX(lst_exp_item_cat,MATCH(E3431,lst_exp_items,0))),"❔ Без категории"))</f>
        <v/>
      </c>
      <c r="G3431" s="43" t="n"/>
      <c r="H3431" s="56" t="n"/>
      <c r="I3431" s="43" t="n"/>
      <c r="J3431" s="57">
        <f>IF(OR(A3431="",H3431=""),"",IF(COUNTIFS(exp_year,C3431,exp_month,D3431,exp_item,E3431,exp_status,"&lt;&gt;❌ Отменено")&gt;0,1,0))</f>
        <v/>
      </c>
    </row>
    <row r="3432">
      <c r="A3432" s="52" t="n"/>
      <c r="B3432" s="53">
        <f>IF(A3432="","",CHOOSE(WEEKDAY(A3432,2),"Пн","Вт","Ср","Чт","Пт","Сб","Вс"))</f>
        <v/>
      </c>
      <c r="C3432" s="53">
        <f>IF(A3432="","",YEAR(A3432))</f>
        <v/>
      </c>
      <c r="D3432" s="54">
        <f>IF(A3432="","",INDEX(lst_months,MONTH(A3432)))</f>
        <v/>
      </c>
      <c r="E3432" s="55" t="n"/>
      <c r="F3432" s="54">
        <f>IF(E3432="","",IFERROR(IF(INDEX(lst_exp_item_cat,MATCH(E3432,lst_exp_items,0))="","❔ Без категории",INDEX(lst_exp_item_cat,MATCH(E3432,lst_exp_items,0))),"❔ Без категории"))</f>
        <v/>
      </c>
      <c r="G3432" s="43" t="n"/>
      <c r="H3432" s="56" t="n"/>
      <c r="I3432" s="43" t="n"/>
      <c r="J3432" s="57">
        <f>IF(OR(A3432="",H3432=""),"",IF(COUNTIFS(exp_year,C3432,exp_month,D3432,exp_item,E3432,exp_status,"&lt;&gt;❌ Отменено")&gt;0,1,0))</f>
        <v/>
      </c>
    </row>
    <row r="3433">
      <c r="A3433" s="52" t="n"/>
      <c r="B3433" s="53">
        <f>IF(A3433="","",CHOOSE(WEEKDAY(A3433,2),"Пн","Вт","Ср","Чт","Пт","Сб","Вс"))</f>
        <v/>
      </c>
      <c r="C3433" s="53">
        <f>IF(A3433="","",YEAR(A3433))</f>
        <v/>
      </c>
      <c r="D3433" s="54">
        <f>IF(A3433="","",INDEX(lst_months,MONTH(A3433)))</f>
        <v/>
      </c>
      <c r="E3433" s="55" t="n"/>
      <c r="F3433" s="54">
        <f>IF(E3433="","",IFERROR(IF(INDEX(lst_exp_item_cat,MATCH(E3433,lst_exp_items,0))="","❔ Без категории",INDEX(lst_exp_item_cat,MATCH(E3433,lst_exp_items,0))),"❔ Без категории"))</f>
        <v/>
      </c>
      <c r="G3433" s="43" t="n"/>
      <c r="H3433" s="56" t="n"/>
      <c r="I3433" s="43" t="n"/>
      <c r="J3433" s="57">
        <f>IF(OR(A3433="",H3433=""),"",IF(COUNTIFS(exp_year,C3433,exp_month,D3433,exp_item,E3433,exp_status,"&lt;&gt;❌ Отменено")&gt;0,1,0))</f>
        <v/>
      </c>
    </row>
    <row r="3434">
      <c r="A3434" s="52" t="n"/>
      <c r="B3434" s="53">
        <f>IF(A3434="","",CHOOSE(WEEKDAY(A3434,2),"Пн","Вт","Ср","Чт","Пт","Сб","Вс"))</f>
        <v/>
      </c>
      <c r="C3434" s="53">
        <f>IF(A3434="","",YEAR(A3434))</f>
        <v/>
      </c>
      <c r="D3434" s="54">
        <f>IF(A3434="","",INDEX(lst_months,MONTH(A3434)))</f>
        <v/>
      </c>
      <c r="E3434" s="55" t="n"/>
      <c r="F3434" s="54">
        <f>IF(E3434="","",IFERROR(IF(INDEX(lst_exp_item_cat,MATCH(E3434,lst_exp_items,0))="","❔ Без категории",INDEX(lst_exp_item_cat,MATCH(E3434,lst_exp_items,0))),"❔ Без категории"))</f>
        <v/>
      </c>
      <c r="G3434" s="43" t="n"/>
      <c r="H3434" s="56" t="n"/>
      <c r="I3434" s="43" t="n"/>
      <c r="J3434" s="57">
        <f>IF(OR(A3434="",H3434=""),"",IF(COUNTIFS(exp_year,C3434,exp_month,D3434,exp_item,E3434,exp_status,"&lt;&gt;❌ Отменено")&gt;0,1,0))</f>
        <v/>
      </c>
    </row>
    <row r="3435">
      <c r="A3435" s="52" t="n"/>
      <c r="B3435" s="53">
        <f>IF(A3435="","",CHOOSE(WEEKDAY(A3435,2),"Пн","Вт","Ср","Чт","Пт","Сб","Вс"))</f>
        <v/>
      </c>
      <c r="C3435" s="53">
        <f>IF(A3435="","",YEAR(A3435))</f>
        <v/>
      </c>
      <c r="D3435" s="54">
        <f>IF(A3435="","",INDEX(lst_months,MONTH(A3435)))</f>
        <v/>
      </c>
      <c r="E3435" s="55" t="n"/>
      <c r="F3435" s="54">
        <f>IF(E3435="","",IFERROR(IF(INDEX(lst_exp_item_cat,MATCH(E3435,lst_exp_items,0))="","❔ Без категории",INDEX(lst_exp_item_cat,MATCH(E3435,lst_exp_items,0))),"❔ Без категории"))</f>
        <v/>
      </c>
      <c r="G3435" s="43" t="n"/>
      <c r="H3435" s="56" t="n"/>
      <c r="I3435" s="43" t="n"/>
      <c r="J3435" s="57">
        <f>IF(OR(A3435="",H3435=""),"",IF(COUNTIFS(exp_year,C3435,exp_month,D3435,exp_item,E3435,exp_status,"&lt;&gt;❌ Отменено")&gt;0,1,0))</f>
        <v/>
      </c>
    </row>
    <row r="3436">
      <c r="A3436" s="52" t="n"/>
      <c r="B3436" s="53">
        <f>IF(A3436="","",CHOOSE(WEEKDAY(A3436,2),"Пн","Вт","Ср","Чт","Пт","Сб","Вс"))</f>
        <v/>
      </c>
      <c r="C3436" s="53">
        <f>IF(A3436="","",YEAR(A3436))</f>
        <v/>
      </c>
      <c r="D3436" s="54">
        <f>IF(A3436="","",INDEX(lst_months,MONTH(A3436)))</f>
        <v/>
      </c>
      <c r="E3436" s="55" t="n"/>
      <c r="F3436" s="54">
        <f>IF(E3436="","",IFERROR(IF(INDEX(lst_exp_item_cat,MATCH(E3436,lst_exp_items,0))="","❔ Без категории",INDEX(lst_exp_item_cat,MATCH(E3436,lst_exp_items,0))),"❔ Без категории"))</f>
        <v/>
      </c>
      <c r="G3436" s="43" t="n"/>
      <c r="H3436" s="56" t="n"/>
      <c r="I3436" s="43" t="n"/>
      <c r="J3436" s="57">
        <f>IF(OR(A3436="",H3436=""),"",IF(COUNTIFS(exp_year,C3436,exp_month,D3436,exp_item,E3436,exp_status,"&lt;&gt;❌ Отменено")&gt;0,1,0))</f>
        <v/>
      </c>
    </row>
    <row r="3437">
      <c r="A3437" s="52" t="n"/>
      <c r="B3437" s="53">
        <f>IF(A3437="","",CHOOSE(WEEKDAY(A3437,2),"Пн","Вт","Ср","Чт","Пт","Сб","Вс"))</f>
        <v/>
      </c>
      <c r="C3437" s="53">
        <f>IF(A3437="","",YEAR(A3437))</f>
        <v/>
      </c>
      <c r="D3437" s="54">
        <f>IF(A3437="","",INDEX(lst_months,MONTH(A3437)))</f>
        <v/>
      </c>
      <c r="E3437" s="55" t="n"/>
      <c r="F3437" s="54">
        <f>IF(E3437="","",IFERROR(IF(INDEX(lst_exp_item_cat,MATCH(E3437,lst_exp_items,0))="","❔ Без категории",INDEX(lst_exp_item_cat,MATCH(E3437,lst_exp_items,0))),"❔ Без категории"))</f>
        <v/>
      </c>
      <c r="G3437" s="43" t="n"/>
      <c r="H3437" s="56" t="n"/>
      <c r="I3437" s="43" t="n"/>
      <c r="J3437" s="57">
        <f>IF(OR(A3437="",H3437=""),"",IF(COUNTIFS(exp_year,C3437,exp_month,D3437,exp_item,E3437,exp_status,"&lt;&gt;❌ Отменено")&gt;0,1,0))</f>
        <v/>
      </c>
    </row>
    <row r="3438">
      <c r="A3438" s="52" t="n"/>
      <c r="B3438" s="53">
        <f>IF(A3438="","",CHOOSE(WEEKDAY(A3438,2),"Пн","Вт","Ср","Чт","Пт","Сб","Вс"))</f>
        <v/>
      </c>
      <c r="C3438" s="53">
        <f>IF(A3438="","",YEAR(A3438))</f>
        <v/>
      </c>
      <c r="D3438" s="54">
        <f>IF(A3438="","",INDEX(lst_months,MONTH(A3438)))</f>
        <v/>
      </c>
      <c r="E3438" s="55" t="n"/>
      <c r="F3438" s="54">
        <f>IF(E3438="","",IFERROR(IF(INDEX(lst_exp_item_cat,MATCH(E3438,lst_exp_items,0))="","❔ Без категории",INDEX(lst_exp_item_cat,MATCH(E3438,lst_exp_items,0))),"❔ Без категории"))</f>
        <v/>
      </c>
      <c r="G3438" s="43" t="n"/>
      <c r="H3438" s="56" t="n"/>
      <c r="I3438" s="43" t="n"/>
      <c r="J3438" s="57">
        <f>IF(OR(A3438="",H3438=""),"",IF(COUNTIFS(exp_year,C3438,exp_month,D3438,exp_item,E3438,exp_status,"&lt;&gt;❌ Отменено")&gt;0,1,0))</f>
        <v/>
      </c>
    </row>
    <row r="3439">
      <c r="A3439" s="52" t="n"/>
      <c r="B3439" s="53">
        <f>IF(A3439="","",CHOOSE(WEEKDAY(A3439,2),"Пн","Вт","Ср","Чт","Пт","Сб","Вс"))</f>
        <v/>
      </c>
      <c r="C3439" s="53">
        <f>IF(A3439="","",YEAR(A3439))</f>
        <v/>
      </c>
      <c r="D3439" s="54">
        <f>IF(A3439="","",INDEX(lst_months,MONTH(A3439)))</f>
        <v/>
      </c>
      <c r="E3439" s="55" t="n"/>
      <c r="F3439" s="54">
        <f>IF(E3439="","",IFERROR(IF(INDEX(lst_exp_item_cat,MATCH(E3439,lst_exp_items,0))="","❔ Без категории",INDEX(lst_exp_item_cat,MATCH(E3439,lst_exp_items,0))),"❔ Без категории"))</f>
        <v/>
      </c>
      <c r="G3439" s="43" t="n"/>
      <c r="H3439" s="56" t="n"/>
      <c r="I3439" s="43" t="n"/>
      <c r="J3439" s="57">
        <f>IF(OR(A3439="",H3439=""),"",IF(COUNTIFS(exp_year,C3439,exp_month,D3439,exp_item,E3439,exp_status,"&lt;&gt;❌ Отменено")&gt;0,1,0))</f>
        <v/>
      </c>
    </row>
    <row r="3440">
      <c r="A3440" s="52" t="n"/>
      <c r="B3440" s="53">
        <f>IF(A3440="","",CHOOSE(WEEKDAY(A3440,2),"Пн","Вт","Ср","Чт","Пт","Сб","Вс"))</f>
        <v/>
      </c>
      <c r="C3440" s="53">
        <f>IF(A3440="","",YEAR(A3440))</f>
        <v/>
      </c>
      <c r="D3440" s="54">
        <f>IF(A3440="","",INDEX(lst_months,MONTH(A3440)))</f>
        <v/>
      </c>
      <c r="E3440" s="55" t="n"/>
      <c r="F3440" s="54">
        <f>IF(E3440="","",IFERROR(IF(INDEX(lst_exp_item_cat,MATCH(E3440,lst_exp_items,0))="","❔ Без категории",INDEX(lst_exp_item_cat,MATCH(E3440,lst_exp_items,0))),"❔ Без категории"))</f>
        <v/>
      </c>
      <c r="G3440" s="43" t="n"/>
      <c r="H3440" s="56" t="n"/>
      <c r="I3440" s="43" t="n"/>
      <c r="J3440" s="57">
        <f>IF(OR(A3440="",H3440=""),"",IF(COUNTIFS(exp_year,C3440,exp_month,D3440,exp_item,E3440,exp_status,"&lt;&gt;❌ Отменено")&gt;0,1,0))</f>
        <v/>
      </c>
    </row>
    <row r="3441">
      <c r="A3441" s="52" t="n"/>
      <c r="B3441" s="53">
        <f>IF(A3441="","",CHOOSE(WEEKDAY(A3441,2),"Пн","Вт","Ср","Чт","Пт","Сб","Вс"))</f>
        <v/>
      </c>
      <c r="C3441" s="53">
        <f>IF(A3441="","",YEAR(A3441))</f>
        <v/>
      </c>
      <c r="D3441" s="54">
        <f>IF(A3441="","",INDEX(lst_months,MONTH(A3441)))</f>
        <v/>
      </c>
      <c r="E3441" s="55" t="n"/>
      <c r="F3441" s="54">
        <f>IF(E3441="","",IFERROR(IF(INDEX(lst_exp_item_cat,MATCH(E3441,lst_exp_items,0))="","❔ Без категории",INDEX(lst_exp_item_cat,MATCH(E3441,lst_exp_items,0))),"❔ Без категории"))</f>
        <v/>
      </c>
      <c r="G3441" s="43" t="n"/>
      <c r="H3441" s="56" t="n"/>
      <c r="I3441" s="43" t="n"/>
      <c r="J3441" s="57">
        <f>IF(OR(A3441="",H3441=""),"",IF(COUNTIFS(exp_year,C3441,exp_month,D3441,exp_item,E3441,exp_status,"&lt;&gt;❌ Отменено")&gt;0,1,0))</f>
        <v/>
      </c>
    </row>
    <row r="3442">
      <c r="A3442" s="52" t="n"/>
      <c r="B3442" s="53">
        <f>IF(A3442="","",CHOOSE(WEEKDAY(A3442,2),"Пн","Вт","Ср","Чт","Пт","Сб","Вс"))</f>
        <v/>
      </c>
      <c r="C3442" s="53">
        <f>IF(A3442="","",YEAR(A3442))</f>
        <v/>
      </c>
      <c r="D3442" s="54">
        <f>IF(A3442="","",INDEX(lst_months,MONTH(A3442)))</f>
        <v/>
      </c>
      <c r="E3442" s="55" t="n"/>
      <c r="F3442" s="54">
        <f>IF(E3442="","",IFERROR(IF(INDEX(lst_exp_item_cat,MATCH(E3442,lst_exp_items,0))="","❔ Без категории",INDEX(lst_exp_item_cat,MATCH(E3442,lst_exp_items,0))),"❔ Без категории"))</f>
        <v/>
      </c>
      <c r="G3442" s="43" t="n"/>
      <c r="H3442" s="56" t="n"/>
      <c r="I3442" s="43" t="n"/>
      <c r="J3442" s="57">
        <f>IF(OR(A3442="",H3442=""),"",IF(COUNTIFS(exp_year,C3442,exp_month,D3442,exp_item,E3442,exp_status,"&lt;&gt;❌ Отменено")&gt;0,1,0))</f>
        <v/>
      </c>
    </row>
    <row r="3443">
      <c r="A3443" s="52" t="n"/>
      <c r="B3443" s="53">
        <f>IF(A3443="","",CHOOSE(WEEKDAY(A3443,2),"Пн","Вт","Ср","Чт","Пт","Сб","Вс"))</f>
        <v/>
      </c>
      <c r="C3443" s="53">
        <f>IF(A3443="","",YEAR(A3443))</f>
        <v/>
      </c>
      <c r="D3443" s="54">
        <f>IF(A3443="","",INDEX(lst_months,MONTH(A3443)))</f>
        <v/>
      </c>
      <c r="E3443" s="55" t="n"/>
      <c r="F3443" s="54">
        <f>IF(E3443="","",IFERROR(IF(INDEX(lst_exp_item_cat,MATCH(E3443,lst_exp_items,0))="","❔ Без категории",INDEX(lst_exp_item_cat,MATCH(E3443,lst_exp_items,0))),"❔ Без категории"))</f>
        <v/>
      </c>
      <c r="G3443" s="43" t="n"/>
      <c r="H3443" s="56" t="n"/>
      <c r="I3443" s="43" t="n"/>
      <c r="J3443" s="57">
        <f>IF(OR(A3443="",H3443=""),"",IF(COUNTIFS(exp_year,C3443,exp_month,D3443,exp_item,E3443,exp_status,"&lt;&gt;❌ Отменено")&gt;0,1,0))</f>
        <v/>
      </c>
    </row>
    <row r="3444">
      <c r="A3444" s="52" t="n"/>
      <c r="B3444" s="53">
        <f>IF(A3444="","",CHOOSE(WEEKDAY(A3444,2),"Пн","Вт","Ср","Чт","Пт","Сб","Вс"))</f>
        <v/>
      </c>
      <c r="C3444" s="53">
        <f>IF(A3444="","",YEAR(A3444))</f>
        <v/>
      </c>
      <c r="D3444" s="54">
        <f>IF(A3444="","",INDEX(lst_months,MONTH(A3444)))</f>
        <v/>
      </c>
      <c r="E3444" s="55" t="n"/>
      <c r="F3444" s="54">
        <f>IF(E3444="","",IFERROR(IF(INDEX(lst_exp_item_cat,MATCH(E3444,lst_exp_items,0))="","❔ Без категории",INDEX(lst_exp_item_cat,MATCH(E3444,lst_exp_items,0))),"❔ Без категории"))</f>
        <v/>
      </c>
      <c r="G3444" s="43" t="n"/>
      <c r="H3444" s="56" t="n"/>
      <c r="I3444" s="43" t="n"/>
      <c r="J3444" s="57">
        <f>IF(OR(A3444="",H3444=""),"",IF(COUNTIFS(exp_year,C3444,exp_month,D3444,exp_item,E3444,exp_status,"&lt;&gt;❌ Отменено")&gt;0,1,0))</f>
        <v/>
      </c>
    </row>
    <row r="3445">
      <c r="A3445" s="52" t="n"/>
      <c r="B3445" s="53">
        <f>IF(A3445="","",CHOOSE(WEEKDAY(A3445,2),"Пн","Вт","Ср","Чт","Пт","Сб","Вс"))</f>
        <v/>
      </c>
      <c r="C3445" s="53">
        <f>IF(A3445="","",YEAR(A3445))</f>
        <v/>
      </c>
      <c r="D3445" s="54">
        <f>IF(A3445="","",INDEX(lst_months,MONTH(A3445)))</f>
        <v/>
      </c>
      <c r="E3445" s="55" t="n"/>
      <c r="F3445" s="54">
        <f>IF(E3445="","",IFERROR(IF(INDEX(lst_exp_item_cat,MATCH(E3445,lst_exp_items,0))="","❔ Без категории",INDEX(lst_exp_item_cat,MATCH(E3445,lst_exp_items,0))),"❔ Без категории"))</f>
        <v/>
      </c>
      <c r="G3445" s="43" t="n"/>
      <c r="H3445" s="56" t="n"/>
      <c r="I3445" s="43" t="n"/>
      <c r="J3445" s="57">
        <f>IF(OR(A3445="",H3445=""),"",IF(COUNTIFS(exp_year,C3445,exp_month,D3445,exp_item,E3445,exp_status,"&lt;&gt;❌ Отменено")&gt;0,1,0))</f>
        <v/>
      </c>
    </row>
    <row r="3446">
      <c r="A3446" s="52" t="n"/>
      <c r="B3446" s="53">
        <f>IF(A3446="","",CHOOSE(WEEKDAY(A3446,2),"Пн","Вт","Ср","Чт","Пт","Сб","Вс"))</f>
        <v/>
      </c>
      <c r="C3446" s="53">
        <f>IF(A3446="","",YEAR(A3446))</f>
        <v/>
      </c>
      <c r="D3446" s="54">
        <f>IF(A3446="","",INDEX(lst_months,MONTH(A3446)))</f>
        <v/>
      </c>
      <c r="E3446" s="55" t="n"/>
      <c r="F3446" s="54">
        <f>IF(E3446="","",IFERROR(IF(INDEX(lst_exp_item_cat,MATCH(E3446,lst_exp_items,0))="","❔ Без категории",INDEX(lst_exp_item_cat,MATCH(E3446,lst_exp_items,0))),"❔ Без категории"))</f>
        <v/>
      </c>
      <c r="G3446" s="43" t="n"/>
      <c r="H3446" s="56" t="n"/>
      <c r="I3446" s="43" t="n"/>
      <c r="J3446" s="57">
        <f>IF(OR(A3446="",H3446=""),"",IF(COUNTIFS(exp_year,C3446,exp_month,D3446,exp_item,E3446,exp_status,"&lt;&gt;❌ Отменено")&gt;0,1,0))</f>
        <v/>
      </c>
    </row>
    <row r="3447">
      <c r="A3447" s="52" t="n"/>
      <c r="B3447" s="53">
        <f>IF(A3447="","",CHOOSE(WEEKDAY(A3447,2),"Пн","Вт","Ср","Чт","Пт","Сб","Вс"))</f>
        <v/>
      </c>
      <c r="C3447" s="53">
        <f>IF(A3447="","",YEAR(A3447))</f>
        <v/>
      </c>
      <c r="D3447" s="54">
        <f>IF(A3447="","",INDEX(lst_months,MONTH(A3447)))</f>
        <v/>
      </c>
      <c r="E3447" s="55" t="n"/>
      <c r="F3447" s="54">
        <f>IF(E3447="","",IFERROR(IF(INDEX(lst_exp_item_cat,MATCH(E3447,lst_exp_items,0))="","❔ Без категории",INDEX(lst_exp_item_cat,MATCH(E3447,lst_exp_items,0))),"❔ Без категории"))</f>
        <v/>
      </c>
      <c r="G3447" s="43" t="n"/>
      <c r="H3447" s="56" t="n"/>
      <c r="I3447" s="43" t="n"/>
      <c r="J3447" s="57">
        <f>IF(OR(A3447="",H3447=""),"",IF(COUNTIFS(exp_year,C3447,exp_month,D3447,exp_item,E3447,exp_status,"&lt;&gt;❌ Отменено")&gt;0,1,0))</f>
        <v/>
      </c>
    </row>
    <row r="3448">
      <c r="A3448" s="52" t="n"/>
      <c r="B3448" s="53">
        <f>IF(A3448="","",CHOOSE(WEEKDAY(A3448,2),"Пн","Вт","Ср","Чт","Пт","Сб","Вс"))</f>
        <v/>
      </c>
      <c r="C3448" s="53">
        <f>IF(A3448="","",YEAR(A3448))</f>
        <v/>
      </c>
      <c r="D3448" s="54">
        <f>IF(A3448="","",INDEX(lst_months,MONTH(A3448)))</f>
        <v/>
      </c>
      <c r="E3448" s="55" t="n"/>
      <c r="F3448" s="54">
        <f>IF(E3448="","",IFERROR(IF(INDEX(lst_exp_item_cat,MATCH(E3448,lst_exp_items,0))="","❔ Без категории",INDEX(lst_exp_item_cat,MATCH(E3448,lst_exp_items,0))),"❔ Без категории"))</f>
        <v/>
      </c>
      <c r="G3448" s="43" t="n"/>
      <c r="H3448" s="56" t="n"/>
      <c r="I3448" s="43" t="n"/>
      <c r="J3448" s="57">
        <f>IF(OR(A3448="",H3448=""),"",IF(COUNTIFS(exp_year,C3448,exp_month,D3448,exp_item,E3448,exp_status,"&lt;&gt;❌ Отменено")&gt;0,1,0))</f>
        <v/>
      </c>
    </row>
    <row r="3449">
      <c r="A3449" s="52" t="n"/>
      <c r="B3449" s="53">
        <f>IF(A3449="","",CHOOSE(WEEKDAY(A3449,2),"Пн","Вт","Ср","Чт","Пт","Сб","Вс"))</f>
        <v/>
      </c>
      <c r="C3449" s="53">
        <f>IF(A3449="","",YEAR(A3449))</f>
        <v/>
      </c>
      <c r="D3449" s="54">
        <f>IF(A3449="","",INDEX(lst_months,MONTH(A3449)))</f>
        <v/>
      </c>
      <c r="E3449" s="55" t="n"/>
      <c r="F3449" s="54">
        <f>IF(E3449="","",IFERROR(IF(INDEX(lst_exp_item_cat,MATCH(E3449,lst_exp_items,0))="","❔ Без категории",INDEX(lst_exp_item_cat,MATCH(E3449,lst_exp_items,0))),"❔ Без категории"))</f>
        <v/>
      </c>
      <c r="G3449" s="43" t="n"/>
      <c r="H3449" s="56" t="n"/>
      <c r="I3449" s="43" t="n"/>
      <c r="J3449" s="57">
        <f>IF(OR(A3449="",H3449=""),"",IF(COUNTIFS(exp_year,C3449,exp_month,D3449,exp_item,E3449,exp_status,"&lt;&gt;❌ Отменено")&gt;0,1,0))</f>
        <v/>
      </c>
    </row>
    <row r="3450">
      <c r="A3450" s="52" t="n"/>
      <c r="B3450" s="53">
        <f>IF(A3450="","",CHOOSE(WEEKDAY(A3450,2),"Пн","Вт","Ср","Чт","Пт","Сб","Вс"))</f>
        <v/>
      </c>
      <c r="C3450" s="53">
        <f>IF(A3450="","",YEAR(A3450))</f>
        <v/>
      </c>
      <c r="D3450" s="54">
        <f>IF(A3450="","",INDEX(lst_months,MONTH(A3450)))</f>
        <v/>
      </c>
      <c r="E3450" s="55" t="n"/>
      <c r="F3450" s="54">
        <f>IF(E3450="","",IFERROR(IF(INDEX(lst_exp_item_cat,MATCH(E3450,lst_exp_items,0))="","❔ Без категории",INDEX(lst_exp_item_cat,MATCH(E3450,lst_exp_items,0))),"❔ Без категории"))</f>
        <v/>
      </c>
      <c r="G3450" s="43" t="n"/>
      <c r="H3450" s="56" t="n"/>
      <c r="I3450" s="43" t="n"/>
      <c r="J3450" s="57">
        <f>IF(OR(A3450="",H3450=""),"",IF(COUNTIFS(exp_year,C3450,exp_month,D3450,exp_item,E3450,exp_status,"&lt;&gt;❌ Отменено")&gt;0,1,0))</f>
        <v/>
      </c>
    </row>
    <row r="3451">
      <c r="A3451" s="52" t="n"/>
      <c r="B3451" s="53">
        <f>IF(A3451="","",CHOOSE(WEEKDAY(A3451,2),"Пн","Вт","Ср","Чт","Пт","Сб","Вс"))</f>
        <v/>
      </c>
      <c r="C3451" s="53">
        <f>IF(A3451="","",YEAR(A3451))</f>
        <v/>
      </c>
      <c r="D3451" s="54">
        <f>IF(A3451="","",INDEX(lst_months,MONTH(A3451)))</f>
        <v/>
      </c>
      <c r="E3451" s="55" t="n"/>
      <c r="F3451" s="54">
        <f>IF(E3451="","",IFERROR(IF(INDEX(lst_exp_item_cat,MATCH(E3451,lst_exp_items,0))="","❔ Без категории",INDEX(lst_exp_item_cat,MATCH(E3451,lst_exp_items,0))),"❔ Без категории"))</f>
        <v/>
      </c>
      <c r="G3451" s="43" t="n"/>
      <c r="H3451" s="56" t="n"/>
      <c r="I3451" s="43" t="n"/>
      <c r="J3451" s="57">
        <f>IF(OR(A3451="",H3451=""),"",IF(COUNTIFS(exp_year,C3451,exp_month,D3451,exp_item,E3451,exp_status,"&lt;&gt;❌ Отменено")&gt;0,1,0))</f>
        <v/>
      </c>
    </row>
    <row r="3452">
      <c r="A3452" s="52" t="n"/>
      <c r="B3452" s="53">
        <f>IF(A3452="","",CHOOSE(WEEKDAY(A3452,2),"Пн","Вт","Ср","Чт","Пт","Сб","Вс"))</f>
        <v/>
      </c>
      <c r="C3452" s="53">
        <f>IF(A3452="","",YEAR(A3452))</f>
        <v/>
      </c>
      <c r="D3452" s="54">
        <f>IF(A3452="","",INDEX(lst_months,MONTH(A3452)))</f>
        <v/>
      </c>
      <c r="E3452" s="55" t="n"/>
      <c r="F3452" s="54">
        <f>IF(E3452="","",IFERROR(IF(INDEX(lst_exp_item_cat,MATCH(E3452,lst_exp_items,0))="","❔ Без категории",INDEX(lst_exp_item_cat,MATCH(E3452,lst_exp_items,0))),"❔ Без категории"))</f>
        <v/>
      </c>
      <c r="G3452" s="43" t="n"/>
      <c r="H3452" s="56" t="n"/>
      <c r="I3452" s="43" t="n"/>
      <c r="J3452" s="57">
        <f>IF(OR(A3452="",H3452=""),"",IF(COUNTIFS(exp_year,C3452,exp_month,D3452,exp_item,E3452,exp_status,"&lt;&gt;❌ Отменено")&gt;0,1,0))</f>
        <v/>
      </c>
    </row>
    <row r="3453">
      <c r="A3453" s="52" t="n"/>
      <c r="B3453" s="53">
        <f>IF(A3453="","",CHOOSE(WEEKDAY(A3453,2),"Пн","Вт","Ср","Чт","Пт","Сб","Вс"))</f>
        <v/>
      </c>
      <c r="C3453" s="53">
        <f>IF(A3453="","",YEAR(A3453))</f>
        <v/>
      </c>
      <c r="D3453" s="54">
        <f>IF(A3453="","",INDEX(lst_months,MONTH(A3453)))</f>
        <v/>
      </c>
      <c r="E3453" s="55" t="n"/>
      <c r="F3453" s="54">
        <f>IF(E3453="","",IFERROR(IF(INDEX(lst_exp_item_cat,MATCH(E3453,lst_exp_items,0))="","❔ Без категории",INDEX(lst_exp_item_cat,MATCH(E3453,lst_exp_items,0))),"❔ Без категории"))</f>
        <v/>
      </c>
      <c r="G3453" s="43" t="n"/>
      <c r="H3453" s="56" t="n"/>
      <c r="I3453" s="43" t="n"/>
      <c r="J3453" s="57">
        <f>IF(OR(A3453="",H3453=""),"",IF(COUNTIFS(exp_year,C3453,exp_month,D3453,exp_item,E3453,exp_status,"&lt;&gt;❌ Отменено")&gt;0,1,0))</f>
        <v/>
      </c>
    </row>
    <row r="3454">
      <c r="A3454" s="52" t="n"/>
      <c r="B3454" s="53">
        <f>IF(A3454="","",CHOOSE(WEEKDAY(A3454,2),"Пн","Вт","Ср","Чт","Пт","Сб","Вс"))</f>
        <v/>
      </c>
      <c r="C3454" s="53">
        <f>IF(A3454="","",YEAR(A3454))</f>
        <v/>
      </c>
      <c r="D3454" s="54">
        <f>IF(A3454="","",INDEX(lst_months,MONTH(A3454)))</f>
        <v/>
      </c>
      <c r="E3454" s="55" t="n"/>
      <c r="F3454" s="54">
        <f>IF(E3454="","",IFERROR(IF(INDEX(lst_exp_item_cat,MATCH(E3454,lst_exp_items,0))="","❔ Без категории",INDEX(lst_exp_item_cat,MATCH(E3454,lst_exp_items,0))),"❔ Без категории"))</f>
        <v/>
      </c>
      <c r="G3454" s="43" t="n"/>
      <c r="H3454" s="56" t="n"/>
      <c r="I3454" s="43" t="n"/>
      <c r="J3454" s="57">
        <f>IF(OR(A3454="",H3454=""),"",IF(COUNTIFS(exp_year,C3454,exp_month,D3454,exp_item,E3454,exp_status,"&lt;&gt;❌ Отменено")&gt;0,1,0))</f>
        <v/>
      </c>
    </row>
    <row r="3455">
      <c r="A3455" s="52" t="n"/>
      <c r="B3455" s="53">
        <f>IF(A3455="","",CHOOSE(WEEKDAY(A3455,2),"Пн","Вт","Ср","Чт","Пт","Сб","Вс"))</f>
        <v/>
      </c>
      <c r="C3455" s="53">
        <f>IF(A3455="","",YEAR(A3455))</f>
        <v/>
      </c>
      <c r="D3455" s="54">
        <f>IF(A3455="","",INDEX(lst_months,MONTH(A3455)))</f>
        <v/>
      </c>
      <c r="E3455" s="55" t="n"/>
      <c r="F3455" s="54">
        <f>IF(E3455="","",IFERROR(IF(INDEX(lst_exp_item_cat,MATCH(E3455,lst_exp_items,0))="","❔ Без категории",INDEX(lst_exp_item_cat,MATCH(E3455,lst_exp_items,0))),"❔ Без категории"))</f>
        <v/>
      </c>
      <c r="G3455" s="43" t="n"/>
      <c r="H3455" s="56" t="n"/>
      <c r="I3455" s="43" t="n"/>
      <c r="J3455" s="57">
        <f>IF(OR(A3455="",H3455=""),"",IF(COUNTIFS(exp_year,C3455,exp_month,D3455,exp_item,E3455,exp_status,"&lt;&gt;❌ Отменено")&gt;0,1,0))</f>
        <v/>
      </c>
    </row>
    <row r="3456">
      <c r="A3456" s="52" t="n"/>
      <c r="B3456" s="53">
        <f>IF(A3456="","",CHOOSE(WEEKDAY(A3456,2),"Пн","Вт","Ср","Чт","Пт","Сб","Вс"))</f>
        <v/>
      </c>
      <c r="C3456" s="53">
        <f>IF(A3456="","",YEAR(A3456))</f>
        <v/>
      </c>
      <c r="D3456" s="54">
        <f>IF(A3456="","",INDEX(lst_months,MONTH(A3456)))</f>
        <v/>
      </c>
      <c r="E3456" s="55" t="n"/>
      <c r="F3456" s="54">
        <f>IF(E3456="","",IFERROR(IF(INDEX(lst_exp_item_cat,MATCH(E3456,lst_exp_items,0))="","❔ Без категории",INDEX(lst_exp_item_cat,MATCH(E3456,lst_exp_items,0))),"❔ Без категории"))</f>
        <v/>
      </c>
      <c r="G3456" s="43" t="n"/>
      <c r="H3456" s="56" t="n"/>
      <c r="I3456" s="43" t="n"/>
      <c r="J3456" s="57">
        <f>IF(OR(A3456="",H3456=""),"",IF(COUNTIFS(exp_year,C3456,exp_month,D3456,exp_item,E3456,exp_status,"&lt;&gt;❌ Отменено")&gt;0,1,0))</f>
        <v/>
      </c>
    </row>
    <row r="3457">
      <c r="A3457" s="52" t="n"/>
      <c r="B3457" s="53">
        <f>IF(A3457="","",CHOOSE(WEEKDAY(A3457,2),"Пн","Вт","Ср","Чт","Пт","Сб","Вс"))</f>
        <v/>
      </c>
      <c r="C3457" s="53">
        <f>IF(A3457="","",YEAR(A3457))</f>
        <v/>
      </c>
      <c r="D3457" s="54">
        <f>IF(A3457="","",INDEX(lst_months,MONTH(A3457)))</f>
        <v/>
      </c>
      <c r="E3457" s="55" t="n"/>
      <c r="F3457" s="54">
        <f>IF(E3457="","",IFERROR(IF(INDEX(lst_exp_item_cat,MATCH(E3457,lst_exp_items,0))="","❔ Без категории",INDEX(lst_exp_item_cat,MATCH(E3457,lst_exp_items,0))),"❔ Без категории"))</f>
        <v/>
      </c>
      <c r="G3457" s="43" t="n"/>
      <c r="H3457" s="56" t="n"/>
      <c r="I3457" s="43" t="n"/>
      <c r="J3457" s="57">
        <f>IF(OR(A3457="",H3457=""),"",IF(COUNTIFS(exp_year,C3457,exp_month,D3457,exp_item,E3457,exp_status,"&lt;&gt;❌ Отменено")&gt;0,1,0))</f>
        <v/>
      </c>
    </row>
    <row r="3458">
      <c r="A3458" s="52" t="n"/>
      <c r="B3458" s="53">
        <f>IF(A3458="","",CHOOSE(WEEKDAY(A3458,2),"Пн","Вт","Ср","Чт","Пт","Сб","Вс"))</f>
        <v/>
      </c>
      <c r="C3458" s="53">
        <f>IF(A3458="","",YEAR(A3458))</f>
        <v/>
      </c>
      <c r="D3458" s="54">
        <f>IF(A3458="","",INDEX(lst_months,MONTH(A3458)))</f>
        <v/>
      </c>
      <c r="E3458" s="55" t="n"/>
      <c r="F3458" s="54">
        <f>IF(E3458="","",IFERROR(IF(INDEX(lst_exp_item_cat,MATCH(E3458,lst_exp_items,0))="","❔ Без категории",INDEX(lst_exp_item_cat,MATCH(E3458,lst_exp_items,0))),"❔ Без категории"))</f>
        <v/>
      </c>
      <c r="G3458" s="43" t="n"/>
      <c r="H3458" s="56" t="n"/>
      <c r="I3458" s="43" t="n"/>
      <c r="J3458" s="57">
        <f>IF(OR(A3458="",H3458=""),"",IF(COUNTIFS(exp_year,C3458,exp_month,D3458,exp_item,E3458,exp_status,"&lt;&gt;❌ Отменено")&gt;0,1,0))</f>
        <v/>
      </c>
    </row>
    <row r="3459">
      <c r="A3459" s="52" t="n"/>
      <c r="B3459" s="53">
        <f>IF(A3459="","",CHOOSE(WEEKDAY(A3459,2),"Пн","Вт","Ср","Чт","Пт","Сб","Вс"))</f>
        <v/>
      </c>
      <c r="C3459" s="53">
        <f>IF(A3459="","",YEAR(A3459))</f>
        <v/>
      </c>
      <c r="D3459" s="54">
        <f>IF(A3459="","",INDEX(lst_months,MONTH(A3459)))</f>
        <v/>
      </c>
      <c r="E3459" s="55" t="n"/>
      <c r="F3459" s="54">
        <f>IF(E3459="","",IFERROR(IF(INDEX(lst_exp_item_cat,MATCH(E3459,lst_exp_items,0))="","❔ Без категории",INDEX(lst_exp_item_cat,MATCH(E3459,lst_exp_items,0))),"❔ Без категории"))</f>
        <v/>
      </c>
      <c r="G3459" s="43" t="n"/>
      <c r="H3459" s="56" t="n"/>
      <c r="I3459" s="43" t="n"/>
      <c r="J3459" s="57">
        <f>IF(OR(A3459="",H3459=""),"",IF(COUNTIFS(exp_year,C3459,exp_month,D3459,exp_item,E3459,exp_status,"&lt;&gt;❌ Отменено")&gt;0,1,0))</f>
        <v/>
      </c>
    </row>
    <row r="3460">
      <c r="A3460" s="52" t="n"/>
      <c r="B3460" s="53">
        <f>IF(A3460="","",CHOOSE(WEEKDAY(A3460,2),"Пн","Вт","Ср","Чт","Пт","Сб","Вс"))</f>
        <v/>
      </c>
      <c r="C3460" s="53">
        <f>IF(A3460="","",YEAR(A3460))</f>
        <v/>
      </c>
      <c r="D3460" s="54">
        <f>IF(A3460="","",INDEX(lst_months,MONTH(A3460)))</f>
        <v/>
      </c>
      <c r="E3460" s="55" t="n"/>
      <c r="F3460" s="54">
        <f>IF(E3460="","",IFERROR(IF(INDEX(lst_exp_item_cat,MATCH(E3460,lst_exp_items,0))="","❔ Без категории",INDEX(lst_exp_item_cat,MATCH(E3460,lst_exp_items,0))),"❔ Без категории"))</f>
        <v/>
      </c>
      <c r="G3460" s="43" t="n"/>
      <c r="H3460" s="56" t="n"/>
      <c r="I3460" s="43" t="n"/>
      <c r="J3460" s="57">
        <f>IF(OR(A3460="",H3460=""),"",IF(COUNTIFS(exp_year,C3460,exp_month,D3460,exp_item,E3460,exp_status,"&lt;&gt;❌ Отменено")&gt;0,1,0))</f>
        <v/>
      </c>
    </row>
    <row r="3461">
      <c r="A3461" s="52" t="n"/>
      <c r="B3461" s="53">
        <f>IF(A3461="","",CHOOSE(WEEKDAY(A3461,2),"Пн","Вт","Ср","Чт","Пт","Сб","Вс"))</f>
        <v/>
      </c>
      <c r="C3461" s="53">
        <f>IF(A3461="","",YEAR(A3461))</f>
        <v/>
      </c>
      <c r="D3461" s="54">
        <f>IF(A3461="","",INDEX(lst_months,MONTH(A3461)))</f>
        <v/>
      </c>
      <c r="E3461" s="55" t="n"/>
      <c r="F3461" s="54">
        <f>IF(E3461="","",IFERROR(IF(INDEX(lst_exp_item_cat,MATCH(E3461,lst_exp_items,0))="","❔ Без категории",INDEX(lst_exp_item_cat,MATCH(E3461,lst_exp_items,0))),"❔ Без категории"))</f>
        <v/>
      </c>
      <c r="G3461" s="43" t="n"/>
      <c r="H3461" s="56" t="n"/>
      <c r="I3461" s="43" t="n"/>
      <c r="J3461" s="57">
        <f>IF(OR(A3461="",H3461=""),"",IF(COUNTIFS(exp_year,C3461,exp_month,D3461,exp_item,E3461,exp_status,"&lt;&gt;❌ Отменено")&gt;0,1,0))</f>
        <v/>
      </c>
    </row>
    <row r="3462">
      <c r="A3462" s="52" t="n"/>
      <c r="B3462" s="53">
        <f>IF(A3462="","",CHOOSE(WEEKDAY(A3462,2),"Пн","Вт","Ср","Чт","Пт","Сб","Вс"))</f>
        <v/>
      </c>
      <c r="C3462" s="53">
        <f>IF(A3462="","",YEAR(A3462))</f>
        <v/>
      </c>
      <c r="D3462" s="54">
        <f>IF(A3462="","",INDEX(lst_months,MONTH(A3462)))</f>
        <v/>
      </c>
      <c r="E3462" s="55" t="n"/>
      <c r="F3462" s="54">
        <f>IF(E3462="","",IFERROR(IF(INDEX(lst_exp_item_cat,MATCH(E3462,lst_exp_items,0))="","❔ Без категории",INDEX(lst_exp_item_cat,MATCH(E3462,lst_exp_items,0))),"❔ Без категории"))</f>
        <v/>
      </c>
      <c r="G3462" s="43" t="n"/>
      <c r="H3462" s="56" t="n"/>
      <c r="I3462" s="43" t="n"/>
      <c r="J3462" s="57">
        <f>IF(OR(A3462="",H3462=""),"",IF(COUNTIFS(exp_year,C3462,exp_month,D3462,exp_item,E3462,exp_status,"&lt;&gt;❌ Отменено")&gt;0,1,0))</f>
        <v/>
      </c>
    </row>
    <row r="3463">
      <c r="A3463" s="52" t="n"/>
      <c r="B3463" s="53">
        <f>IF(A3463="","",CHOOSE(WEEKDAY(A3463,2),"Пн","Вт","Ср","Чт","Пт","Сб","Вс"))</f>
        <v/>
      </c>
      <c r="C3463" s="53">
        <f>IF(A3463="","",YEAR(A3463))</f>
        <v/>
      </c>
      <c r="D3463" s="54">
        <f>IF(A3463="","",INDEX(lst_months,MONTH(A3463)))</f>
        <v/>
      </c>
      <c r="E3463" s="55" t="n"/>
      <c r="F3463" s="54">
        <f>IF(E3463="","",IFERROR(IF(INDEX(lst_exp_item_cat,MATCH(E3463,lst_exp_items,0))="","❔ Без категории",INDEX(lst_exp_item_cat,MATCH(E3463,lst_exp_items,0))),"❔ Без категории"))</f>
        <v/>
      </c>
      <c r="G3463" s="43" t="n"/>
      <c r="H3463" s="56" t="n"/>
      <c r="I3463" s="43" t="n"/>
      <c r="J3463" s="57">
        <f>IF(OR(A3463="",H3463=""),"",IF(COUNTIFS(exp_year,C3463,exp_month,D3463,exp_item,E3463,exp_status,"&lt;&gt;❌ Отменено")&gt;0,1,0))</f>
        <v/>
      </c>
    </row>
    <row r="3464">
      <c r="A3464" s="52" t="n"/>
      <c r="B3464" s="53">
        <f>IF(A3464="","",CHOOSE(WEEKDAY(A3464,2),"Пн","Вт","Ср","Чт","Пт","Сб","Вс"))</f>
        <v/>
      </c>
      <c r="C3464" s="53">
        <f>IF(A3464="","",YEAR(A3464))</f>
        <v/>
      </c>
      <c r="D3464" s="54">
        <f>IF(A3464="","",INDEX(lst_months,MONTH(A3464)))</f>
        <v/>
      </c>
      <c r="E3464" s="55" t="n"/>
      <c r="F3464" s="54">
        <f>IF(E3464="","",IFERROR(IF(INDEX(lst_exp_item_cat,MATCH(E3464,lst_exp_items,0))="","❔ Без категории",INDEX(lst_exp_item_cat,MATCH(E3464,lst_exp_items,0))),"❔ Без категории"))</f>
        <v/>
      </c>
      <c r="G3464" s="43" t="n"/>
      <c r="H3464" s="56" t="n"/>
      <c r="I3464" s="43" t="n"/>
      <c r="J3464" s="57">
        <f>IF(OR(A3464="",H3464=""),"",IF(COUNTIFS(exp_year,C3464,exp_month,D3464,exp_item,E3464,exp_status,"&lt;&gt;❌ Отменено")&gt;0,1,0))</f>
        <v/>
      </c>
    </row>
    <row r="3465">
      <c r="A3465" s="52" t="n"/>
      <c r="B3465" s="53">
        <f>IF(A3465="","",CHOOSE(WEEKDAY(A3465,2),"Пн","Вт","Ср","Чт","Пт","Сб","Вс"))</f>
        <v/>
      </c>
      <c r="C3465" s="53">
        <f>IF(A3465="","",YEAR(A3465))</f>
        <v/>
      </c>
      <c r="D3465" s="54">
        <f>IF(A3465="","",INDEX(lst_months,MONTH(A3465)))</f>
        <v/>
      </c>
      <c r="E3465" s="55" t="n"/>
      <c r="F3465" s="54">
        <f>IF(E3465="","",IFERROR(IF(INDEX(lst_exp_item_cat,MATCH(E3465,lst_exp_items,0))="","❔ Без категории",INDEX(lst_exp_item_cat,MATCH(E3465,lst_exp_items,0))),"❔ Без категории"))</f>
        <v/>
      </c>
      <c r="G3465" s="43" t="n"/>
      <c r="H3465" s="56" t="n"/>
      <c r="I3465" s="43" t="n"/>
      <c r="J3465" s="57">
        <f>IF(OR(A3465="",H3465=""),"",IF(COUNTIFS(exp_year,C3465,exp_month,D3465,exp_item,E3465,exp_status,"&lt;&gt;❌ Отменено")&gt;0,1,0))</f>
        <v/>
      </c>
    </row>
    <row r="3466">
      <c r="A3466" s="52" t="n"/>
      <c r="B3466" s="53">
        <f>IF(A3466="","",CHOOSE(WEEKDAY(A3466,2),"Пн","Вт","Ср","Чт","Пт","Сб","Вс"))</f>
        <v/>
      </c>
      <c r="C3466" s="53">
        <f>IF(A3466="","",YEAR(A3466))</f>
        <v/>
      </c>
      <c r="D3466" s="54">
        <f>IF(A3466="","",INDEX(lst_months,MONTH(A3466)))</f>
        <v/>
      </c>
      <c r="E3466" s="55" t="n"/>
      <c r="F3466" s="54">
        <f>IF(E3466="","",IFERROR(IF(INDEX(lst_exp_item_cat,MATCH(E3466,lst_exp_items,0))="","❔ Без категории",INDEX(lst_exp_item_cat,MATCH(E3466,lst_exp_items,0))),"❔ Без категории"))</f>
        <v/>
      </c>
      <c r="G3466" s="43" t="n"/>
      <c r="H3466" s="56" t="n"/>
      <c r="I3466" s="43" t="n"/>
      <c r="J3466" s="57">
        <f>IF(OR(A3466="",H3466=""),"",IF(COUNTIFS(exp_year,C3466,exp_month,D3466,exp_item,E3466,exp_status,"&lt;&gt;❌ Отменено")&gt;0,1,0))</f>
        <v/>
      </c>
    </row>
    <row r="3467">
      <c r="A3467" s="52" t="n"/>
      <c r="B3467" s="53">
        <f>IF(A3467="","",CHOOSE(WEEKDAY(A3467,2),"Пн","Вт","Ср","Чт","Пт","Сб","Вс"))</f>
        <v/>
      </c>
      <c r="C3467" s="53">
        <f>IF(A3467="","",YEAR(A3467))</f>
        <v/>
      </c>
      <c r="D3467" s="54">
        <f>IF(A3467="","",INDEX(lst_months,MONTH(A3467)))</f>
        <v/>
      </c>
      <c r="E3467" s="55" t="n"/>
      <c r="F3467" s="54">
        <f>IF(E3467="","",IFERROR(IF(INDEX(lst_exp_item_cat,MATCH(E3467,lst_exp_items,0))="","❔ Без категории",INDEX(lst_exp_item_cat,MATCH(E3467,lst_exp_items,0))),"❔ Без категории"))</f>
        <v/>
      </c>
      <c r="G3467" s="43" t="n"/>
      <c r="H3467" s="56" t="n"/>
      <c r="I3467" s="43" t="n"/>
      <c r="J3467" s="57">
        <f>IF(OR(A3467="",H3467=""),"",IF(COUNTIFS(exp_year,C3467,exp_month,D3467,exp_item,E3467,exp_status,"&lt;&gt;❌ Отменено")&gt;0,1,0))</f>
        <v/>
      </c>
    </row>
    <row r="3468">
      <c r="A3468" s="52" t="n"/>
      <c r="B3468" s="53">
        <f>IF(A3468="","",CHOOSE(WEEKDAY(A3468,2),"Пн","Вт","Ср","Чт","Пт","Сб","Вс"))</f>
        <v/>
      </c>
      <c r="C3468" s="53">
        <f>IF(A3468="","",YEAR(A3468))</f>
        <v/>
      </c>
      <c r="D3468" s="54">
        <f>IF(A3468="","",INDEX(lst_months,MONTH(A3468)))</f>
        <v/>
      </c>
      <c r="E3468" s="55" t="n"/>
      <c r="F3468" s="54">
        <f>IF(E3468="","",IFERROR(IF(INDEX(lst_exp_item_cat,MATCH(E3468,lst_exp_items,0))="","❔ Без категории",INDEX(lst_exp_item_cat,MATCH(E3468,lst_exp_items,0))),"❔ Без категории"))</f>
        <v/>
      </c>
      <c r="G3468" s="43" t="n"/>
      <c r="H3468" s="56" t="n"/>
      <c r="I3468" s="43" t="n"/>
      <c r="J3468" s="57">
        <f>IF(OR(A3468="",H3468=""),"",IF(COUNTIFS(exp_year,C3468,exp_month,D3468,exp_item,E3468,exp_status,"&lt;&gt;❌ Отменено")&gt;0,1,0))</f>
        <v/>
      </c>
    </row>
    <row r="3469">
      <c r="A3469" s="52" t="n"/>
      <c r="B3469" s="53">
        <f>IF(A3469="","",CHOOSE(WEEKDAY(A3469,2),"Пн","Вт","Ср","Чт","Пт","Сб","Вс"))</f>
        <v/>
      </c>
      <c r="C3469" s="53">
        <f>IF(A3469="","",YEAR(A3469))</f>
        <v/>
      </c>
      <c r="D3469" s="54">
        <f>IF(A3469="","",INDEX(lst_months,MONTH(A3469)))</f>
        <v/>
      </c>
      <c r="E3469" s="55" t="n"/>
      <c r="F3469" s="54">
        <f>IF(E3469="","",IFERROR(IF(INDEX(lst_exp_item_cat,MATCH(E3469,lst_exp_items,0))="","❔ Без категории",INDEX(lst_exp_item_cat,MATCH(E3469,lst_exp_items,0))),"❔ Без категории"))</f>
        <v/>
      </c>
      <c r="G3469" s="43" t="n"/>
      <c r="H3469" s="56" t="n"/>
      <c r="I3469" s="43" t="n"/>
      <c r="J3469" s="57">
        <f>IF(OR(A3469="",H3469=""),"",IF(COUNTIFS(exp_year,C3469,exp_month,D3469,exp_item,E3469,exp_status,"&lt;&gt;❌ Отменено")&gt;0,1,0))</f>
        <v/>
      </c>
    </row>
    <row r="3470">
      <c r="A3470" s="52" t="n"/>
      <c r="B3470" s="53">
        <f>IF(A3470="","",CHOOSE(WEEKDAY(A3470,2),"Пн","Вт","Ср","Чт","Пт","Сб","Вс"))</f>
        <v/>
      </c>
      <c r="C3470" s="53">
        <f>IF(A3470="","",YEAR(A3470))</f>
        <v/>
      </c>
      <c r="D3470" s="54">
        <f>IF(A3470="","",INDEX(lst_months,MONTH(A3470)))</f>
        <v/>
      </c>
      <c r="E3470" s="55" t="n"/>
      <c r="F3470" s="54">
        <f>IF(E3470="","",IFERROR(IF(INDEX(lst_exp_item_cat,MATCH(E3470,lst_exp_items,0))="","❔ Без категории",INDEX(lst_exp_item_cat,MATCH(E3470,lst_exp_items,0))),"❔ Без категории"))</f>
        <v/>
      </c>
      <c r="G3470" s="43" t="n"/>
      <c r="H3470" s="56" t="n"/>
      <c r="I3470" s="43" t="n"/>
      <c r="J3470" s="57">
        <f>IF(OR(A3470="",H3470=""),"",IF(COUNTIFS(exp_year,C3470,exp_month,D3470,exp_item,E3470,exp_status,"&lt;&gt;❌ Отменено")&gt;0,1,0))</f>
        <v/>
      </c>
    </row>
    <row r="3471">
      <c r="A3471" s="52" t="n"/>
      <c r="B3471" s="53">
        <f>IF(A3471="","",CHOOSE(WEEKDAY(A3471,2),"Пн","Вт","Ср","Чт","Пт","Сб","Вс"))</f>
        <v/>
      </c>
      <c r="C3471" s="53">
        <f>IF(A3471="","",YEAR(A3471))</f>
        <v/>
      </c>
      <c r="D3471" s="54">
        <f>IF(A3471="","",INDEX(lst_months,MONTH(A3471)))</f>
        <v/>
      </c>
      <c r="E3471" s="55" t="n"/>
      <c r="F3471" s="54">
        <f>IF(E3471="","",IFERROR(IF(INDEX(lst_exp_item_cat,MATCH(E3471,lst_exp_items,0))="","❔ Без категории",INDEX(lst_exp_item_cat,MATCH(E3471,lst_exp_items,0))),"❔ Без категории"))</f>
        <v/>
      </c>
      <c r="G3471" s="43" t="n"/>
      <c r="H3471" s="56" t="n"/>
      <c r="I3471" s="43" t="n"/>
      <c r="J3471" s="57">
        <f>IF(OR(A3471="",H3471=""),"",IF(COUNTIFS(exp_year,C3471,exp_month,D3471,exp_item,E3471,exp_status,"&lt;&gt;❌ Отменено")&gt;0,1,0))</f>
        <v/>
      </c>
    </row>
    <row r="3472">
      <c r="A3472" s="52" t="n"/>
      <c r="B3472" s="53">
        <f>IF(A3472="","",CHOOSE(WEEKDAY(A3472,2),"Пн","Вт","Ср","Чт","Пт","Сб","Вс"))</f>
        <v/>
      </c>
      <c r="C3472" s="53">
        <f>IF(A3472="","",YEAR(A3472))</f>
        <v/>
      </c>
      <c r="D3472" s="54">
        <f>IF(A3472="","",INDEX(lst_months,MONTH(A3472)))</f>
        <v/>
      </c>
      <c r="E3472" s="55" t="n"/>
      <c r="F3472" s="54">
        <f>IF(E3472="","",IFERROR(IF(INDEX(lst_exp_item_cat,MATCH(E3472,lst_exp_items,0))="","❔ Без категории",INDEX(lst_exp_item_cat,MATCH(E3472,lst_exp_items,0))),"❔ Без категории"))</f>
        <v/>
      </c>
      <c r="G3472" s="43" t="n"/>
      <c r="H3472" s="56" t="n"/>
      <c r="I3472" s="43" t="n"/>
      <c r="J3472" s="57">
        <f>IF(OR(A3472="",H3472=""),"",IF(COUNTIFS(exp_year,C3472,exp_month,D3472,exp_item,E3472,exp_status,"&lt;&gt;❌ Отменено")&gt;0,1,0))</f>
        <v/>
      </c>
    </row>
    <row r="3473">
      <c r="A3473" s="52" t="n"/>
      <c r="B3473" s="53">
        <f>IF(A3473="","",CHOOSE(WEEKDAY(A3473,2),"Пн","Вт","Ср","Чт","Пт","Сб","Вс"))</f>
        <v/>
      </c>
      <c r="C3473" s="53">
        <f>IF(A3473="","",YEAR(A3473))</f>
        <v/>
      </c>
      <c r="D3473" s="54">
        <f>IF(A3473="","",INDEX(lst_months,MONTH(A3473)))</f>
        <v/>
      </c>
      <c r="E3473" s="55" t="n"/>
      <c r="F3473" s="54">
        <f>IF(E3473="","",IFERROR(IF(INDEX(lst_exp_item_cat,MATCH(E3473,lst_exp_items,0))="","❔ Без категории",INDEX(lst_exp_item_cat,MATCH(E3473,lst_exp_items,0))),"❔ Без категории"))</f>
        <v/>
      </c>
      <c r="G3473" s="43" t="n"/>
      <c r="H3473" s="56" t="n"/>
      <c r="I3473" s="43" t="n"/>
      <c r="J3473" s="57">
        <f>IF(OR(A3473="",H3473=""),"",IF(COUNTIFS(exp_year,C3473,exp_month,D3473,exp_item,E3473,exp_status,"&lt;&gt;❌ Отменено")&gt;0,1,0))</f>
        <v/>
      </c>
    </row>
    <row r="3474">
      <c r="A3474" s="52" t="n"/>
      <c r="B3474" s="53">
        <f>IF(A3474="","",CHOOSE(WEEKDAY(A3474,2),"Пн","Вт","Ср","Чт","Пт","Сб","Вс"))</f>
        <v/>
      </c>
      <c r="C3474" s="53">
        <f>IF(A3474="","",YEAR(A3474))</f>
        <v/>
      </c>
      <c r="D3474" s="54">
        <f>IF(A3474="","",INDEX(lst_months,MONTH(A3474)))</f>
        <v/>
      </c>
      <c r="E3474" s="55" t="n"/>
      <c r="F3474" s="54">
        <f>IF(E3474="","",IFERROR(IF(INDEX(lst_exp_item_cat,MATCH(E3474,lst_exp_items,0))="","❔ Без категории",INDEX(lst_exp_item_cat,MATCH(E3474,lst_exp_items,0))),"❔ Без категории"))</f>
        <v/>
      </c>
      <c r="G3474" s="43" t="n"/>
      <c r="H3474" s="56" t="n"/>
      <c r="I3474" s="43" t="n"/>
      <c r="J3474" s="57">
        <f>IF(OR(A3474="",H3474=""),"",IF(COUNTIFS(exp_year,C3474,exp_month,D3474,exp_item,E3474,exp_status,"&lt;&gt;❌ Отменено")&gt;0,1,0))</f>
        <v/>
      </c>
    </row>
    <row r="3475">
      <c r="A3475" s="52" t="n"/>
      <c r="B3475" s="53">
        <f>IF(A3475="","",CHOOSE(WEEKDAY(A3475,2),"Пн","Вт","Ср","Чт","Пт","Сб","Вс"))</f>
        <v/>
      </c>
      <c r="C3475" s="53">
        <f>IF(A3475="","",YEAR(A3475))</f>
        <v/>
      </c>
      <c r="D3475" s="54">
        <f>IF(A3475="","",INDEX(lst_months,MONTH(A3475)))</f>
        <v/>
      </c>
      <c r="E3475" s="55" t="n"/>
      <c r="F3475" s="54">
        <f>IF(E3475="","",IFERROR(IF(INDEX(lst_exp_item_cat,MATCH(E3475,lst_exp_items,0))="","❔ Без категории",INDEX(lst_exp_item_cat,MATCH(E3475,lst_exp_items,0))),"❔ Без категории"))</f>
        <v/>
      </c>
      <c r="G3475" s="43" t="n"/>
      <c r="H3475" s="56" t="n"/>
      <c r="I3475" s="43" t="n"/>
      <c r="J3475" s="57">
        <f>IF(OR(A3475="",H3475=""),"",IF(COUNTIFS(exp_year,C3475,exp_month,D3475,exp_item,E3475,exp_status,"&lt;&gt;❌ Отменено")&gt;0,1,0))</f>
        <v/>
      </c>
    </row>
    <row r="3476">
      <c r="A3476" s="52" t="n"/>
      <c r="B3476" s="53">
        <f>IF(A3476="","",CHOOSE(WEEKDAY(A3476,2),"Пн","Вт","Ср","Чт","Пт","Сб","Вс"))</f>
        <v/>
      </c>
      <c r="C3476" s="53">
        <f>IF(A3476="","",YEAR(A3476))</f>
        <v/>
      </c>
      <c r="D3476" s="54">
        <f>IF(A3476="","",INDEX(lst_months,MONTH(A3476)))</f>
        <v/>
      </c>
      <c r="E3476" s="55" t="n"/>
      <c r="F3476" s="54">
        <f>IF(E3476="","",IFERROR(IF(INDEX(lst_exp_item_cat,MATCH(E3476,lst_exp_items,0))="","❔ Без категории",INDEX(lst_exp_item_cat,MATCH(E3476,lst_exp_items,0))),"❔ Без категории"))</f>
        <v/>
      </c>
      <c r="G3476" s="43" t="n"/>
      <c r="H3476" s="56" t="n"/>
      <c r="I3476" s="43" t="n"/>
      <c r="J3476" s="57">
        <f>IF(OR(A3476="",H3476=""),"",IF(COUNTIFS(exp_year,C3476,exp_month,D3476,exp_item,E3476,exp_status,"&lt;&gt;❌ Отменено")&gt;0,1,0))</f>
        <v/>
      </c>
    </row>
    <row r="3477">
      <c r="A3477" s="52" t="n"/>
      <c r="B3477" s="53">
        <f>IF(A3477="","",CHOOSE(WEEKDAY(A3477,2),"Пн","Вт","Ср","Чт","Пт","Сб","Вс"))</f>
        <v/>
      </c>
      <c r="C3477" s="53">
        <f>IF(A3477="","",YEAR(A3477))</f>
        <v/>
      </c>
      <c r="D3477" s="54">
        <f>IF(A3477="","",INDEX(lst_months,MONTH(A3477)))</f>
        <v/>
      </c>
      <c r="E3477" s="55" t="n"/>
      <c r="F3477" s="54">
        <f>IF(E3477="","",IFERROR(IF(INDEX(lst_exp_item_cat,MATCH(E3477,lst_exp_items,0))="","❔ Без категории",INDEX(lst_exp_item_cat,MATCH(E3477,lst_exp_items,0))),"❔ Без категории"))</f>
        <v/>
      </c>
      <c r="G3477" s="43" t="n"/>
      <c r="H3477" s="56" t="n"/>
      <c r="I3477" s="43" t="n"/>
      <c r="J3477" s="57">
        <f>IF(OR(A3477="",H3477=""),"",IF(COUNTIFS(exp_year,C3477,exp_month,D3477,exp_item,E3477,exp_status,"&lt;&gt;❌ Отменено")&gt;0,1,0))</f>
        <v/>
      </c>
    </row>
    <row r="3478">
      <c r="A3478" s="52" t="n"/>
      <c r="B3478" s="53">
        <f>IF(A3478="","",CHOOSE(WEEKDAY(A3478,2),"Пн","Вт","Ср","Чт","Пт","Сб","Вс"))</f>
        <v/>
      </c>
      <c r="C3478" s="53">
        <f>IF(A3478="","",YEAR(A3478))</f>
        <v/>
      </c>
      <c r="D3478" s="54">
        <f>IF(A3478="","",INDEX(lst_months,MONTH(A3478)))</f>
        <v/>
      </c>
      <c r="E3478" s="55" t="n"/>
      <c r="F3478" s="54">
        <f>IF(E3478="","",IFERROR(IF(INDEX(lst_exp_item_cat,MATCH(E3478,lst_exp_items,0))="","❔ Без категории",INDEX(lst_exp_item_cat,MATCH(E3478,lst_exp_items,0))),"❔ Без категории"))</f>
        <v/>
      </c>
      <c r="G3478" s="43" t="n"/>
      <c r="H3478" s="56" t="n"/>
      <c r="I3478" s="43" t="n"/>
      <c r="J3478" s="57">
        <f>IF(OR(A3478="",H3478=""),"",IF(COUNTIFS(exp_year,C3478,exp_month,D3478,exp_item,E3478,exp_status,"&lt;&gt;❌ Отменено")&gt;0,1,0))</f>
        <v/>
      </c>
    </row>
    <row r="3479">
      <c r="A3479" s="52" t="n"/>
      <c r="B3479" s="53">
        <f>IF(A3479="","",CHOOSE(WEEKDAY(A3479,2),"Пн","Вт","Ср","Чт","Пт","Сб","Вс"))</f>
        <v/>
      </c>
      <c r="C3479" s="53">
        <f>IF(A3479="","",YEAR(A3479))</f>
        <v/>
      </c>
      <c r="D3479" s="54">
        <f>IF(A3479="","",INDEX(lst_months,MONTH(A3479)))</f>
        <v/>
      </c>
      <c r="E3479" s="55" t="n"/>
      <c r="F3479" s="54">
        <f>IF(E3479="","",IFERROR(IF(INDEX(lst_exp_item_cat,MATCH(E3479,lst_exp_items,0))="","❔ Без категории",INDEX(lst_exp_item_cat,MATCH(E3479,lst_exp_items,0))),"❔ Без категории"))</f>
        <v/>
      </c>
      <c r="G3479" s="43" t="n"/>
      <c r="H3479" s="56" t="n"/>
      <c r="I3479" s="43" t="n"/>
      <c r="J3479" s="57">
        <f>IF(OR(A3479="",H3479=""),"",IF(COUNTIFS(exp_year,C3479,exp_month,D3479,exp_item,E3479,exp_status,"&lt;&gt;❌ Отменено")&gt;0,1,0))</f>
        <v/>
      </c>
    </row>
    <row r="3480">
      <c r="A3480" s="52" t="n"/>
      <c r="B3480" s="53">
        <f>IF(A3480="","",CHOOSE(WEEKDAY(A3480,2),"Пн","Вт","Ср","Чт","Пт","Сб","Вс"))</f>
        <v/>
      </c>
      <c r="C3480" s="53">
        <f>IF(A3480="","",YEAR(A3480))</f>
        <v/>
      </c>
      <c r="D3480" s="54">
        <f>IF(A3480="","",INDEX(lst_months,MONTH(A3480)))</f>
        <v/>
      </c>
      <c r="E3480" s="55" t="n"/>
      <c r="F3480" s="54">
        <f>IF(E3480="","",IFERROR(IF(INDEX(lst_exp_item_cat,MATCH(E3480,lst_exp_items,0))="","❔ Без категории",INDEX(lst_exp_item_cat,MATCH(E3480,lst_exp_items,0))),"❔ Без категории"))</f>
        <v/>
      </c>
      <c r="G3480" s="43" t="n"/>
      <c r="H3480" s="56" t="n"/>
      <c r="I3480" s="43" t="n"/>
      <c r="J3480" s="57">
        <f>IF(OR(A3480="",H3480=""),"",IF(COUNTIFS(exp_year,C3480,exp_month,D3480,exp_item,E3480,exp_status,"&lt;&gt;❌ Отменено")&gt;0,1,0))</f>
        <v/>
      </c>
    </row>
    <row r="3481">
      <c r="A3481" s="52" t="n"/>
      <c r="B3481" s="53">
        <f>IF(A3481="","",CHOOSE(WEEKDAY(A3481,2),"Пн","Вт","Ср","Чт","Пт","Сб","Вс"))</f>
        <v/>
      </c>
      <c r="C3481" s="53">
        <f>IF(A3481="","",YEAR(A3481))</f>
        <v/>
      </c>
      <c r="D3481" s="54">
        <f>IF(A3481="","",INDEX(lst_months,MONTH(A3481)))</f>
        <v/>
      </c>
      <c r="E3481" s="55" t="n"/>
      <c r="F3481" s="54">
        <f>IF(E3481="","",IFERROR(IF(INDEX(lst_exp_item_cat,MATCH(E3481,lst_exp_items,0))="","❔ Без категории",INDEX(lst_exp_item_cat,MATCH(E3481,lst_exp_items,0))),"❔ Без категории"))</f>
        <v/>
      </c>
      <c r="G3481" s="43" t="n"/>
      <c r="H3481" s="56" t="n"/>
      <c r="I3481" s="43" t="n"/>
      <c r="J3481" s="57">
        <f>IF(OR(A3481="",H3481=""),"",IF(COUNTIFS(exp_year,C3481,exp_month,D3481,exp_item,E3481,exp_status,"&lt;&gt;❌ Отменено")&gt;0,1,0))</f>
        <v/>
      </c>
    </row>
    <row r="3482">
      <c r="A3482" s="52" t="n"/>
      <c r="B3482" s="53">
        <f>IF(A3482="","",CHOOSE(WEEKDAY(A3482,2),"Пн","Вт","Ср","Чт","Пт","Сб","Вс"))</f>
        <v/>
      </c>
      <c r="C3482" s="53">
        <f>IF(A3482="","",YEAR(A3482))</f>
        <v/>
      </c>
      <c r="D3482" s="54">
        <f>IF(A3482="","",INDEX(lst_months,MONTH(A3482)))</f>
        <v/>
      </c>
      <c r="E3482" s="55" t="n"/>
      <c r="F3482" s="54">
        <f>IF(E3482="","",IFERROR(IF(INDEX(lst_exp_item_cat,MATCH(E3482,lst_exp_items,0))="","❔ Без категории",INDEX(lst_exp_item_cat,MATCH(E3482,lst_exp_items,0))),"❔ Без категории"))</f>
        <v/>
      </c>
      <c r="G3482" s="43" t="n"/>
      <c r="H3482" s="56" t="n"/>
      <c r="I3482" s="43" t="n"/>
      <c r="J3482" s="57">
        <f>IF(OR(A3482="",H3482=""),"",IF(COUNTIFS(exp_year,C3482,exp_month,D3482,exp_item,E3482,exp_status,"&lt;&gt;❌ Отменено")&gt;0,1,0))</f>
        <v/>
      </c>
    </row>
    <row r="3483">
      <c r="A3483" s="52" t="n"/>
      <c r="B3483" s="53">
        <f>IF(A3483="","",CHOOSE(WEEKDAY(A3483,2),"Пн","Вт","Ср","Чт","Пт","Сб","Вс"))</f>
        <v/>
      </c>
      <c r="C3483" s="53">
        <f>IF(A3483="","",YEAR(A3483))</f>
        <v/>
      </c>
      <c r="D3483" s="54">
        <f>IF(A3483="","",INDEX(lst_months,MONTH(A3483)))</f>
        <v/>
      </c>
      <c r="E3483" s="55" t="n"/>
      <c r="F3483" s="54">
        <f>IF(E3483="","",IFERROR(IF(INDEX(lst_exp_item_cat,MATCH(E3483,lst_exp_items,0))="","❔ Без категории",INDEX(lst_exp_item_cat,MATCH(E3483,lst_exp_items,0))),"❔ Без категории"))</f>
        <v/>
      </c>
      <c r="G3483" s="43" t="n"/>
      <c r="H3483" s="56" t="n"/>
      <c r="I3483" s="43" t="n"/>
      <c r="J3483" s="57">
        <f>IF(OR(A3483="",H3483=""),"",IF(COUNTIFS(exp_year,C3483,exp_month,D3483,exp_item,E3483,exp_status,"&lt;&gt;❌ Отменено")&gt;0,1,0))</f>
        <v/>
      </c>
    </row>
    <row r="3484">
      <c r="A3484" s="52" t="n"/>
      <c r="B3484" s="53">
        <f>IF(A3484="","",CHOOSE(WEEKDAY(A3484,2),"Пн","Вт","Ср","Чт","Пт","Сб","Вс"))</f>
        <v/>
      </c>
      <c r="C3484" s="53">
        <f>IF(A3484="","",YEAR(A3484))</f>
        <v/>
      </c>
      <c r="D3484" s="54">
        <f>IF(A3484="","",INDEX(lst_months,MONTH(A3484)))</f>
        <v/>
      </c>
      <c r="E3484" s="55" t="n"/>
      <c r="F3484" s="54">
        <f>IF(E3484="","",IFERROR(IF(INDEX(lst_exp_item_cat,MATCH(E3484,lst_exp_items,0))="","❔ Без категории",INDEX(lst_exp_item_cat,MATCH(E3484,lst_exp_items,0))),"❔ Без категории"))</f>
        <v/>
      </c>
      <c r="G3484" s="43" t="n"/>
      <c r="H3484" s="56" t="n"/>
      <c r="I3484" s="43" t="n"/>
      <c r="J3484" s="57">
        <f>IF(OR(A3484="",H3484=""),"",IF(COUNTIFS(exp_year,C3484,exp_month,D3484,exp_item,E3484,exp_status,"&lt;&gt;❌ Отменено")&gt;0,1,0))</f>
        <v/>
      </c>
    </row>
    <row r="3485">
      <c r="A3485" s="52" t="n"/>
      <c r="B3485" s="53">
        <f>IF(A3485="","",CHOOSE(WEEKDAY(A3485,2),"Пн","Вт","Ср","Чт","Пт","Сб","Вс"))</f>
        <v/>
      </c>
      <c r="C3485" s="53">
        <f>IF(A3485="","",YEAR(A3485))</f>
        <v/>
      </c>
      <c r="D3485" s="54">
        <f>IF(A3485="","",INDEX(lst_months,MONTH(A3485)))</f>
        <v/>
      </c>
      <c r="E3485" s="55" t="n"/>
      <c r="F3485" s="54">
        <f>IF(E3485="","",IFERROR(IF(INDEX(lst_exp_item_cat,MATCH(E3485,lst_exp_items,0))="","❔ Без категории",INDEX(lst_exp_item_cat,MATCH(E3485,lst_exp_items,0))),"❔ Без категории"))</f>
        <v/>
      </c>
      <c r="G3485" s="43" t="n"/>
      <c r="H3485" s="56" t="n"/>
      <c r="I3485" s="43" t="n"/>
      <c r="J3485" s="57">
        <f>IF(OR(A3485="",H3485=""),"",IF(COUNTIFS(exp_year,C3485,exp_month,D3485,exp_item,E3485,exp_status,"&lt;&gt;❌ Отменено")&gt;0,1,0))</f>
        <v/>
      </c>
    </row>
    <row r="3486">
      <c r="A3486" s="52" t="n"/>
      <c r="B3486" s="53">
        <f>IF(A3486="","",CHOOSE(WEEKDAY(A3486,2),"Пн","Вт","Ср","Чт","Пт","Сб","Вс"))</f>
        <v/>
      </c>
      <c r="C3486" s="53">
        <f>IF(A3486="","",YEAR(A3486))</f>
        <v/>
      </c>
      <c r="D3486" s="54">
        <f>IF(A3486="","",INDEX(lst_months,MONTH(A3486)))</f>
        <v/>
      </c>
      <c r="E3486" s="55" t="n"/>
      <c r="F3486" s="54">
        <f>IF(E3486="","",IFERROR(IF(INDEX(lst_exp_item_cat,MATCH(E3486,lst_exp_items,0))="","❔ Без категории",INDEX(lst_exp_item_cat,MATCH(E3486,lst_exp_items,0))),"❔ Без категории"))</f>
        <v/>
      </c>
      <c r="G3486" s="43" t="n"/>
      <c r="H3486" s="56" t="n"/>
      <c r="I3486" s="43" t="n"/>
      <c r="J3486" s="57">
        <f>IF(OR(A3486="",H3486=""),"",IF(COUNTIFS(exp_year,C3486,exp_month,D3486,exp_item,E3486,exp_status,"&lt;&gt;❌ Отменено")&gt;0,1,0))</f>
        <v/>
      </c>
    </row>
    <row r="3487">
      <c r="A3487" s="52" t="n"/>
      <c r="B3487" s="53">
        <f>IF(A3487="","",CHOOSE(WEEKDAY(A3487,2),"Пн","Вт","Ср","Чт","Пт","Сб","Вс"))</f>
        <v/>
      </c>
      <c r="C3487" s="53">
        <f>IF(A3487="","",YEAR(A3487))</f>
        <v/>
      </c>
      <c r="D3487" s="54">
        <f>IF(A3487="","",INDEX(lst_months,MONTH(A3487)))</f>
        <v/>
      </c>
      <c r="E3487" s="55" t="n"/>
      <c r="F3487" s="54">
        <f>IF(E3487="","",IFERROR(IF(INDEX(lst_exp_item_cat,MATCH(E3487,lst_exp_items,0))="","❔ Без категории",INDEX(lst_exp_item_cat,MATCH(E3487,lst_exp_items,0))),"❔ Без категории"))</f>
        <v/>
      </c>
      <c r="G3487" s="43" t="n"/>
      <c r="H3487" s="56" t="n"/>
      <c r="I3487" s="43" t="n"/>
      <c r="J3487" s="57">
        <f>IF(OR(A3487="",H3487=""),"",IF(COUNTIFS(exp_year,C3487,exp_month,D3487,exp_item,E3487,exp_status,"&lt;&gt;❌ Отменено")&gt;0,1,0))</f>
        <v/>
      </c>
    </row>
    <row r="3488">
      <c r="A3488" s="52" t="n"/>
      <c r="B3488" s="53">
        <f>IF(A3488="","",CHOOSE(WEEKDAY(A3488,2),"Пн","Вт","Ср","Чт","Пт","Сб","Вс"))</f>
        <v/>
      </c>
      <c r="C3488" s="53">
        <f>IF(A3488="","",YEAR(A3488))</f>
        <v/>
      </c>
      <c r="D3488" s="54">
        <f>IF(A3488="","",INDEX(lst_months,MONTH(A3488)))</f>
        <v/>
      </c>
      <c r="E3488" s="55" t="n"/>
      <c r="F3488" s="54">
        <f>IF(E3488="","",IFERROR(IF(INDEX(lst_exp_item_cat,MATCH(E3488,lst_exp_items,0))="","❔ Без категории",INDEX(lst_exp_item_cat,MATCH(E3488,lst_exp_items,0))),"❔ Без категории"))</f>
        <v/>
      </c>
      <c r="G3488" s="43" t="n"/>
      <c r="H3488" s="56" t="n"/>
      <c r="I3488" s="43" t="n"/>
      <c r="J3488" s="57">
        <f>IF(OR(A3488="",H3488=""),"",IF(COUNTIFS(exp_year,C3488,exp_month,D3488,exp_item,E3488,exp_status,"&lt;&gt;❌ Отменено")&gt;0,1,0))</f>
        <v/>
      </c>
    </row>
    <row r="3489">
      <c r="A3489" s="52" t="n"/>
      <c r="B3489" s="53">
        <f>IF(A3489="","",CHOOSE(WEEKDAY(A3489,2),"Пн","Вт","Ср","Чт","Пт","Сб","Вс"))</f>
        <v/>
      </c>
      <c r="C3489" s="53">
        <f>IF(A3489="","",YEAR(A3489))</f>
        <v/>
      </c>
      <c r="D3489" s="54">
        <f>IF(A3489="","",INDEX(lst_months,MONTH(A3489)))</f>
        <v/>
      </c>
      <c r="E3489" s="55" t="n"/>
      <c r="F3489" s="54">
        <f>IF(E3489="","",IFERROR(IF(INDEX(lst_exp_item_cat,MATCH(E3489,lst_exp_items,0))="","❔ Без категории",INDEX(lst_exp_item_cat,MATCH(E3489,lst_exp_items,0))),"❔ Без категории"))</f>
        <v/>
      </c>
      <c r="G3489" s="43" t="n"/>
      <c r="H3489" s="56" t="n"/>
      <c r="I3489" s="43" t="n"/>
      <c r="J3489" s="57">
        <f>IF(OR(A3489="",H3489=""),"",IF(COUNTIFS(exp_year,C3489,exp_month,D3489,exp_item,E3489,exp_status,"&lt;&gt;❌ Отменено")&gt;0,1,0))</f>
        <v/>
      </c>
    </row>
    <row r="3490">
      <c r="A3490" s="52" t="n"/>
      <c r="B3490" s="53">
        <f>IF(A3490="","",CHOOSE(WEEKDAY(A3490,2),"Пн","Вт","Ср","Чт","Пт","Сб","Вс"))</f>
        <v/>
      </c>
      <c r="C3490" s="53">
        <f>IF(A3490="","",YEAR(A3490))</f>
        <v/>
      </c>
      <c r="D3490" s="54">
        <f>IF(A3490="","",INDEX(lst_months,MONTH(A3490)))</f>
        <v/>
      </c>
      <c r="E3490" s="55" t="n"/>
      <c r="F3490" s="54">
        <f>IF(E3490="","",IFERROR(IF(INDEX(lst_exp_item_cat,MATCH(E3490,lst_exp_items,0))="","❔ Без категории",INDEX(lst_exp_item_cat,MATCH(E3490,lst_exp_items,0))),"❔ Без категории"))</f>
        <v/>
      </c>
      <c r="G3490" s="43" t="n"/>
      <c r="H3490" s="56" t="n"/>
      <c r="I3490" s="43" t="n"/>
      <c r="J3490" s="57">
        <f>IF(OR(A3490="",H3490=""),"",IF(COUNTIFS(exp_year,C3490,exp_month,D3490,exp_item,E3490,exp_status,"&lt;&gt;❌ Отменено")&gt;0,1,0))</f>
        <v/>
      </c>
    </row>
    <row r="3491">
      <c r="A3491" s="52" t="n"/>
      <c r="B3491" s="53">
        <f>IF(A3491="","",CHOOSE(WEEKDAY(A3491,2),"Пн","Вт","Ср","Чт","Пт","Сб","Вс"))</f>
        <v/>
      </c>
      <c r="C3491" s="53">
        <f>IF(A3491="","",YEAR(A3491))</f>
        <v/>
      </c>
      <c r="D3491" s="54">
        <f>IF(A3491="","",INDEX(lst_months,MONTH(A3491)))</f>
        <v/>
      </c>
      <c r="E3491" s="55" t="n"/>
      <c r="F3491" s="54">
        <f>IF(E3491="","",IFERROR(IF(INDEX(lst_exp_item_cat,MATCH(E3491,lst_exp_items,0))="","❔ Без категории",INDEX(lst_exp_item_cat,MATCH(E3491,lst_exp_items,0))),"❔ Без категории"))</f>
        <v/>
      </c>
      <c r="G3491" s="43" t="n"/>
      <c r="H3491" s="56" t="n"/>
      <c r="I3491" s="43" t="n"/>
      <c r="J3491" s="57">
        <f>IF(OR(A3491="",H3491=""),"",IF(COUNTIFS(exp_year,C3491,exp_month,D3491,exp_item,E3491,exp_status,"&lt;&gt;❌ Отменено")&gt;0,1,0))</f>
        <v/>
      </c>
    </row>
    <row r="3492">
      <c r="A3492" s="52" t="n"/>
      <c r="B3492" s="53">
        <f>IF(A3492="","",CHOOSE(WEEKDAY(A3492,2),"Пн","Вт","Ср","Чт","Пт","Сб","Вс"))</f>
        <v/>
      </c>
      <c r="C3492" s="53">
        <f>IF(A3492="","",YEAR(A3492))</f>
        <v/>
      </c>
      <c r="D3492" s="54">
        <f>IF(A3492="","",INDEX(lst_months,MONTH(A3492)))</f>
        <v/>
      </c>
      <c r="E3492" s="55" t="n"/>
      <c r="F3492" s="54">
        <f>IF(E3492="","",IFERROR(IF(INDEX(lst_exp_item_cat,MATCH(E3492,lst_exp_items,0))="","❔ Без категории",INDEX(lst_exp_item_cat,MATCH(E3492,lst_exp_items,0))),"❔ Без категории"))</f>
        <v/>
      </c>
      <c r="G3492" s="43" t="n"/>
      <c r="H3492" s="56" t="n"/>
      <c r="I3492" s="43" t="n"/>
      <c r="J3492" s="57">
        <f>IF(OR(A3492="",H3492=""),"",IF(COUNTIFS(exp_year,C3492,exp_month,D3492,exp_item,E3492,exp_status,"&lt;&gt;❌ Отменено")&gt;0,1,0))</f>
        <v/>
      </c>
    </row>
    <row r="3493">
      <c r="A3493" s="52" t="n"/>
      <c r="B3493" s="53">
        <f>IF(A3493="","",CHOOSE(WEEKDAY(A3493,2),"Пн","Вт","Ср","Чт","Пт","Сб","Вс"))</f>
        <v/>
      </c>
      <c r="C3493" s="53">
        <f>IF(A3493="","",YEAR(A3493))</f>
        <v/>
      </c>
      <c r="D3493" s="54">
        <f>IF(A3493="","",INDEX(lst_months,MONTH(A3493)))</f>
        <v/>
      </c>
      <c r="E3493" s="55" t="n"/>
      <c r="F3493" s="54">
        <f>IF(E3493="","",IFERROR(IF(INDEX(lst_exp_item_cat,MATCH(E3493,lst_exp_items,0))="","❔ Без категории",INDEX(lst_exp_item_cat,MATCH(E3493,lst_exp_items,0))),"❔ Без категории"))</f>
        <v/>
      </c>
      <c r="G3493" s="43" t="n"/>
      <c r="H3493" s="56" t="n"/>
      <c r="I3493" s="43" t="n"/>
      <c r="J3493" s="57">
        <f>IF(OR(A3493="",H3493=""),"",IF(COUNTIFS(exp_year,C3493,exp_month,D3493,exp_item,E3493,exp_status,"&lt;&gt;❌ Отменено")&gt;0,1,0))</f>
        <v/>
      </c>
    </row>
    <row r="3494">
      <c r="A3494" s="52" t="n"/>
      <c r="B3494" s="53">
        <f>IF(A3494="","",CHOOSE(WEEKDAY(A3494,2),"Пн","Вт","Ср","Чт","Пт","Сб","Вс"))</f>
        <v/>
      </c>
      <c r="C3494" s="53">
        <f>IF(A3494="","",YEAR(A3494))</f>
        <v/>
      </c>
      <c r="D3494" s="54">
        <f>IF(A3494="","",INDEX(lst_months,MONTH(A3494)))</f>
        <v/>
      </c>
      <c r="E3494" s="55" t="n"/>
      <c r="F3494" s="54">
        <f>IF(E3494="","",IFERROR(IF(INDEX(lst_exp_item_cat,MATCH(E3494,lst_exp_items,0))="","❔ Без категории",INDEX(lst_exp_item_cat,MATCH(E3494,lst_exp_items,0))),"❔ Без категории"))</f>
        <v/>
      </c>
      <c r="G3494" s="43" t="n"/>
      <c r="H3494" s="56" t="n"/>
      <c r="I3494" s="43" t="n"/>
      <c r="J3494" s="57">
        <f>IF(OR(A3494="",H3494=""),"",IF(COUNTIFS(exp_year,C3494,exp_month,D3494,exp_item,E3494,exp_status,"&lt;&gt;❌ Отменено")&gt;0,1,0))</f>
        <v/>
      </c>
    </row>
    <row r="3495">
      <c r="A3495" s="52" t="n"/>
      <c r="B3495" s="53">
        <f>IF(A3495="","",CHOOSE(WEEKDAY(A3495,2),"Пн","Вт","Ср","Чт","Пт","Сб","Вс"))</f>
        <v/>
      </c>
      <c r="C3495" s="53">
        <f>IF(A3495="","",YEAR(A3495))</f>
        <v/>
      </c>
      <c r="D3495" s="54">
        <f>IF(A3495="","",INDEX(lst_months,MONTH(A3495)))</f>
        <v/>
      </c>
      <c r="E3495" s="55" t="n"/>
      <c r="F3495" s="54">
        <f>IF(E3495="","",IFERROR(IF(INDEX(lst_exp_item_cat,MATCH(E3495,lst_exp_items,0))="","❔ Без категории",INDEX(lst_exp_item_cat,MATCH(E3495,lst_exp_items,0))),"❔ Без категории"))</f>
        <v/>
      </c>
      <c r="G3495" s="43" t="n"/>
      <c r="H3495" s="56" t="n"/>
      <c r="I3495" s="43" t="n"/>
      <c r="J3495" s="57">
        <f>IF(OR(A3495="",H3495=""),"",IF(COUNTIFS(exp_year,C3495,exp_month,D3495,exp_item,E3495,exp_status,"&lt;&gt;❌ Отменено")&gt;0,1,0))</f>
        <v/>
      </c>
    </row>
    <row r="3496">
      <c r="A3496" s="52" t="n"/>
      <c r="B3496" s="53">
        <f>IF(A3496="","",CHOOSE(WEEKDAY(A3496,2),"Пн","Вт","Ср","Чт","Пт","Сб","Вс"))</f>
        <v/>
      </c>
      <c r="C3496" s="53">
        <f>IF(A3496="","",YEAR(A3496))</f>
        <v/>
      </c>
      <c r="D3496" s="54">
        <f>IF(A3496="","",INDEX(lst_months,MONTH(A3496)))</f>
        <v/>
      </c>
      <c r="E3496" s="55" t="n"/>
      <c r="F3496" s="54">
        <f>IF(E3496="","",IFERROR(IF(INDEX(lst_exp_item_cat,MATCH(E3496,lst_exp_items,0))="","❔ Без категории",INDEX(lst_exp_item_cat,MATCH(E3496,lst_exp_items,0))),"❔ Без категории"))</f>
        <v/>
      </c>
      <c r="G3496" s="43" t="n"/>
      <c r="H3496" s="56" t="n"/>
      <c r="I3496" s="43" t="n"/>
      <c r="J3496" s="57">
        <f>IF(OR(A3496="",H3496=""),"",IF(COUNTIFS(exp_year,C3496,exp_month,D3496,exp_item,E3496,exp_status,"&lt;&gt;❌ Отменено")&gt;0,1,0))</f>
        <v/>
      </c>
    </row>
    <row r="3497">
      <c r="A3497" s="52" t="n"/>
      <c r="B3497" s="53">
        <f>IF(A3497="","",CHOOSE(WEEKDAY(A3497,2),"Пн","Вт","Ср","Чт","Пт","Сб","Вс"))</f>
        <v/>
      </c>
      <c r="C3497" s="53">
        <f>IF(A3497="","",YEAR(A3497))</f>
        <v/>
      </c>
      <c r="D3497" s="54">
        <f>IF(A3497="","",INDEX(lst_months,MONTH(A3497)))</f>
        <v/>
      </c>
      <c r="E3497" s="55" t="n"/>
      <c r="F3497" s="54">
        <f>IF(E3497="","",IFERROR(IF(INDEX(lst_exp_item_cat,MATCH(E3497,lst_exp_items,0))="","❔ Без категории",INDEX(lst_exp_item_cat,MATCH(E3497,lst_exp_items,0))),"❔ Без категории"))</f>
        <v/>
      </c>
      <c r="G3497" s="43" t="n"/>
      <c r="H3497" s="56" t="n"/>
      <c r="I3497" s="43" t="n"/>
      <c r="J3497" s="57">
        <f>IF(OR(A3497="",H3497=""),"",IF(COUNTIFS(exp_year,C3497,exp_month,D3497,exp_item,E3497,exp_status,"&lt;&gt;❌ Отменено")&gt;0,1,0))</f>
        <v/>
      </c>
    </row>
    <row r="3498">
      <c r="A3498" s="52" t="n"/>
      <c r="B3498" s="53">
        <f>IF(A3498="","",CHOOSE(WEEKDAY(A3498,2),"Пн","Вт","Ср","Чт","Пт","Сб","Вс"))</f>
        <v/>
      </c>
      <c r="C3498" s="53">
        <f>IF(A3498="","",YEAR(A3498))</f>
        <v/>
      </c>
      <c r="D3498" s="54">
        <f>IF(A3498="","",INDEX(lst_months,MONTH(A3498)))</f>
        <v/>
      </c>
      <c r="E3498" s="55" t="n"/>
      <c r="F3498" s="54">
        <f>IF(E3498="","",IFERROR(IF(INDEX(lst_exp_item_cat,MATCH(E3498,lst_exp_items,0))="","❔ Без категории",INDEX(lst_exp_item_cat,MATCH(E3498,lst_exp_items,0))),"❔ Без категории"))</f>
        <v/>
      </c>
      <c r="G3498" s="43" t="n"/>
      <c r="H3498" s="56" t="n"/>
      <c r="I3498" s="43" t="n"/>
      <c r="J3498" s="57">
        <f>IF(OR(A3498="",H3498=""),"",IF(COUNTIFS(exp_year,C3498,exp_month,D3498,exp_item,E3498,exp_status,"&lt;&gt;❌ Отменено")&gt;0,1,0))</f>
        <v/>
      </c>
    </row>
    <row r="3499">
      <c r="A3499" s="52" t="n"/>
      <c r="B3499" s="53">
        <f>IF(A3499="","",CHOOSE(WEEKDAY(A3499,2),"Пн","Вт","Ср","Чт","Пт","Сб","Вс"))</f>
        <v/>
      </c>
      <c r="C3499" s="53">
        <f>IF(A3499="","",YEAR(A3499))</f>
        <v/>
      </c>
      <c r="D3499" s="54">
        <f>IF(A3499="","",INDEX(lst_months,MONTH(A3499)))</f>
        <v/>
      </c>
      <c r="E3499" s="55" t="n"/>
      <c r="F3499" s="54">
        <f>IF(E3499="","",IFERROR(IF(INDEX(lst_exp_item_cat,MATCH(E3499,lst_exp_items,0))="","❔ Без категории",INDEX(lst_exp_item_cat,MATCH(E3499,lst_exp_items,0))),"❔ Без категории"))</f>
        <v/>
      </c>
      <c r="G3499" s="43" t="n"/>
      <c r="H3499" s="56" t="n"/>
      <c r="I3499" s="43" t="n"/>
      <c r="J3499" s="57">
        <f>IF(OR(A3499="",H3499=""),"",IF(COUNTIFS(exp_year,C3499,exp_month,D3499,exp_item,E3499,exp_status,"&lt;&gt;❌ Отменено")&gt;0,1,0))</f>
        <v/>
      </c>
    </row>
    <row r="3500">
      <c r="A3500" s="52" t="n"/>
      <c r="B3500" s="53">
        <f>IF(A3500="","",CHOOSE(WEEKDAY(A3500,2),"Пн","Вт","Ср","Чт","Пт","Сб","Вс"))</f>
        <v/>
      </c>
      <c r="C3500" s="53">
        <f>IF(A3500="","",YEAR(A3500))</f>
        <v/>
      </c>
      <c r="D3500" s="54">
        <f>IF(A3500="","",INDEX(lst_months,MONTH(A3500)))</f>
        <v/>
      </c>
      <c r="E3500" s="55" t="n"/>
      <c r="F3500" s="54">
        <f>IF(E3500="","",IFERROR(IF(INDEX(lst_exp_item_cat,MATCH(E3500,lst_exp_items,0))="","❔ Без категории",INDEX(lst_exp_item_cat,MATCH(E3500,lst_exp_items,0))),"❔ Без категории"))</f>
        <v/>
      </c>
      <c r="G3500" s="43" t="n"/>
      <c r="H3500" s="56" t="n"/>
      <c r="I3500" s="43" t="n"/>
      <c r="J3500" s="57">
        <f>IF(OR(A3500="",H3500=""),"",IF(COUNTIFS(exp_year,C3500,exp_month,D3500,exp_item,E3500,exp_status,"&lt;&gt;❌ Отменено")&gt;0,1,0))</f>
        <v/>
      </c>
    </row>
    <row r="3501">
      <c r="A3501" s="52" t="n"/>
      <c r="B3501" s="53">
        <f>IF(A3501="","",CHOOSE(WEEKDAY(A3501,2),"Пн","Вт","Ср","Чт","Пт","Сб","Вс"))</f>
        <v/>
      </c>
      <c r="C3501" s="53">
        <f>IF(A3501="","",YEAR(A3501))</f>
        <v/>
      </c>
      <c r="D3501" s="54">
        <f>IF(A3501="","",INDEX(lst_months,MONTH(A3501)))</f>
        <v/>
      </c>
      <c r="E3501" s="55" t="n"/>
      <c r="F3501" s="54">
        <f>IF(E3501="","",IFERROR(IF(INDEX(lst_exp_item_cat,MATCH(E3501,lst_exp_items,0))="","❔ Без категории",INDEX(lst_exp_item_cat,MATCH(E3501,lst_exp_items,0))),"❔ Без категории"))</f>
        <v/>
      </c>
      <c r="G3501" s="43" t="n"/>
      <c r="H3501" s="56" t="n"/>
      <c r="I3501" s="43" t="n"/>
      <c r="J3501" s="57">
        <f>IF(OR(A3501="",H3501=""),"",IF(COUNTIFS(exp_year,C3501,exp_month,D3501,exp_item,E3501,exp_status,"&lt;&gt;❌ Отменено")&gt;0,1,0))</f>
        <v/>
      </c>
    </row>
    <row r="3502">
      <c r="A3502" s="52" t="n"/>
      <c r="B3502" s="53">
        <f>IF(A3502="","",CHOOSE(WEEKDAY(A3502,2),"Пн","Вт","Ср","Чт","Пт","Сб","Вс"))</f>
        <v/>
      </c>
      <c r="C3502" s="53">
        <f>IF(A3502="","",YEAR(A3502))</f>
        <v/>
      </c>
      <c r="D3502" s="54">
        <f>IF(A3502="","",INDEX(lst_months,MONTH(A3502)))</f>
        <v/>
      </c>
      <c r="E3502" s="55" t="n"/>
      <c r="F3502" s="54">
        <f>IF(E3502="","",IFERROR(IF(INDEX(lst_exp_item_cat,MATCH(E3502,lst_exp_items,0))="","❔ Без категории",INDEX(lst_exp_item_cat,MATCH(E3502,lst_exp_items,0))),"❔ Без категории"))</f>
        <v/>
      </c>
      <c r="G3502" s="43" t="n"/>
      <c r="H3502" s="56" t="n"/>
      <c r="I3502" s="43" t="n"/>
      <c r="J3502" s="57">
        <f>IF(OR(A3502="",H3502=""),"",IF(COUNTIFS(exp_year,C3502,exp_month,D3502,exp_item,E3502,exp_status,"&lt;&gt;❌ Отменено")&gt;0,1,0))</f>
        <v/>
      </c>
    </row>
    <row r="3503">
      <c r="A3503" s="52" t="n"/>
      <c r="B3503" s="53">
        <f>IF(A3503="","",CHOOSE(WEEKDAY(A3503,2),"Пн","Вт","Ср","Чт","Пт","Сб","Вс"))</f>
        <v/>
      </c>
      <c r="C3503" s="53">
        <f>IF(A3503="","",YEAR(A3503))</f>
        <v/>
      </c>
      <c r="D3503" s="54">
        <f>IF(A3503="","",INDEX(lst_months,MONTH(A3503)))</f>
        <v/>
      </c>
      <c r="E3503" s="55" t="n"/>
      <c r="F3503" s="54">
        <f>IF(E3503="","",IFERROR(IF(INDEX(lst_exp_item_cat,MATCH(E3503,lst_exp_items,0))="","❔ Без категории",INDEX(lst_exp_item_cat,MATCH(E3503,lst_exp_items,0))),"❔ Без категории"))</f>
        <v/>
      </c>
      <c r="G3503" s="43" t="n"/>
      <c r="H3503" s="56" t="n"/>
      <c r="I3503" s="43" t="n"/>
      <c r="J3503" s="57">
        <f>IF(OR(A3503="",H3503=""),"",IF(COUNTIFS(exp_year,C3503,exp_month,D3503,exp_item,E3503,exp_status,"&lt;&gt;❌ Отменено")&gt;0,1,0))</f>
        <v/>
      </c>
    </row>
    <row r="3504">
      <c r="A3504" s="52" t="n"/>
      <c r="B3504" s="53">
        <f>IF(A3504="","",CHOOSE(WEEKDAY(A3504,2),"Пн","Вт","Ср","Чт","Пт","Сб","Вс"))</f>
        <v/>
      </c>
      <c r="C3504" s="53">
        <f>IF(A3504="","",YEAR(A3504))</f>
        <v/>
      </c>
      <c r="D3504" s="54">
        <f>IF(A3504="","",INDEX(lst_months,MONTH(A3504)))</f>
        <v/>
      </c>
      <c r="E3504" s="55" t="n"/>
      <c r="F3504" s="54">
        <f>IF(E3504="","",IFERROR(IF(INDEX(lst_exp_item_cat,MATCH(E3504,lst_exp_items,0))="","❔ Без категории",INDEX(lst_exp_item_cat,MATCH(E3504,lst_exp_items,0))),"❔ Без категории"))</f>
        <v/>
      </c>
      <c r="G3504" s="43" t="n"/>
      <c r="H3504" s="56" t="n"/>
      <c r="I3504" s="43" t="n"/>
      <c r="J3504" s="57">
        <f>IF(OR(A3504="",H3504=""),"",IF(COUNTIFS(exp_year,C3504,exp_month,D3504,exp_item,E3504,exp_status,"&lt;&gt;❌ Отменено")&gt;0,1,0))</f>
        <v/>
      </c>
    </row>
    <row r="3505">
      <c r="A3505" s="52" t="n"/>
      <c r="B3505" s="53">
        <f>IF(A3505="","",CHOOSE(WEEKDAY(A3505,2),"Пн","Вт","Ср","Чт","Пт","Сб","Вс"))</f>
        <v/>
      </c>
      <c r="C3505" s="53">
        <f>IF(A3505="","",YEAR(A3505))</f>
        <v/>
      </c>
      <c r="D3505" s="54">
        <f>IF(A3505="","",INDEX(lst_months,MONTH(A3505)))</f>
        <v/>
      </c>
      <c r="E3505" s="55" t="n"/>
      <c r="F3505" s="54">
        <f>IF(E3505="","",IFERROR(IF(INDEX(lst_exp_item_cat,MATCH(E3505,lst_exp_items,0))="","❔ Без категории",INDEX(lst_exp_item_cat,MATCH(E3505,lst_exp_items,0))),"❔ Без категории"))</f>
        <v/>
      </c>
      <c r="G3505" s="43" t="n"/>
      <c r="H3505" s="56" t="n"/>
      <c r="I3505" s="43" t="n"/>
      <c r="J3505" s="57">
        <f>IF(OR(A3505="",H3505=""),"",IF(COUNTIFS(exp_year,C3505,exp_month,D3505,exp_item,E3505,exp_status,"&lt;&gt;❌ Отменено")&gt;0,1,0))</f>
        <v/>
      </c>
    </row>
    <row r="3506">
      <c r="A3506" s="52" t="n"/>
      <c r="B3506" s="53">
        <f>IF(A3506="","",CHOOSE(WEEKDAY(A3506,2),"Пн","Вт","Ср","Чт","Пт","Сб","Вс"))</f>
        <v/>
      </c>
      <c r="C3506" s="53">
        <f>IF(A3506="","",YEAR(A3506))</f>
        <v/>
      </c>
      <c r="D3506" s="54">
        <f>IF(A3506="","",INDEX(lst_months,MONTH(A3506)))</f>
        <v/>
      </c>
      <c r="E3506" s="55" t="n"/>
      <c r="F3506" s="54">
        <f>IF(E3506="","",IFERROR(IF(INDEX(lst_exp_item_cat,MATCH(E3506,lst_exp_items,0))="","❔ Без категории",INDEX(lst_exp_item_cat,MATCH(E3506,lst_exp_items,0))),"❔ Без категории"))</f>
        <v/>
      </c>
      <c r="G3506" s="43" t="n"/>
      <c r="H3506" s="56" t="n"/>
      <c r="I3506" s="43" t="n"/>
      <c r="J3506" s="57">
        <f>IF(OR(A3506="",H3506=""),"",IF(COUNTIFS(exp_year,C3506,exp_month,D3506,exp_item,E3506,exp_status,"&lt;&gt;❌ Отменено")&gt;0,1,0))</f>
        <v/>
      </c>
    </row>
    <row r="3507">
      <c r="A3507" s="52" t="n"/>
      <c r="B3507" s="53">
        <f>IF(A3507="","",CHOOSE(WEEKDAY(A3507,2),"Пн","Вт","Ср","Чт","Пт","Сб","Вс"))</f>
        <v/>
      </c>
      <c r="C3507" s="53">
        <f>IF(A3507="","",YEAR(A3507))</f>
        <v/>
      </c>
      <c r="D3507" s="54">
        <f>IF(A3507="","",INDEX(lst_months,MONTH(A3507)))</f>
        <v/>
      </c>
      <c r="E3507" s="55" t="n"/>
      <c r="F3507" s="54">
        <f>IF(E3507="","",IFERROR(IF(INDEX(lst_exp_item_cat,MATCH(E3507,lst_exp_items,0))="","❔ Без категории",INDEX(lst_exp_item_cat,MATCH(E3507,lst_exp_items,0))),"❔ Без категории"))</f>
        <v/>
      </c>
      <c r="G3507" s="43" t="n"/>
      <c r="H3507" s="56" t="n"/>
      <c r="I3507" s="43" t="n"/>
      <c r="J3507" s="57">
        <f>IF(OR(A3507="",H3507=""),"",IF(COUNTIFS(exp_year,C3507,exp_month,D3507,exp_item,E3507,exp_status,"&lt;&gt;❌ Отменено")&gt;0,1,0))</f>
        <v/>
      </c>
    </row>
    <row r="3508">
      <c r="A3508" s="52" t="n"/>
      <c r="B3508" s="53">
        <f>IF(A3508="","",CHOOSE(WEEKDAY(A3508,2),"Пн","Вт","Ср","Чт","Пт","Сб","Вс"))</f>
        <v/>
      </c>
      <c r="C3508" s="53">
        <f>IF(A3508="","",YEAR(A3508))</f>
        <v/>
      </c>
      <c r="D3508" s="54">
        <f>IF(A3508="","",INDEX(lst_months,MONTH(A3508)))</f>
        <v/>
      </c>
      <c r="E3508" s="55" t="n"/>
      <c r="F3508" s="54">
        <f>IF(E3508="","",IFERROR(IF(INDEX(lst_exp_item_cat,MATCH(E3508,lst_exp_items,0))="","❔ Без категории",INDEX(lst_exp_item_cat,MATCH(E3508,lst_exp_items,0))),"❔ Без категории"))</f>
        <v/>
      </c>
      <c r="G3508" s="43" t="n"/>
      <c r="H3508" s="56" t="n"/>
      <c r="I3508" s="43" t="n"/>
      <c r="J3508" s="57">
        <f>IF(OR(A3508="",H3508=""),"",IF(COUNTIFS(exp_year,C3508,exp_month,D3508,exp_item,E3508,exp_status,"&lt;&gt;❌ Отменено")&gt;0,1,0))</f>
        <v/>
      </c>
    </row>
    <row r="3509">
      <c r="A3509" s="52" t="n"/>
      <c r="B3509" s="53">
        <f>IF(A3509="","",CHOOSE(WEEKDAY(A3509,2),"Пн","Вт","Ср","Чт","Пт","Сб","Вс"))</f>
        <v/>
      </c>
      <c r="C3509" s="53">
        <f>IF(A3509="","",YEAR(A3509))</f>
        <v/>
      </c>
      <c r="D3509" s="54">
        <f>IF(A3509="","",INDEX(lst_months,MONTH(A3509)))</f>
        <v/>
      </c>
      <c r="E3509" s="55" t="n"/>
      <c r="F3509" s="54">
        <f>IF(E3509="","",IFERROR(IF(INDEX(lst_exp_item_cat,MATCH(E3509,lst_exp_items,0))="","❔ Без категории",INDEX(lst_exp_item_cat,MATCH(E3509,lst_exp_items,0))),"❔ Без категории"))</f>
        <v/>
      </c>
      <c r="G3509" s="43" t="n"/>
      <c r="H3509" s="56" t="n"/>
      <c r="I3509" s="43" t="n"/>
      <c r="J3509" s="57">
        <f>IF(OR(A3509="",H3509=""),"",IF(COUNTIFS(exp_year,C3509,exp_month,D3509,exp_item,E3509,exp_status,"&lt;&gt;❌ Отменено")&gt;0,1,0))</f>
        <v/>
      </c>
    </row>
    <row r="3510">
      <c r="A3510" s="52" t="n"/>
      <c r="B3510" s="53">
        <f>IF(A3510="","",CHOOSE(WEEKDAY(A3510,2),"Пн","Вт","Ср","Чт","Пт","Сб","Вс"))</f>
        <v/>
      </c>
      <c r="C3510" s="53">
        <f>IF(A3510="","",YEAR(A3510))</f>
        <v/>
      </c>
      <c r="D3510" s="54">
        <f>IF(A3510="","",INDEX(lst_months,MONTH(A3510)))</f>
        <v/>
      </c>
      <c r="E3510" s="55" t="n"/>
      <c r="F3510" s="54">
        <f>IF(E3510="","",IFERROR(IF(INDEX(lst_exp_item_cat,MATCH(E3510,lst_exp_items,0))="","❔ Без категории",INDEX(lst_exp_item_cat,MATCH(E3510,lst_exp_items,0))),"❔ Без категории"))</f>
        <v/>
      </c>
      <c r="G3510" s="43" t="n"/>
      <c r="H3510" s="56" t="n"/>
      <c r="I3510" s="43" t="n"/>
      <c r="J3510" s="57">
        <f>IF(OR(A3510="",H3510=""),"",IF(COUNTIFS(exp_year,C3510,exp_month,D3510,exp_item,E3510,exp_status,"&lt;&gt;❌ Отменено")&gt;0,1,0))</f>
        <v/>
      </c>
    </row>
    <row r="3511">
      <c r="A3511" s="52" t="n"/>
      <c r="B3511" s="53">
        <f>IF(A3511="","",CHOOSE(WEEKDAY(A3511,2),"Пн","Вт","Ср","Чт","Пт","Сб","Вс"))</f>
        <v/>
      </c>
      <c r="C3511" s="53">
        <f>IF(A3511="","",YEAR(A3511))</f>
        <v/>
      </c>
      <c r="D3511" s="54">
        <f>IF(A3511="","",INDEX(lst_months,MONTH(A3511)))</f>
        <v/>
      </c>
      <c r="E3511" s="55" t="n"/>
      <c r="F3511" s="54">
        <f>IF(E3511="","",IFERROR(IF(INDEX(lst_exp_item_cat,MATCH(E3511,lst_exp_items,0))="","❔ Без категории",INDEX(lst_exp_item_cat,MATCH(E3511,lst_exp_items,0))),"❔ Без категории"))</f>
        <v/>
      </c>
      <c r="G3511" s="43" t="n"/>
      <c r="H3511" s="56" t="n"/>
      <c r="I3511" s="43" t="n"/>
      <c r="J3511" s="57">
        <f>IF(OR(A3511="",H3511=""),"",IF(COUNTIFS(exp_year,C3511,exp_month,D3511,exp_item,E3511,exp_status,"&lt;&gt;❌ Отменено")&gt;0,1,0))</f>
        <v/>
      </c>
    </row>
    <row r="3512">
      <c r="A3512" s="52" t="n"/>
      <c r="B3512" s="53">
        <f>IF(A3512="","",CHOOSE(WEEKDAY(A3512,2),"Пн","Вт","Ср","Чт","Пт","Сб","Вс"))</f>
        <v/>
      </c>
      <c r="C3512" s="53">
        <f>IF(A3512="","",YEAR(A3512))</f>
        <v/>
      </c>
      <c r="D3512" s="54">
        <f>IF(A3512="","",INDEX(lst_months,MONTH(A3512)))</f>
        <v/>
      </c>
      <c r="E3512" s="55" t="n"/>
      <c r="F3512" s="54">
        <f>IF(E3512="","",IFERROR(IF(INDEX(lst_exp_item_cat,MATCH(E3512,lst_exp_items,0))="","❔ Без категории",INDEX(lst_exp_item_cat,MATCH(E3512,lst_exp_items,0))),"❔ Без категории"))</f>
        <v/>
      </c>
      <c r="G3512" s="43" t="n"/>
      <c r="H3512" s="56" t="n"/>
      <c r="I3512" s="43" t="n"/>
      <c r="J3512" s="57">
        <f>IF(OR(A3512="",H3512=""),"",IF(COUNTIFS(exp_year,C3512,exp_month,D3512,exp_item,E3512,exp_status,"&lt;&gt;❌ Отменено")&gt;0,1,0))</f>
        <v/>
      </c>
    </row>
    <row r="3513">
      <c r="A3513" s="52" t="n"/>
      <c r="B3513" s="53">
        <f>IF(A3513="","",CHOOSE(WEEKDAY(A3513,2),"Пн","Вт","Ср","Чт","Пт","Сб","Вс"))</f>
        <v/>
      </c>
      <c r="C3513" s="53">
        <f>IF(A3513="","",YEAR(A3513))</f>
        <v/>
      </c>
      <c r="D3513" s="54">
        <f>IF(A3513="","",INDEX(lst_months,MONTH(A3513)))</f>
        <v/>
      </c>
      <c r="E3513" s="55" t="n"/>
      <c r="F3513" s="54">
        <f>IF(E3513="","",IFERROR(IF(INDEX(lst_exp_item_cat,MATCH(E3513,lst_exp_items,0))="","❔ Без категории",INDEX(lst_exp_item_cat,MATCH(E3513,lst_exp_items,0))),"❔ Без категории"))</f>
        <v/>
      </c>
      <c r="G3513" s="43" t="n"/>
      <c r="H3513" s="56" t="n"/>
      <c r="I3513" s="43" t="n"/>
      <c r="J3513" s="57">
        <f>IF(OR(A3513="",H3513=""),"",IF(COUNTIFS(exp_year,C3513,exp_month,D3513,exp_item,E3513,exp_status,"&lt;&gt;❌ Отменено")&gt;0,1,0))</f>
        <v/>
      </c>
    </row>
    <row r="3514">
      <c r="A3514" s="52" t="n"/>
      <c r="B3514" s="53">
        <f>IF(A3514="","",CHOOSE(WEEKDAY(A3514,2),"Пн","Вт","Ср","Чт","Пт","Сб","Вс"))</f>
        <v/>
      </c>
      <c r="C3514" s="53">
        <f>IF(A3514="","",YEAR(A3514))</f>
        <v/>
      </c>
      <c r="D3514" s="54">
        <f>IF(A3514="","",INDEX(lst_months,MONTH(A3514)))</f>
        <v/>
      </c>
      <c r="E3514" s="55" t="n"/>
      <c r="F3514" s="54">
        <f>IF(E3514="","",IFERROR(IF(INDEX(lst_exp_item_cat,MATCH(E3514,lst_exp_items,0))="","❔ Без категории",INDEX(lst_exp_item_cat,MATCH(E3514,lst_exp_items,0))),"❔ Без категории"))</f>
        <v/>
      </c>
      <c r="G3514" s="43" t="n"/>
      <c r="H3514" s="56" t="n"/>
      <c r="I3514" s="43" t="n"/>
      <c r="J3514" s="57">
        <f>IF(OR(A3514="",H3514=""),"",IF(COUNTIFS(exp_year,C3514,exp_month,D3514,exp_item,E3514,exp_status,"&lt;&gt;❌ Отменено")&gt;0,1,0))</f>
        <v/>
      </c>
    </row>
    <row r="3515">
      <c r="A3515" s="52" t="n"/>
      <c r="B3515" s="53">
        <f>IF(A3515="","",CHOOSE(WEEKDAY(A3515,2),"Пн","Вт","Ср","Чт","Пт","Сб","Вс"))</f>
        <v/>
      </c>
      <c r="C3515" s="53">
        <f>IF(A3515="","",YEAR(A3515))</f>
        <v/>
      </c>
      <c r="D3515" s="54">
        <f>IF(A3515="","",INDEX(lst_months,MONTH(A3515)))</f>
        <v/>
      </c>
      <c r="E3515" s="55" t="n"/>
      <c r="F3515" s="54">
        <f>IF(E3515="","",IFERROR(IF(INDEX(lst_exp_item_cat,MATCH(E3515,lst_exp_items,0))="","❔ Без категории",INDEX(lst_exp_item_cat,MATCH(E3515,lst_exp_items,0))),"❔ Без категории"))</f>
        <v/>
      </c>
      <c r="G3515" s="43" t="n"/>
      <c r="H3515" s="56" t="n"/>
      <c r="I3515" s="43" t="n"/>
      <c r="J3515" s="57">
        <f>IF(OR(A3515="",H3515=""),"",IF(COUNTIFS(exp_year,C3515,exp_month,D3515,exp_item,E3515,exp_status,"&lt;&gt;❌ Отменено")&gt;0,1,0))</f>
        <v/>
      </c>
    </row>
    <row r="3516">
      <c r="A3516" s="52" t="n"/>
      <c r="B3516" s="53">
        <f>IF(A3516="","",CHOOSE(WEEKDAY(A3516,2),"Пн","Вт","Ср","Чт","Пт","Сб","Вс"))</f>
        <v/>
      </c>
      <c r="C3516" s="53">
        <f>IF(A3516="","",YEAR(A3516))</f>
        <v/>
      </c>
      <c r="D3516" s="54">
        <f>IF(A3516="","",INDEX(lst_months,MONTH(A3516)))</f>
        <v/>
      </c>
      <c r="E3516" s="55" t="n"/>
      <c r="F3516" s="54">
        <f>IF(E3516="","",IFERROR(IF(INDEX(lst_exp_item_cat,MATCH(E3516,lst_exp_items,0))="","❔ Без категории",INDEX(lst_exp_item_cat,MATCH(E3516,lst_exp_items,0))),"❔ Без категории"))</f>
        <v/>
      </c>
      <c r="G3516" s="43" t="n"/>
      <c r="H3516" s="56" t="n"/>
      <c r="I3516" s="43" t="n"/>
      <c r="J3516" s="57">
        <f>IF(OR(A3516="",H3516=""),"",IF(COUNTIFS(exp_year,C3516,exp_month,D3516,exp_item,E3516,exp_status,"&lt;&gt;❌ Отменено")&gt;0,1,0))</f>
        <v/>
      </c>
    </row>
    <row r="3517">
      <c r="A3517" s="52" t="n"/>
      <c r="B3517" s="53">
        <f>IF(A3517="","",CHOOSE(WEEKDAY(A3517,2),"Пн","Вт","Ср","Чт","Пт","Сб","Вс"))</f>
        <v/>
      </c>
      <c r="C3517" s="53">
        <f>IF(A3517="","",YEAR(A3517))</f>
        <v/>
      </c>
      <c r="D3517" s="54">
        <f>IF(A3517="","",INDEX(lst_months,MONTH(A3517)))</f>
        <v/>
      </c>
      <c r="E3517" s="55" t="n"/>
      <c r="F3517" s="54">
        <f>IF(E3517="","",IFERROR(IF(INDEX(lst_exp_item_cat,MATCH(E3517,lst_exp_items,0))="","❔ Без категории",INDEX(lst_exp_item_cat,MATCH(E3517,lst_exp_items,0))),"❔ Без категории"))</f>
        <v/>
      </c>
      <c r="G3517" s="43" t="n"/>
      <c r="H3517" s="56" t="n"/>
      <c r="I3517" s="43" t="n"/>
      <c r="J3517" s="57">
        <f>IF(OR(A3517="",H3517=""),"",IF(COUNTIFS(exp_year,C3517,exp_month,D3517,exp_item,E3517,exp_status,"&lt;&gt;❌ Отменено")&gt;0,1,0))</f>
        <v/>
      </c>
    </row>
    <row r="3518">
      <c r="A3518" s="52" t="n"/>
      <c r="B3518" s="53">
        <f>IF(A3518="","",CHOOSE(WEEKDAY(A3518,2),"Пн","Вт","Ср","Чт","Пт","Сб","Вс"))</f>
        <v/>
      </c>
      <c r="C3518" s="53">
        <f>IF(A3518="","",YEAR(A3518))</f>
        <v/>
      </c>
      <c r="D3518" s="54">
        <f>IF(A3518="","",INDEX(lst_months,MONTH(A3518)))</f>
        <v/>
      </c>
      <c r="E3518" s="55" t="n"/>
      <c r="F3518" s="54">
        <f>IF(E3518="","",IFERROR(IF(INDEX(lst_exp_item_cat,MATCH(E3518,lst_exp_items,0))="","❔ Без категории",INDEX(lst_exp_item_cat,MATCH(E3518,lst_exp_items,0))),"❔ Без категории"))</f>
        <v/>
      </c>
      <c r="G3518" s="43" t="n"/>
      <c r="H3518" s="56" t="n"/>
      <c r="I3518" s="43" t="n"/>
      <c r="J3518" s="57">
        <f>IF(OR(A3518="",H3518=""),"",IF(COUNTIFS(exp_year,C3518,exp_month,D3518,exp_item,E3518,exp_status,"&lt;&gt;❌ Отменено")&gt;0,1,0))</f>
        <v/>
      </c>
    </row>
    <row r="3519">
      <c r="A3519" s="52" t="n"/>
      <c r="B3519" s="53">
        <f>IF(A3519="","",CHOOSE(WEEKDAY(A3519,2),"Пн","Вт","Ср","Чт","Пт","Сб","Вс"))</f>
        <v/>
      </c>
      <c r="C3519" s="53">
        <f>IF(A3519="","",YEAR(A3519))</f>
        <v/>
      </c>
      <c r="D3519" s="54">
        <f>IF(A3519="","",INDEX(lst_months,MONTH(A3519)))</f>
        <v/>
      </c>
      <c r="E3519" s="55" t="n"/>
      <c r="F3519" s="54">
        <f>IF(E3519="","",IFERROR(IF(INDEX(lst_exp_item_cat,MATCH(E3519,lst_exp_items,0))="","❔ Без категории",INDEX(lst_exp_item_cat,MATCH(E3519,lst_exp_items,0))),"❔ Без категории"))</f>
        <v/>
      </c>
      <c r="G3519" s="43" t="n"/>
      <c r="H3519" s="56" t="n"/>
      <c r="I3519" s="43" t="n"/>
      <c r="J3519" s="57">
        <f>IF(OR(A3519="",H3519=""),"",IF(COUNTIFS(exp_year,C3519,exp_month,D3519,exp_item,E3519,exp_status,"&lt;&gt;❌ Отменено")&gt;0,1,0))</f>
        <v/>
      </c>
    </row>
    <row r="3520">
      <c r="A3520" s="52" t="n"/>
      <c r="B3520" s="53">
        <f>IF(A3520="","",CHOOSE(WEEKDAY(A3520,2),"Пн","Вт","Ср","Чт","Пт","Сб","Вс"))</f>
        <v/>
      </c>
      <c r="C3520" s="53">
        <f>IF(A3520="","",YEAR(A3520))</f>
        <v/>
      </c>
      <c r="D3520" s="54">
        <f>IF(A3520="","",INDEX(lst_months,MONTH(A3520)))</f>
        <v/>
      </c>
      <c r="E3520" s="55" t="n"/>
      <c r="F3520" s="54">
        <f>IF(E3520="","",IFERROR(IF(INDEX(lst_exp_item_cat,MATCH(E3520,lst_exp_items,0))="","❔ Без категории",INDEX(lst_exp_item_cat,MATCH(E3520,lst_exp_items,0))),"❔ Без категории"))</f>
        <v/>
      </c>
      <c r="G3520" s="43" t="n"/>
      <c r="H3520" s="56" t="n"/>
      <c r="I3520" s="43" t="n"/>
      <c r="J3520" s="57">
        <f>IF(OR(A3520="",H3520=""),"",IF(COUNTIFS(exp_year,C3520,exp_month,D3520,exp_item,E3520,exp_status,"&lt;&gt;❌ Отменено")&gt;0,1,0))</f>
        <v/>
      </c>
    </row>
    <row r="3521">
      <c r="A3521" s="52" t="n"/>
      <c r="B3521" s="53">
        <f>IF(A3521="","",CHOOSE(WEEKDAY(A3521,2),"Пн","Вт","Ср","Чт","Пт","Сб","Вс"))</f>
        <v/>
      </c>
      <c r="C3521" s="53">
        <f>IF(A3521="","",YEAR(A3521))</f>
        <v/>
      </c>
      <c r="D3521" s="54">
        <f>IF(A3521="","",INDEX(lst_months,MONTH(A3521)))</f>
        <v/>
      </c>
      <c r="E3521" s="55" t="n"/>
      <c r="F3521" s="54">
        <f>IF(E3521="","",IFERROR(IF(INDEX(lst_exp_item_cat,MATCH(E3521,lst_exp_items,0))="","❔ Без категории",INDEX(lst_exp_item_cat,MATCH(E3521,lst_exp_items,0))),"❔ Без категории"))</f>
        <v/>
      </c>
      <c r="G3521" s="43" t="n"/>
      <c r="H3521" s="56" t="n"/>
      <c r="I3521" s="43" t="n"/>
      <c r="J3521" s="57">
        <f>IF(OR(A3521="",H3521=""),"",IF(COUNTIFS(exp_year,C3521,exp_month,D3521,exp_item,E3521,exp_status,"&lt;&gt;❌ Отменено")&gt;0,1,0))</f>
        <v/>
      </c>
    </row>
    <row r="3522">
      <c r="A3522" s="52" t="n"/>
      <c r="B3522" s="53">
        <f>IF(A3522="","",CHOOSE(WEEKDAY(A3522,2),"Пн","Вт","Ср","Чт","Пт","Сб","Вс"))</f>
        <v/>
      </c>
      <c r="C3522" s="53">
        <f>IF(A3522="","",YEAR(A3522))</f>
        <v/>
      </c>
      <c r="D3522" s="54">
        <f>IF(A3522="","",INDEX(lst_months,MONTH(A3522)))</f>
        <v/>
      </c>
      <c r="E3522" s="55" t="n"/>
      <c r="F3522" s="54">
        <f>IF(E3522="","",IFERROR(IF(INDEX(lst_exp_item_cat,MATCH(E3522,lst_exp_items,0))="","❔ Без категории",INDEX(lst_exp_item_cat,MATCH(E3522,lst_exp_items,0))),"❔ Без категории"))</f>
        <v/>
      </c>
      <c r="G3522" s="43" t="n"/>
      <c r="H3522" s="56" t="n"/>
      <c r="I3522" s="43" t="n"/>
      <c r="J3522" s="57">
        <f>IF(OR(A3522="",H3522=""),"",IF(COUNTIFS(exp_year,C3522,exp_month,D3522,exp_item,E3522,exp_status,"&lt;&gt;❌ Отменено")&gt;0,1,0))</f>
        <v/>
      </c>
    </row>
    <row r="3523">
      <c r="A3523" s="52" t="n"/>
      <c r="B3523" s="53">
        <f>IF(A3523="","",CHOOSE(WEEKDAY(A3523,2),"Пн","Вт","Ср","Чт","Пт","Сб","Вс"))</f>
        <v/>
      </c>
      <c r="C3523" s="53">
        <f>IF(A3523="","",YEAR(A3523))</f>
        <v/>
      </c>
      <c r="D3523" s="54">
        <f>IF(A3523="","",INDEX(lst_months,MONTH(A3523)))</f>
        <v/>
      </c>
      <c r="E3523" s="55" t="n"/>
      <c r="F3523" s="54">
        <f>IF(E3523="","",IFERROR(IF(INDEX(lst_exp_item_cat,MATCH(E3523,lst_exp_items,0))="","❔ Без категории",INDEX(lst_exp_item_cat,MATCH(E3523,lst_exp_items,0))),"❔ Без категории"))</f>
        <v/>
      </c>
      <c r="G3523" s="43" t="n"/>
      <c r="H3523" s="56" t="n"/>
      <c r="I3523" s="43" t="n"/>
      <c r="J3523" s="57">
        <f>IF(OR(A3523="",H3523=""),"",IF(COUNTIFS(exp_year,C3523,exp_month,D3523,exp_item,E3523,exp_status,"&lt;&gt;❌ Отменено")&gt;0,1,0))</f>
        <v/>
      </c>
    </row>
    <row r="3524">
      <c r="A3524" s="52" t="n"/>
      <c r="B3524" s="53">
        <f>IF(A3524="","",CHOOSE(WEEKDAY(A3524,2),"Пн","Вт","Ср","Чт","Пт","Сб","Вс"))</f>
        <v/>
      </c>
      <c r="C3524" s="53">
        <f>IF(A3524="","",YEAR(A3524))</f>
        <v/>
      </c>
      <c r="D3524" s="54">
        <f>IF(A3524="","",INDEX(lst_months,MONTH(A3524)))</f>
        <v/>
      </c>
      <c r="E3524" s="55" t="n"/>
      <c r="F3524" s="54">
        <f>IF(E3524="","",IFERROR(IF(INDEX(lst_exp_item_cat,MATCH(E3524,lst_exp_items,0))="","❔ Без категории",INDEX(lst_exp_item_cat,MATCH(E3524,lst_exp_items,0))),"❔ Без категории"))</f>
        <v/>
      </c>
      <c r="G3524" s="43" t="n"/>
      <c r="H3524" s="56" t="n"/>
      <c r="I3524" s="43" t="n"/>
      <c r="J3524" s="57">
        <f>IF(OR(A3524="",H3524=""),"",IF(COUNTIFS(exp_year,C3524,exp_month,D3524,exp_item,E3524,exp_status,"&lt;&gt;❌ Отменено")&gt;0,1,0))</f>
        <v/>
      </c>
    </row>
    <row r="3525">
      <c r="A3525" s="52" t="n"/>
      <c r="B3525" s="53">
        <f>IF(A3525="","",CHOOSE(WEEKDAY(A3525,2),"Пн","Вт","Ср","Чт","Пт","Сб","Вс"))</f>
        <v/>
      </c>
      <c r="C3525" s="53">
        <f>IF(A3525="","",YEAR(A3525))</f>
        <v/>
      </c>
      <c r="D3525" s="54">
        <f>IF(A3525="","",INDEX(lst_months,MONTH(A3525)))</f>
        <v/>
      </c>
      <c r="E3525" s="55" t="n"/>
      <c r="F3525" s="54">
        <f>IF(E3525="","",IFERROR(IF(INDEX(lst_exp_item_cat,MATCH(E3525,lst_exp_items,0))="","❔ Без категории",INDEX(lst_exp_item_cat,MATCH(E3525,lst_exp_items,0))),"❔ Без категории"))</f>
        <v/>
      </c>
      <c r="G3525" s="43" t="n"/>
      <c r="H3525" s="56" t="n"/>
      <c r="I3525" s="43" t="n"/>
      <c r="J3525" s="57">
        <f>IF(OR(A3525="",H3525=""),"",IF(COUNTIFS(exp_year,C3525,exp_month,D3525,exp_item,E3525,exp_status,"&lt;&gt;❌ Отменено")&gt;0,1,0))</f>
        <v/>
      </c>
    </row>
    <row r="3526">
      <c r="A3526" s="52" t="n"/>
      <c r="B3526" s="53">
        <f>IF(A3526="","",CHOOSE(WEEKDAY(A3526,2),"Пн","Вт","Ср","Чт","Пт","Сб","Вс"))</f>
        <v/>
      </c>
      <c r="C3526" s="53">
        <f>IF(A3526="","",YEAR(A3526))</f>
        <v/>
      </c>
      <c r="D3526" s="54">
        <f>IF(A3526="","",INDEX(lst_months,MONTH(A3526)))</f>
        <v/>
      </c>
      <c r="E3526" s="55" t="n"/>
      <c r="F3526" s="54">
        <f>IF(E3526="","",IFERROR(IF(INDEX(lst_exp_item_cat,MATCH(E3526,lst_exp_items,0))="","❔ Без категории",INDEX(lst_exp_item_cat,MATCH(E3526,lst_exp_items,0))),"❔ Без категории"))</f>
        <v/>
      </c>
      <c r="G3526" s="43" t="n"/>
      <c r="H3526" s="56" t="n"/>
      <c r="I3526" s="43" t="n"/>
      <c r="J3526" s="57">
        <f>IF(OR(A3526="",H3526=""),"",IF(COUNTIFS(exp_year,C3526,exp_month,D3526,exp_item,E3526,exp_status,"&lt;&gt;❌ Отменено")&gt;0,1,0))</f>
        <v/>
      </c>
    </row>
    <row r="3527">
      <c r="A3527" s="52" t="n"/>
      <c r="B3527" s="53">
        <f>IF(A3527="","",CHOOSE(WEEKDAY(A3527,2),"Пн","Вт","Ср","Чт","Пт","Сб","Вс"))</f>
        <v/>
      </c>
      <c r="C3527" s="53">
        <f>IF(A3527="","",YEAR(A3527))</f>
        <v/>
      </c>
      <c r="D3527" s="54">
        <f>IF(A3527="","",INDEX(lst_months,MONTH(A3527)))</f>
        <v/>
      </c>
      <c r="E3527" s="55" t="n"/>
      <c r="F3527" s="54">
        <f>IF(E3527="","",IFERROR(IF(INDEX(lst_exp_item_cat,MATCH(E3527,lst_exp_items,0))="","❔ Без категории",INDEX(lst_exp_item_cat,MATCH(E3527,lst_exp_items,0))),"❔ Без категории"))</f>
        <v/>
      </c>
      <c r="G3527" s="43" t="n"/>
      <c r="H3527" s="56" t="n"/>
      <c r="I3527" s="43" t="n"/>
      <c r="J3527" s="57">
        <f>IF(OR(A3527="",H3527=""),"",IF(COUNTIFS(exp_year,C3527,exp_month,D3527,exp_item,E3527,exp_status,"&lt;&gt;❌ Отменено")&gt;0,1,0))</f>
        <v/>
      </c>
    </row>
    <row r="3528">
      <c r="A3528" s="52" t="n"/>
      <c r="B3528" s="53">
        <f>IF(A3528="","",CHOOSE(WEEKDAY(A3528,2),"Пн","Вт","Ср","Чт","Пт","Сб","Вс"))</f>
        <v/>
      </c>
      <c r="C3528" s="53">
        <f>IF(A3528="","",YEAR(A3528))</f>
        <v/>
      </c>
      <c r="D3528" s="54">
        <f>IF(A3528="","",INDEX(lst_months,MONTH(A3528)))</f>
        <v/>
      </c>
      <c r="E3528" s="55" t="n"/>
      <c r="F3528" s="54">
        <f>IF(E3528="","",IFERROR(IF(INDEX(lst_exp_item_cat,MATCH(E3528,lst_exp_items,0))="","❔ Без категории",INDEX(lst_exp_item_cat,MATCH(E3528,lst_exp_items,0))),"❔ Без категории"))</f>
        <v/>
      </c>
      <c r="G3528" s="43" t="n"/>
      <c r="H3528" s="56" t="n"/>
      <c r="I3528" s="43" t="n"/>
      <c r="J3528" s="57">
        <f>IF(OR(A3528="",H3528=""),"",IF(COUNTIFS(exp_year,C3528,exp_month,D3528,exp_item,E3528,exp_status,"&lt;&gt;❌ Отменено")&gt;0,1,0))</f>
        <v/>
      </c>
    </row>
    <row r="3529">
      <c r="A3529" s="52" t="n"/>
      <c r="B3529" s="53">
        <f>IF(A3529="","",CHOOSE(WEEKDAY(A3529,2),"Пн","Вт","Ср","Чт","Пт","Сб","Вс"))</f>
        <v/>
      </c>
      <c r="C3529" s="53">
        <f>IF(A3529="","",YEAR(A3529))</f>
        <v/>
      </c>
      <c r="D3529" s="54">
        <f>IF(A3529="","",INDEX(lst_months,MONTH(A3529)))</f>
        <v/>
      </c>
      <c r="E3529" s="55" t="n"/>
      <c r="F3529" s="54">
        <f>IF(E3529="","",IFERROR(IF(INDEX(lst_exp_item_cat,MATCH(E3529,lst_exp_items,0))="","❔ Без категории",INDEX(lst_exp_item_cat,MATCH(E3529,lst_exp_items,0))),"❔ Без категории"))</f>
        <v/>
      </c>
      <c r="G3529" s="43" t="n"/>
      <c r="H3529" s="56" t="n"/>
      <c r="I3529" s="43" t="n"/>
      <c r="J3529" s="57">
        <f>IF(OR(A3529="",H3529=""),"",IF(COUNTIFS(exp_year,C3529,exp_month,D3529,exp_item,E3529,exp_status,"&lt;&gt;❌ Отменено")&gt;0,1,0))</f>
        <v/>
      </c>
    </row>
    <row r="3530">
      <c r="A3530" s="52" t="n"/>
      <c r="B3530" s="53">
        <f>IF(A3530="","",CHOOSE(WEEKDAY(A3530,2),"Пн","Вт","Ср","Чт","Пт","Сб","Вс"))</f>
        <v/>
      </c>
      <c r="C3530" s="53">
        <f>IF(A3530="","",YEAR(A3530))</f>
        <v/>
      </c>
      <c r="D3530" s="54">
        <f>IF(A3530="","",INDEX(lst_months,MONTH(A3530)))</f>
        <v/>
      </c>
      <c r="E3530" s="55" t="n"/>
      <c r="F3530" s="54">
        <f>IF(E3530="","",IFERROR(IF(INDEX(lst_exp_item_cat,MATCH(E3530,lst_exp_items,0))="","❔ Без категории",INDEX(lst_exp_item_cat,MATCH(E3530,lst_exp_items,0))),"❔ Без категории"))</f>
        <v/>
      </c>
      <c r="G3530" s="43" t="n"/>
      <c r="H3530" s="56" t="n"/>
      <c r="I3530" s="43" t="n"/>
      <c r="J3530" s="57">
        <f>IF(OR(A3530="",H3530=""),"",IF(COUNTIFS(exp_year,C3530,exp_month,D3530,exp_item,E3530,exp_status,"&lt;&gt;❌ Отменено")&gt;0,1,0))</f>
        <v/>
      </c>
    </row>
    <row r="3531">
      <c r="A3531" s="52" t="n"/>
      <c r="B3531" s="53">
        <f>IF(A3531="","",CHOOSE(WEEKDAY(A3531,2),"Пн","Вт","Ср","Чт","Пт","Сб","Вс"))</f>
        <v/>
      </c>
      <c r="C3531" s="53">
        <f>IF(A3531="","",YEAR(A3531))</f>
        <v/>
      </c>
      <c r="D3531" s="54">
        <f>IF(A3531="","",INDEX(lst_months,MONTH(A3531)))</f>
        <v/>
      </c>
      <c r="E3531" s="55" t="n"/>
      <c r="F3531" s="54">
        <f>IF(E3531="","",IFERROR(IF(INDEX(lst_exp_item_cat,MATCH(E3531,lst_exp_items,0))="","❔ Без категории",INDEX(lst_exp_item_cat,MATCH(E3531,lst_exp_items,0))),"❔ Без категории"))</f>
        <v/>
      </c>
      <c r="G3531" s="43" t="n"/>
      <c r="H3531" s="56" t="n"/>
      <c r="I3531" s="43" t="n"/>
      <c r="J3531" s="57">
        <f>IF(OR(A3531="",H3531=""),"",IF(COUNTIFS(exp_year,C3531,exp_month,D3531,exp_item,E3531,exp_status,"&lt;&gt;❌ Отменено")&gt;0,1,0))</f>
        <v/>
      </c>
    </row>
    <row r="3532">
      <c r="A3532" s="52" t="n"/>
      <c r="B3532" s="53">
        <f>IF(A3532="","",CHOOSE(WEEKDAY(A3532,2),"Пн","Вт","Ср","Чт","Пт","Сб","Вс"))</f>
        <v/>
      </c>
      <c r="C3532" s="53">
        <f>IF(A3532="","",YEAR(A3532))</f>
        <v/>
      </c>
      <c r="D3532" s="54">
        <f>IF(A3532="","",INDEX(lst_months,MONTH(A3532)))</f>
        <v/>
      </c>
      <c r="E3532" s="55" t="n"/>
      <c r="F3532" s="54">
        <f>IF(E3532="","",IFERROR(IF(INDEX(lst_exp_item_cat,MATCH(E3532,lst_exp_items,0))="","❔ Без категории",INDEX(lst_exp_item_cat,MATCH(E3532,lst_exp_items,0))),"❔ Без категории"))</f>
        <v/>
      </c>
      <c r="G3532" s="43" t="n"/>
      <c r="H3532" s="56" t="n"/>
      <c r="I3532" s="43" t="n"/>
      <c r="J3532" s="57">
        <f>IF(OR(A3532="",H3532=""),"",IF(COUNTIFS(exp_year,C3532,exp_month,D3532,exp_item,E3532,exp_status,"&lt;&gt;❌ Отменено")&gt;0,1,0))</f>
        <v/>
      </c>
    </row>
    <row r="3533">
      <c r="A3533" s="52" t="n"/>
      <c r="B3533" s="53">
        <f>IF(A3533="","",CHOOSE(WEEKDAY(A3533,2),"Пн","Вт","Ср","Чт","Пт","Сб","Вс"))</f>
        <v/>
      </c>
      <c r="C3533" s="53">
        <f>IF(A3533="","",YEAR(A3533))</f>
        <v/>
      </c>
      <c r="D3533" s="54">
        <f>IF(A3533="","",INDEX(lst_months,MONTH(A3533)))</f>
        <v/>
      </c>
      <c r="E3533" s="55" t="n"/>
      <c r="F3533" s="54">
        <f>IF(E3533="","",IFERROR(IF(INDEX(lst_exp_item_cat,MATCH(E3533,lst_exp_items,0))="","❔ Без категории",INDEX(lst_exp_item_cat,MATCH(E3533,lst_exp_items,0))),"❔ Без категории"))</f>
        <v/>
      </c>
      <c r="G3533" s="43" t="n"/>
      <c r="H3533" s="56" t="n"/>
      <c r="I3533" s="43" t="n"/>
      <c r="J3533" s="57">
        <f>IF(OR(A3533="",H3533=""),"",IF(COUNTIFS(exp_year,C3533,exp_month,D3533,exp_item,E3533,exp_status,"&lt;&gt;❌ Отменено")&gt;0,1,0))</f>
        <v/>
      </c>
    </row>
    <row r="3534">
      <c r="A3534" s="52" t="n"/>
      <c r="B3534" s="53">
        <f>IF(A3534="","",CHOOSE(WEEKDAY(A3534,2),"Пн","Вт","Ср","Чт","Пт","Сб","Вс"))</f>
        <v/>
      </c>
      <c r="C3534" s="53">
        <f>IF(A3534="","",YEAR(A3534))</f>
        <v/>
      </c>
      <c r="D3534" s="54">
        <f>IF(A3534="","",INDEX(lst_months,MONTH(A3534)))</f>
        <v/>
      </c>
      <c r="E3534" s="55" t="n"/>
      <c r="F3534" s="54">
        <f>IF(E3534="","",IFERROR(IF(INDEX(lst_exp_item_cat,MATCH(E3534,lst_exp_items,0))="","❔ Без категории",INDEX(lst_exp_item_cat,MATCH(E3534,lst_exp_items,0))),"❔ Без категории"))</f>
        <v/>
      </c>
      <c r="G3534" s="43" t="n"/>
      <c r="H3534" s="56" t="n"/>
      <c r="I3534" s="43" t="n"/>
      <c r="J3534" s="57">
        <f>IF(OR(A3534="",H3534=""),"",IF(COUNTIFS(exp_year,C3534,exp_month,D3534,exp_item,E3534,exp_status,"&lt;&gt;❌ Отменено")&gt;0,1,0))</f>
        <v/>
      </c>
    </row>
    <row r="3535">
      <c r="A3535" s="52" t="n"/>
      <c r="B3535" s="53">
        <f>IF(A3535="","",CHOOSE(WEEKDAY(A3535,2),"Пн","Вт","Ср","Чт","Пт","Сб","Вс"))</f>
        <v/>
      </c>
      <c r="C3535" s="53">
        <f>IF(A3535="","",YEAR(A3535))</f>
        <v/>
      </c>
      <c r="D3535" s="54">
        <f>IF(A3535="","",INDEX(lst_months,MONTH(A3535)))</f>
        <v/>
      </c>
      <c r="E3535" s="55" t="n"/>
      <c r="F3535" s="54">
        <f>IF(E3535="","",IFERROR(IF(INDEX(lst_exp_item_cat,MATCH(E3535,lst_exp_items,0))="","❔ Без категории",INDEX(lst_exp_item_cat,MATCH(E3535,lst_exp_items,0))),"❔ Без категории"))</f>
        <v/>
      </c>
      <c r="G3535" s="43" t="n"/>
      <c r="H3535" s="56" t="n"/>
      <c r="I3535" s="43" t="n"/>
      <c r="J3535" s="57">
        <f>IF(OR(A3535="",H3535=""),"",IF(COUNTIFS(exp_year,C3535,exp_month,D3535,exp_item,E3535,exp_status,"&lt;&gt;❌ Отменено")&gt;0,1,0))</f>
        <v/>
      </c>
    </row>
    <row r="3536">
      <c r="A3536" s="52" t="n"/>
      <c r="B3536" s="53">
        <f>IF(A3536="","",CHOOSE(WEEKDAY(A3536,2),"Пн","Вт","Ср","Чт","Пт","Сб","Вс"))</f>
        <v/>
      </c>
      <c r="C3536" s="53">
        <f>IF(A3536="","",YEAR(A3536))</f>
        <v/>
      </c>
      <c r="D3536" s="54">
        <f>IF(A3536="","",INDEX(lst_months,MONTH(A3536)))</f>
        <v/>
      </c>
      <c r="E3536" s="55" t="n"/>
      <c r="F3536" s="54">
        <f>IF(E3536="","",IFERROR(IF(INDEX(lst_exp_item_cat,MATCH(E3536,lst_exp_items,0))="","❔ Без категории",INDEX(lst_exp_item_cat,MATCH(E3536,lst_exp_items,0))),"❔ Без категории"))</f>
        <v/>
      </c>
      <c r="G3536" s="43" t="n"/>
      <c r="H3536" s="56" t="n"/>
      <c r="I3536" s="43" t="n"/>
      <c r="J3536" s="57">
        <f>IF(OR(A3536="",H3536=""),"",IF(COUNTIFS(exp_year,C3536,exp_month,D3536,exp_item,E3536,exp_status,"&lt;&gt;❌ Отменено")&gt;0,1,0))</f>
        <v/>
      </c>
    </row>
    <row r="3537">
      <c r="A3537" s="52" t="n"/>
      <c r="B3537" s="53">
        <f>IF(A3537="","",CHOOSE(WEEKDAY(A3537,2),"Пн","Вт","Ср","Чт","Пт","Сб","Вс"))</f>
        <v/>
      </c>
      <c r="C3537" s="53">
        <f>IF(A3537="","",YEAR(A3537))</f>
        <v/>
      </c>
      <c r="D3537" s="54">
        <f>IF(A3537="","",INDEX(lst_months,MONTH(A3537)))</f>
        <v/>
      </c>
      <c r="E3537" s="55" t="n"/>
      <c r="F3537" s="54">
        <f>IF(E3537="","",IFERROR(IF(INDEX(lst_exp_item_cat,MATCH(E3537,lst_exp_items,0))="","❔ Без категории",INDEX(lst_exp_item_cat,MATCH(E3537,lst_exp_items,0))),"❔ Без категории"))</f>
        <v/>
      </c>
      <c r="G3537" s="43" t="n"/>
      <c r="H3537" s="56" t="n"/>
      <c r="I3537" s="43" t="n"/>
      <c r="J3537" s="57">
        <f>IF(OR(A3537="",H3537=""),"",IF(COUNTIFS(exp_year,C3537,exp_month,D3537,exp_item,E3537,exp_status,"&lt;&gt;❌ Отменено")&gt;0,1,0))</f>
        <v/>
      </c>
    </row>
    <row r="3538">
      <c r="A3538" s="52" t="n"/>
      <c r="B3538" s="53">
        <f>IF(A3538="","",CHOOSE(WEEKDAY(A3538,2),"Пн","Вт","Ср","Чт","Пт","Сб","Вс"))</f>
        <v/>
      </c>
      <c r="C3538" s="53">
        <f>IF(A3538="","",YEAR(A3538))</f>
        <v/>
      </c>
      <c r="D3538" s="54">
        <f>IF(A3538="","",INDEX(lst_months,MONTH(A3538)))</f>
        <v/>
      </c>
      <c r="E3538" s="55" t="n"/>
      <c r="F3538" s="54">
        <f>IF(E3538="","",IFERROR(IF(INDEX(lst_exp_item_cat,MATCH(E3538,lst_exp_items,0))="","❔ Без категории",INDEX(lst_exp_item_cat,MATCH(E3538,lst_exp_items,0))),"❔ Без категории"))</f>
        <v/>
      </c>
      <c r="G3538" s="43" t="n"/>
      <c r="H3538" s="56" t="n"/>
      <c r="I3538" s="43" t="n"/>
      <c r="J3538" s="57">
        <f>IF(OR(A3538="",H3538=""),"",IF(COUNTIFS(exp_year,C3538,exp_month,D3538,exp_item,E3538,exp_status,"&lt;&gt;❌ Отменено")&gt;0,1,0))</f>
        <v/>
      </c>
    </row>
    <row r="3539">
      <c r="A3539" s="52" t="n"/>
      <c r="B3539" s="53">
        <f>IF(A3539="","",CHOOSE(WEEKDAY(A3539,2),"Пн","Вт","Ср","Чт","Пт","Сб","Вс"))</f>
        <v/>
      </c>
      <c r="C3539" s="53">
        <f>IF(A3539="","",YEAR(A3539))</f>
        <v/>
      </c>
      <c r="D3539" s="54">
        <f>IF(A3539="","",INDEX(lst_months,MONTH(A3539)))</f>
        <v/>
      </c>
      <c r="E3539" s="55" t="n"/>
      <c r="F3539" s="54">
        <f>IF(E3539="","",IFERROR(IF(INDEX(lst_exp_item_cat,MATCH(E3539,lst_exp_items,0))="","❔ Без категории",INDEX(lst_exp_item_cat,MATCH(E3539,lst_exp_items,0))),"❔ Без категории"))</f>
        <v/>
      </c>
      <c r="G3539" s="43" t="n"/>
      <c r="H3539" s="56" t="n"/>
      <c r="I3539" s="43" t="n"/>
      <c r="J3539" s="57">
        <f>IF(OR(A3539="",H3539=""),"",IF(COUNTIFS(exp_year,C3539,exp_month,D3539,exp_item,E3539,exp_status,"&lt;&gt;❌ Отменено")&gt;0,1,0))</f>
        <v/>
      </c>
    </row>
    <row r="3540">
      <c r="A3540" s="52" t="n"/>
      <c r="B3540" s="53">
        <f>IF(A3540="","",CHOOSE(WEEKDAY(A3540,2),"Пн","Вт","Ср","Чт","Пт","Сб","Вс"))</f>
        <v/>
      </c>
      <c r="C3540" s="53">
        <f>IF(A3540="","",YEAR(A3540))</f>
        <v/>
      </c>
      <c r="D3540" s="54">
        <f>IF(A3540="","",INDEX(lst_months,MONTH(A3540)))</f>
        <v/>
      </c>
      <c r="E3540" s="55" t="n"/>
      <c r="F3540" s="54">
        <f>IF(E3540="","",IFERROR(IF(INDEX(lst_exp_item_cat,MATCH(E3540,lst_exp_items,0))="","❔ Без категории",INDEX(lst_exp_item_cat,MATCH(E3540,lst_exp_items,0))),"❔ Без категории"))</f>
        <v/>
      </c>
      <c r="G3540" s="43" t="n"/>
      <c r="H3540" s="56" t="n"/>
      <c r="I3540" s="43" t="n"/>
      <c r="J3540" s="57">
        <f>IF(OR(A3540="",H3540=""),"",IF(COUNTIFS(exp_year,C3540,exp_month,D3540,exp_item,E3540,exp_status,"&lt;&gt;❌ Отменено")&gt;0,1,0))</f>
        <v/>
      </c>
    </row>
    <row r="3541">
      <c r="A3541" s="52" t="n"/>
      <c r="B3541" s="53">
        <f>IF(A3541="","",CHOOSE(WEEKDAY(A3541,2),"Пн","Вт","Ср","Чт","Пт","Сб","Вс"))</f>
        <v/>
      </c>
      <c r="C3541" s="53">
        <f>IF(A3541="","",YEAR(A3541))</f>
        <v/>
      </c>
      <c r="D3541" s="54">
        <f>IF(A3541="","",INDEX(lst_months,MONTH(A3541)))</f>
        <v/>
      </c>
      <c r="E3541" s="55" t="n"/>
      <c r="F3541" s="54">
        <f>IF(E3541="","",IFERROR(IF(INDEX(lst_exp_item_cat,MATCH(E3541,lst_exp_items,0))="","❔ Без категории",INDEX(lst_exp_item_cat,MATCH(E3541,lst_exp_items,0))),"❔ Без категории"))</f>
        <v/>
      </c>
      <c r="G3541" s="43" t="n"/>
      <c r="H3541" s="56" t="n"/>
      <c r="I3541" s="43" t="n"/>
      <c r="J3541" s="57">
        <f>IF(OR(A3541="",H3541=""),"",IF(COUNTIFS(exp_year,C3541,exp_month,D3541,exp_item,E3541,exp_status,"&lt;&gt;❌ Отменено")&gt;0,1,0))</f>
        <v/>
      </c>
    </row>
    <row r="3542">
      <c r="A3542" s="52" t="n"/>
      <c r="B3542" s="53">
        <f>IF(A3542="","",CHOOSE(WEEKDAY(A3542,2),"Пн","Вт","Ср","Чт","Пт","Сб","Вс"))</f>
        <v/>
      </c>
      <c r="C3542" s="53">
        <f>IF(A3542="","",YEAR(A3542))</f>
        <v/>
      </c>
      <c r="D3542" s="54">
        <f>IF(A3542="","",INDEX(lst_months,MONTH(A3542)))</f>
        <v/>
      </c>
      <c r="E3542" s="55" t="n"/>
      <c r="F3542" s="54">
        <f>IF(E3542="","",IFERROR(IF(INDEX(lst_exp_item_cat,MATCH(E3542,lst_exp_items,0))="","❔ Без категории",INDEX(lst_exp_item_cat,MATCH(E3542,lst_exp_items,0))),"❔ Без категории"))</f>
        <v/>
      </c>
      <c r="G3542" s="43" t="n"/>
      <c r="H3542" s="56" t="n"/>
      <c r="I3542" s="43" t="n"/>
      <c r="J3542" s="57">
        <f>IF(OR(A3542="",H3542=""),"",IF(COUNTIFS(exp_year,C3542,exp_month,D3542,exp_item,E3542,exp_status,"&lt;&gt;❌ Отменено")&gt;0,1,0))</f>
        <v/>
      </c>
    </row>
    <row r="3543">
      <c r="A3543" s="52" t="n"/>
      <c r="B3543" s="53">
        <f>IF(A3543="","",CHOOSE(WEEKDAY(A3543,2),"Пн","Вт","Ср","Чт","Пт","Сб","Вс"))</f>
        <v/>
      </c>
      <c r="C3543" s="53">
        <f>IF(A3543="","",YEAR(A3543))</f>
        <v/>
      </c>
      <c r="D3543" s="54">
        <f>IF(A3543="","",INDEX(lst_months,MONTH(A3543)))</f>
        <v/>
      </c>
      <c r="E3543" s="55" t="n"/>
      <c r="F3543" s="54">
        <f>IF(E3543="","",IFERROR(IF(INDEX(lst_exp_item_cat,MATCH(E3543,lst_exp_items,0))="","❔ Без категории",INDEX(lst_exp_item_cat,MATCH(E3543,lst_exp_items,0))),"❔ Без категории"))</f>
        <v/>
      </c>
      <c r="G3543" s="43" t="n"/>
      <c r="H3543" s="56" t="n"/>
      <c r="I3543" s="43" t="n"/>
      <c r="J3543" s="57">
        <f>IF(OR(A3543="",H3543=""),"",IF(COUNTIFS(exp_year,C3543,exp_month,D3543,exp_item,E3543,exp_status,"&lt;&gt;❌ Отменено")&gt;0,1,0))</f>
        <v/>
      </c>
    </row>
    <row r="3544">
      <c r="A3544" s="52" t="n"/>
      <c r="B3544" s="53">
        <f>IF(A3544="","",CHOOSE(WEEKDAY(A3544,2),"Пн","Вт","Ср","Чт","Пт","Сб","Вс"))</f>
        <v/>
      </c>
      <c r="C3544" s="53">
        <f>IF(A3544="","",YEAR(A3544))</f>
        <v/>
      </c>
      <c r="D3544" s="54">
        <f>IF(A3544="","",INDEX(lst_months,MONTH(A3544)))</f>
        <v/>
      </c>
      <c r="E3544" s="55" t="n"/>
      <c r="F3544" s="54">
        <f>IF(E3544="","",IFERROR(IF(INDEX(lst_exp_item_cat,MATCH(E3544,lst_exp_items,0))="","❔ Без категории",INDEX(lst_exp_item_cat,MATCH(E3544,lst_exp_items,0))),"❔ Без категории"))</f>
        <v/>
      </c>
      <c r="G3544" s="43" t="n"/>
      <c r="H3544" s="56" t="n"/>
      <c r="I3544" s="43" t="n"/>
      <c r="J3544" s="57">
        <f>IF(OR(A3544="",H3544=""),"",IF(COUNTIFS(exp_year,C3544,exp_month,D3544,exp_item,E3544,exp_status,"&lt;&gt;❌ Отменено")&gt;0,1,0))</f>
        <v/>
      </c>
    </row>
    <row r="3545">
      <c r="A3545" s="52" t="n"/>
      <c r="B3545" s="53">
        <f>IF(A3545="","",CHOOSE(WEEKDAY(A3545,2),"Пн","Вт","Ср","Чт","Пт","Сб","Вс"))</f>
        <v/>
      </c>
      <c r="C3545" s="53">
        <f>IF(A3545="","",YEAR(A3545))</f>
        <v/>
      </c>
      <c r="D3545" s="54">
        <f>IF(A3545="","",INDEX(lst_months,MONTH(A3545)))</f>
        <v/>
      </c>
      <c r="E3545" s="55" t="n"/>
      <c r="F3545" s="54">
        <f>IF(E3545="","",IFERROR(IF(INDEX(lst_exp_item_cat,MATCH(E3545,lst_exp_items,0))="","❔ Без категории",INDEX(lst_exp_item_cat,MATCH(E3545,lst_exp_items,0))),"❔ Без категории"))</f>
        <v/>
      </c>
      <c r="G3545" s="43" t="n"/>
      <c r="H3545" s="56" t="n"/>
      <c r="I3545" s="43" t="n"/>
      <c r="J3545" s="57">
        <f>IF(OR(A3545="",H3545=""),"",IF(COUNTIFS(exp_year,C3545,exp_month,D3545,exp_item,E3545,exp_status,"&lt;&gt;❌ Отменено")&gt;0,1,0))</f>
        <v/>
      </c>
    </row>
    <row r="3546">
      <c r="A3546" s="52" t="n"/>
      <c r="B3546" s="53">
        <f>IF(A3546="","",CHOOSE(WEEKDAY(A3546,2),"Пн","Вт","Ср","Чт","Пт","Сб","Вс"))</f>
        <v/>
      </c>
      <c r="C3546" s="53">
        <f>IF(A3546="","",YEAR(A3546))</f>
        <v/>
      </c>
      <c r="D3546" s="54">
        <f>IF(A3546="","",INDEX(lst_months,MONTH(A3546)))</f>
        <v/>
      </c>
      <c r="E3546" s="55" t="n"/>
      <c r="F3546" s="54">
        <f>IF(E3546="","",IFERROR(IF(INDEX(lst_exp_item_cat,MATCH(E3546,lst_exp_items,0))="","❔ Без категории",INDEX(lst_exp_item_cat,MATCH(E3546,lst_exp_items,0))),"❔ Без категории"))</f>
        <v/>
      </c>
      <c r="G3546" s="43" t="n"/>
      <c r="H3546" s="56" t="n"/>
      <c r="I3546" s="43" t="n"/>
      <c r="J3546" s="57">
        <f>IF(OR(A3546="",H3546=""),"",IF(COUNTIFS(exp_year,C3546,exp_month,D3546,exp_item,E3546,exp_status,"&lt;&gt;❌ Отменено")&gt;0,1,0))</f>
        <v/>
      </c>
    </row>
    <row r="3547">
      <c r="A3547" s="52" t="n"/>
      <c r="B3547" s="53">
        <f>IF(A3547="","",CHOOSE(WEEKDAY(A3547,2),"Пн","Вт","Ср","Чт","Пт","Сб","Вс"))</f>
        <v/>
      </c>
      <c r="C3547" s="53">
        <f>IF(A3547="","",YEAR(A3547))</f>
        <v/>
      </c>
      <c r="D3547" s="54">
        <f>IF(A3547="","",INDEX(lst_months,MONTH(A3547)))</f>
        <v/>
      </c>
      <c r="E3547" s="55" t="n"/>
      <c r="F3547" s="54">
        <f>IF(E3547="","",IFERROR(IF(INDEX(lst_exp_item_cat,MATCH(E3547,lst_exp_items,0))="","❔ Без категории",INDEX(lst_exp_item_cat,MATCH(E3547,lst_exp_items,0))),"❔ Без категории"))</f>
        <v/>
      </c>
      <c r="G3547" s="43" t="n"/>
      <c r="H3547" s="56" t="n"/>
      <c r="I3547" s="43" t="n"/>
      <c r="J3547" s="57">
        <f>IF(OR(A3547="",H3547=""),"",IF(COUNTIFS(exp_year,C3547,exp_month,D3547,exp_item,E3547,exp_status,"&lt;&gt;❌ Отменено")&gt;0,1,0))</f>
        <v/>
      </c>
    </row>
    <row r="3548">
      <c r="A3548" s="52" t="n"/>
      <c r="B3548" s="53">
        <f>IF(A3548="","",CHOOSE(WEEKDAY(A3548,2),"Пн","Вт","Ср","Чт","Пт","Сб","Вс"))</f>
        <v/>
      </c>
      <c r="C3548" s="53">
        <f>IF(A3548="","",YEAR(A3548))</f>
        <v/>
      </c>
      <c r="D3548" s="54">
        <f>IF(A3548="","",INDEX(lst_months,MONTH(A3548)))</f>
        <v/>
      </c>
      <c r="E3548" s="55" t="n"/>
      <c r="F3548" s="54">
        <f>IF(E3548="","",IFERROR(IF(INDEX(lst_exp_item_cat,MATCH(E3548,lst_exp_items,0))="","❔ Без категории",INDEX(lst_exp_item_cat,MATCH(E3548,lst_exp_items,0))),"❔ Без категории"))</f>
        <v/>
      </c>
      <c r="G3548" s="43" t="n"/>
      <c r="H3548" s="56" t="n"/>
      <c r="I3548" s="43" t="n"/>
      <c r="J3548" s="57">
        <f>IF(OR(A3548="",H3548=""),"",IF(COUNTIFS(exp_year,C3548,exp_month,D3548,exp_item,E3548,exp_status,"&lt;&gt;❌ Отменено")&gt;0,1,0))</f>
        <v/>
      </c>
    </row>
    <row r="3549">
      <c r="A3549" s="52" t="n"/>
      <c r="B3549" s="53">
        <f>IF(A3549="","",CHOOSE(WEEKDAY(A3549,2),"Пн","Вт","Ср","Чт","Пт","Сб","Вс"))</f>
        <v/>
      </c>
      <c r="C3549" s="53">
        <f>IF(A3549="","",YEAR(A3549))</f>
        <v/>
      </c>
      <c r="D3549" s="54">
        <f>IF(A3549="","",INDEX(lst_months,MONTH(A3549)))</f>
        <v/>
      </c>
      <c r="E3549" s="55" t="n"/>
      <c r="F3549" s="54">
        <f>IF(E3549="","",IFERROR(IF(INDEX(lst_exp_item_cat,MATCH(E3549,lst_exp_items,0))="","❔ Без категории",INDEX(lst_exp_item_cat,MATCH(E3549,lst_exp_items,0))),"❔ Без категории"))</f>
        <v/>
      </c>
      <c r="G3549" s="43" t="n"/>
      <c r="H3549" s="56" t="n"/>
      <c r="I3549" s="43" t="n"/>
      <c r="J3549" s="57">
        <f>IF(OR(A3549="",H3549=""),"",IF(COUNTIFS(exp_year,C3549,exp_month,D3549,exp_item,E3549,exp_status,"&lt;&gt;❌ Отменено")&gt;0,1,0))</f>
        <v/>
      </c>
    </row>
    <row r="3550">
      <c r="A3550" s="52" t="n"/>
      <c r="B3550" s="53">
        <f>IF(A3550="","",CHOOSE(WEEKDAY(A3550,2),"Пн","Вт","Ср","Чт","Пт","Сб","Вс"))</f>
        <v/>
      </c>
      <c r="C3550" s="53">
        <f>IF(A3550="","",YEAR(A3550))</f>
        <v/>
      </c>
      <c r="D3550" s="54">
        <f>IF(A3550="","",INDEX(lst_months,MONTH(A3550)))</f>
        <v/>
      </c>
      <c r="E3550" s="55" t="n"/>
      <c r="F3550" s="54">
        <f>IF(E3550="","",IFERROR(IF(INDEX(lst_exp_item_cat,MATCH(E3550,lst_exp_items,0))="","❔ Без категории",INDEX(lst_exp_item_cat,MATCH(E3550,lst_exp_items,0))),"❔ Без категории"))</f>
        <v/>
      </c>
      <c r="G3550" s="43" t="n"/>
      <c r="H3550" s="56" t="n"/>
      <c r="I3550" s="43" t="n"/>
      <c r="J3550" s="57">
        <f>IF(OR(A3550="",H3550=""),"",IF(COUNTIFS(exp_year,C3550,exp_month,D3550,exp_item,E3550,exp_status,"&lt;&gt;❌ Отменено")&gt;0,1,0))</f>
        <v/>
      </c>
    </row>
    <row r="3551">
      <c r="A3551" s="52" t="n"/>
      <c r="B3551" s="53">
        <f>IF(A3551="","",CHOOSE(WEEKDAY(A3551,2),"Пн","Вт","Ср","Чт","Пт","Сб","Вс"))</f>
        <v/>
      </c>
      <c r="C3551" s="53">
        <f>IF(A3551="","",YEAR(A3551))</f>
        <v/>
      </c>
      <c r="D3551" s="54">
        <f>IF(A3551="","",INDEX(lst_months,MONTH(A3551)))</f>
        <v/>
      </c>
      <c r="E3551" s="55" t="n"/>
      <c r="F3551" s="54">
        <f>IF(E3551="","",IFERROR(IF(INDEX(lst_exp_item_cat,MATCH(E3551,lst_exp_items,0))="","❔ Без категории",INDEX(lst_exp_item_cat,MATCH(E3551,lst_exp_items,0))),"❔ Без категории"))</f>
        <v/>
      </c>
      <c r="G3551" s="43" t="n"/>
      <c r="H3551" s="56" t="n"/>
      <c r="I3551" s="43" t="n"/>
      <c r="J3551" s="57">
        <f>IF(OR(A3551="",H3551=""),"",IF(COUNTIFS(exp_year,C3551,exp_month,D3551,exp_item,E3551,exp_status,"&lt;&gt;❌ Отменено")&gt;0,1,0))</f>
        <v/>
      </c>
    </row>
    <row r="3552">
      <c r="A3552" s="52" t="n"/>
      <c r="B3552" s="53">
        <f>IF(A3552="","",CHOOSE(WEEKDAY(A3552,2),"Пн","Вт","Ср","Чт","Пт","Сб","Вс"))</f>
        <v/>
      </c>
      <c r="C3552" s="53">
        <f>IF(A3552="","",YEAR(A3552))</f>
        <v/>
      </c>
      <c r="D3552" s="54">
        <f>IF(A3552="","",INDEX(lst_months,MONTH(A3552)))</f>
        <v/>
      </c>
      <c r="E3552" s="55" t="n"/>
      <c r="F3552" s="54">
        <f>IF(E3552="","",IFERROR(IF(INDEX(lst_exp_item_cat,MATCH(E3552,lst_exp_items,0))="","❔ Без категории",INDEX(lst_exp_item_cat,MATCH(E3552,lst_exp_items,0))),"❔ Без категории"))</f>
        <v/>
      </c>
      <c r="G3552" s="43" t="n"/>
      <c r="H3552" s="56" t="n"/>
      <c r="I3552" s="43" t="n"/>
      <c r="J3552" s="57">
        <f>IF(OR(A3552="",H3552=""),"",IF(COUNTIFS(exp_year,C3552,exp_month,D3552,exp_item,E3552,exp_status,"&lt;&gt;❌ Отменено")&gt;0,1,0))</f>
        <v/>
      </c>
    </row>
    <row r="3553">
      <c r="A3553" s="52" t="n"/>
      <c r="B3553" s="53">
        <f>IF(A3553="","",CHOOSE(WEEKDAY(A3553,2),"Пн","Вт","Ср","Чт","Пт","Сб","Вс"))</f>
        <v/>
      </c>
      <c r="C3553" s="53">
        <f>IF(A3553="","",YEAR(A3553))</f>
        <v/>
      </c>
      <c r="D3553" s="54">
        <f>IF(A3553="","",INDEX(lst_months,MONTH(A3553)))</f>
        <v/>
      </c>
      <c r="E3553" s="55" t="n"/>
      <c r="F3553" s="54">
        <f>IF(E3553="","",IFERROR(IF(INDEX(lst_exp_item_cat,MATCH(E3553,lst_exp_items,0))="","❔ Без категории",INDEX(lst_exp_item_cat,MATCH(E3553,lst_exp_items,0))),"❔ Без категории"))</f>
        <v/>
      </c>
      <c r="G3553" s="43" t="n"/>
      <c r="H3553" s="56" t="n"/>
      <c r="I3553" s="43" t="n"/>
      <c r="J3553" s="57">
        <f>IF(OR(A3553="",H3553=""),"",IF(COUNTIFS(exp_year,C3553,exp_month,D3553,exp_item,E3553,exp_status,"&lt;&gt;❌ Отменено")&gt;0,1,0))</f>
        <v/>
      </c>
    </row>
    <row r="3554">
      <c r="A3554" s="52" t="n"/>
      <c r="B3554" s="53">
        <f>IF(A3554="","",CHOOSE(WEEKDAY(A3554,2),"Пн","Вт","Ср","Чт","Пт","Сб","Вс"))</f>
        <v/>
      </c>
      <c r="C3554" s="53">
        <f>IF(A3554="","",YEAR(A3554))</f>
        <v/>
      </c>
      <c r="D3554" s="54">
        <f>IF(A3554="","",INDEX(lst_months,MONTH(A3554)))</f>
        <v/>
      </c>
      <c r="E3554" s="55" t="n"/>
      <c r="F3554" s="54">
        <f>IF(E3554="","",IFERROR(IF(INDEX(lst_exp_item_cat,MATCH(E3554,lst_exp_items,0))="","❔ Без категории",INDEX(lst_exp_item_cat,MATCH(E3554,lst_exp_items,0))),"❔ Без категории"))</f>
        <v/>
      </c>
      <c r="G3554" s="43" t="n"/>
      <c r="H3554" s="56" t="n"/>
      <c r="I3554" s="43" t="n"/>
      <c r="J3554" s="57">
        <f>IF(OR(A3554="",H3554=""),"",IF(COUNTIFS(exp_year,C3554,exp_month,D3554,exp_item,E3554,exp_status,"&lt;&gt;❌ Отменено")&gt;0,1,0))</f>
        <v/>
      </c>
    </row>
    <row r="3555">
      <c r="A3555" s="52" t="n"/>
      <c r="B3555" s="53">
        <f>IF(A3555="","",CHOOSE(WEEKDAY(A3555,2),"Пн","Вт","Ср","Чт","Пт","Сб","Вс"))</f>
        <v/>
      </c>
      <c r="C3555" s="53">
        <f>IF(A3555="","",YEAR(A3555))</f>
        <v/>
      </c>
      <c r="D3555" s="54">
        <f>IF(A3555="","",INDEX(lst_months,MONTH(A3555)))</f>
        <v/>
      </c>
      <c r="E3555" s="55" t="n"/>
      <c r="F3555" s="54">
        <f>IF(E3555="","",IFERROR(IF(INDEX(lst_exp_item_cat,MATCH(E3555,lst_exp_items,0))="","❔ Без категории",INDEX(lst_exp_item_cat,MATCH(E3555,lst_exp_items,0))),"❔ Без категории"))</f>
        <v/>
      </c>
      <c r="G3555" s="43" t="n"/>
      <c r="H3555" s="56" t="n"/>
      <c r="I3555" s="43" t="n"/>
      <c r="J3555" s="57">
        <f>IF(OR(A3555="",H3555=""),"",IF(COUNTIFS(exp_year,C3555,exp_month,D3555,exp_item,E3555,exp_status,"&lt;&gt;❌ Отменено")&gt;0,1,0))</f>
        <v/>
      </c>
    </row>
    <row r="3556">
      <c r="A3556" s="52" t="n"/>
      <c r="B3556" s="53">
        <f>IF(A3556="","",CHOOSE(WEEKDAY(A3556,2),"Пн","Вт","Ср","Чт","Пт","Сб","Вс"))</f>
        <v/>
      </c>
      <c r="C3556" s="53">
        <f>IF(A3556="","",YEAR(A3556))</f>
        <v/>
      </c>
      <c r="D3556" s="54">
        <f>IF(A3556="","",INDEX(lst_months,MONTH(A3556)))</f>
        <v/>
      </c>
      <c r="E3556" s="55" t="n"/>
      <c r="F3556" s="54">
        <f>IF(E3556="","",IFERROR(IF(INDEX(lst_exp_item_cat,MATCH(E3556,lst_exp_items,0))="","❔ Без категории",INDEX(lst_exp_item_cat,MATCH(E3556,lst_exp_items,0))),"❔ Без категории"))</f>
        <v/>
      </c>
      <c r="G3556" s="43" t="n"/>
      <c r="H3556" s="56" t="n"/>
      <c r="I3556" s="43" t="n"/>
      <c r="J3556" s="57">
        <f>IF(OR(A3556="",H3556=""),"",IF(COUNTIFS(exp_year,C3556,exp_month,D3556,exp_item,E3556,exp_status,"&lt;&gt;❌ Отменено")&gt;0,1,0))</f>
        <v/>
      </c>
    </row>
    <row r="3557">
      <c r="A3557" s="52" t="n"/>
      <c r="B3557" s="53">
        <f>IF(A3557="","",CHOOSE(WEEKDAY(A3557,2),"Пн","Вт","Ср","Чт","Пт","Сб","Вс"))</f>
        <v/>
      </c>
      <c r="C3557" s="53">
        <f>IF(A3557="","",YEAR(A3557))</f>
        <v/>
      </c>
      <c r="D3557" s="54">
        <f>IF(A3557="","",INDEX(lst_months,MONTH(A3557)))</f>
        <v/>
      </c>
      <c r="E3557" s="55" t="n"/>
      <c r="F3557" s="54">
        <f>IF(E3557="","",IFERROR(IF(INDEX(lst_exp_item_cat,MATCH(E3557,lst_exp_items,0))="","❔ Без категории",INDEX(lst_exp_item_cat,MATCH(E3557,lst_exp_items,0))),"❔ Без категории"))</f>
        <v/>
      </c>
      <c r="G3557" s="43" t="n"/>
      <c r="H3557" s="56" t="n"/>
      <c r="I3557" s="43" t="n"/>
      <c r="J3557" s="57">
        <f>IF(OR(A3557="",H3557=""),"",IF(COUNTIFS(exp_year,C3557,exp_month,D3557,exp_item,E3557,exp_status,"&lt;&gt;❌ Отменено")&gt;0,1,0))</f>
        <v/>
      </c>
    </row>
    <row r="3558">
      <c r="A3558" s="52" t="n"/>
      <c r="B3558" s="53">
        <f>IF(A3558="","",CHOOSE(WEEKDAY(A3558,2),"Пн","Вт","Ср","Чт","Пт","Сб","Вс"))</f>
        <v/>
      </c>
      <c r="C3558" s="53">
        <f>IF(A3558="","",YEAR(A3558))</f>
        <v/>
      </c>
      <c r="D3558" s="54">
        <f>IF(A3558="","",INDEX(lst_months,MONTH(A3558)))</f>
        <v/>
      </c>
      <c r="E3558" s="55" t="n"/>
      <c r="F3558" s="54">
        <f>IF(E3558="","",IFERROR(IF(INDEX(lst_exp_item_cat,MATCH(E3558,lst_exp_items,0))="","❔ Без категории",INDEX(lst_exp_item_cat,MATCH(E3558,lst_exp_items,0))),"❔ Без категории"))</f>
        <v/>
      </c>
      <c r="G3558" s="43" t="n"/>
      <c r="H3558" s="56" t="n"/>
      <c r="I3558" s="43" t="n"/>
      <c r="J3558" s="57">
        <f>IF(OR(A3558="",H3558=""),"",IF(COUNTIFS(exp_year,C3558,exp_month,D3558,exp_item,E3558,exp_status,"&lt;&gt;❌ Отменено")&gt;0,1,0))</f>
        <v/>
      </c>
    </row>
    <row r="3559">
      <c r="A3559" s="52" t="n"/>
      <c r="B3559" s="53">
        <f>IF(A3559="","",CHOOSE(WEEKDAY(A3559,2),"Пн","Вт","Ср","Чт","Пт","Сб","Вс"))</f>
        <v/>
      </c>
      <c r="C3559" s="53">
        <f>IF(A3559="","",YEAR(A3559))</f>
        <v/>
      </c>
      <c r="D3559" s="54">
        <f>IF(A3559="","",INDEX(lst_months,MONTH(A3559)))</f>
        <v/>
      </c>
      <c r="E3559" s="55" t="n"/>
      <c r="F3559" s="54">
        <f>IF(E3559="","",IFERROR(IF(INDEX(lst_exp_item_cat,MATCH(E3559,lst_exp_items,0))="","❔ Без категории",INDEX(lst_exp_item_cat,MATCH(E3559,lst_exp_items,0))),"❔ Без категории"))</f>
        <v/>
      </c>
      <c r="G3559" s="43" t="n"/>
      <c r="H3559" s="56" t="n"/>
      <c r="I3559" s="43" t="n"/>
      <c r="J3559" s="57">
        <f>IF(OR(A3559="",H3559=""),"",IF(COUNTIFS(exp_year,C3559,exp_month,D3559,exp_item,E3559,exp_status,"&lt;&gt;❌ Отменено")&gt;0,1,0))</f>
        <v/>
      </c>
    </row>
    <row r="3560">
      <c r="A3560" s="52" t="n"/>
      <c r="B3560" s="53">
        <f>IF(A3560="","",CHOOSE(WEEKDAY(A3560,2),"Пн","Вт","Ср","Чт","Пт","Сб","Вс"))</f>
        <v/>
      </c>
      <c r="C3560" s="53">
        <f>IF(A3560="","",YEAR(A3560))</f>
        <v/>
      </c>
      <c r="D3560" s="54">
        <f>IF(A3560="","",INDEX(lst_months,MONTH(A3560)))</f>
        <v/>
      </c>
      <c r="E3560" s="55" t="n"/>
      <c r="F3560" s="54">
        <f>IF(E3560="","",IFERROR(IF(INDEX(lst_exp_item_cat,MATCH(E3560,lst_exp_items,0))="","❔ Без категории",INDEX(lst_exp_item_cat,MATCH(E3560,lst_exp_items,0))),"❔ Без категории"))</f>
        <v/>
      </c>
      <c r="G3560" s="43" t="n"/>
      <c r="H3560" s="56" t="n"/>
      <c r="I3560" s="43" t="n"/>
      <c r="J3560" s="57">
        <f>IF(OR(A3560="",H3560=""),"",IF(COUNTIFS(exp_year,C3560,exp_month,D3560,exp_item,E3560,exp_status,"&lt;&gt;❌ Отменено")&gt;0,1,0))</f>
        <v/>
      </c>
    </row>
    <row r="3561">
      <c r="A3561" s="52" t="n"/>
      <c r="B3561" s="53">
        <f>IF(A3561="","",CHOOSE(WEEKDAY(A3561,2),"Пн","Вт","Ср","Чт","Пт","Сб","Вс"))</f>
        <v/>
      </c>
      <c r="C3561" s="53">
        <f>IF(A3561="","",YEAR(A3561))</f>
        <v/>
      </c>
      <c r="D3561" s="54">
        <f>IF(A3561="","",INDEX(lst_months,MONTH(A3561)))</f>
        <v/>
      </c>
      <c r="E3561" s="55" t="n"/>
      <c r="F3561" s="54">
        <f>IF(E3561="","",IFERROR(IF(INDEX(lst_exp_item_cat,MATCH(E3561,lst_exp_items,0))="","❔ Без категории",INDEX(lst_exp_item_cat,MATCH(E3561,lst_exp_items,0))),"❔ Без категории"))</f>
        <v/>
      </c>
      <c r="G3561" s="43" t="n"/>
      <c r="H3561" s="56" t="n"/>
      <c r="I3561" s="43" t="n"/>
      <c r="J3561" s="57">
        <f>IF(OR(A3561="",H3561=""),"",IF(COUNTIFS(exp_year,C3561,exp_month,D3561,exp_item,E3561,exp_status,"&lt;&gt;❌ Отменено")&gt;0,1,0))</f>
        <v/>
      </c>
    </row>
    <row r="3562">
      <c r="A3562" s="52" t="n"/>
      <c r="B3562" s="53">
        <f>IF(A3562="","",CHOOSE(WEEKDAY(A3562,2),"Пн","Вт","Ср","Чт","Пт","Сб","Вс"))</f>
        <v/>
      </c>
      <c r="C3562" s="53">
        <f>IF(A3562="","",YEAR(A3562))</f>
        <v/>
      </c>
      <c r="D3562" s="54">
        <f>IF(A3562="","",INDEX(lst_months,MONTH(A3562)))</f>
        <v/>
      </c>
      <c r="E3562" s="55" t="n"/>
      <c r="F3562" s="54">
        <f>IF(E3562="","",IFERROR(IF(INDEX(lst_exp_item_cat,MATCH(E3562,lst_exp_items,0))="","❔ Без категории",INDEX(lst_exp_item_cat,MATCH(E3562,lst_exp_items,0))),"❔ Без категории"))</f>
        <v/>
      </c>
      <c r="G3562" s="43" t="n"/>
      <c r="H3562" s="56" t="n"/>
      <c r="I3562" s="43" t="n"/>
      <c r="J3562" s="57">
        <f>IF(OR(A3562="",H3562=""),"",IF(COUNTIFS(exp_year,C3562,exp_month,D3562,exp_item,E3562,exp_status,"&lt;&gt;❌ Отменено")&gt;0,1,0))</f>
        <v/>
      </c>
    </row>
    <row r="3563">
      <c r="A3563" s="52" t="n"/>
      <c r="B3563" s="53">
        <f>IF(A3563="","",CHOOSE(WEEKDAY(A3563,2),"Пн","Вт","Ср","Чт","Пт","Сб","Вс"))</f>
        <v/>
      </c>
      <c r="C3563" s="53">
        <f>IF(A3563="","",YEAR(A3563))</f>
        <v/>
      </c>
      <c r="D3563" s="54">
        <f>IF(A3563="","",INDEX(lst_months,MONTH(A3563)))</f>
        <v/>
      </c>
      <c r="E3563" s="55" t="n"/>
      <c r="F3563" s="54">
        <f>IF(E3563="","",IFERROR(IF(INDEX(lst_exp_item_cat,MATCH(E3563,lst_exp_items,0))="","❔ Без категории",INDEX(lst_exp_item_cat,MATCH(E3563,lst_exp_items,0))),"❔ Без категории"))</f>
        <v/>
      </c>
      <c r="G3563" s="43" t="n"/>
      <c r="H3563" s="56" t="n"/>
      <c r="I3563" s="43" t="n"/>
      <c r="J3563" s="57">
        <f>IF(OR(A3563="",H3563=""),"",IF(COUNTIFS(exp_year,C3563,exp_month,D3563,exp_item,E3563,exp_status,"&lt;&gt;❌ Отменено")&gt;0,1,0))</f>
        <v/>
      </c>
    </row>
    <row r="3564">
      <c r="A3564" s="52" t="n"/>
      <c r="B3564" s="53">
        <f>IF(A3564="","",CHOOSE(WEEKDAY(A3564,2),"Пн","Вт","Ср","Чт","Пт","Сб","Вс"))</f>
        <v/>
      </c>
      <c r="C3564" s="53">
        <f>IF(A3564="","",YEAR(A3564))</f>
        <v/>
      </c>
      <c r="D3564" s="54">
        <f>IF(A3564="","",INDEX(lst_months,MONTH(A3564)))</f>
        <v/>
      </c>
      <c r="E3564" s="55" t="n"/>
      <c r="F3564" s="54">
        <f>IF(E3564="","",IFERROR(IF(INDEX(lst_exp_item_cat,MATCH(E3564,lst_exp_items,0))="","❔ Без категории",INDEX(lst_exp_item_cat,MATCH(E3564,lst_exp_items,0))),"❔ Без категории"))</f>
        <v/>
      </c>
      <c r="G3564" s="43" t="n"/>
      <c r="H3564" s="56" t="n"/>
      <c r="I3564" s="43" t="n"/>
      <c r="J3564" s="57">
        <f>IF(OR(A3564="",H3564=""),"",IF(COUNTIFS(exp_year,C3564,exp_month,D3564,exp_item,E3564,exp_status,"&lt;&gt;❌ Отменено")&gt;0,1,0))</f>
        <v/>
      </c>
    </row>
    <row r="3565">
      <c r="A3565" s="52" t="n"/>
      <c r="B3565" s="53">
        <f>IF(A3565="","",CHOOSE(WEEKDAY(A3565,2),"Пн","Вт","Ср","Чт","Пт","Сб","Вс"))</f>
        <v/>
      </c>
      <c r="C3565" s="53">
        <f>IF(A3565="","",YEAR(A3565))</f>
        <v/>
      </c>
      <c r="D3565" s="54">
        <f>IF(A3565="","",INDEX(lst_months,MONTH(A3565)))</f>
        <v/>
      </c>
      <c r="E3565" s="55" t="n"/>
      <c r="F3565" s="54">
        <f>IF(E3565="","",IFERROR(IF(INDEX(lst_exp_item_cat,MATCH(E3565,lst_exp_items,0))="","❔ Без категории",INDEX(lst_exp_item_cat,MATCH(E3565,lst_exp_items,0))),"❔ Без категории"))</f>
        <v/>
      </c>
      <c r="G3565" s="43" t="n"/>
      <c r="H3565" s="56" t="n"/>
      <c r="I3565" s="43" t="n"/>
      <c r="J3565" s="57">
        <f>IF(OR(A3565="",H3565=""),"",IF(COUNTIFS(exp_year,C3565,exp_month,D3565,exp_item,E3565,exp_status,"&lt;&gt;❌ Отменено")&gt;0,1,0))</f>
        <v/>
      </c>
    </row>
    <row r="3566">
      <c r="A3566" s="52" t="n"/>
      <c r="B3566" s="53">
        <f>IF(A3566="","",CHOOSE(WEEKDAY(A3566,2),"Пн","Вт","Ср","Чт","Пт","Сб","Вс"))</f>
        <v/>
      </c>
      <c r="C3566" s="53">
        <f>IF(A3566="","",YEAR(A3566))</f>
        <v/>
      </c>
      <c r="D3566" s="54">
        <f>IF(A3566="","",INDEX(lst_months,MONTH(A3566)))</f>
        <v/>
      </c>
      <c r="E3566" s="55" t="n"/>
      <c r="F3566" s="54">
        <f>IF(E3566="","",IFERROR(IF(INDEX(lst_exp_item_cat,MATCH(E3566,lst_exp_items,0))="","❔ Без категории",INDEX(lst_exp_item_cat,MATCH(E3566,lst_exp_items,0))),"❔ Без категории"))</f>
        <v/>
      </c>
      <c r="G3566" s="43" t="n"/>
      <c r="H3566" s="56" t="n"/>
      <c r="I3566" s="43" t="n"/>
      <c r="J3566" s="57">
        <f>IF(OR(A3566="",H3566=""),"",IF(COUNTIFS(exp_year,C3566,exp_month,D3566,exp_item,E3566,exp_status,"&lt;&gt;❌ Отменено")&gt;0,1,0))</f>
        <v/>
      </c>
    </row>
    <row r="3567">
      <c r="A3567" s="52" t="n"/>
      <c r="B3567" s="53">
        <f>IF(A3567="","",CHOOSE(WEEKDAY(A3567,2),"Пн","Вт","Ср","Чт","Пт","Сб","Вс"))</f>
        <v/>
      </c>
      <c r="C3567" s="53">
        <f>IF(A3567="","",YEAR(A3567))</f>
        <v/>
      </c>
      <c r="D3567" s="54">
        <f>IF(A3567="","",INDEX(lst_months,MONTH(A3567)))</f>
        <v/>
      </c>
      <c r="E3567" s="55" t="n"/>
      <c r="F3567" s="54">
        <f>IF(E3567="","",IFERROR(IF(INDEX(lst_exp_item_cat,MATCH(E3567,lst_exp_items,0))="","❔ Без категории",INDEX(lst_exp_item_cat,MATCH(E3567,lst_exp_items,0))),"❔ Без категории"))</f>
        <v/>
      </c>
      <c r="G3567" s="43" t="n"/>
      <c r="H3567" s="56" t="n"/>
      <c r="I3567" s="43" t="n"/>
      <c r="J3567" s="57">
        <f>IF(OR(A3567="",H3567=""),"",IF(COUNTIFS(exp_year,C3567,exp_month,D3567,exp_item,E3567,exp_status,"&lt;&gt;❌ Отменено")&gt;0,1,0))</f>
        <v/>
      </c>
    </row>
    <row r="3568">
      <c r="A3568" s="52" t="n"/>
      <c r="B3568" s="53">
        <f>IF(A3568="","",CHOOSE(WEEKDAY(A3568,2),"Пн","Вт","Ср","Чт","Пт","Сб","Вс"))</f>
        <v/>
      </c>
      <c r="C3568" s="53">
        <f>IF(A3568="","",YEAR(A3568))</f>
        <v/>
      </c>
      <c r="D3568" s="54">
        <f>IF(A3568="","",INDEX(lst_months,MONTH(A3568)))</f>
        <v/>
      </c>
      <c r="E3568" s="55" t="n"/>
      <c r="F3568" s="54">
        <f>IF(E3568="","",IFERROR(IF(INDEX(lst_exp_item_cat,MATCH(E3568,lst_exp_items,0))="","❔ Без категории",INDEX(lst_exp_item_cat,MATCH(E3568,lst_exp_items,0))),"❔ Без категории"))</f>
        <v/>
      </c>
      <c r="G3568" s="43" t="n"/>
      <c r="H3568" s="56" t="n"/>
      <c r="I3568" s="43" t="n"/>
      <c r="J3568" s="57">
        <f>IF(OR(A3568="",H3568=""),"",IF(COUNTIFS(exp_year,C3568,exp_month,D3568,exp_item,E3568,exp_status,"&lt;&gt;❌ Отменено")&gt;0,1,0))</f>
        <v/>
      </c>
    </row>
    <row r="3569">
      <c r="A3569" s="52" t="n"/>
      <c r="B3569" s="53">
        <f>IF(A3569="","",CHOOSE(WEEKDAY(A3569,2),"Пн","Вт","Ср","Чт","Пт","Сб","Вс"))</f>
        <v/>
      </c>
      <c r="C3569" s="53">
        <f>IF(A3569="","",YEAR(A3569))</f>
        <v/>
      </c>
      <c r="D3569" s="54">
        <f>IF(A3569="","",INDEX(lst_months,MONTH(A3569)))</f>
        <v/>
      </c>
      <c r="E3569" s="55" t="n"/>
      <c r="F3569" s="54">
        <f>IF(E3569="","",IFERROR(IF(INDEX(lst_exp_item_cat,MATCH(E3569,lst_exp_items,0))="","❔ Без категории",INDEX(lst_exp_item_cat,MATCH(E3569,lst_exp_items,0))),"❔ Без категории"))</f>
        <v/>
      </c>
      <c r="G3569" s="43" t="n"/>
      <c r="H3569" s="56" t="n"/>
      <c r="I3569" s="43" t="n"/>
      <c r="J3569" s="57">
        <f>IF(OR(A3569="",H3569=""),"",IF(COUNTIFS(exp_year,C3569,exp_month,D3569,exp_item,E3569,exp_status,"&lt;&gt;❌ Отменено")&gt;0,1,0))</f>
        <v/>
      </c>
    </row>
    <row r="3570">
      <c r="A3570" s="52" t="n"/>
      <c r="B3570" s="53">
        <f>IF(A3570="","",CHOOSE(WEEKDAY(A3570,2),"Пн","Вт","Ср","Чт","Пт","Сб","Вс"))</f>
        <v/>
      </c>
      <c r="C3570" s="53">
        <f>IF(A3570="","",YEAR(A3570))</f>
        <v/>
      </c>
      <c r="D3570" s="54">
        <f>IF(A3570="","",INDEX(lst_months,MONTH(A3570)))</f>
        <v/>
      </c>
      <c r="E3570" s="55" t="n"/>
      <c r="F3570" s="54">
        <f>IF(E3570="","",IFERROR(IF(INDEX(lst_exp_item_cat,MATCH(E3570,lst_exp_items,0))="","❔ Без категории",INDEX(lst_exp_item_cat,MATCH(E3570,lst_exp_items,0))),"❔ Без категории"))</f>
        <v/>
      </c>
      <c r="G3570" s="43" t="n"/>
      <c r="H3570" s="56" t="n"/>
      <c r="I3570" s="43" t="n"/>
      <c r="J3570" s="57">
        <f>IF(OR(A3570="",H3570=""),"",IF(COUNTIFS(exp_year,C3570,exp_month,D3570,exp_item,E3570,exp_status,"&lt;&gt;❌ Отменено")&gt;0,1,0))</f>
        <v/>
      </c>
    </row>
    <row r="3571">
      <c r="A3571" s="52" t="n"/>
      <c r="B3571" s="53">
        <f>IF(A3571="","",CHOOSE(WEEKDAY(A3571,2),"Пн","Вт","Ср","Чт","Пт","Сб","Вс"))</f>
        <v/>
      </c>
      <c r="C3571" s="53">
        <f>IF(A3571="","",YEAR(A3571))</f>
        <v/>
      </c>
      <c r="D3571" s="54">
        <f>IF(A3571="","",INDEX(lst_months,MONTH(A3571)))</f>
        <v/>
      </c>
      <c r="E3571" s="55" t="n"/>
      <c r="F3571" s="54">
        <f>IF(E3571="","",IFERROR(IF(INDEX(lst_exp_item_cat,MATCH(E3571,lst_exp_items,0))="","❔ Без категории",INDEX(lst_exp_item_cat,MATCH(E3571,lst_exp_items,0))),"❔ Без категории"))</f>
        <v/>
      </c>
      <c r="G3571" s="43" t="n"/>
      <c r="H3571" s="56" t="n"/>
      <c r="I3571" s="43" t="n"/>
      <c r="J3571" s="57">
        <f>IF(OR(A3571="",H3571=""),"",IF(COUNTIFS(exp_year,C3571,exp_month,D3571,exp_item,E3571,exp_status,"&lt;&gt;❌ Отменено")&gt;0,1,0))</f>
        <v/>
      </c>
    </row>
    <row r="3572">
      <c r="A3572" s="52" t="n"/>
      <c r="B3572" s="53">
        <f>IF(A3572="","",CHOOSE(WEEKDAY(A3572,2),"Пн","Вт","Ср","Чт","Пт","Сб","Вс"))</f>
        <v/>
      </c>
      <c r="C3572" s="53">
        <f>IF(A3572="","",YEAR(A3572))</f>
        <v/>
      </c>
      <c r="D3572" s="54">
        <f>IF(A3572="","",INDEX(lst_months,MONTH(A3572)))</f>
        <v/>
      </c>
      <c r="E3572" s="55" t="n"/>
      <c r="F3572" s="54">
        <f>IF(E3572="","",IFERROR(IF(INDEX(lst_exp_item_cat,MATCH(E3572,lst_exp_items,0))="","❔ Без категории",INDEX(lst_exp_item_cat,MATCH(E3572,lst_exp_items,0))),"❔ Без категории"))</f>
        <v/>
      </c>
      <c r="G3572" s="43" t="n"/>
      <c r="H3572" s="56" t="n"/>
      <c r="I3572" s="43" t="n"/>
      <c r="J3572" s="57">
        <f>IF(OR(A3572="",H3572=""),"",IF(COUNTIFS(exp_year,C3572,exp_month,D3572,exp_item,E3572,exp_status,"&lt;&gt;❌ Отменено")&gt;0,1,0))</f>
        <v/>
      </c>
    </row>
    <row r="3573">
      <c r="A3573" s="52" t="n"/>
      <c r="B3573" s="53">
        <f>IF(A3573="","",CHOOSE(WEEKDAY(A3573,2),"Пн","Вт","Ср","Чт","Пт","Сб","Вс"))</f>
        <v/>
      </c>
      <c r="C3573" s="53">
        <f>IF(A3573="","",YEAR(A3573))</f>
        <v/>
      </c>
      <c r="D3573" s="54">
        <f>IF(A3573="","",INDEX(lst_months,MONTH(A3573)))</f>
        <v/>
      </c>
      <c r="E3573" s="55" t="n"/>
      <c r="F3573" s="54">
        <f>IF(E3573="","",IFERROR(IF(INDEX(lst_exp_item_cat,MATCH(E3573,lst_exp_items,0))="","❔ Без категории",INDEX(lst_exp_item_cat,MATCH(E3573,lst_exp_items,0))),"❔ Без категории"))</f>
        <v/>
      </c>
      <c r="G3573" s="43" t="n"/>
      <c r="H3573" s="56" t="n"/>
      <c r="I3573" s="43" t="n"/>
      <c r="J3573" s="57">
        <f>IF(OR(A3573="",H3573=""),"",IF(COUNTIFS(exp_year,C3573,exp_month,D3573,exp_item,E3573,exp_status,"&lt;&gt;❌ Отменено")&gt;0,1,0))</f>
        <v/>
      </c>
    </row>
    <row r="3574">
      <c r="A3574" s="52" t="n"/>
      <c r="B3574" s="53">
        <f>IF(A3574="","",CHOOSE(WEEKDAY(A3574,2),"Пн","Вт","Ср","Чт","Пт","Сб","Вс"))</f>
        <v/>
      </c>
      <c r="C3574" s="53">
        <f>IF(A3574="","",YEAR(A3574))</f>
        <v/>
      </c>
      <c r="D3574" s="54">
        <f>IF(A3574="","",INDEX(lst_months,MONTH(A3574)))</f>
        <v/>
      </c>
      <c r="E3574" s="55" t="n"/>
      <c r="F3574" s="54">
        <f>IF(E3574="","",IFERROR(IF(INDEX(lst_exp_item_cat,MATCH(E3574,lst_exp_items,0))="","❔ Без категории",INDEX(lst_exp_item_cat,MATCH(E3574,lst_exp_items,0))),"❔ Без категории"))</f>
        <v/>
      </c>
      <c r="G3574" s="43" t="n"/>
      <c r="H3574" s="56" t="n"/>
      <c r="I3574" s="43" t="n"/>
      <c r="J3574" s="57">
        <f>IF(OR(A3574="",H3574=""),"",IF(COUNTIFS(exp_year,C3574,exp_month,D3574,exp_item,E3574,exp_status,"&lt;&gt;❌ Отменено")&gt;0,1,0))</f>
        <v/>
      </c>
    </row>
    <row r="3575">
      <c r="A3575" s="52" t="n"/>
      <c r="B3575" s="53">
        <f>IF(A3575="","",CHOOSE(WEEKDAY(A3575,2),"Пн","Вт","Ср","Чт","Пт","Сб","Вс"))</f>
        <v/>
      </c>
      <c r="C3575" s="53">
        <f>IF(A3575="","",YEAR(A3575))</f>
        <v/>
      </c>
      <c r="D3575" s="54">
        <f>IF(A3575="","",INDEX(lst_months,MONTH(A3575)))</f>
        <v/>
      </c>
      <c r="E3575" s="55" t="n"/>
      <c r="F3575" s="54">
        <f>IF(E3575="","",IFERROR(IF(INDEX(lst_exp_item_cat,MATCH(E3575,lst_exp_items,0))="","❔ Без категории",INDEX(lst_exp_item_cat,MATCH(E3575,lst_exp_items,0))),"❔ Без категории"))</f>
        <v/>
      </c>
      <c r="G3575" s="43" t="n"/>
      <c r="H3575" s="56" t="n"/>
      <c r="I3575" s="43" t="n"/>
      <c r="J3575" s="57">
        <f>IF(OR(A3575="",H3575=""),"",IF(COUNTIFS(exp_year,C3575,exp_month,D3575,exp_item,E3575,exp_status,"&lt;&gt;❌ Отменено")&gt;0,1,0))</f>
        <v/>
      </c>
    </row>
    <row r="3576">
      <c r="A3576" s="52" t="n"/>
      <c r="B3576" s="53">
        <f>IF(A3576="","",CHOOSE(WEEKDAY(A3576,2),"Пн","Вт","Ср","Чт","Пт","Сб","Вс"))</f>
        <v/>
      </c>
      <c r="C3576" s="53">
        <f>IF(A3576="","",YEAR(A3576))</f>
        <v/>
      </c>
      <c r="D3576" s="54">
        <f>IF(A3576="","",INDEX(lst_months,MONTH(A3576)))</f>
        <v/>
      </c>
      <c r="E3576" s="55" t="n"/>
      <c r="F3576" s="54">
        <f>IF(E3576="","",IFERROR(IF(INDEX(lst_exp_item_cat,MATCH(E3576,lst_exp_items,0))="","❔ Без категории",INDEX(lst_exp_item_cat,MATCH(E3576,lst_exp_items,0))),"❔ Без категории"))</f>
        <v/>
      </c>
      <c r="G3576" s="43" t="n"/>
      <c r="H3576" s="56" t="n"/>
      <c r="I3576" s="43" t="n"/>
      <c r="J3576" s="57">
        <f>IF(OR(A3576="",H3576=""),"",IF(COUNTIFS(exp_year,C3576,exp_month,D3576,exp_item,E3576,exp_status,"&lt;&gt;❌ Отменено")&gt;0,1,0))</f>
        <v/>
      </c>
    </row>
    <row r="3577">
      <c r="A3577" s="52" t="n"/>
      <c r="B3577" s="53">
        <f>IF(A3577="","",CHOOSE(WEEKDAY(A3577,2),"Пн","Вт","Ср","Чт","Пт","Сб","Вс"))</f>
        <v/>
      </c>
      <c r="C3577" s="53">
        <f>IF(A3577="","",YEAR(A3577))</f>
        <v/>
      </c>
      <c r="D3577" s="54">
        <f>IF(A3577="","",INDEX(lst_months,MONTH(A3577)))</f>
        <v/>
      </c>
      <c r="E3577" s="55" t="n"/>
      <c r="F3577" s="54">
        <f>IF(E3577="","",IFERROR(IF(INDEX(lst_exp_item_cat,MATCH(E3577,lst_exp_items,0))="","❔ Без категории",INDEX(lst_exp_item_cat,MATCH(E3577,lst_exp_items,0))),"❔ Без категории"))</f>
        <v/>
      </c>
      <c r="G3577" s="43" t="n"/>
      <c r="H3577" s="56" t="n"/>
      <c r="I3577" s="43" t="n"/>
      <c r="J3577" s="57">
        <f>IF(OR(A3577="",H3577=""),"",IF(COUNTIFS(exp_year,C3577,exp_month,D3577,exp_item,E3577,exp_status,"&lt;&gt;❌ Отменено")&gt;0,1,0))</f>
        <v/>
      </c>
    </row>
    <row r="3578">
      <c r="A3578" s="52" t="n"/>
      <c r="B3578" s="53">
        <f>IF(A3578="","",CHOOSE(WEEKDAY(A3578,2),"Пн","Вт","Ср","Чт","Пт","Сб","Вс"))</f>
        <v/>
      </c>
      <c r="C3578" s="53">
        <f>IF(A3578="","",YEAR(A3578))</f>
        <v/>
      </c>
      <c r="D3578" s="54">
        <f>IF(A3578="","",INDEX(lst_months,MONTH(A3578)))</f>
        <v/>
      </c>
      <c r="E3578" s="55" t="n"/>
      <c r="F3578" s="54">
        <f>IF(E3578="","",IFERROR(IF(INDEX(lst_exp_item_cat,MATCH(E3578,lst_exp_items,0))="","❔ Без категории",INDEX(lst_exp_item_cat,MATCH(E3578,lst_exp_items,0))),"❔ Без категории"))</f>
        <v/>
      </c>
      <c r="G3578" s="43" t="n"/>
      <c r="H3578" s="56" t="n"/>
      <c r="I3578" s="43" t="n"/>
      <c r="J3578" s="57">
        <f>IF(OR(A3578="",H3578=""),"",IF(COUNTIFS(exp_year,C3578,exp_month,D3578,exp_item,E3578,exp_status,"&lt;&gt;❌ Отменено")&gt;0,1,0))</f>
        <v/>
      </c>
    </row>
    <row r="3579">
      <c r="A3579" s="52" t="n"/>
      <c r="B3579" s="53">
        <f>IF(A3579="","",CHOOSE(WEEKDAY(A3579,2),"Пн","Вт","Ср","Чт","Пт","Сб","Вс"))</f>
        <v/>
      </c>
      <c r="C3579" s="53">
        <f>IF(A3579="","",YEAR(A3579))</f>
        <v/>
      </c>
      <c r="D3579" s="54">
        <f>IF(A3579="","",INDEX(lst_months,MONTH(A3579)))</f>
        <v/>
      </c>
      <c r="E3579" s="55" t="n"/>
      <c r="F3579" s="54">
        <f>IF(E3579="","",IFERROR(IF(INDEX(lst_exp_item_cat,MATCH(E3579,lst_exp_items,0))="","❔ Без категории",INDEX(lst_exp_item_cat,MATCH(E3579,lst_exp_items,0))),"❔ Без категории"))</f>
        <v/>
      </c>
      <c r="G3579" s="43" t="n"/>
      <c r="H3579" s="56" t="n"/>
      <c r="I3579" s="43" t="n"/>
      <c r="J3579" s="57">
        <f>IF(OR(A3579="",H3579=""),"",IF(COUNTIFS(exp_year,C3579,exp_month,D3579,exp_item,E3579,exp_status,"&lt;&gt;❌ Отменено")&gt;0,1,0))</f>
        <v/>
      </c>
    </row>
    <row r="3580">
      <c r="A3580" s="52" t="n"/>
      <c r="B3580" s="53">
        <f>IF(A3580="","",CHOOSE(WEEKDAY(A3580,2),"Пн","Вт","Ср","Чт","Пт","Сб","Вс"))</f>
        <v/>
      </c>
      <c r="C3580" s="53">
        <f>IF(A3580="","",YEAR(A3580))</f>
        <v/>
      </c>
      <c r="D3580" s="54">
        <f>IF(A3580="","",INDEX(lst_months,MONTH(A3580)))</f>
        <v/>
      </c>
      <c r="E3580" s="55" t="n"/>
      <c r="F3580" s="54">
        <f>IF(E3580="","",IFERROR(IF(INDEX(lst_exp_item_cat,MATCH(E3580,lst_exp_items,0))="","❔ Без категории",INDEX(lst_exp_item_cat,MATCH(E3580,lst_exp_items,0))),"❔ Без категории"))</f>
        <v/>
      </c>
      <c r="G3580" s="43" t="n"/>
      <c r="H3580" s="56" t="n"/>
      <c r="I3580" s="43" t="n"/>
      <c r="J3580" s="57">
        <f>IF(OR(A3580="",H3580=""),"",IF(COUNTIFS(exp_year,C3580,exp_month,D3580,exp_item,E3580,exp_status,"&lt;&gt;❌ Отменено")&gt;0,1,0))</f>
        <v/>
      </c>
    </row>
    <row r="3581">
      <c r="A3581" s="52" t="n"/>
      <c r="B3581" s="53">
        <f>IF(A3581="","",CHOOSE(WEEKDAY(A3581,2),"Пн","Вт","Ср","Чт","Пт","Сб","Вс"))</f>
        <v/>
      </c>
      <c r="C3581" s="53">
        <f>IF(A3581="","",YEAR(A3581))</f>
        <v/>
      </c>
      <c r="D3581" s="54">
        <f>IF(A3581="","",INDEX(lst_months,MONTH(A3581)))</f>
        <v/>
      </c>
      <c r="E3581" s="55" t="n"/>
      <c r="F3581" s="54">
        <f>IF(E3581="","",IFERROR(IF(INDEX(lst_exp_item_cat,MATCH(E3581,lst_exp_items,0))="","❔ Без категории",INDEX(lst_exp_item_cat,MATCH(E3581,lst_exp_items,0))),"❔ Без категории"))</f>
        <v/>
      </c>
      <c r="G3581" s="43" t="n"/>
      <c r="H3581" s="56" t="n"/>
      <c r="I3581" s="43" t="n"/>
      <c r="J3581" s="57">
        <f>IF(OR(A3581="",H3581=""),"",IF(COUNTIFS(exp_year,C3581,exp_month,D3581,exp_item,E3581,exp_status,"&lt;&gt;❌ Отменено")&gt;0,1,0))</f>
        <v/>
      </c>
    </row>
    <row r="3582">
      <c r="A3582" s="52" t="n"/>
      <c r="B3582" s="53">
        <f>IF(A3582="","",CHOOSE(WEEKDAY(A3582,2),"Пн","Вт","Ср","Чт","Пт","Сб","Вс"))</f>
        <v/>
      </c>
      <c r="C3582" s="53">
        <f>IF(A3582="","",YEAR(A3582))</f>
        <v/>
      </c>
      <c r="D3582" s="54">
        <f>IF(A3582="","",INDEX(lst_months,MONTH(A3582)))</f>
        <v/>
      </c>
      <c r="E3582" s="55" t="n"/>
      <c r="F3582" s="54">
        <f>IF(E3582="","",IFERROR(IF(INDEX(lst_exp_item_cat,MATCH(E3582,lst_exp_items,0))="","❔ Без категории",INDEX(lst_exp_item_cat,MATCH(E3582,lst_exp_items,0))),"❔ Без категории"))</f>
        <v/>
      </c>
      <c r="G3582" s="43" t="n"/>
      <c r="H3582" s="56" t="n"/>
      <c r="I3582" s="43" t="n"/>
      <c r="J3582" s="57">
        <f>IF(OR(A3582="",H3582=""),"",IF(COUNTIFS(exp_year,C3582,exp_month,D3582,exp_item,E3582,exp_status,"&lt;&gt;❌ Отменено")&gt;0,1,0))</f>
        <v/>
      </c>
    </row>
    <row r="3583">
      <c r="A3583" s="52" t="n"/>
      <c r="B3583" s="53">
        <f>IF(A3583="","",CHOOSE(WEEKDAY(A3583,2),"Пн","Вт","Ср","Чт","Пт","Сб","Вс"))</f>
        <v/>
      </c>
      <c r="C3583" s="53">
        <f>IF(A3583="","",YEAR(A3583))</f>
        <v/>
      </c>
      <c r="D3583" s="54">
        <f>IF(A3583="","",INDEX(lst_months,MONTH(A3583)))</f>
        <v/>
      </c>
      <c r="E3583" s="55" t="n"/>
      <c r="F3583" s="54">
        <f>IF(E3583="","",IFERROR(IF(INDEX(lst_exp_item_cat,MATCH(E3583,lst_exp_items,0))="","❔ Без категории",INDEX(lst_exp_item_cat,MATCH(E3583,lst_exp_items,0))),"❔ Без категории"))</f>
        <v/>
      </c>
      <c r="G3583" s="43" t="n"/>
      <c r="H3583" s="56" t="n"/>
      <c r="I3583" s="43" t="n"/>
      <c r="J3583" s="57">
        <f>IF(OR(A3583="",H3583=""),"",IF(COUNTIFS(exp_year,C3583,exp_month,D3583,exp_item,E3583,exp_status,"&lt;&gt;❌ Отменено")&gt;0,1,0))</f>
        <v/>
      </c>
    </row>
    <row r="3584">
      <c r="A3584" s="52" t="n"/>
      <c r="B3584" s="53">
        <f>IF(A3584="","",CHOOSE(WEEKDAY(A3584,2),"Пн","Вт","Ср","Чт","Пт","Сб","Вс"))</f>
        <v/>
      </c>
      <c r="C3584" s="53">
        <f>IF(A3584="","",YEAR(A3584))</f>
        <v/>
      </c>
      <c r="D3584" s="54">
        <f>IF(A3584="","",INDEX(lst_months,MONTH(A3584)))</f>
        <v/>
      </c>
      <c r="E3584" s="55" t="n"/>
      <c r="F3584" s="54">
        <f>IF(E3584="","",IFERROR(IF(INDEX(lst_exp_item_cat,MATCH(E3584,lst_exp_items,0))="","❔ Без категории",INDEX(lst_exp_item_cat,MATCH(E3584,lst_exp_items,0))),"❔ Без категории"))</f>
        <v/>
      </c>
      <c r="G3584" s="43" t="n"/>
      <c r="H3584" s="56" t="n"/>
      <c r="I3584" s="43" t="n"/>
      <c r="J3584" s="57">
        <f>IF(OR(A3584="",H3584=""),"",IF(COUNTIFS(exp_year,C3584,exp_month,D3584,exp_item,E3584,exp_status,"&lt;&gt;❌ Отменено")&gt;0,1,0))</f>
        <v/>
      </c>
    </row>
    <row r="3585">
      <c r="A3585" s="52" t="n"/>
      <c r="B3585" s="53">
        <f>IF(A3585="","",CHOOSE(WEEKDAY(A3585,2),"Пн","Вт","Ср","Чт","Пт","Сб","Вс"))</f>
        <v/>
      </c>
      <c r="C3585" s="53">
        <f>IF(A3585="","",YEAR(A3585))</f>
        <v/>
      </c>
      <c r="D3585" s="54">
        <f>IF(A3585="","",INDEX(lst_months,MONTH(A3585)))</f>
        <v/>
      </c>
      <c r="E3585" s="55" t="n"/>
      <c r="F3585" s="54">
        <f>IF(E3585="","",IFERROR(IF(INDEX(lst_exp_item_cat,MATCH(E3585,lst_exp_items,0))="","❔ Без категории",INDEX(lst_exp_item_cat,MATCH(E3585,lst_exp_items,0))),"❔ Без категории"))</f>
        <v/>
      </c>
      <c r="G3585" s="43" t="n"/>
      <c r="H3585" s="56" t="n"/>
      <c r="I3585" s="43" t="n"/>
      <c r="J3585" s="57">
        <f>IF(OR(A3585="",H3585=""),"",IF(COUNTIFS(exp_year,C3585,exp_month,D3585,exp_item,E3585,exp_status,"&lt;&gt;❌ Отменено")&gt;0,1,0))</f>
        <v/>
      </c>
    </row>
    <row r="3586">
      <c r="A3586" s="52" t="n"/>
      <c r="B3586" s="53">
        <f>IF(A3586="","",CHOOSE(WEEKDAY(A3586,2),"Пн","Вт","Ср","Чт","Пт","Сб","Вс"))</f>
        <v/>
      </c>
      <c r="C3586" s="53">
        <f>IF(A3586="","",YEAR(A3586))</f>
        <v/>
      </c>
      <c r="D3586" s="54">
        <f>IF(A3586="","",INDEX(lst_months,MONTH(A3586)))</f>
        <v/>
      </c>
      <c r="E3586" s="55" t="n"/>
      <c r="F3586" s="54">
        <f>IF(E3586="","",IFERROR(IF(INDEX(lst_exp_item_cat,MATCH(E3586,lst_exp_items,0))="","❔ Без категории",INDEX(lst_exp_item_cat,MATCH(E3586,lst_exp_items,0))),"❔ Без категории"))</f>
        <v/>
      </c>
      <c r="G3586" s="43" t="n"/>
      <c r="H3586" s="56" t="n"/>
      <c r="I3586" s="43" t="n"/>
      <c r="J3586" s="57">
        <f>IF(OR(A3586="",H3586=""),"",IF(COUNTIFS(exp_year,C3586,exp_month,D3586,exp_item,E3586,exp_status,"&lt;&gt;❌ Отменено")&gt;0,1,0))</f>
        <v/>
      </c>
    </row>
    <row r="3587">
      <c r="A3587" s="52" t="n"/>
      <c r="B3587" s="53">
        <f>IF(A3587="","",CHOOSE(WEEKDAY(A3587,2),"Пн","Вт","Ср","Чт","Пт","Сб","Вс"))</f>
        <v/>
      </c>
      <c r="C3587" s="53">
        <f>IF(A3587="","",YEAR(A3587))</f>
        <v/>
      </c>
      <c r="D3587" s="54">
        <f>IF(A3587="","",INDEX(lst_months,MONTH(A3587)))</f>
        <v/>
      </c>
      <c r="E3587" s="55" t="n"/>
      <c r="F3587" s="54">
        <f>IF(E3587="","",IFERROR(IF(INDEX(lst_exp_item_cat,MATCH(E3587,lst_exp_items,0))="","❔ Без категории",INDEX(lst_exp_item_cat,MATCH(E3587,lst_exp_items,0))),"❔ Без категории"))</f>
        <v/>
      </c>
      <c r="G3587" s="43" t="n"/>
      <c r="H3587" s="56" t="n"/>
      <c r="I3587" s="43" t="n"/>
      <c r="J3587" s="57">
        <f>IF(OR(A3587="",H3587=""),"",IF(COUNTIFS(exp_year,C3587,exp_month,D3587,exp_item,E3587,exp_status,"&lt;&gt;❌ Отменено")&gt;0,1,0))</f>
        <v/>
      </c>
    </row>
    <row r="3588">
      <c r="A3588" s="52" t="n"/>
      <c r="B3588" s="53">
        <f>IF(A3588="","",CHOOSE(WEEKDAY(A3588,2),"Пн","Вт","Ср","Чт","Пт","Сб","Вс"))</f>
        <v/>
      </c>
      <c r="C3588" s="53">
        <f>IF(A3588="","",YEAR(A3588))</f>
        <v/>
      </c>
      <c r="D3588" s="54">
        <f>IF(A3588="","",INDEX(lst_months,MONTH(A3588)))</f>
        <v/>
      </c>
      <c r="E3588" s="55" t="n"/>
      <c r="F3588" s="54">
        <f>IF(E3588="","",IFERROR(IF(INDEX(lst_exp_item_cat,MATCH(E3588,lst_exp_items,0))="","❔ Без категории",INDEX(lst_exp_item_cat,MATCH(E3588,lst_exp_items,0))),"❔ Без категории"))</f>
        <v/>
      </c>
      <c r="G3588" s="43" t="n"/>
      <c r="H3588" s="56" t="n"/>
      <c r="I3588" s="43" t="n"/>
      <c r="J3588" s="57">
        <f>IF(OR(A3588="",H3588=""),"",IF(COUNTIFS(exp_year,C3588,exp_month,D3588,exp_item,E3588,exp_status,"&lt;&gt;❌ Отменено")&gt;0,1,0))</f>
        <v/>
      </c>
    </row>
    <row r="3589">
      <c r="A3589" s="52" t="n"/>
      <c r="B3589" s="53">
        <f>IF(A3589="","",CHOOSE(WEEKDAY(A3589,2),"Пн","Вт","Ср","Чт","Пт","Сб","Вс"))</f>
        <v/>
      </c>
      <c r="C3589" s="53">
        <f>IF(A3589="","",YEAR(A3589))</f>
        <v/>
      </c>
      <c r="D3589" s="54">
        <f>IF(A3589="","",INDEX(lst_months,MONTH(A3589)))</f>
        <v/>
      </c>
      <c r="E3589" s="55" t="n"/>
      <c r="F3589" s="54">
        <f>IF(E3589="","",IFERROR(IF(INDEX(lst_exp_item_cat,MATCH(E3589,lst_exp_items,0))="","❔ Без категории",INDEX(lst_exp_item_cat,MATCH(E3589,lst_exp_items,0))),"❔ Без категории"))</f>
        <v/>
      </c>
      <c r="G3589" s="43" t="n"/>
      <c r="H3589" s="56" t="n"/>
      <c r="I3589" s="43" t="n"/>
      <c r="J3589" s="57">
        <f>IF(OR(A3589="",H3589=""),"",IF(COUNTIFS(exp_year,C3589,exp_month,D3589,exp_item,E3589,exp_status,"&lt;&gt;❌ Отменено")&gt;0,1,0))</f>
        <v/>
      </c>
    </row>
    <row r="3590">
      <c r="A3590" s="52" t="n"/>
      <c r="B3590" s="53">
        <f>IF(A3590="","",CHOOSE(WEEKDAY(A3590,2),"Пн","Вт","Ср","Чт","Пт","Сб","Вс"))</f>
        <v/>
      </c>
      <c r="C3590" s="53">
        <f>IF(A3590="","",YEAR(A3590))</f>
        <v/>
      </c>
      <c r="D3590" s="54">
        <f>IF(A3590="","",INDEX(lst_months,MONTH(A3590)))</f>
        <v/>
      </c>
      <c r="E3590" s="55" t="n"/>
      <c r="F3590" s="54">
        <f>IF(E3590="","",IFERROR(IF(INDEX(lst_exp_item_cat,MATCH(E3590,lst_exp_items,0))="","❔ Без категории",INDEX(lst_exp_item_cat,MATCH(E3590,lst_exp_items,0))),"❔ Без категории"))</f>
        <v/>
      </c>
      <c r="G3590" s="43" t="n"/>
      <c r="H3590" s="56" t="n"/>
      <c r="I3590" s="43" t="n"/>
      <c r="J3590" s="57">
        <f>IF(OR(A3590="",H3590=""),"",IF(COUNTIFS(exp_year,C3590,exp_month,D3590,exp_item,E3590,exp_status,"&lt;&gt;❌ Отменено")&gt;0,1,0))</f>
        <v/>
      </c>
    </row>
    <row r="3591">
      <c r="A3591" s="52" t="n"/>
      <c r="B3591" s="53">
        <f>IF(A3591="","",CHOOSE(WEEKDAY(A3591,2),"Пн","Вт","Ср","Чт","Пт","Сб","Вс"))</f>
        <v/>
      </c>
      <c r="C3591" s="53">
        <f>IF(A3591="","",YEAR(A3591))</f>
        <v/>
      </c>
      <c r="D3591" s="54">
        <f>IF(A3591="","",INDEX(lst_months,MONTH(A3591)))</f>
        <v/>
      </c>
      <c r="E3591" s="55" t="n"/>
      <c r="F3591" s="54">
        <f>IF(E3591="","",IFERROR(IF(INDEX(lst_exp_item_cat,MATCH(E3591,lst_exp_items,0))="","❔ Без категории",INDEX(lst_exp_item_cat,MATCH(E3591,lst_exp_items,0))),"❔ Без категории"))</f>
        <v/>
      </c>
      <c r="G3591" s="43" t="n"/>
      <c r="H3591" s="56" t="n"/>
      <c r="I3591" s="43" t="n"/>
      <c r="J3591" s="57">
        <f>IF(OR(A3591="",H3591=""),"",IF(COUNTIFS(exp_year,C3591,exp_month,D3591,exp_item,E3591,exp_status,"&lt;&gt;❌ Отменено")&gt;0,1,0))</f>
        <v/>
      </c>
    </row>
    <row r="3592">
      <c r="A3592" s="52" t="n"/>
      <c r="B3592" s="53">
        <f>IF(A3592="","",CHOOSE(WEEKDAY(A3592,2),"Пн","Вт","Ср","Чт","Пт","Сб","Вс"))</f>
        <v/>
      </c>
      <c r="C3592" s="53">
        <f>IF(A3592="","",YEAR(A3592))</f>
        <v/>
      </c>
      <c r="D3592" s="54">
        <f>IF(A3592="","",INDEX(lst_months,MONTH(A3592)))</f>
        <v/>
      </c>
      <c r="E3592" s="55" t="n"/>
      <c r="F3592" s="54">
        <f>IF(E3592="","",IFERROR(IF(INDEX(lst_exp_item_cat,MATCH(E3592,lst_exp_items,0))="","❔ Без категории",INDEX(lst_exp_item_cat,MATCH(E3592,lst_exp_items,0))),"❔ Без категории"))</f>
        <v/>
      </c>
      <c r="G3592" s="43" t="n"/>
      <c r="H3592" s="56" t="n"/>
      <c r="I3592" s="43" t="n"/>
      <c r="J3592" s="57">
        <f>IF(OR(A3592="",H3592=""),"",IF(COUNTIFS(exp_year,C3592,exp_month,D3592,exp_item,E3592,exp_status,"&lt;&gt;❌ Отменено")&gt;0,1,0))</f>
        <v/>
      </c>
    </row>
    <row r="3593">
      <c r="A3593" s="52" t="n"/>
      <c r="B3593" s="53">
        <f>IF(A3593="","",CHOOSE(WEEKDAY(A3593,2),"Пн","Вт","Ср","Чт","Пт","Сб","Вс"))</f>
        <v/>
      </c>
      <c r="C3593" s="53">
        <f>IF(A3593="","",YEAR(A3593))</f>
        <v/>
      </c>
      <c r="D3593" s="54">
        <f>IF(A3593="","",INDEX(lst_months,MONTH(A3593)))</f>
        <v/>
      </c>
      <c r="E3593" s="55" t="n"/>
      <c r="F3593" s="54">
        <f>IF(E3593="","",IFERROR(IF(INDEX(lst_exp_item_cat,MATCH(E3593,lst_exp_items,0))="","❔ Без категории",INDEX(lst_exp_item_cat,MATCH(E3593,lst_exp_items,0))),"❔ Без категории"))</f>
        <v/>
      </c>
      <c r="G3593" s="43" t="n"/>
      <c r="H3593" s="56" t="n"/>
      <c r="I3593" s="43" t="n"/>
      <c r="J3593" s="57">
        <f>IF(OR(A3593="",H3593=""),"",IF(COUNTIFS(exp_year,C3593,exp_month,D3593,exp_item,E3593,exp_status,"&lt;&gt;❌ Отменено")&gt;0,1,0))</f>
        <v/>
      </c>
    </row>
    <row r="3594">
      <c r="A3594" s="52" t="n"/>
      <c r="B3594" s="53">
        <f>IF(A3594="","",CHOOSE(WEEKDAY(A3594,2),"Пн","Вт","Ср","Чт","Пт","Сб","Вс"))</f>
        <v/>
      </c>
      <c r="C3594" s="53">
        <f>IF(A3594="","",YEAR(A3594))</f>
        <v/>
      </c>
      <c r="D3594" s="54">
        <f>IF(A3594="","",INDEX(lst_months,MONTH(A3594)))</f>
        <v/>
      </c>
      <c r="E3594" s="55" t="n"/>
      <c r="F3594" s="54">
        <f>IF(E3594="","",IFERROR(IF(INDEX(lst_exp_item_cat,MATCH(E3594,lst_exp_items,0))="","❔ Без категории",INDEX(lst_exp_item_cat,MATCH(E3594,lst_exp_items,0))),"❔ Без категории"))</f>
        <v/>
      </c>
      <c r="G3594" s="43" t="n"/>
      <c r="H3594" s="56" t="n"/>
      <c r="I3594" s="43" t="n"/>
      <c r="J3594" s="57">
        <f>IF(OR(A3594="",H3594=""),"",IF(COUNTIFS(exp_year,C3594,exp_month,D3594,exp_item,E3594,exp_status,"&lt;&gt;❌ Отменено")&gt;0,1,0))</f>
        <v/>
      </c>
    </row>
    <row r="3595">
      <c r="A3595" s="52" t="n"/>
      <c r="B3595" s="53">
        <f>IF(A3595="","",CHOOSE(WEEKDAY(A3595,2),"Пн","Вт","Ср","Чт","Пт","Сб","Вс"))</f>
        <v/>
      </c>
      <c r="C3595" s="53">
        <f>IF(A3595="","",YEAR(A3595))</f>
        <v/>
      </c>
      <c r="D3595" s="54">
        <f>IF(A3595="","",INDEX(lst_months,MONTH(A3595)))</f>
        <v/>
      </c>
      <c r="E3595" s="55" t="n"/>
      <c r="F3595" s="54">
        <f>IF(E3595="","",IFERROR(IF(INDEX(lst_exp_item_cat,MATCH(E3595,lst_exp_items,0))="","❔ Без категории",INDEX(lst_exp_item_cat,MATCH(E3595,lst_exp_items,0))),"❔ Без категории"))</f>
        <v/>
      </c>
      <c r="G3595" s="43" t="n"/>
      <c r="H3595" s="56" t="n"/>
      <c r="I3595" s="43" t="n"/>
      <c r="J3595" s="57">
        <f>IF(OR(A3595="",H3595=""),"",IF(COUNTIFS(exp_year,C3595,exp_month,D3595,exp_item,E3595,exp_status,"&lt;&gt;❌ Отменено")&gt;0,1,0))</f>
        <v/>
      </c>
    </row>
    <row r="3596">
      <c r="A3596" s="52" t="n"/>
      <c r="B3596" s="53">
        <f>IF(A3596="","",CHOOSE(WEEKDAY(A3596,2),"Пн","Вт","Ср","Чт","Пт","Сб","Вс"))</f>
        <v/>
      </c>
      <c r="C3596" s="53">
        <f>IF(A3596="","",YEAR(A3596))</f>
        <v/>
      </c>
      <c r="D3596" s="54">
        <f>IF(A3596="","",INDEX(lst_months,MONTH(A3596)))</f>
        <v/>
      </c>
      <c r="E3596" s="55" t="n"/>
      <c r="F3596" s="54">
        <f>IF(E3596="","",IFERROR(IF(INDEX(lst_exp_item_cat,MATCH(E3596,lst_exp_items,0))="","❔ Без категории",INDEX(lst_exp_item_cat,MATCH(E3596,lst_exp_items,0))),"❔ Без категории"))</f>
        <v/>
      </c>
      <c r="G3596" s="43" t="n"/>
      <c r="H3596" s="56" t="n"/>
      <c r="I3596" s="43" t="n"/>
      <c r="J3596" s="57">
        <f>IF(OR(A3596="",H3596=""),"",IF(COUNTIFS(exp_year,C3596,exp_month,D3596,exp_item,E3596,exp_status,"&lt;&gt;❌ Отменено")&gt;0,1,0))</f>
        <v/>
      </c>
    </row>
    <row r="3597">
      <c r="A3597" s="52" t="n"/>
      <c r="B3597" s="53">
        <f>IF(A3597="","",CHOOSE(WEEKDAY(A3597,2),"Пн","Вт","Ср","Чт","Пт","Сб","Вс"))</f>
        <v/>
      </c>
      <c r="C3597" s="53">
        <f>IF(A3597="","",YEAR(A3597))</f>
        <v/>
      </c>
      <c r="D3597" s="54">
        <f>IF(A3597="","",INDEX(lst_months,MONTH(A3597)))</f>
        <v/>
      </c>
      <c r="E3597" s="55" t="n"/>
      <c r="F3597" s="54">
        <f>IF(E3597="","",IFERROR(IF(INDEX(lst_exp_item_cat,MATCH(E3597,lst_exp_items,0))="","❔ Без категории",INDEX(lst_exp_item_cat,MATCH(E3597,lst_exp_items,0))),"❔ Без категории"))</f>
        <v/>
      </c>
      <c r="G3597" s="43" t="n"/>
      <c r="H3597" s="56" t="n"/>
      <c r="I3597" s="43" t="n"/>
      <c r="J3597" s="57">
        <f>IF(OR(A3597="",H3597=""),"",IF(COUNTIFS(exp_year,C3597,exp_month,D3597,exp_item,E3597,exp_status,"&lt;&gt;❌ Отменено")&gt;0,1,0))</f>
        <v/>
      </c>
    </row>
    <row r="3598">
      <c r="A3598" s="52" t="n"/>
      <c r="B3598" s="53">
        <f>IF(A3598="","",CHOOSE(WEEKDAY(A3598,2),"Пн","Вт","Ср","Чт","Пт","Сб","Вс"))</f>
        <v/>
      </c>
      <c r="C3598" s="53">
        <f>IF(A3598="","",YEAR(A3598))</f>
        <v/>
      </c>
      <c r="D3598" s="54">
        <f>IF(A3598="","",INDEX(lst_months,MONTH(A3598)))</f>
        <v/>
      </c>
      <c r="E3598" s="55" t="n"/>
      <c r="F3598" s="54">
        <f>IF(E3598="","",IFERROR(IF(INDEX(lst_exp_item_cat,MATCH(E3598,lst_exp_items,0))="","❔ Без категории",INDEX(lst_exp_item_cat,MATCH(E3598,lst_exp_items,0))),"❔ Без категории"))</f>
        <v/>
      </c>
      <c r="G3598" s="43" t="n"/>
      <c r="H3598" s="56" t="n"/>
      <c r="I3598" s="43" t="n"/>
      <c r="J3598" s="57">
        <f>IF(OR(A3598="",H3598=""),"",IF(COUNTIFS(exp_year,C3598,exp_month,D3598,exp_item,E3598,exp_status,"&lt;&gt;❌ Отменено")&gt;0,1,0))</f>
        <v/>
      </c>
    </row>
    <row r="3599">
      <c r="A3599" s="52" t="n"/>
      <c r="B3599" s="53">
        <f>IF(A3599="","",CHOOSE(WEEKDAY(A3599,2),"Пн","Вт","Ср","Чт","Пт","Сб","Вс"))</f>
        <v/>
      </c>
      <c r="C3599" s="53">
        <f>IF(A3599="","",YEAR(A3599))</f>
        <v/>
      </c>
      <c r="D3599" s="54">
        <f>IF(A3599="","",INDEX(lst_months,MONTH(A3599)))</f>
        <v/>
      </c>
      <c r="E3599" s="55" t="n"/>
      <c r="F3599" s="54">
        <f>IF(E3599="","",IFERROR(IF(INDEX(lst_exp_item_cat,MATCH(E3599,lst_exp_items,0))="","❔ Без категории",INDEX(lst_exp_item_cat,MATCH(E3599,lst_exp_items,0))),"❔ Без категории"))</f>
        <v/>
      </c>
      <c r="G3599" s="43" t="n"/>
      <c r="H3599" s="56" t="n"/>
      <c r="I3599" s="43" t="n"/>
      <c r="J3599" s="57">
        <f>IF(OR(A3599="",H3599=""),"",IF(COUNTIFS(exp_year,C3599,exp_month,D3599,exp_item,E3599,exp_status,"&lt;&gt;❌ Отменено")&gt;0,1,0))</f>
        <v/>
      </c>
    </row>
    <row r="3600">
      <c r="A3600" s="52" t="n"/>
      <c r="B3600" s="53">
        <f>IF(A3600="","",CHOOSE(WEEKDAY(A3600,2),"Пн","Вт","Ср","Чт","Пт","Сб","Вс"))</f>
        <v/>
      </c>
      <c r="C3600" s="53">
        <f>IF(A3600="","",YEAR(A3600))</f>
        <v/>
      </c>
      <c r="D3600" s="54">
        <f>IF(A3600="","",INDEX(lst_months,MONTH(A3600)))</f>
        <v/>
      </c>
      <c r="E3600" s="55" t="n"/>
      <c r="F3600" s="54">
        <f>IF(E3600="","",IFERROR(IF(INDEX(lst_exp_item_cat,MATCH(E3600,lst_exp_items,0))="","❔ Без категории",INDEX(lst_exp_item_cat,MATCH(E3600,lst_exp_items,0))),"❔ Без категории"))</f>
        <v/>
      </c>
      <c r="G3600" s="43" t="n"/>
      <c r="H3600" s="56" t="n"/>
      <c r="I3600" s="43" t="n"/>
      <c r="J3600" s="57">
        <f>IF(OR(A3600="",H3600=""),"",IF(COUNTIFS(exp_year,C3600,exp_month,D3600,exp_item,E3600,exp_status,"&lt;&gt;❌ Отменено")&gt;0,1,0))</f>
        <v/>
      </c>
    </row>
    <row r="3601">
      <c r="A3601" s="52" t="n"/>
      <c r="B3601" s="53">
        <f>IF(A3601="","",CHOOSE(WEEKDAY(A3601,2),"Пн","Вт","Ср","Чт","Пт","Сб","Вс"))</f>
        <v/>
      </c>
      <c r="C3601" s="53">
        <f>IF(A3601="","",YEAR(A3601))</f>
        <v/>
      </c>
      <c r="D3601" s="54">
        <f>IF(A3601="","",INDEX(lst_months,MONTH(A3601)))</f>
        <v/>
      </c>
      <c r="E3601" s="55" t="n"/>
      <c r="F3601" s="54">
        <f>IF(E3601="","",IFERROR(IF(INDEX(lst_exp_item_cat,MATCH(E3601,lst_exp_items,0))="","❔ Без категории",INDEX(lst_exp_item_cat,MATCH(E3601,lst_exp_items,0))),"❔ Без категории"))</f>
        <v/>
      </c>
      <c r="G3601" s="43" t="n"/>
      <c r="H3601" s="56" t="n"/>
      <c r="I3601" s="43" t="n"/>
      <c r="J3601" s="57">
        <f>IF(OR(A3601="",H3601=""),"",IF(COUNTIFS(exp_year,C3601,exp_month,D3601,exp_item,E3601,exp_status,"&lt;&gt;❌ Отменено")&gt;0,1,0))</f>
        <v/>
      </c>
    </row>
    <row r="3602">
      <c r="A3602" s="52" t="n"/>
      <c r="B3602" s="53">
        <f>IF(A3602="","",CHOOSE(WEEKDAY(A3602,2),"Пн","Вт","Ср","Чт","Пт","Сб","Вс"))</f>
        <v/>
      </c>
      <c r="C3602" s="53">
        <f>IF(A3602="","",YEAR(A3602))</f>
        <v/>
      </c>
      <c r="D3602" s="54">
        <f>IF(A3602="","",INDEX(lst_months,MONTH(A3602)))</f>
        <v/>
      </c>
      <c r="E3602" s="55" t="n"/>
      <c r="F3602" s="54">
        <f>IF(E3602="","",IFERROR(IF(INDEX(lst_exp_item_cat,MATCH(E3602,lst_exp_items,0))="","❔ Без категории",INDEX(lst_exp_item_cat,MATCH(E3602,lst_exp_items,0))),"❔ Без категории"))</f>
        <v/>
      </c>
      <c r="G3602" s="43" t="n"/>
      <c r="H3602" s="56" t="n"/>
      <c r="I3602" s="43" t="n"/>
      <c r="J3602" s="57">
        <f>IF(OR(A3602="",H3602=""),"",IF(COUNTIFS(exp_year,C3602,exp_month,D3602,exp_item,E3602,exp_status,"&lt;&gt;❌ Отменено")&gt;0,1,0))</f>
        <v/>
      </c>
    </row>
    <row r="3603">
      <c r="A3603" s="52" t="n"/>
      <c r="B3603" s="53">
        <f>IF(A3603="","",CHOOSE(WEEKDAY(A3603,2),"Пн","Вт","Ср","Чт","Пт","Сб","Вс"))</f>
        <v/>
      </c>
      <c r="C3603" s="53">
        <f>IF(A3603="","",YEAR(A3603))</f>
        <v/>
      </c>
      <c r="D3603" s="54">
        <f>IF(A3603="","",INDEX(lst_months,MONTH(A3603)))</f>
        <v/>
      </c>
      <c r="E3603" s="55" t="n"/>
      <c r="F3603" s="54">
        <f>IF(E3603="","",IFERROR(IF(INDEX(lst_exp_item_cat,MATCH(E3603,lst_exp_items,0))="","❔ Без категории",INDEX(lst_exp_item_cat,MATCH(E3603,lst_exp_items,0))),"❔ Без категории"))</f>
        <v/>
      </c>
      <c r="G3603" s="43" t="n"/>
      <c r="H3603" s="56" t="n"/>
      <c r="I3603" s="43" t="n"/>
      <c r="J3603" s="57">
        <f>IF(OR(A3603="",H3603=""),"",IF(COUNTIFS(exp_year,C3603,exp_month,D3603,exp_item,E3603,exp_status,"&lt;&gt;❌ Отменено")&gt;0,1,0))</f>
        <v/>
      </c>
    </row>
    <row r="3604">
      <c r="A3604" s="52" t="n"/>
      <c r="B3604" s="53">
        <f>IF(A3604="","",CHOOSE(WEEKDAY(A3604,2),"Пн","Вт","Ср","Чт","Пт","Сб","Вс"))</f>
        <v/>
      </c>
      <c r="C3604" s="53">
        <f>IF(A3604="","",YEAR(A3604))</f>
        <v/>
      </c>
      <c r="D3604" s="54">
        <f>IF(A3604="","",INDEX(lst_months,MONTH(A3604)))</f>
        <v/>
      </c>
      <c r="E3604" s="55" t="n"/>
      <c r="F3604" s="54">
        <f>IF(E3604="","",IFERROR(IF(INDEX(lst_exp_item_cat,MATCH(E3604,lst_exp_items,0))="","❔ Без категории",INDEX(lst_exp_item_cat,MATCH(E3604,lst_exp_items,0))),"❔ Без категории"))</f>
        <v/>
      </c>
      <c r="G3604" s="43" t="n"/>
      <c r="H3604" s="56" t="n"/>
      <c r="I3604" s="43" t="n"/>
      <c r="J3604" s="57">
        <f>IF(OR(A3604="",H3604=""),"",IF(COUNTIFS(exp_year,C3604,exp_month,D3604,exp_item,E3604,exp_status,"&lt;&gt;❌ Отменено")&gt;0,1,0))</f>
        <v/>
      </c>
    </row>
    <row r="3605">
      <c r="A3605" s="52" t="n"/>
      <c r="B3605" s="53">
        <f>IF(A3605="","",CHOOSE(WEEKDAY(A3605,2),"Пн","Вт","Ср","Чт","Пт","Сб","Вс"))</f>
        <v/>
      </c>
      <c r="C3605" s="53">
        <f>IF(A3605="","",YEAR(A3605))</f>
        <v/>
      </c>
      <c r="D3605" s="54">
        <f>IF(A3605="","",INDEX(lst_months,MONTH(A3605)))</f>
        <v/>
      </c>
      <c r="E3605" s="55" t="n"/>
      <c r="F3605" s="54">
        <f>IF(E3605="","",IFERROR(IF(INDEX(lst_exp_item_cat,MATCH(E3605,lst_exp_items,0))="","❔ Без категории",INDEX(lst_exp_item_cat,MATCH(E3605,lst_exp_items,0))),"❔ Без категории"))</f>
        <v/>
      </c>
      <c r="G3605" s="43" t="n"/>
      <c r="H3605" s="56" t="n"/>
      <c r="I3605" s="43" t="n"/>
      <c r="J3605" s="57">
        <f>IF(OR(A3605="",H3605=""),"",IF(COUNTIFS(exp_year,C3605,exp_month,D3605,exp_item,E3605,exp_status,"&lt;&gt;❌ Отменено")&gt;0,1,0))</f>
        <v/>
      </c>
    </row>
    <row r="3606">
      <c r="A3606" s="52" t="n"/>
      <c r="B3606" s="53">
        <f>IF(A3606="","",CHOOSE(WEEKDAY(A3606,2),"Пн","Вт","Ср","Чт","Пт","Сб","Вс"))</f>
        <v/>
      </c>
      <c r="C3606" s="53">
        <f>IF(A3606="","",YEAR(A3606))</f>
        <v/>
      </c>
      <c r="D3606" s="54">
        <f>IF(A3606="","",INDEX(lst_months,MONTH(A3606)))</f>
        <v/>
      </c>
      <c r="E3606" s="55" t="n"/>
      <c r="F3606" s="54">
        <f>IF(E3606="","",IFERROR(IF(INDEX(lst_exp_item_cat,MATCH(E3606,lst_exp_items,0))="","❔ Без категории",INDEX(lst_exp_item_cat,MATCH(E3606,lst_exp_items,0))),"❔ Без категории"))</f>
        <v/>
      </c>
      <c r="G3606" s="43" t="n"/>
      <c r="H3606" s="56" t="n"/>
      <c r="I3606" s="43" t="n"/>
      <c r="J3606" s="57">
        <f>IF(OR(A3606="",H3606=""),"",IF(COUNTIFS(exp_year,C3606,exp_month,D3606,exp_item,E3606,exp_status,"&lt;&gt;❌ Отменено")&gt;0,1,0))</f>
        <v/>
      </c>
    </row>
    <row r="3607">
      <c r="A3607" s="52" t="n"/>
      <c r="B3607" s="53">
        <f>IF(A3607="","",CHOOSE(WEEKDAY(A3607,2),"Пн","Вт","Ср","Чт","Пт","Сб","Вс"))</f>
        <v/>
      </c>
      <c r="C3607" s="53">
        <f>IF(A3607="","",YEAR(A3607))</f>
        <v/>
      </c>
      <c r="D3607" s="54">
        <f>IF(A3607="","",INDEX(lst_months,MONTH(A3607)))</f>
        <v/>
      </c>
      <c r="E3607" s="55" t="n"/>
      <c r="F3607" s="54">
        <f>IF(E3607="","",IFERROR(IF(INDEX(lst_exp_item_cat,MATCH(E3607,lst_exp_items,0))="","❔ Без категории",INDEX(lst_exp_item_cat,MATCH(E3607,lst_exp_items,0))),"❔ Без категории"))</f>
        <v/>
      </c>
      <c r="G3607" s="43" t="n"/>
      <c r="H3607" s="56" t="n"/>
      <c r="I3607" s="43" t="n"/>
      <c r="J3607" s="57">
        <f>IF(OR(A3607="",H3607=""),"",IF(COUNTIFS(exp_year,C3607,exp_month,D3607,exp_item,E3607,exp_status,"&lt;&gt;❌ Отменено")&gt;0,1,0))</f>
        <v/>
      </c>
    </row>
    <row r="3608">
      <c r="A3608" s="52" t="n"/>
      <c r="B3608" s="53">
        <f>IF(A3608="","",CHOOSE(WEEKDAY(A3608,2),"Пн","Вт","Ср","Чт","Пт","Сб","Вс"))</f>
        <v/>
      </c>
      <c r="C3608" s="53">
        <f>IF(A3608="","",YEAR(A3608))</f>
        <v/>
      </c>
      <c r="D3608" s="54">
        <f>IF(A3608="","",INDEX(lst_months,MONTH(A3608)))</f>
        <v/>
      </c>
      <c r="E3608" s="55" t="n"/>
      <c r="F3608" s="54">
        <f>IF(E3608="","",IFERROR(IF(INDEX(lst_exp_item_cat,MATCH(E3608,lst_exp_items,0))="","❔ Без категории",INDEX(lst_exp_item_cat,MATCH(E3608,lst_exp_items,0))),"❔ Без категории"))</f>
        <v/>
      </c>
      <c r="G3608" s="43" t="n"/>
      <c r="H3608" s="56" t="n"/>
      <c r="I3608" s="43" t="n"/>
      <c r="J3608" s="57">
        <f>IF(OR(A3608="",H3608=""),"",IF(COUNTIFS(exp_year,C3608,exp_month,D3608,exp_item,E3608,exp_status,"&lt;&gt;❌ Отменено")&gt;0,1,0))</f>
        <v/>
      </c>
    </row>
    <row r="3609">
      <c r="A3609" s="52" t="n"/>
      <c r="B3609" s="53">
        <f>IF(A3609="","",CHOOSE(WEEKDAY(A3609,2),"Пн","Вт","Ср","Чт","Пт","Сб","Вс"))</f>
        <v/>
      </c>
      <c r="C3609" s="53">
        <f>IF(A3609="","",YEAR(A3609))</f>
        <v/>
      </c>
      <c r="D3609" s="54">
        <f>IF(A3609="","",INDEX(lst_months,MONTH(A3609)))</f>
        <v/>
      </c>
      <c r="E3609" s="55" t="n"/>
      <c r="F3609" s="54">
        <f>IF(E3609="","",IFERROR(IF(INDEX(lst_exp_item_cat,MATCH(E3609,lst_exp_items,0))="","❔ Без категории",INDEX(lst_exp_item_cat,MATCH(E3609,lst_exp_items,0))),"❔ Без категории"))</f>
        <v/>
      </c>
      <c r="G3609" s="43" t="n"/>
      <c r="H3609" s="56" t="n"/>
      <c r="I3609" s="43" t="n"/>
      <c r="J3609" s="57">
        <f>IF(OR(A3609="",H3609=""),"",IF(COUNTIFS(exp_year,C3609,exp_month,D3609,exp_item,E3609,exp_status,"&lt;&gt;❌ Отменено")&gt;0,1,0))</f>
        <v/>
      </c>
    </row>
    <row r="3610">
      <c r="A3610" s="52" t="n"/>
      <c r="B3610" s="53">
        <f>IF(A3610="","",CHOOSE(WEEKDAY(A3610,2),"Пн","Вт","Ср","Чт","Пт","Сб","Вс"))</f>
        <v/>
      </c>
      <c r="C3610" s="53">
        <f>IF(A3610="","",YEAR(A3610))</f>
        <v/>
      </c>
      <c r="D3610" s="54">
        <f>IF(A3610="","",INDEX(lst_months,MONTH(A3610)))</f>
        <v/>
      </c>
      <c r="E3610" s="55" t="n"/>
      <c r="F3610" s="54">
        <f>IF(E3610="","",IFERROR(IF(INDEX(lst_exp_item_cat,MATCH(E3610,lst_exp_items,0))="","❔ Без категории",INDEX(lst_exp_item_cat,MATCH(E3610,lst_exp_items,0))),"❔ Без категории"))</f>
        <v/>
      </c>
      <c r="G3610" s="43" t="n"/>
      <c r="H3610" s="56" t="n"/>
      <c r="I3610" s="43" t="n"/>
      <c r="J3610" s="57">
        <f>IF(OR(A3610="",H3610=""),"",IF(COUNTIFS(exp_year,C3610,exp_month,D3610,exp_item,E3610,exp_status,"&lt;&gt;❌ Отменено")&gt;0,1,0))</f>
        <v/>
      </c>
    </row>
    <row r="3611">
      <c r="A3611" s="52" t="n"/>
      <c r="B3611" s="53">
        <f>IF(A3611="","",CHOOSE(WEEKDAY(A3611,2),"Пн","Вт","Ср","Чт","Пт","Сб","Вс"))</f>
        <v/>
      </c>
      <c r="C3611" s="53">
        <f>IF(A3611="","",YEAR(A3611))</f>
        <v/>
      </c>
      <c r="D3611" s="54">
        <f>IF(A3611="","",INDEX(lst_months,MONTH(A3611)))</f>
        <v/>
      </c>
      <c r="E3611" s="55" t="n"/>
      <c r="F3611" s="54">
        <f>IF(E3611="","",IFERROR(IF(INDEX(lst_exp_item_cat,MATCH(E3611,lst_exp_items,0))="","❔ Без категории",INDEX(lst_exp_item_cat,MATCH(E3611,lst_exp_items,0))),"❔ Без категории"))</f>
        <v/>
      </c>
      <c r="G3611" s="43" t="n"/>
      <c r="H3611" s="56" t="n"/>
      <c r="I3611" s="43" t="n"/>
      <c r="J3611" s="57">
        <f>IF(OR(A3611="",H3611=""),"",IF(COUNTIFS(exp_year,C3611,exp_month,D3611,exp_item,E3611,exp_status,"&lt;&gt;❌ Отменено")&gt;0,1,0))</f>
        <v/>
      </c>
    </row>
    <row r="3612">
      <c r="A3612" s="52" t="n"/>
      <c r="B3612" s="53">
        <f>IF(A3612="","",CHOOSE(WEEKDAY(A3612,2),"Пн","Вт","Ср","Чт","Пт","Сб","Вс"))</f>
        <v/>
      </c>
      <c r="C3612" s="53">
        <f>IF(A3612="","",YEAR(A3612))</f>
        <v/>
      </c>
      <c r="D3612" s="54">
        <f>IF(A3612="","",INDEX(lst_months,MONTH(A3612)))</f>
        <v/>
      </c>
      <c r="E3612" s="55" t="n"/>
      <c r="F3612" s="54">
        <f>IF(E3612="","",IFERROR(IF(INDEX(lst_exp_item_cat,MATCH(E3612,lst_exp_items,0))="","❔ Без категории",INDEX(lst_exp_item_cat,MATCH(E3612,lst_exp_items,0))),"❔ Без категории"))</f>
        <v/>
      </c>
      <c r="G3612" s="43" t="n"/>
      <c r="H3612" s="56" t="n"/>
      <c r="I3612" s="43" t="n"/>
      <c r="J3612" s="57">
        <f>IF(OR(A3612="",H3612=""),"",IF(COUNTIFS(exp_year,C3612,exp_month,D3612,exp_item,E3612,exp_status,"&lt;&gt;❌ Отменено")&gt;0,1,0))</f>
        <v/>
      </c>
    </row>
    <row r="3613">
      <c r="A3613" s="52" t="n"/>
      <c r="B3613" s="53">
        <f>IF(A3613="","",CHOOSE(WEEKDAY(A3613,2),"Пн","Вт","Ср","Чт","Пт","Сб","Вс"))</f>
        <v/>
      </c>
      <c r="C3613" s="53">
        <f>IF(A3613="","",YEAR(A3613))</f>
        <v/>
      </c>
      <c r="D3613" s="54">
        <f>IF(A3613="","",INDEX(lst_months,MONTH(A3613)))</f>
        <v/>
      </c>
      <c r="E3613" s="55" t="n"/>
      <c r="F3613" s="54">
        <f>IF(E3613="","",IFERROR(IF(INDEX(lst_exp_item_cat,MATCH(E3613,lst_exp_items,0))="","❔ Без категории",INDEX(lst_exp_item_cat,MATCH(E3613,lst_exp_items,0))),"❔ Без категории"))</f>
        <v/>
      </c>
      <c r="G3613" s="43" t="n"/>
      <c r="H3613" s="56" t="n"/>
      <c r="I3613" s="43" t="n"/>
      <c r="J3613" s="57">
        <f>IF(OR(A3613="",H3613=""),"",IF(COUNTIFS(exp_year,C3613,exp_month,D3613,exp_item,E3613,exp_status,"&lt;&gt;❌ Отменено")&gt;0,1,0))</f>
        <v/>
      </c>
    </row>
    <row r="3614">
      <c r="A3614" s="52" t="n"/>
      <c r="B3614" s="53">
        <f>IF(A3614="","",CHOOSE(WEEKDAY(A3614,2),"Пн","Вт","Ср","Чт","Пт","Сб","Вс"))</f>
        <v/>
      </c>
      <c r="C3614" s="53">
        <f>IF(A3614="","",YEAR(A3614))</f>
        <v/>
      </c>
      <c r="D3614" s="54">
        <f>IF(A3614="","",INDEX(lst_months,MONTH(A3614)))</f>
        <v/>
      </c>
      <c r="E3614" s="55" t="n"/>
      <c r="F3614" s="54">
        <f>IF(E3614="","",IFERROR(IF(INDEX(lst_exp_item_cat,MATCH(E3614,lst_exp_items,0))="","❔ Без категории",INDEX(lst_exp_item_cat,MATCH(E3614,lst_exp_items,0))),"❔ Без категории"))</f>
        <v/>
      </c>
      <c r="G3614" s="43" t="n"/>
      <c r="H3614" s="56" t="n"/>
      <c r="I3614" s="43" t="n"/>
      <c r="J3614" s="57">
        <f>IF(OR(A3614="",H3614=""),"",IF(COUNTIFS(exp_year,C3614,exp_month,D3614,exp_item,E3614,exp_status,"&lt;&gt;❌ Отменено")&gt;0,1,0))</f>
        <v/>
      </c>
    </row>
    <row r="3615">
      <c r="A3615" s="52" t="n"/>
      <c r="B3615" s="53">
        <f>IF(A3615="","",CHOOSE(WEEKDAY(A3615,2),"Пн","Вт","Ср","Чт","Пт","Сб","Вс"))</f>
        <v/>
      </c>
      <c r="C3615" s="53">
        <f>IF(A3615="","",YEAR(A3615))</f>
        <v/>
      </c>
      <c r="D3615" s="54">
        <f>IF(A3615="","",INDEX(lst_months,MONTH(A3615)))</f>
        <v/>
      </c>
      <c r="E3615" s="55" t="n"/>
      <c r="F3615" s="54">
        <f>IF(E3615="","",IFERROR(IF(INDEX(lst_exp_item_cat,MATCH(E3615,lst_exp_items,0))="","❔ Без категории",INDEX(lst_exp_item_cat,MATCH(E3615,lst_exp_items,0))),"❔ Без категории"))</f>
        <v/>
      </c>
      <c r="G3615" s="43" t="n"/>
      <c r="H3615" s="56" t="n"/>
      <c r="I3615" s="43" t="n"/>
      <c r="J3615" s="57">
        <f>IF(OR(A3615="",H3615=""),"",IF(COUNTIFS(exp_year,C3615,exp_month,D3615,exp_item,E3615,exp_status,"&lt;&gt;❌ Отменено")&gt;0,1,0))</f>
        <v/>
      </c>
    </row>
    <row r="3616">
      <c r="A3616" s="52" t="n"/>
      <c r="B3616" s="53">
        <f>IF(A3616="","",CHOOSE(WEEKDAY(A3616,2),"Пн","Вт","Ср","Чт","Пт","Сб","Вс"))</f>
        <v/>
      </c>
      <c r="C3616" s="53">
        <f>IF(A3616="","",YEAR(A3616))</f>
        <v/>
      </c>
      <c r="D3616" s="54">
        <f>IF(A3616="","",INDEX(lst_months,MONTH(A3616)))</f>
        <v/>
      </c>
      <c r="E3616" s="55" t="n"/>
      <c r="F3616" s="54">
        <f>IF(E3616="","",IFERROR(IF(INDEX(lst_exp_item_cat,MATCH(E3616,lst_exp_items,0))="","❔ Без категории",INDEX(lst_exp_item_cat,MATCH(E3616,lst_exp_items,0))),"❔ Без категории"))</f>
        <v/>
      </c>
      <c r="G3616" s="43" t="n"/>
      <c r="H3616" s="56" t="n"/>
      <c r="I3616" s="43" t="n"/>
      <c r="J3616" s="57">
        <f>IF(OR(A3616="",H3616=""),"",IF(COUNTIFS(exp_year,C3616,exp_month,D3616,exp_item,E3616,exp_status,"&lt;&gt;❌ Отменено")&gt;0,1,0))</f>
        <v/>
      </c>
    </row>
    <row r="3617">
      <c r="A3617" s="52" t="n"/>
      <c r="B3617" s="53">
        <f>IF(A3617="","",CHOOSE(WEEKDAY(A3617,2),"Пн","Вт","Ср","Чт","Пт","Сб","Вс"))</f>
        <v/>
      </c>
      <c r="C3617" s="53">
        <f>IF(A3617="","",YEAR(A3617))</f>
        <v/>
      </c>
      <c r="D3617" s="54">
        <f>IF(A3617="","",INDEX(lst_months,MONTH(A3617)))</f>
        <v/>
      </c>
      <c r="E3617" s="55" t="n"/>
      <c r="F3617" s="54">
        <f>IF(E3617="","",IFERROR(IF(INDEX(lst_exp_item_cat,MATCH(E3617,lst_exp_items,0))="","❔ Без категории",INDEX(lst_exp_item_cat,MATCH(E3617,lst_exp_items,0))),"❔ Без категории"))</f>
        <v/>
      </c>
      <c r="G3617" s="43" t="n"/>
      <c r="H3617" s="56" t="n"/>
      <c r="I3617" s="43" t="n"/>
      <c r="J3617" s="57">
        <f>IF(OR(A3617="",H3617=""),"",IF(COUNTIFS(exp_year,C3617,exp_month,D3617,exp_item,E3617,exp_status,"&lt;&gt;❌ Отменено")&gt;0,1,0))</f>
        <v/>
      </c>
    </row>
    <row r="3618">
      <c r="A3618" s="52" t="n"/>
      <c r="B3618" s="53">
        <f>IF(A3618="","",CHOOSE(WEEKDAY(A3618,2),"Пн","Вт","Ср","Чт","Пт","Сб","Вс"))</f>
        <v/>
      </c>
      <c r="C3618" s="53">
        <f>IF(A3618="","",YEAR(A3618))</f>
        <v/>
      </c>
      <c r="D3618" s="54">
        <f>IF(A3618="","",INDEX(lst_months,MONTH(A3618)))</f>
        <v/>
      </c>
      <c r="E3618" s="55" t="n"/>
      <c r="F3618" s="54">
        <f>IF(E3618="","",IFERROR(IF(INDEX(lst_exp_item_cat,MATCH(E3618,lst_exp_items,0))="","❔ Без категории",INDEX(lst_exp_item_cat,MATCH(E3618,lst_exp_items,0))),"❔ Без категории"))</f>
        <v/>
      </c>
      <c r="G3618" s="43" t="n"/>
      <c r="H3618" s="56" t="n"/>
      <c r="I3618" s="43" t="n"/>
      <c r="J3618" s="57">
        <f>IF(OR(A3618="",H3618=""),"",IF(COUNTIFS(exp_year,C3618,exp_month,D3618,exp_item,E3618,exp_status,"&lt;&gt;❌ Отменено")&gt;0,1,0))</f>
        <v/>
      </c>
    </row>
    <row r="3619">
      <c r="A3619" s="52" t="n"/>
      <c r="B3619" s="53">
        <f>IF(A3619="","",CHOOSE(WEEKDAY(A3619,2),"Пн","Вт","Ср","Чт","Пт","Сб","Вс"))</f>
        <v/>
      </c>
      <c r="C3619" s="53">
        <f>IF(A3619="","",YEAR(A3619))</f>
        <v/>
      </c>
      <c r="D3619" s="54">
        <f>IF(A3619="","",INDEX(lst_months,MONTH(A3619)))</f>
        <v/>
      </c>
      <c r="E3619" s="55" t="n"/>
      <c r="F3619" s="54">
        <f>IF(E3619="","",IFERROR(IF(INDEX(lst_exp_item_cat,MATCH(E3619,lst_exp_items,0))="","❔ Без категории",INDEX(lst_exp_item_cat,MATCH(E3619,lst_exp_items,0))),"❔ Без категории"))</f>
        <v/>
      </c>
      <c r="G3619" s="43" t="n"/>
      <c r="H3619" s="56" t="n"/>
      <c r="I3619" s="43" t="n"/>
      <c r="J3619" s="57">
        <f>IF(OR(A3619="",H3619=""),"",IF(COUNTIFS(exp_year,C3619,exp_month,D3619,exp_item,E3619,exp_status,"&lt;&gt;❌ Отменено")&gt;0,1,0))</f>
        <v/>
      </c>
    </row>
    <row r="3620">
      <c r="A3620" s="52" t="n"/>
      <c r="B3620" s="53">
        <f>IF(A3620="","",CHOOSE(WEEKDAY(A3620,2),"Пн","Вт","Ср","Чт","Пт","Сб","Вс"))</f>
        <v/>
      </c>
      <c r="C3620" s="53">
        <f>IF(A3620="","",YEAR(A3620))</f>
        <v/>
      </c>
      <c r="D3620" s="54">
        <f>IF(A3620="","",INDEX(lst_months,MONTH(A3620)))</f>
        <v/>
      </c>
      <c r="E3620" s="55" t="n"/>
      <c r="F3620" s="54">
        <f>IF(E3620="","",IFERROR(IF(INDEX(lst_exp_item_cat,MATCH(E3620,lst_exp_items,0))="","❔ Без категории",INDEX(lst_exp_item_cat,MATCH(E3620,lst_exp_items,0))),"❔ Без категории"))</f>
        <v/>
      </c>
      <c r="G3620" s="43" t="n"/>
      <c r="H3620" s="56" t="n"/>
      <c r="I3620" s="43" t="n"/>
      <c r="J3620" s="57">
        <f>IF(OR(A3620="",H3620=""),"",IF(COUNTIFS(exp_year,C3620,exp_month,D3620,exp_item,E3620,exp_status,"&lt;&gt;❌ Отменено")&gt;0,1,0))</f>
        <v/>
      </c>
    </row>
    <row r="3621">
      <c r="A3621" s="52" t="n"/>
      <c r="B3621" s="53">
        <f>IF(A3621="","",CHOOSE(WEEKDAY(A3621,2),"Пн","Вт","Ср","Чт","Пт","Сб","Вс"))</f>
        <v/>
      </c>
      <c r="C3621" s="53">
        <f>IF(A3621="","",YEAR(A3621))</f>
        <v/>
      </c>
      <c r="D3621" s="54">
        <f>IF(A3621="","",INDEX(lst_months,MONTH(A3621)))</f>
        <v/>
      </c>
      <c r="E3621" s="55" t="n"/>
      <c r="F3621" s="54">
        <f>IF(E3621="","",IFERROR(IF(INDEX(lst_exp_item_cat,MATCH(E3621,lst_exp_items,0))="","❔ Без категории",INDEX(lst_exp_item_cat,MATCH(E3621,lst_exp_items,0))),"❔ Без категории"))</f>
        <v/>
      </c>
      <c r="G3621" s="43" t="n"/>
      <c r="H3621" s="56" t="n"/>
      <c r="I3621" s="43" t="n"/>
      <c r="J3621" s="57">
        <f>IF(OR(A3621="",H3621=""),"",IF(COUNTIFS(exp_year,C3621,exp_month,D3621,exp_item,E3621,exp_status,"&lt;&gt;❌ Отменено")&gt;0,1,0))</f>
        <v/>
      </c>
    </row>
    <row r="3622">
      <c r="A3622" s="52" t="n"/>
      <c r="B3622" s="53">
        <f>IF(A3622="","",CHOOSE(WEEKDAY(A3622,2),"Пн","Вт","Ср","Чт","Пт","Сб","Вс"))</f>
        <v/>
      </c>
      <c r="C3622" s="53">
        <f>IF(A3622="","",YEAR(A3622))</f>
        <v/>
      </c>
      <c r="D3622" s="54">
        <f>IF(A3622="","",INDEX(lst_months,MONTH(A3622)))</f>
        <v/>
      </c>
      <c r="E3622" s="55" t="n"/>
      <c r="F3622" s="54">
        <f>IF(E3622="","",IFERROR(IF(INDEX(lst_exp_item_cat,MATCH(E3622,lst_exp_items,0))="","❔ Без категории",INDEX(lst_exp_item_cat,MATCH(E3622,lst_exp_items,0))),"❔ Без категории"))</f>
        <v/>
      </c>
      <c r="G3622" s="43" t="n"/>
      <c r="H3622" s="56" t="n"/>
      <c r="I3622" s="43" t="n"/>
      <c r="J3622" s="57">
        <f>IF(OR(A3622="",H3622=""),"",IF(COUNTIFS(exp_year,C3622,exp_month,D3622,exp_item,E3622,exp_status,"&lt;&gt;❌ Отменено")&gt;0,1,0))</f>
        <v/>
      </c>
    </row>
    <row r="3623">
      <c r="A3623" s="52" t="n"/>
      <c r="B3623" s="53">
        <f>IF(A3623="","",CHOOSE(WEEKDAY(A3623,2),"Пн","Вт","Ср","Чт","Пт","Сб","Вс"))</f>
        <v/>
      </c>
      <c r="C3623" s="53">
        <f>IF(A3623="","",YEAR(A3623))</f>
        <v/>
      </c>
      <c r="D3623" s="54">
        <f>IF(A3623="","",INDEX(lst_months,MONTH(A3623)))</f>
        <v/>
      </c>
      <c r="E3623" s="55" t="n"/>
      <c r="F3623" s="54">
        <f>IF(E3623="","",IFERROR(IF(INDEX(lst_exp_item_cat,MATCH(E3623,lst_exp_items,0))="","❔ Без категории",INDEX(lst_exp_item_cat,MATCH(E3623,lst_exp_items,0))),"❔ Без категории"))</f>
        <v/>
      </c>
      <c r="G3623" s="43" t="n"/>
      <c r="H3623" s="56" t="n"/>
      <c r="I3623" s="43" t="n"/>
      <c r="J3623" s="57">
        <f>IF(OR(A3623="",H3623=""),"",IF(COUNTIFS(exp_year,C3623,exp_month,D3623,exp_item,E3623,exp_status,"&lt;&gt;❌ Отменено")&gt;0,1,0))</f>
        <v/>
      </c>
    </row>
    <row r="3624">
      <c r="A3624" s="52" t="n"/>
      <c r="B3624" s="53">
        <f>IF(A3624="","",CHOOSE(WEEKDAY(A3624,2),"Пн","Вт","Ср","Чт","Пт","Сб","Вс"))</f>
        <v/>
      </c>
      <c r="C3624" s="53">
        <f>IF(A3624="","",YEAR(A3624))</f>
        <v/>
      </c>
      <c r="D3624" s="54">
        <f>IF(A3624="","",INDEX(lst_months,MONTH(A3624)))</f>
        <v/>
      </c>
      <c r="E3624" s="55" t="n"/>
      <c r="F3624" s="54">
        <f>IF(E3624="","",IFERROR(IF(INDEX(lst_exp_item_cat,MATCH(E3624,lst_exp_items,0))="","❔ Без категории",INDEX(lst_exp_item_cat,MATCH(E3624,lst_exp_items,0))),"❔ Без категории"))</f>
        <v/>
      </c>
      <c r="G3624" s="43" t="n"/>
      <c r="H3624" s="56" t="n"/>
      <c r="I3624" s="43" t="n"/>
      <c r="J3624" s="57">
        <f>IF(OR(A3624="",H3624=""),"",IF(COUNTIFS(exp_year,C3624,exp_month,D3624,exp_item,E3624,exp_status,"&lt;&gt;❌ Отменено")&gt;0,1,0))</f>
        <v/>
      </c>
    </row>
    <row r="3625">
      <c r="A3625" s="52" t="n"/>
      <c r="B3625" s="53">
        <f>IF(A3625="","",CHOOSE(WEEKDAY(A3625,2),"Пн","Вт","Ср","Чт","Пт","Сб","Вс"))</f>
        <v/>
      </c>
      <c r="C3625" s="53">
        <f>IF(A3625="","",YEAR(A3625))</f>
        <v/>
      </c>
      <c r="D3625" s="54">
        <f>IF(A3625="","",INDEX(lst_months,MONTH(A3625)))</f>
        <v/>
      </c>
      <c r="E3625" s="55" t="n"/>
      <c r="F3625" s="54">
        <f>IF(E3625="","",IFERROR(IF(INDEX(lst_exp_item_cat,MATCH(E3625,lst_exp_items,0))="","❔ Без категории",INDEX(lst_exp_item_cat,MATCH(E3625,lst_exp_items,0))),"❔ Без категории"))</f>
        <v/>
      </c>
      <c r="G3625" s="43" t="n"/>
      <c r="H3625" s="56" t="n"/>
      <c r="I3625" s="43" t="n"/>
      <c r="J3625" s="57">
        <f>IF(OR(A3625="",H3625=""),"",IF(COUNTIFS(exp_year,C3625,exp_month,D3625,exp_item,E3625,exp_status,"&lt;&gt;❌ Отменено")&gt;0,1,0))</f>
        <v/>
      </c>
    </row>
    <row r="3626">
      <c r="A3626" s="52" t="n"/>
      <c r="B3626" s="53">
        <f>IF(A3626="","",CHOOSE(WEEKDAY(A3626,2),"Пн","Вт","Ср","Чт","Пт","Сб","Вс"))</f>
        <v/>
      </c>
      <c r="C3626" s="53">
        <f>IF(A3626="","",YEAR(A3626))</f>
        <v/>
      </c>
      <c r="D3626" s="54">
        <f>IF(A3626="","",INDEX(lst_months,MONTH(A3626)))</f>
        <v/>
      </c>
      <c r="E3626" s="55" t="n"/>
      <c r="F3626" s="54">
        <f>IF(E3626="","",IFERROR(IF(INDEX(lst_exp_item_cat,MATCH(E3626,lst_exp_items,0))="","❔ Без категории",INDEX(lst_exp_item_cat,MATCH(E3626,lst_exp_items,0))),"❔ Без категории"))</f>
        <v/>
      </c>
      <c r="G3626" s="43" t="n"/>
      <c r="H3626" s="56" t="n"/>
      <c r="I3626" s="43" t="n"/>
      <c r="J3626" s="57">
        <f>IF(OR(A3626="",H3626=""),"",IF(COUNTIFS(exp_year,C3626,exp_month,D3626,exp_item,E3626,exp_status,"&lt;&gt;❌ Отменено")&gt;0,1,0))</f>
        <v/>
      </c>
    </row>
    <row r="3627">
      <c r="A3627" s="52" t="n"/>
      <c r="B3627" s="53">
        <f>IF(A3627="","",CHOOSE(WEEKDAY(A3627,2),"Пн","Вт","Ср","Чт","Пт","Сб","Вс"))</f>
        <v/>
      </c>
      <c r="C3627" s="53">
        <f>IF(A3627="","",YEAR(A3627))</f>
        <v/>
      </c>
      <c r="D3627" s="54">
        <f>IF(A3627="","",INDEX(lst_months,MONTH(A3627)))</f>
        <v/>
      </c>
      <c r="E3627" s="55" t="n"/>
      <c r="F3627" s="54">
        <f>IF(E3627="","",IFERROR(IF(INDEX(lst_exp_item_cat,MATCH(E3627,lst_exp_items,0))="","❔ Без категории",INDEX(lst_exp_item_cat,MATCH(E3627,lst_exp_items,0))),"❔ Без категории"))</f>
        <v/>
      </c>
      <c r="G3627" s="43" t="n"/>
      <c r="H3627" s="56" t="n"/>
      <c r="I3627" s="43" t="n"/>
      <c r="J3627" s="57">
        <f>IF(OR(A3627="",H3627=""),"",IF(COUNTIFS(exp_year,C3627,exp_month,D3627,exp_item,E3627,exp_status,"&lt;&gt;❌ Отменено")&gt;0,1,0))</f>
        <v/>
      </c>
    </row>
    <row r="3628">
      <c r="A3628" s="52" t="n"/>
      <c r="B3628" s="53">
        <f>IF(A3628="","",CHOOSE(WEEKDAY(A3628,2),"Пн","Вт","Ср","Чт","Пт","Сб","Вс"))</f>
        <v/>
      </c>
      <c r="C3628" s="53">
        <f>IF(A3628="","",YEAR(A3628))</f>
        <v/>
      </c>
      <c r="D3628" s="54">
        <f>IF(A3628="","",INDEX(lst_months,MONTH(A3628)))</f>
        <v/>
      </c>
      <c r="E3628" s="55" t="n"/>
      <c r="F3628" s="54">
        <f>IF(E3628="","",IFERROR(IF(INDEX(lst_exp_item_cat,MATCH(E3628,lst_exp_items,0))="","❔ Без категории",INDEX(lst_exp_item_cat,MATCH(E3628,lst_exp_items,0))),"❔ Без категории"))</f>
        <v/>
      </c>
      <c r="G3628" s="43" t="n"/>
      <c r="H3628" s="56" t="n"/>
      <c r="I3628" s="43" t="n"/>
      <c r="J3628" s="57">
        <f>IF(OR(A3628="",H3628=""),"",IF(COUNTIFS(exp_year,C3628,exp_month,D3628,exp_item,E3628,exp_status,"&lt;&gt;❌ Отменено")&gt;0,1,0))</f>
        <v/>
      </c>
    </row>
    <row r="3629">
      <c r="A3629" s="52" t="n"/>
      <c r="B3629" s="53">
        <f>IF(A3629="","",CHOOSE(WEEKDAY(A3629,2),"Пн","Вт","Ср","Чт","Пт","Сб","Вс"))</f>
        <v/>
      </c>
      <c r="C3629" s="53">
        <f>IF(A3629="","",YEAR(A3629))</f>
        <v/>
      </c>
      <c r="D3629" s="54">
        <f>IF(A3629="","",INDEX(lst_months,MONTH(A3629)))</f>
        <v/>
      </c>
      <c r="E3629" s="55" t="n"/>
      <c r="F3629" s="54">
        <f>IF(E3629="","",IFERROR(IF(INDEX(lst_exp_item_cat,MATCH(E3629,lst_exp_items,0))="","❔ Без категории",INDEX(lst_exp_item_cat,MATCH(E3629,lst_exp_items,0))),"❔ Без категории"))</f>
        <v/>
      </c>
      <c r="G3629" s="43" t="n"/>
      <c r="H3629" s="56" t="n"/>
      <c r="I3629" s="43" t="n"/>
      <c r="J3629" s="57">
        <f>IF(OR(A3629="",H3629=""),"",IF(COUNTIFS(exp_year,C3629,exp_month,D3629,exp_item,E3629,exp_status,"&lt;&gt;❌ Отменено")&gt;0,1,0))</f>
        <v/>
      </c>
    </row>
    <row r="3630">
      <c r="A3630" s="52" t="n"/>
      <c r="B3630" s="53">
        <f>IF(A3630="","",CHOOSE(WEEKDAY(A3630,2),"Пн","Вт","Ср","Чт","Пт","Сб","Вс"))</f>
        <v/>
      </c>
      <c r="C3630" s="53">
        <f>IF(A3630="","",YEAR(A3630))</f>
        <v/>
      </c>
      <c r="D3630" s="54">
        <f>IF(A3630="","",INDEX(lst_months,MONTH(A3630)))</f>
        <v/>
      </c>
      <c r="E3630" s="55" t="n"/>
      <c r="F3630" s="54">
        <f>IF(E3630="","",IFERROR(IF(INDEX(lst_exp_item_cat,MATCH(E3630,lst_exp_items,0))="","❔ Без категории",INDEX(lst_exp_item_cat,MATCH(E3630,lst_exp_items,0))),"❔ Без категории"))</f>
        <v/>
      </c>
      <c r="G3630" s="43" t="n"/>
      <c r="H3630" s="56" t="n"/>
      <c r="I3630" s="43" t="n"/>
      <c r="J3630" s="57">
        <f>IF(OR(A3630="",H3630=""),"",IF(COUNTIFS(exp_year,C3630,exp_month,D3630,exp_item,E3630,exp_status,"&lt;&gt;❌ Отменено")&gt;0,1,0))</f>
        <v/>
      </c>
    </row>
    <row r="3631">
      <c r="A3631" s="52" t="n"/>
      <c r="B3631" s="53">
        <f>IF(A3631="","",CHOOSE(WEEKDAY(A3631,2),"Пн","Вт","Ср","Чт","Пт","Сб","Вс"))</f>
        <v/>
      </c>
      <c r="C3631" s="53">
        <f>IF(A3631="","",YEAR(A3631))</f>
        <v/>
      </c>
      <c r="D3631" s="54">
        <f>IF(A3631="","",INDEX(lst_months,MONTH(A3631)))</f>
        <v/>
      </c>
      <c r="E3631" s="55" t="n"/>
      <c r="F3631" s="54">
        <f>IF(E3631="","",IFERROR(IF(INDEX(lst_exp_item_cat,MATCH(E3631,lst_exp_items,0))="","❔ Без категории",INDEX(lst_exp_item_cat,MATCH(E3631,lst_exp_items,0))),"❔ Без категории"))</f>
        <v/>
      </c>
      <c r="G3631" s="43" t="n"/>
      <c r="H3631" s="56" t="n"/>
      <c r="I3631" s="43" t="n"/>
      <c r="J3631" s="57">
        <f>IF(OR(A3631="",H3631=""),"",IF(COUNTIFS(exp_year,C3631,exp_month,D3631,exp_item,E3631,exp_status,"&lt;&gt;❌ Отменено")&gt;0,1,0))</f>
        <v/>
      </c>
    </row>
    <row r="3632">
      <c r="A3632" s="52" t="n"/>
      <c r="B3632" s="53">
        <f>IF(A3632="","",CHOOSE(WEEKDAY(A3632,2),"Пн","Вт","Ср","Чт","Пт","Сб","Вс"))</f>
        <v/>
      </c>
      <c r="C3632" s="53">
        <f>IF(A3632="","",YEAR(A3632))</f>
        <v/>
      </c>
      <c r="D3632" s="54">
        <f>IF(A3632="","",INDEX(lst_months,MONTH(A3632)))</f>
        <v/>
      </c>
      <c r="E3632" s="55" t="n"/>
      <c r="F3632" s="54">
        <f>IF(E3632="","",IFERROR(IF(INDEX(lst_exp_item_cat,MATCH(E3632,lst_exp_items,0))="","❔ Без категории",INDEX(lst_exp_item_cat,MATCH(E3632,lst_exp_items,0))),"❔ Без категории"))</f>
        <v/>
      </c>
      <c r="G3632" s="43" t="n"/>
      <c r="H3632" s="56" t="n"/>
      <c r="I3632" s="43" t="n"/>
      <c r="J3632" s="57">
        <f>IF(OR(A3632="",H3632=""),"",IF(COUNTIFS(exp_year,C3632,exp_month,D3632,exp_item,E3632,exp_status,"&lt;&gt;❌ Отменено")&gt;0,1,0))</f>
        <v/>
      </c>
    </row>
    <row r="3633">
      <c r="A3633" s="52" t="n"/>
      <c r="B3633" s="53">
        <f>IF(A3633="","",CHOOSE(WEEKDAY(A3633,2),"Пн","Вт","Ср","Чт","Пт","Сб","Вс"))</f>
        <v/>
      </c>
      <c r="C3633" s="53">
        <f>IF(A3633="","",YEAR(A3633))</f>
        <v/>
      </c>
      <c r="D3633" s="54">
        <f>IF(A3633="","",INDEX(lst_months,MONTH(A3633)))</f>
        <v/>
      </c>
      <c r="E3633" s="55" t="n"/>
      <c r="F3633" s="54">
        <f>IF(E3633="","",IFERROR(IF(INDEX(lst_exp_item_cat,MATCH(E3633,lst_exp_items,0))="","❔ Без категории",INDEX(lst_exp_item_cat,MATCH(E3633,lst_exp_items,0))),"❔ Без категории"))</f>
        <v/>
      </c>
      <c r="G3633" s="43" t="n"/>
      <c r="H3633" s="56" t="n"/>
      <c r="I3633" s="43" t="n"/>
      <c r="J3633" s="57">
        <f>IF(OR(A3633="",H3633=""),"",IF(COUNTIFS(exp_year,C3633,exp_month,D3633,exp_item,E3633,exp_status,"&lt;&gt;❌ Отменено")&gt;0,1,0))</f>
        <v/>
      </c>
    </row>
    <row r="3634">
      <c r="A3634" s="52" t="n"/>
      <c r="B3634" s="53">
        <f>IF(A3634="","",CHOOSE(WEEKDAY(A3634,2),"Пн","Вт","Ср","Чт","Пт","Сб","Вс"))</f>
        <v/>
      </c>
      <c r="C3634" s="53">
        <f>IF(A3634="","",YEAR(A3634))</f>
        <v/>
      </c>
      <c r="D3634" s="54">
        <f>IF(A3634="","",INDEX(lst_months,MONTH(A3634)))</f>
        <v/>
      </c>
      <c r="E3634" s="55" t="n"/>
      <c r="F3634" s="54">
        <f>IF(E3634="","",IFERROR(IF(INDEX(lst_exp_item_cat,MATCH(E3634,lst_exp_items,0))="","❔ Без категории",INDEX(lst_exp_item_cat,MATCH(E3634,lst_exp_items,0))),"❔ Без категории"))</f>
        <v/>
      </c>
      <c r="G3634" s="43" t="n"/>
      <c r="H3634" s="56" t="n"/>
      <c r="I3634" s="43" t="n"/>
      <c r="J3634" s="57">
        <f>IF(OR(A3634="",H3634=""),"",IF(COUNTIFS(exp_year,C3634,exp_month,D3634,exp_item,E3634,exp_status,"&lt;&gt;❌ Отменено")&gt;0,1,0))</f>
        <v/>
      </c>
    </row>
    <row r="3635">
      <c r="A3635" s="52" t="n"/>
      <c r="B3635" s="53">
        <f>IF(A3635="","",CHOOSE(WEEKDAY(A3635,2),"Пн","Вт","Ср","Чт","Пт","Сб","Вс"))</f>
        <v/>
      </c>
      <c r="C3635" s="53">
        <f>IF(A3635="","",YEAR(A3635))</f>
        <v/>
      </c>
      <c r="D3635" s="54">
        <f>IF(A3635="","",INDEX(lst_months,MONTH(A3635)))</f>
        <v/>
      </c>
      <c r="E3635" s="55" t="n"/>
      <c r="F3635" s="54">
        <f>IF(E3635="","",IFERROR(IF(INDEX(lst_exp_item_cat,MATCH(E3635,lst_exp_items,0))="","❔ Без категории",INDEX(lst_exp_item_cat,MATCH(E3635,lst_exp_items,0))),"❔ Без категории"))</f>
        <v/>
      </c>
      <c r="G3635" s="43" t="n"/>
      <c r="H3635" s="56" t="n"/>
      <c r="I3635" s="43" t="n"/>
      <c r="J3635" s="57">
        <f>IF(OR(A3635="",H3635=""),"",IF(COUNTIFS(exp_year,C3635,exp_month,D3635,exp_item,E3635,exp_status,"&lt;&gt;❌ Отменено")&gt;0,1,0))</f>
        <v/>
      </c>
    </row>
    <row r="3636">
      <c r="A3636" s="52" t="n"/>
      <c r="B3636" s="53">
        <f>IF(A3636="","",CHOOSE(WEEKDAY(A3636,2),"Пн","Вт","Ср","Чт","Пт","Сб","Вс"))</f>
        <v/>
      </c>
      <c r="C3636" s="53">
        <f>IF(A3636="","",YEAR(A3636))</f>
        <v/>
      </c>
      <c r="D3636" s="54">
        <f>IF(A3636="","",INDEX(lst_months,MONTH(A3636)))</f>
        <v/>
      </c>
      <c r="E3636" s="55" t="n"/>
      <c r="F3636" s="54">
        <f>IF(E3636="","",IFERROR(IF(INDEX(lst_exp_item_cat,MATCH(E3636,lst_exp_items,0))="","❔ Без категории",INDEX(lst_exp_item_cat,MATCH(E3636,lst_exp_items,0))),"❔ Без категории"))</f>
        <v/>
      </c>
      <c r="G3636" s="43" t="n"/>
      <c r="H3636" s="56" t="n"/>
      <c r="I3636" s="43" t="n"/>
      <c r="J3636" s="57">
        <f>IF(OR(A3636="",H3636=""),"",IF(COUNTIFS(exp_year,C3636,exp_month,D3636,exp_item,E3636,exp_status,"&lt;&gt;❌ Отменено")&gt;0,1,0))</f>
        <v/>
      </c>
    </row>
    <row r="3637">
      <c r="A3637" s="52" t="n"/>
      <c r="B3637" s="53">
        <f>IF(A3637="","",CHOOSE(WEEKDAY(A3637,2),"Пн","Вт","Ср","Чт","Пт","Сб","Вс"))</f>
        <v/>
      </c>
      <c r="C3637" s="53">
        <f>IF(A3637="","",YEAR(A3637))</f>
        <v/>
      </c>
      <c r="D3637" s="54">
        <f>IF(A3637="","",INDEX(lst_months,MONTH(A3637)))</f>
        <v/>
      </c>
      <c r="E3637" s="55" t="n"/>
      <c r="F3637" s="54">
        <f>IF(E3637="","",IFERROR(IF(INDEX(lst_exp_item_cat,MATCH(E3637,lst_exp_items,0))="","❔ Без категории",INDEX(lst_exp_item_cat,MATCH(E3637,lst_exp_items,0))),"❔ Без категории"))</f>
        <v/>
      </c>
      <c r="G3637" s="43" t="n"/>
      <c r="H3637" s="56" t="n"/>
      <c r="I3637" s="43" t="n"/>
      <c r="J3637" s="57">
        <f>IF(OR(A3637="",H3637=""),"",IF(COUNTIFS(exp_year,C3637,exp_month,D3637,exp_item,E3637,exp_status,"&lt;&gt;❌ Отменено")&gt;0,1,0))</f>
        <v/>
      </c>
    </row>
    <row r="3638">
      <c r="A3638" s="52" t="n"/>
      <c r="B3638" s="53">
        <f>IF(A3638="","",CHOOSE(WEEKDAY(A3638,2),"Пн","Вт","Ср","Чт","Пт","Сб","Вс"))</f>
        <v/>
      </c>
      <c r="C3638" s="53">
        <f>IF(A3638="","",YEAR(A3638))</f>
        <v/>
      </c>
      <c r="D3638" s="54">
        <f>IF(A3638="","",INDEX(lst_months,MONTH(A3638)))</f>
        <v/>
      </c>
      <c r="E3638" s="55" t="n"/>
      <c r="F3638" s="54">
        <f>IF(E3638="","",IFERROR(IF(INDEX(lst_exp_item_cat,MATCH(E3638,lst_exp_items,0))="","❔ Без категории",INDEX(lst_exp_item_cat,MATCH(E3638,lst_exp_items,0))),"❔ Без категории"))</f>
        <v/>
      </c>
      <c r="G3638" s="43" t="n"/>
      <c r="H3638" s="56" t="n"/>
      <c r="I3638" s="43" t="n"/>
      <c r="J3638" s="57">
        <f>IF(OR(A3638="",H3638=""),"",IF(COUNTIFS(exp_year,C3638,exp_month,D3638,exp_item,E3638,exp_status,"&lt;&gt;❌ Отменено")&gt;0,1,0))</f>
        <v/>
      </c>
    </row>
    <row r="3639">
      <c r="A3639" s="52" t="n"/>
      <c r="B3639" s="53">
        <f>IF(A3639="","",CHOOSE(WEEKDAY(A3639,2),"Пн","Вт","Ср","Чт","Пт","Сб","Вс"))</f>
        <v/>
      </c>
      <c r="C3639" s="53">
        <f>IF(A3639="","",YEAR(A3639))</f>
        <v/>
      </c>
      <c r="D3639" s="54">
        <f>IF(A3639="","",INDEX(lst_months,MONTH(A3639)))</f>
        <v/>
      </c>
      <c r="E3639" s="55" t="n"/>
      <c r="F3639" s="54">
        <f>IF(E3639="","",IFERROR(IF(INDEX(lst_exp_item_cat,MATCH(E3639,lst_exp_items,0))="","❔ Без категории",INDEX(lst_exp_item_cat,MATCH(E3639,lst_exp_items,0))),"❔ Без категории"))</f>
        <v/>
      </c>
      <c r="G3639" s="43" t="n"/>
      <c r="H3639" s="56" t="n"/>
      <c r="I3639" s="43" t="n"/>
      <c r="J3639" s="57">
        <f>IF(OR(A3639="",H3639=""),"",IF(COUNTIFS(exp_year,C3639,exp_month,D3639,exp_item,E3639,exp_status,"&lt;&gt;❌ Отменено")&gt;0,1,0))</f>
        <v/>
      </c>
    </row>
    <row r="3640">
      <c r="A3640" s="52" t="n"/>
      <c r="B3640" s="53">
        <f>IF(A3640="","",CHOOSE(WEEKDAY(A3640,2),"Пн","Вт","Ср","Чт","Пт","Сб","Вс"))</f>
        <v/>
      </c>
      <c r="C3640" s="53">
        <f>IF(A3640="","",YEAR(A3640))</f>
        <v/>
      </c>
      <c r="D3640" s="54">
        <f>IF(A3640="","",INDEX(lst_months,MONTH(A3640)))</f>
        <v/>
      </c>
      <c r="E3640" s="55" t="n"/>
      <c r="F3640" s="54">
        <f>IF(E3640="","",IFERROR(IF(INDEX(lst_exp_item_cat,MATCH(E3640,lst_exp_items,0))="","❔ Без категории",INDEX(lst_exp_item_cat,MATCH(E3640,lst_exp_items,0))),"❔ Без категории"))</f>
        <v/>
      </c>
      <c r="G3640" s="43" t="n"/>
      <c r="H3640" s="56" t="n"/>
      <c r="I3640" s="43" t="n"/>
      <c r="J3640" s="57">
        <f>IF(OR(A3640="",H3640=""),"",IF(COUNTIFS(exp_year,C3640,exp_month,D3640,exp_item,E3640,exp_status,"&lt;&gt;❌ Отменено")&gt;0,1,0))</f>
        <v/>
      </c>
    </row>
    <row r="3641">
      <c r="A3641" s="52" t="n"/>
      <c r="B3641" s="53">
        <f>IF(A3641="","",CHOOSE(WEEKDAY(A3641,2),"Пн","Вт","Ср","Чт","Пт","Сб","Вс"))</f>
        <v/>
      </c>
      <c r="C3641" s="53">
        <f>IF(A3641="","",YEAR(A3641))</f>
        <v/>
      </c>
      <c r="D3641" s="54">
        <f>IF(A3641="","",INDEX(lst_months,MONTH(A3641)))</f>
        <v/>
      </c>
      <c r="E3641" s="55" t="n"/>
      <c r="F3641" s="54">
        <f>IF(E3641="","",IFERROR(IF(INDEX(lst_exp_item_cat,MATCH(E3641,lst_exp_items,0))="","❔ Без категории",INDEX(lst_exp_item_cat,MATCH(E3641,lst_exp_items,0))),"❔ Без категории"))</f>
        <v/>
      </c>
      <c r="G3641" s="43" t="n"/>
      <c r="H3641" s="56" t="n"/>
      <c r="I3641" s="43" t="n"/>
      <c r="J3641" s="57">
        <f>IF(OR(A3641="",H3641=""),"",IF(COUNTIFS(exp_year,C3641,exp_month,D3641,exp_item,E3641,exp_status,"&lt;&gt;❌ Отменено")&gt;0,1,0))</f>
        <v/>
      </c>
    </row>
    <row r="3642">
      <c r="A3642" s="52" t="n"/>
      <c r="B3642" s="53">
        <f>IF(A3642="","",CHOOSE(WEEKDAY(A3642,2),"Пн","Вт","Ср","Чт","Пт","Сб","Вс"))</f>
        <v/>
      </c>
      <c r="C3642" s="53">
        <f>IF(A3642="","",YEAR(A3642))</f>
        <v/>
      </c>
      <c r="D3642" s="54">
        <f>IF(A3642="","",INDEX(lst_months,MONTH(A3642)))</f>
        <v/>
      </c>
      <c r="E3642" s="55" t="n"/>
      <c r="F3642" s="54">
        <f>IF(E3642="","",IFERROR(IF(INDEX(lst_exp_item_cat,MATCH(E3642,lst_exp_items,0))="","❔ Без категории",INDEX(lst_exp_item_cat,MATCH(E3642,lst_exp_items,0))),"❔ Без категории"))</f>
        <v/>
      </c>
      <c r="G3642" s="43" t="n"/>
      <c r="H3642" s="56" t="n"/>
      <c r="I3642" s="43" t="n"/>
      <c r="J3642" s="57">
        <f>IF(OR(A3642="",H3642=""),"",IF(COUNTIFS(exp_year,C3642,exp_month,D3642,exp_item,E3642,exp_status,"&lt;&gt;❌ Отменено")&gt;0,1,0))</f>
        <v/>
      </c>
    </row>
    <row r="3643">
      <c r="A3643" s="52" t="n"/>
      <c r="B3643" s="53">
        <f>IF(A3643="","",CHOOSE(WEEKDAY(A3643,2),"Пн","Вт","Ср","Чт","Пт","Сб","Вс"))</f>
        <v/>
      </c>
      <c r="C3643" s="53">
        <f>IF(A3643="","",YEAR(A3643))</f>
        <v/>
      </c>
      <c r="D3643" s="54">
        <f>IF(A3643="","",INDEX(lst_months,MONTH(A3643)))</f>
        <v/>
      </c>
      <c r="E3643" s="55" t="n"/>
      <c r="F3643" s="54">
        <f>IF(E3643="","",IFERROR(IF(INDEX(lst_exp_item_cat,MATCH(E3643,lst_exp_items,0))="","❔ Без категории",INDEX(lst_exp_item_cat,MATCH(E3643,lst_exp_items,0))),"❔ Без категории"))</f>
        <v/>
      </c>
      <c r="G3643" s="43" t="n"/>
      <c r="H3643" s="56" t="n"/>
      <c r="I3643" s="43" t="n"/>
      <c r="J3643" s="57">
        <f>IF(OR(A3643="",H3643=""),"",IF(COUNTIFS(exp_year,C3643,exp_month,D3643,exp_item,E3643,exp_status,"&lt;&gt;❌ Отменено")&gt;0,1,0))</f>
        <v/>
      </c>
    </row>
    <row r="3644">
      <c r="A3644" s="52" t="n"/>
      <c r="B3644" s="53">
        <f>IF(A3644="","",CHOOSE(WEEKDAY(A3644,2),"Пн","Вт","Ср","Чт","Пт","Сб","Вс"))</f>
        <v/>
      </c>
      <c r="C3644" s="53">
        <f>IF(A3644="","",YEAR(A3644))</f>
        <v/>
      </c>
      <c r="D3644" s="54">
        <f>IF(A3644="","",INDEX(lst_months,MONTH(A3644)))</f>
        <v/>
      </c>
      <c r="E3644" s="55" t="n"/>
      <c r="F3644" s="54">
        <f>IF(E3644="","",IFERROR(IF(INDEX(lst_exp_item_cat,MATCH(E3644,lst_exp_items,0))="","❔ Без категории",INDEX(lst_exp_item_cat,MATCH(E3644,lst_exp_items,0))),"❔ Без категории"))</f>
        <v/>
      </c>
      <c r="G3644" s="43" t="n"/>
      <c r="H3644" s="56" t="n"/>
      <c r="I3644" s="43" t="n"/>
      <c r="J3644" s="57">
        <f>IF(OR(A3644="",H3644=""),"",IF(COUNTIFS(exp_year,C3644,exp_month,D3644,exp_item,E3644,exp_status,"&lt;&gt;❌ Отменено")&gt;0,1,0))</f>
        <v/>
      </c>
    </row>
    <row r="3645">
      <c r="A3645" s="52" t="n"/>
      <c r="B3645" s="53">
        <f>IF(A3645="","",CHOOSE(WEEKDAY(A3645,2),"Пн","Вт","Ср","Чт","Пт","Сб","Вс"))</f>
        <v/>
      </c>
      <c r="C3645" s="53">
        <f>IF(A3645="","",YEAR(A3645))</f>
        <v/>
      </c>
      <c r="D3645" s="54">
        <f>IF(A3645="","",INDEX(lst_months,MONTH(A3645)))</f>
        <v/>
      </c>
      <c r="E3645" s="55" t="n"/>
      <c r="F3645" s="54">
        <f>IF(E3645="","",IFERROR(IF(INDEX(lst_exp_item_cat,MATCH(E3645,lst_exp_items,0))="","❔ Без категории",INDEX(lst_exp_item_cat,MATCH(E3645,lst_exp_items,0))),"❔ Без категории"))</f>
        <v/>
      </c>
      <c r="G3645" s="43" t="n"/>
      <c r="H3645" s="56" t="n"/>
      <c r="I3645" s="43" t="n"/>
      <c r="J3645" s="57">
        <f>IF(OR(A3645="",H3645=""),"",IF(COUNTIFS(exp_year,C3645,exp_month,D3645,exp_item,E3645,exp_status,"&lt;&gt;❌ Отменено")&gt;0,1,0))</f>
        <v/>
      </c>
    </row>
    <row r="3646">
      <c r="A3646" s="52" t="n"/>
      <c r="B3646" s="53">
        <f>IF(A3646="","",CHOOSE(WEEKDAY(A3646,2),"Пн","Вт","Ср","Чт","Пт","Сб","Вс"))</f>
        <v/>
      </c>
      <c r="C3646" s="53">
        <f>IF(A3646="","",YEAR(A3646))</f>
        <v/>
      </c>
      <c r="D3646" s="54">
        <f>IF(A3646="","",INDEX(lst_months,MONTH(A3646)))</f>
        <v/>
      </c>
      <c r="E3646" s="55" t="n"/>
      <c r="F3646" s="54">
        <f>IF(E3646="","",IFERROR(IF(INDEX(lst_exp_item_cat,MATCH(E3646,lst_exp_items,0))="","❔ Без категории",INDEX(lst_exp_item_cat,MATCH(E3646,lst_exp_items,0))),"❔ Без категории"))</f>
        <v/>
      </c>
      <c r="G3646" s="43" t="n"/>
      <c r="H3646" s="56" t="n"/>
      <c r="I3646" s="43" t="n"/>
      <c r="J3646" s="57">
        <f>IF(OR(A3646="",H3646=""),"",IF(COUNTIFS(exp_year,C3646,exp_month,D3646,exp_item,E3646,exp_status,"&lt;&gt;❌ Отменено")&gt;0,1,0))</f>
        <v/>
      </c>
    </row>
    <row r="3647">
      <c r="A3647" s="52" t="n"/>
      <c r="B3647" s="53">
        <f>IF(A3647="","",CHOOSE(WEEKDAY(A3647,2),"Пн","Вт","Ср","Чт","Пт","Сб","Вс"))</f>
        <v/>
      </c>
      <c r="C3647" s="53">
        <f>IF(A3647="","",YEAR(A3647))</f>
        <v/>
      </c>
      <c r="D3647" s="54">
        <f>IF(A3647="","",INDEX(lst_months,MONTH(A3647)))</f>
        <v/>
      </c>
      <c r="E3647" s="55" t="n"/>
      <c r="F3647" s="54">
        <f>IF(E3647="","",IFERROR(IF(INDEX(lst_exp_item_cat,MATCH(E3647,lst_exp_items,0))="","❔ Без категории",INDEX(lst_exp_item_cat,MATCH(E3647,lst_exp_items,0))),"❔ Без категории"))</f>
        <v/>
      </c>
      <c r="G3647" s="43" t="n"/>
      <c r="H3647" s="56" t="n"/>
      <c r="I3647" s="43" t="n"/>
      <c r="J3647" s="57">
        <f>IF(OR(A3647="",H3647=""),"",IF(COUNTIFS(exp_year,C3647,exp_month,D3647,exp_item,E3647,exp_status,"&lt;&gt;❌ Отменено")&gt;0,1,0))</f>
        <v/>
      </c>
    </row>
    <row r="3648">
      <c r="A3648" s="52" t="n"/>
      <c r="B3648" s="53">
        <f>IF(A3648="","",CHOOSE(WEEKDAY(A3648,2),"Пн","Вт","Ср","Чт","Пт","Сб","Вс"))</f>
        <v/>
      </c>
      <c r="C3648" s="53">
        <f>IF(A3648="","",YEAR(A3648))</f>
        <v/>
      </c>
      <c r="D3648" s="54">
        <f>IF(A3648="","",INDEX(lst_months,MONTH(A3648)))</f>
        <v/>
      </c>
      <c r="E3648" s="55" t="n"/>
      <c r="F3648" s="54">
        <f>IF(E3648="","",IFERROR(IF(INDEX(lst_exp_item_cat,MATCH(E3648,lst_exp_items,0))="","❔ Без категории",INDEX(lst_exp_item_cat,MATCH(E3648,lst_exp_items,0))),"❔ Без категории"))</f>
        <v/>
      </c>
      <c r="G3648" s="43" t="n"/>
      <c r="H3648" s="56" t="n"/>
      <c r="I3648" s="43" t="n"/>
      <c r="J3648" s="57">
        <f>IF(OR(A3648="",H3648=""),"",IF(COUNTIFS(exp_year,C3648,exp_month,D3648,exp_item,E3648,exp_status,"&lt;&gt;❌ Отменено")&gt;0,1,0))</f>
        <v/>
      </c>
    </row>
    <row r="3649">
      <c r="A3649" s="52" t="n"/>
      <c r="B3649" s="53">
        <f>IF(A3649="","",CHOOSE(WEEKDAY(A3649,2),"Пн","Вт","Ср","Чт","Пт","Сб","Вс"))</f>
        <v/>
      </c>
      <c r="C3649" s="53">
        <f>IF(A3649="","",YEAR(A3649))</f>
        <v/>
      </c>
      <c r="D3649" s="54">
        <f>IF(A3649="","",INDEX(lst_months,MONTH(A3649)))</f>
        <v/>
      </c>
      <c r="E3649" s="55" t="n"/>
      <c r="F3649" s="54">
        <f>IF(E3649="","",IFERROR(IF(INDEX(lst_exp_item_cat,MATCH(E3649,lst_exp_items,0))="","❔ Без категории",INDEX(lst_exp_item_cat,MATCH(E3649,lst_exp_items,0))),"❔ Без категории"))</f>
        <v/>
      </c>
      <c r="G3649" s="43" t="n"/>
      <c r="H3649" s="56" t="n"/>
      <c r="I3649" s="43" t="n"/>
      <c r="J3649" s="57">
        <f>IF(OR(A3649="",H3649=""),"",IF(COUNTIFS(exp_year,C3649,exp_month,D3649,exp_item,E3649,exp_status,"&lt;&gt;❌ Отменено")&gt;0,1,0))</f>
        <v/>
      </c>
    </row>
    <row r="3650">
      <c r="A3650" s="52" t="n"/>
      <c r="B3650" s="53">
        <f>IF(A3650="","",CHOOSE(WEEKDAY(A3650,2),"Пн","Вт","Ср","Чт","Пт","Сб","Вс"))</f>
        <v/>
      </c>
      <c r="C3650" s="53">
        <f>IF(A3650="","",YEAR(A3650))</f>
        <v/>
      </c>
      <c r="D3650" s="54">
        <f>IF(A3650="","",INDEX(lst_months,MONTH(A3650)))</f>
        <v/>
      </c>
      <c r="E3650" s="55" t="n"/>
      <c r="F3650" s="54">
        <f>IF(E3650="","",IFERROR(IF(INDEX(lst_exp_item_cat,MATCH(E3650,lst_exp_items,0))="","❔ Без категории",INDEX(lst_exp_item_cat,MATCH(E3650,lst_exp_items,0))),"❔ Без категории"))</f>
        <v/>
      </c>
      <c r="G3650" s="43" t="n"/>
      <c r="H3650" s="56" t="n"/>
      <c r="I3650" s="43" t="n"/>
      <c r="J3650" s="57">
        <f>IF(OR(A3650="",H3650=""),"",IF(COUNTIFS(exp_year,C3650,exp_month,D3650,exp_item,E3650,exp_status,"&lt;&gt;❌ Отменено")&gt;0,1,0))</f>
        <v/>
      </c>
    </row>
    <row r="3651">
      <c r="A3651" s="52" t="n"/>
      <c r="B3651" s="53">
        <f>IF(A3651="","",CHOOSE(WEEKDAY(A3651,2),"Пн","Вт","Ср","Чт","Пт","Сб","Вс"))</f>
        <v/>
      </c>
      <c r="C3651" s="53">
        <f>IF(A3651="","",YEAR(A3651))</f>
        <v/>
      </c>
      <c r="D3651" s="54">
        <f>IF(A3651="","",INDEX(lst_months,MONTH(A3651)))</f>
        <v/>
      </c>
      <c r="E3651" s="55" t="n"/>
      <c r="F3651" s="54">
        <f>IF(E3651="","",IFERROR(IF(INDEX(lst_exp_item_cat,MATCH(E3651,lst_exp_items,0))="","❔ Без категории",INDEX(lst_exp_item_cat,MATCH(E3651,lst_exp_items,0))),"❔ Без категории"))</f>
        <v/>
      </c>
      <c r="G3651" s="43" t="n"/>
      <c r="H3651" s="56" t="n"/>
      <c r="I3651" s="43" t="n"/>
      <c r="J3651" s="57">
        <f>IF(OR(A3651="",H3651=""),"",IF(COUNTIFS(exp_year,C3651,exp_month,D3651,exp_item,E3651,exp_status,"&lt;&gt;❌ Отменено")&gt;0,1,0))</f>
        <v/>
      </c>
    </row>
    <row r="3652">
      <c r="A3652" s="52" t="n"/>
      <c r="B3652" s="53">
        <f>IF(A3652="","",CHOOSE(WEEKDAY(A3652,2),"Пн","Вт","Ср","Чт","Пт","Сб","Вс"))</f>
        <v/>
      </c>
      <c r="C3652" s="53">
        <f>IF(A3652="","",YEAR(A3652))</f>
        <v/>
      </c>
      <c r="D3652" s="54">
        <f>IF(A3652="","",INDEX(lst_months,MONTH(A3652)))</f>
        <v/>
      </c>
      <c r="E3652" s="55" t="n"/>
      <c r="F3652" s="54">
        <f>IF(E3652="","",IFERROR(IF(INDEX(lst_exp_item_cat,MATCH(E3652,lst_exp_items,0))="","❔ Без категории",INDEX(lst_exp_item_cat,MATCH(E3652,lst_exp_items,0))),"❔ Без категории"))</f>
        <v/>
      </c>
      <c r="G3652" s="43" t="n"/>
      <c r="H3652" s="56" t="n"/>
      <c r="I3652" s="43" t="n"/>
      <c r="J3652" s="57">
        <f>IF(OR(A3652="",H3652=""),"",IF(COUNTIFS(exp_year,C3652,exp_month,D3652,exp_item,E3652,exp_status,"&lt;&gt;❌ Отменено")&gt;0,1,0))</f>
        <v/>
      </c>
    </row>
    <row r="3653">
      <c r="A3653" s="52" t="n"/>
      <c r="B3653" s="53">
        <f>IF(A3653="","",CHOOSE(WEEKDAY(A3653,2),"Пн","Вт","Ср","Чт","Пт","Сб","Вс"))</f>
        <v/>
      </c>
      <c r="C3653" s="53">
        <f>IF(A3653="","",YEAR(A3653))</f>
        <v/>
      </c>
      <c r="D3653" s="54">
        <f>IF(A3653="","",INDEX(lst_months,MONTH(A3653)))</f>
        <v/>
      </c>
      <c r="E3653" s="55" t="n"/>
      <c r="F3653" s="54">
        <f>IF(E3653="","",IFERROR(IF(INDEX(lst_exp_item_cat,MATCH(E3653,lst_exp_items,0))="","❔ Без категории",INDEX(lst_exp_item_cat,MATCH(E3653,lst_exp_items,0))),"❔ Без категории"))</f>
        <v/>
      </c>
      <c r="G3653" s="43" t="n"/>
      <c r="H3653" s="56" t="n"/>
      <c r="I3653" s="43" t="n"/>
      <c r="J3653" s="57">
        <f>IF(OR(A3653="",H3653=""),"",IF(COUNTIFS(exp_year,C3653,exp_month,D3653,exp_item,E3653,exp_status,"&lt;&gt;❌ Отменено")&gt;0,1,0))</f>
        <v/>
      </c>
    </row>
    <row r="3654">
      <c r="A3654" s="52" t="n"/>
      <c r="B3654" s="53">
        <f>IF(A3654="","",CHOOSE(WEEKDAY(A3654,2),"Пн","Вт","Ср","Чт","Пт","Сб","Вс"))</f>
        <v/>
      </c>
      <c r="C3654" s="53">
        <f>IF(A3654="","",YEAR(A3654))</f>
        <v/>
      </c>
      <c r="D3654" s="54">
        <f>IF(A3654="","",INDEX(lst_months,MONTH(A3654)))</f>
        <v/>
      </c>
      <c r="E3654" s="55" t="n"/>
      <c r="F3654" s="54">
        <f>IF(E3654="","",IFERROR(IF(INDEX(lst_exp_item_cat,MATCH(E3654,lst_exp_items,0))="","❔ Без категории",INDEX(lst_exp_item_cat,MATCH(E3654,lst_exp_items,0))),"❔ Без категории"))</f>
        <v/>
      </c>
      <c r="G3654" s="43" t="n"/>
      <c r="H3654" s="56" t="n"/>
      <c r="I3654" s="43" t="n"/>
      <c r="J3654" s="57">
        <f>IF(OR(A3654="",H3654=""),"",IF(COUNTIFS(exp_year,C3654,exp_month,D3654,exp_item,E3654,exp_status,"&lt;&gt;❌ Отменено")&gt;0,1,0))</f>
        <v/>
      </c>
    </row>
    <row r="3655">
      <c r="A3655" s="52" t="n"/>
      <c r="B3655" s="53">
        <f>IF(A3655="","",CHOOSE(WEEKDAY(A3655,2),"Пн","Вт","Ср","Чт","Пт","Сб","Вс"))</f>
        <v/>
      </c>
      <c r="C3655" s="53">
        <f>IF(A3655="","",YEAR(A3655))</f>
        <v/>
      </c>
      <c r="D3655" s="54">
        <f>IF(A3655="","",INDEX(lst_months,MONTH(A3655)))</f>
        <v/>
      </c>
      <c r="E3655" s="55" t="n"/>
      <c r="F3655" s="54">
        <f>IF(E3655="","",IFERROR(IF(INDEX(lst_exp_item_cat,MATCH(E3655,lst_exp_items,0))="","❔ Без категории",INDEX(lst_exp_item_cat,MATCH(E3655,lst_exp_items,0))),"❔ Без категории"))</f>
        <v/>
      </c>
      <c r="G3655" s="43" t="n"/>
      <c r="H3655" s="56" t="n"/>
      <c r="I3655" s="43" t="n"/>
      <c r="J3655" s="57">
        <f>IF(OR(A3655="",H3655=""),"",IF(COUNTIFS(exp_year,C3655,exp_month,D3655,exp_item,E3655,exp_status,"&lt;&gt;❌ Отменено")&gt;0,1,0))</f>
        <v/>
      </c>
    </row>
    <row r="3656">
      <c r="A3656" s="52" t="n"/>
      <c r="B3656" s="53">
        <f>IF(A3656="","",CHOOSE(WEEKDAY(A3656,2),"Пн","Вт","Ср","Чт","Пт","Сб","Вс"))</f>
        <v/>
      </c>
      <c r="C3656" s="53">
        <f>IF(A3656="","",YEAR(A3656))</f>
        <v/>
      </c>
      <c r="D3656" s="54">
        <f>IF(A3656="","",INDEX(lst_months,MONTH(A3656)))</f>
        <v/>
      </c>
      <c r="E3656" s="55" t="n"/>
      <c r="F3656" s="54">
        <f>IF(E3656="","",IFERROR(IF(INDEX(lst_exp_item_cat,MATCH(E3656,lst_exp_items,0))="","❔ Без категории",INDEX(lst_exp_item_cat,MATCH(E3656,lst_exp_items,0))),"❔ Без категории"))</f>
        <v/>
      </c>
      <c r="G3656" s="43" t="n"/>
      <c r="H3656" s="56" t="n"/>
      <c r="I3656" s="43" t="n"/>
      <c r="J3656" s="57">
        <f>IF(OR(A3656="",H3656=""),"",IF(COUNTIFS(exp_year,C3656,exp_month,D3656,exp_item,E3656,exp_status,"&lt;&gt;❌ Отменено")&gt;0,1,0))</f>
        <v/>
      </c>
    </row>
    <row r="3657">
      <c r="A3657" s="52" t="n"/>
      <c r="B3657" s="53">
        <f>IF(A3657="","",CHOOSE(WEEKDAY(A3657,2),"Пн","Вт","Ср","Чт","Пт","Сб","Вс"))</f>
        <v/>
      </c>
      <c r="C3657" s="53">
        <f>IF(A3657="","",YEAR(A3657))</f>
        <v/>
      </c>
      <c r="D3657" s="54">
        <f>IF(A3657="","",INDEX(lst_months,MONTH(A3657)))</f>
        <v/>
      </c>
      <c r="E3657" s="55" t="n"/>
      <c r="F3657" s="54">
        <f>IF(E3657="","",IFERROR(IF(INDEX(lst_exp_item_cat,MATCH(E3657,lst_exp_items,0))="","❔ Без категории",INDEX(lst_exp_item_cat,MATCH(E3657,lst_exp_items,0))),"❔ Без категории"))</f>
        <v/>
      </c>
      <c r="G3657" s="43" t="n"/>
      <c r="H3657" s="56" t="n"/>
      <c r="I3657" s="43" t="n"/>
      <c r="J3657" s="57">
        <f>IF(OR(A3657="",H3657=""),"",IF(COUNTIFS(exp_year,C3657,exp_month,D3657,exp_item,E3657,exp_status,"&lt;&gt;❌ Отменено")&gt;0,1,0))</f>
        <v/>
      </c>
    </row>
    <row r="3658">
      <c r="A3658" s="52" t="n"/>
      <c r="B3658" s="53">
        <f>IF(A3658="","",CHOOSE(WEEKDAY(A3658,2),"Пн","Вт","Ср","Чт","Пт","Сб","Вс"))</f>
        <v/>
      </c>
      <c r="C3658" s="53">
        <f>IF(A3658="","",YEAR(A3658))</f>
        <v/>
      </c>
      <c r="D3658" s="54">
        <f>IF(A3658="","",INDEX(lst_months,MONTH(A3658)))</f>
        <v/>
      </c>
      <c r="E3658" s="55" t="n"/>
      <c r="F3658" s="54">
        <f>IF(E3658="","",IFERROR(IF(INDEX(lst_exp_item_cat,MATCH(E3658,lst_exp_items,0))="","❔ Без категории",INDEX(lst_exp_item_cat,MATCH(E3658,lst_exp_items,0))),"❔ Без категории"))</f>
        <v/>
      </c>
      <c r="G3658" s="43" t="n"/>
      <c r="H3658" s="56" t="n"/>
      <c r="I3658" s="43" t="n"/>
      <c r="J3658" s="57">
        <f>IF(OR(A3658="",H3658=""),"",IF(COUNTIFS(exp_year,C3658,exp_month,D3658,exp_item,E3658,exp_status,"&lt;&gt;❌ Отменено")&gt;0,1,0))</f>
        <v/>
      </c>
    </row>
    <row r="3659">
      <c r="A3659" s="52" t="n"/>
      <c r="B3659" s="53">
        <f>IF(A3659="","",CHOOSE(WEEKDAY(A3659,2),"Пн","Вт","Ср","Чт","Пт","Сб","Вс"))</f>
        <v/>
      </c>
      <c r="C3659" s="53">
        <f>IF(A3659="","",YEAR(A3659))</f>
        <v/>
      </c>
      <c r="D3659" s="54">
        <f>IF(A3659="","",INDEX(lst_months,MONTH(A3659)))</f>
        <v/>
      </c>
      <c r="E3659" s="55" t="n"/>
      <c r="F3659" s="54">
        <f>IF(E3659="","",IFERROR(IF(INDEX(lst_exp_item_cat,MATCH(E3659,lst_exp_items,0))="","❔ Без категории",INDEX(lst_exp_item_cat,MATCH(E3659,lst_exp_items,0))),"❔ Без категории"))</f>
        <v/>
      </c>
      <c r="G3659" s="43" t="n"/>
      <c r="H3659" s="56" t="n"/>
      <c r="I3659" s="43" t="n"/>
      <c r="J3659" s="57">
        <f>IF(OR(A3659="",H3659=""),"",IF(COUNTIFS(exp_year,C3659,exp_month,D3659,exp_item,E3659,exp_status,"&lt;&gt;❌ Отменено")&gt;0,1,0))</f>
        <v/>
      </c>
    </row>
    <row r="3660">
      <c r="A3660" s="52" t="n"/>
      <c r="B3660" s="53">
        <f>IF(A3660="","",CHOOSE(WEEKDAY(A3660,2),"Пн","Вт","Ср","Чт","Пт","Сб","Вс"))</f>
        <v/>
      </c>
      <c r="C3660" s="53">
        <f>IF(A3660="","",YEAR(A3660))</f>
        <v/>
      </c>
      <c r="D3660" s="54">
        <f>IF(A3660="","",INDEX(lst_months,MONTH(A3660)))</f>
        <v/>
      </c>
      <c r="E3660" s="55" t="n"/>
      <c r="F3660" s="54">
        <f>IF(E3660="","",IFERROR(IF(INDEX(lst_exp_item_cat,MATCH(E3660,lst_exp_items,0))="","❔ Без категории",INDEX(lst_exp_item_cat,MATCH(E3660,lst_exp_items,0))),"❔ Без категории"))</f>
        <v/>
      </c>
      <c r="G3660" s="43" t="n"/>
      <c r="H3660" s="56" t="n"/>
      <c r="I3660" s="43" t="n"/>
      <c r="J3660" s="57">
        <f>IF(OR(A3660="",H3660=""),"",IF(COUNTIFS(exp_year,C3660,exp_month,D3660,exp_item,E3660,exp_status,"&lt;&gt;❌ Отменено")&gt;0,1,0))</f>
        <v/>
      </c>
    </row>
    <row r="3661">
      <c r="A3661" s="52" t="n"/>
      <c r="B3661" s="53">
        <f>IF(A3661="","",CHOOSE(WEEKDAY(A3661,2),"Пн","Вт","Ср","Чт","Пт","Сб","Вс"))</f>
        <v/>
      </c>
      <c r="C3661" s="53">
        <f>IF(A3661="","",YEAR(A3661))</f>
        <v/>
      </c>
      <c r="D3661" s="54">
        <f>IF(A3661="","",INDEX(lst_months,MONTH(A3661)))</f>
        <v/>
      </c>
      <c r="E3661" s="55" t="n"/>
      <c r="F3661" s="54">
        <f>IF(E3661="","",IFERROR(IF(INDEX(lst_exp_item_cat,MATCH(E3661,lst_exp_items,0))="","❔ Без категории",INDEX(lst_exp_item_cat,MATCH(E3661,lst_exp_items,0))),"❔ Без категории"))</f>
        <v/>
      </c>
      <c r="G3661" s="43" t="n"/>
      <c r="H3661" s="56" t="n"/>
      <c r="I3661" s="43" t="n"/>
      <c r="J3661" s="57">
        <f>IF(OR(A3661="",H3661=""),"",IF(COUNTIFS(exp_year,C3661,exp_month,D3661,exp_item,E3661,exp_status,"&lt;&gt;❌ Отменено")&gt;0,1,0))</f>
        <v/>
      </c>
    </row>
    <row r="3662">
      <c r="A3662" s="52" t="n"/>
      <c r="B3662" s="53">
        <f>IF(A3662="","",CHOOSE(WEEKDAY(A3662,2),"Пн","Вт","Ср","Чт","Пт","Сб","Вс"))</f>
        <v/>
      </c>
      <c r="C3662" s="53">
        <f>IF(A3662="","",YEAR(A3662))</f>
        <v/>
      </c>
      <c r="D3662" s="54">
        <f>IF(A3662="","",INDEX(lst_months,MONTH(A3662)))</f>
        <v/>
      </c>
      <c r="E3662" s="55" t="n"/>
      <c r="F3662" s="54">
        <f>IF(E3662="","",IFERROR(IF(INDEX(lst_exp_item_cat,MATCH(E3662,lst_exp_items,0))="","❔ Без категории",INDEX(lst_exp_item_cat,MATCH(E3662,lst_exp_items,0))),"❔ Без категории"))</f>
        <v/>
      </c>
      <c r="G3662" s="43" t="n"/>
      <c r="H3662" s="56" t="n"/>
      <c r="I3662" s="43" t="n"/>
      <c r="J3662" s="57">
        <f>IF(OR(A3662="",H3662=""),"",IF(COUNTIFS(exp_year,C3662,exp_month,D3662,exp_item,E3662,exp_status,"&lt;&gt;❌ Отменено")&gt;0,1,0))</f>
        <v/>
      </c>
    </row>
    <row r="3663">
      <c r="A3663" s="52" t="n"/>
      <c r="B3663" s="53">
        <f>IF(A3663="","",CHOOSE(WEEKDAY(A3663,2),"Пн","Вт","Ср","Чт","Пт","Сб","Вс"))</f>
        <v/>
      </c>
      <c r="C3663" s="53">
        <f>IF(A3663="","",YEAR(A3663))</f>
        <v/>
      </c>
      <c r="D3663" s="54">
        <f>IF(A3663="","",INDEX(lst_months,MONTH(A3663)))</f>
        <v/>
      </c>
      <c r="E3663" s="55" t="n"/>
      <c r="F3663" s="54">
        <f>IF(E3663="","",IFERROR(IF(INDEX(lst_exp_item_cat,MATCH(E3663,lst_exp_items,0))="","❔ Без категории",INDEX(lst_exp_item_cat,MATCH(E3663,lst_exp_items,0))),"❔ Без категории"))</f>
        <v/>
      </c>
      <c r="G3663" s="43" t="n"/>
      <c r="H3663" s="56" t="n"/>
      <c r="I3663" s="43" t="n"/>
      <c r="J3663" s="57">
        <f>IF(OR(A3663="",H3663=""),"",IF(COUNTIFS(exp_year,C3663,exp_month,D3663,exp_item,E3663,exp_status,"&lt;&gt;❌ Отменено")&gt;0,1,0))</f>
        <v/>
      </c>
    </row>
    <row r="3664">
      <c r="A3664" s="52" t="n"/>
      <c r="B3664" s="53">
        <f>IF(A3664="","",CHOOSE(WEEKDAY(A3664,2),"Пн","Вт","Ср","Чт","Пт","Сб","Вс"))</f>
        <v/>
      </c>
      <c r="C3664" s="53">
        <f>IF(A3664="","",YEAR(A3664))</f>
        <v/>
      </c>
      <c r="D3664" s="54">
        <f>IF(A3664="","",INDEX(lst_months,MONTH(A3664)))</f>
        <v/>
      </c>
      <c r="E3664" s="55" t="n"/>
      <c r="F3664" s="54">
        <f>IF(E3664="","",IFERROR(IF(INDEX(lst_exp_item_cat,MATCH(E3664,lst_exp_items,0))="","❔ Без категории",INDEX(lst_exp_item_cat,MATCH(E3664,lst_exp_items,0))),"❔ Без категории"))</f>
        <v/>
      </c>
      <c r="G3664" s="43" t="n"/>
      <c r="H3664" s="56" t="n"/>
      <c r="I3664" s="43" t="n"/>
      <c r="J3664" s="57">
        <f>IF(OR(A3664="",H3664=""),"",IF(COUNTIFS(exp_year,C3664,exp_month,D3664,exp_item,E3664,exp_status,"&lt;&gt;❌ Отменено")&gt;0,1,0))</f>
        <v/>
      </c>
    </row>
    <row r="3665">
      <c r="A3665" s="52" t="n"/>
      <c r="B3665" s="53">
        <f>IF(A3665="","",CHOOSE(WEEKDAY(A3665,2),"Пн","Вт","Ср","Чт","Пт","Сб","Вс"))</f>
        <v/>
      </c>
      <c r="C3665" s="53">
        <f>IF(A3665="","",YEAR(A3665))</f>
        <v/>
      </c>
      <c r="D3665" s="54">
        <f>IF(A3665="","",INDEX(lst_months,MONTH(A3665)))</f>
        <v/>
      </c>
      <c r="E3665" s="55" t="n"/>
      <c r="F3665" s="54">
        <f>IF(E3665="","",IFERROR(IF(INDEX(lst_exp_item_cat,MATCH(E3665,lst_exp_items,0))="","❔ Без категории",INDEX(lst_exp_item_cat,MATCH(E3665,lst_exp_items,0))),"❔ Без категории"))</f>
        <v/>
      </c>
      <c r="G3665" s="43" t="n"/>
      <c r="H3665" s="56" t="n"/>
      <c r="I3665" s="43" t="n"/>
      <c r="J3665" s="57">
        <f>IF(OR(A3665="",H3665=""),"",IF(COUNTIFS(exp_year,C3665,exp_month,D3665,exp_item,E3665,exp_status,"&lt;&gt;❌ Отменено")&gt;0,1,0))</f>
        <v/>
      </c>
    </row>
    <row r="3666">
      <c r="A3666" s="52" t="n"/>
      <c r="B3666" s="53">
        <f>IF(A3666="","",CHOOSE(WEEKDAY(A3666,2),"Пн","Вт","Ср","Чт","Пт","Сб","Вс"))</f>
        <v/>
      </c>
      <c r="C3666" s="53">
        <f>IF(A3666="","",YEAR(A3666))</f>
        <v/>
      </c>
      <c r="D3666" s="54">
        <f>IF(A3666="","",INDEX(lst_months,MONTH(A3666)))</f>
        <v/>
      </c>
      <c r="E3666" s="55" t="n"/>
      <c r="F3666" s="54">
        <f>IF(E3666="","",IFERROR(IF(INDEX(lst_exp_item_cat,MATCH(E3666,lst_exp_items,0))="","❔ Без категории",INDEX(lst_exp_item_cat,MATCH(E3666,lst_exp_items,0))),"❔ Без категории"))</f>
        <v/>
      </c>
      <c r="G3666" s="43" t="n"/>
      <c r="H3666" s="56" t="n"/>
      <c r="I3666" s="43" t="n"/>
      <c r="J3666" s="57">
        <f>IF(OR(A3666="",H3666=""),"",IF(COUNTIFS(exp_year,C3666,exp_month,D3666,exp_item,E3666,exp_status,"&lt;&gt;❌ Отменено")&gt;0,1,0))</f>
        <v/>
      </c>
    </row>
    <row r="3667">
      <c r="A3667" s="52" t="n"/>
      <c r="B3667" s="53">
        <f>IF(A3667="","",CHOOSE(WEEKDAY(A3667,2),"Пн","Вт","Ср","Чт","Пт","Сб","Вс"))</f>
        <v/>
      </c>
      <c r="C3667" s="53">
        <f>IF(A3667="","",YEAR(A3667))</f>
        <v/>
      </c>
      <c r="D3667" s="54">
        <f>IF(A3667="","",INDEX(lst_months,MONTH(A3667)))</f>
        <v/>
      </c>
      <c r="E3667" s="55" t="n"/>
      <c r="F3667" s="54">
        <f>IF(E3667="","",IFERROR(IF(INDEX(lst_exp_item_cat,MATCH(E3667,lst_exp_items,0))="","❔ Без категории",INDEX(lst_exp_item_cat,MATCH(E3667,lst_exp_items,0))),"❔ Без категории"))</f>
        <v/>
      </c>
      <c r="G3667" s="43" t="n"/>
      <c r="H3667" s="56" t="n"/>
      <c r="I3667" s="43" t="n"/>
      <c r="J3667" s="57">
        <f>IF(OR(A3667="",H3667=""),"",IF(COUNTIFS(exp_year,C3667,exp_month,D3667,exp_item,E3667,exp_status,"&lt;&gt;❌ Отменено")&gt;0,1,0))</f>
        <v/>
      </c>
    </row>
    <row r="3668">
      <c r="A3668" s="52" t="n"/>
      <c r="B3668" s="53">
        <f>IF(A3668="","",CHOOSE(WEEKDAY(A3668,2),"Пн","Вт","Ср","Чт","Пт","Сб","Вс"))</f>
        <v/>
      </c>
      <c r="C3668" s="53">
        <f>IF(A3668="","",YEAR(A3668))</f>
        <v/>
      </c>
      <c r="D3668" s="54">
        <f>IF(A3668="","",INDEX(lst_months,MONTH(A3668)))</f>
        <v/>
      </c>
      <c r="E3668" s="55" t="n"/>
      <c r="F3668" s="54">
        <f>IF(E3668="","",IFERROR(IF(INDEX(lst_exp_item_cat,MATCH(E3668,lst_exp_items,0))="","❔ Без категории",INDEX(lst_exp_item_cat,MATCH(E3668,lst_exp_items,0))),"❔ Без категории"))</f>
        <v/>
      </c>
      <c r="G3668" s="43" t="n"/>
      <c r="H3668" s="56" t="n"/>
      <c r="I3668" s="43" t="n"/>
      <c r="J3668" s="57">
        <f>IF(OR(A3668="",H3668=""),"",IF(COUNTIFS(exp_year,C3668,exp_month,D3668,exp_item,E3668,exp_status,"&lt;&gt;❌ Отменено")&gt;0,1,0))</f>
        <v/>
      </c>
    </row>
    <row r="3669">
      <c r="A3669" s="52" t="n"/>
      <c r="B3669" s="53">
        <f>IF(A3669="","",CHOOSE(WEEKDAY(A3669,2),"Пн","Вт","Ср","Чт","Пт","Сб","Вс"))</f>
        <v/>
      </c>
      <c r="C3669" s="53">
        <f>IF(A3669="","",YEAR(A3669))</f>
        <v/>
      </c>
      <c r="D3669" s="54">
        <f>IF(A3669="","",INDEX(lst_months,MONTH(A3669)))</f>
        <v/>
      </c>
      <c r="E3669" s="55" t="n"/>
      <c r="F3669" s="54">
        <f>IF(E3669="","",IFERROR(IF(INDEX(lst_exp_item_cat,MATCH(E3669,lst_exp_items,0))="","❔ Без категории",INDEX(lst_exp_item_cat,MATCH(E3669,lst_exp_items,0))),"❔ Без категории"))</f>
        <v/>
      </c>
      <c r="G3669" s="43" t="n"/>
      <c r="H3669" s="56" t="n"/>
      <c r="I3669" s="43" t="n"/>
      <c r="J3669" s="57">
        <f>IF(OR(A3669="",H3669=""),"",IF(COUNTIFS(exp_year,C3669,exp_month,D3669,exp_item,E3669,exp_status,"&lt;&gt;❌ Отменено")&gt;0,1,0))</f>
        <v/>
      </c>
    </row>
    <row r="3670">
      <c r="A3670" s="52" t="n"/>
      <c r="B3670" s="53">
        <f>IF(A3670="","",CHOOSE(WEEKDAY(A3670,2),"Пн","Вт","Ср","Чт","Пт","Сб","Вс"))</f>
        <v/>
      </c>
      <c r="C3670" s="53">
        <f>IF(A3670="","",YEAR(A3670))</f>
        <v/>
      </c>
      <c r="D3670" s="54">
        <f>IF(A3670="","",INDEX(lst_months,MONTH(A3670)))</f>
        <v/>
      </c>
      <c r="E3670" s="55" t="n"/>
      <c r="F3670" s="54">
        <f>IF(E3670="","",IFERROR(IF(INDEX(lst_exp_item_cat,MATCH(E3670,lst_exp_items,0))="","❔ Без категории",INDEX(lst_exp_item_cat,MATCH(E3670,lst_exp_items,0))),"❔ Без категории"))</f>
        <v/>
      </c>
      <c r="G3670" s="43" t="n"/>
      <c r="H3670" s="56" t="n"/>
      <c r="I3670" s="43" t="n"/>
      <c r="J3670" s="57">
        <f>IF(OR(A3670="",H3670=""),"",IF(COUNTIFS(exp_year,C3670,exp_month,D3670,exp_item,E3670,exp_status,"&lt;&gt;❌ Отменено")&gt;0,1,0))</f>
        <v/>
      </c>
    </row>
    <row r="3671">
      <c r="A3671" s="52" t="n"/>
      <c r="B3671" s="53">
        <f>IF(A3671="","",CHOOSE(WEEKDAY(A3671,2),"Пн","Вт","Ср","Чт","Пт","Сб","Вс"))</f>
        <v/>
      </c>
      <c r="C3671" s="53">
        <f>IF(A3671="","",YEAR(A3671))</f>
        <v/>
      </c>
      <c r="D3671" s="54">
        <f>IF(A3671="","",INDEX(lst_months,MONTH(A3671)))</f>
        <v/>
      </c>
      <c r="E3671" s="55" t="n"/>
      <c r="F3671" s="54">
        <f>IF(E3671="","",IFERROR(IF(INDEX(lst_exp_item_cat,MATCH(E3671,lst_exp_items,0))="","❔ Без категории",INDEX(lst_exp_item_cat,MATCH(E3671,lst_exp_items,0))),"❔ Без категории"))</f>
        <v/>
      </c>
      <c r="G3671" s="43" t="n"/>
      <c r="H3671" s="56" t="n"/>
      <c r="I3671" s="43" t="n"/>
      <c r="J3671" s="57">
        <f>IF(OR(A3671="",H3671=""),"",IF(COUNTIFS(exp_year,C3671,exp_month,D3671,exp_item,E3671,exp_status,"&lt;&gt;❌ Отменено")&gt;0,1,0))</f>
        <v/>
      </c>
    </row>
    <row r="3672">
      <c r="A3672" s="52" t="n"/>
      <c r="B3672" s="53">
        <f>IF(A3672="","",CHOOSE(WEEKDAY(A3672,2),"Пн","Вт","Ср","Чт","Пт","Сб","Вс"))</f>
        <v/>
      </c>
      <c r="C3672" s="53">
        <f>IF(A3672="","",YEAR(A3672))</f>
        <v/>
      </c>
      <c r="D3672" s="54">
        <f>IF(A3672="","",INDEX(lst_months,MONTH(A3672)))</f>
        <v/>
      </c>
      <c r="E3672" s="55" t="n"/>
      <c r="F3672" s="54">
        <f>IF(E3672="","",IFERROR(IF(INDEX(lst_exp_item_cat,MATCH(E3672,lst_exp_items,0))="","❔ Без категории",INDEX(lst_exp_item_cat,MATCH(E3672,lst_exp_items,0))),"❔ Без категории"))</f>
        <v/>
      </c>
      <c r="G3672" s="43" t="n"/>
      <c r="H3672" s="56" t="n"/>
      <c r="I3672" s="43" t="n"/>
      <c r="J3672" s="57">
        <f>IF(OR(A3672="",H3672=""),"",IF(COUNTIFS(exp_year,C3672,exp_month,D3672,exp_item,E3672,exp_status,"&lt;&gt;❌ Отменено")&gt;0,1,0))</f>
        <v/>
      </c>
    </row>
    <row r="3673">
      <c r="A3673" s="52" t="n"/>
      <c r="B3673" s="53">
        <f>IF(A3673="","",CHOOSE(WEEKDAY(A3673,2),"Пн","Вт","Ср","Чт","Пт","Сб","Вс"))</f>
        <v/>
      </c>
      <c r="C3673" s="53">
        <f>IF(A3673="","",YEAR(A3673))</f>
        <v/>
      </c>
      <c r="D3673" s="54">
        <f>IF(A3673="","",INDEX(lst_months,MONTH(A3673)))</f>
        <v/>
      </c>
      <c r="E3673" s="55" t="n"/>
      <c r="F3673" s="54">
        <f>IF(E3673="","",IFERROR(IF(INDEX(lst_exp_item_cat,MATCH(E3673,lst_exp_items,0))="","❔ Без категории",INDEX(lst_exp_item_cat,MATCH(E3673,lst_exp_items,0))),"❔ Без категории"))</f>
        <v/>
      </c>
      <c r="G3673" s="43" t="n"/>
      <c r="H3673" s="56" t="n"/>
      <c r="I3673" s="43" t="n"/>
      <c r="J3673" s="57">
        <f>IF(OR(A3673="",H3673=""),"",IF(COUNTIFS(exp_year,C3673,exp_month,D3673,exp_item,E3673,exp_status,"&lt;&gt;❌ Отменено")&gt;0,1,0))</f>
        <v/>
      </c>
    </row>
    <row r="3674">
      <c r="A3674" s="52" t="n"/>
      <c r="B3674" s="53">
        <f>IF(A3674="","",CHOOSE(WEEKDAY(A3674,2),"Пн","Вт","Ср","Чт","Пт","Сб","Вс"))</f>
        <v/>
      </c>
      <c r="C3674" s="53">
        <f>IF(A3674="","",YEAR(A3674))</f>
        <v/>
      </c>
      <c r="D3674" s="54">
        <f>IF(A3674="","",INDEX(lst_months,MONTH(A3674)))</f>
        <v/>
      </c>
      <c r="E3674" s="55" t="n"/>
      <c r="F3674" s="54">
        <f>IF(E3674="","",IFERROR(IF(INDEX(lst_exp_item_cat,MATCH(E3674,lst_exp_items,0))="","❔ Без категории",INDEX(lst_exp_item_cat,MATCH(E3674,lst_exp_items,0))),"❔ Без категории"))</f>
        <v/>
      </c>
      <c r="G3674" s="43" t="n"/>
      <c r="H3674" s="56" t="n"/>
      <c r="I3674" s="43" t="n"/>
      <c r="J3674" s="57">
        <f>IF(OR(A3674="",H3674=""),"",IF(COUNTIFS(exp_year,C3674,exp_month,D3674,exp_item,E3674,exp_status,"&lt;&gt;❌ Отменено")&gt;0,1,0))</f>
        <v/>
      </c>
    </row>
    <row r="3675">
      <c r="A3675" s="52" t="n"/>
      <c r="B3675" s="53">
        <f>IF(A3675="","",CHOOSE(WEEKDAY(A3675,2),"Пн","Вт","Ср","Чт","Пт","Сб","Вс"))</f>
        <v/>
      </c>
      <c r="C3675" s="53">
        <f>IF(A3675="","",YEAR(A3675))</f>
        <v/>
      </c>
      <c r="D3675" s="54">
        <f>IF(A3675="","",INDEX(lst_months,MONTH(A3675)))</f>
        <v/>
      </c>
      <c r="E3675" s="55" t="n"/>
      <c r="F3675" s="54">
        <f>IF(E3675="","",IFERROR(IF(INDEX(lst_exp_item_cat,MATCH(E3675,lst_exp_items,0))="","❔ Без категории",INDEX(lst_exp_item_cat,MATCH(E3675,lst_exp_items,0))),"❔ Без категории"))</f>
        <v/>
      </c>
      <c r="G3675" s="43" t="n"/>
      <c r="H3675" s="56" t="n"/>
      <c r="I3675" s="43" t="n"/>
      <c r="J3675" s="57">
        <f>IF(OR(A3675="",H3675=""),"",IF(COUNTIFS(exp_year,C3675,exp_month,D3675,exp_item,E3675,exp_status,"&lt;&gt;❌ Отменено")&gt;0,1,0))</f>
        <v/>
      </c>
    </row>
    <row r="3676">
      <c r="A3676" s="52" t="n"/>
      <c r="B3676" s="53">
        <f>IF(A3676="","",CHOOSE(WEEKDAY(A3676,2),"Пн","Вт","Ср","Чт","Пт","Сб","Вс"))</f>
        <v/>
      </c>
      <c r="C3676" s="53">
        <f>IF(A3676="","",YEAR(A3676))</f>
        <v/>
      </c>
      <c r="D3676" s="54">
        <f>IF(A3676="","",INDEX(lst_months,MONTH(A3676)))</f>
        <v/>
      </c>
      <c r="E3676" s="55" t="n"/>
      <c r="F3676" s="54">
        <f>IF(E3676="","",IFERROR(IF(INDEX(lst_exp_item_cat,MATCH(E3676,lst_exp_items,0))="","❔ Без категории",INDEX(lst_exp_item_cat,MATCH(E3676,lst_exp_items,0))),"❔ Без категории"))</f>
        <v/>
      </c>
      <c r="G3676" s="43" t="n"/>
      <c r="H3676" s="56" t="n"/>
      <c r="I3676" s="43" t="n"/>
      <c r="J3676" s="57">
        <f>IF(OR(A3676="",H3676=""),"",IF(COUNTIFS(exp_year,C3676,exp_month,D3676,exp_item,E3676,exp_status,"&lt;&gt;❌ Отменено")&gt;0,1,0))</f>
        <v/>
      </c>
    </row>
    <row r="3677">
      <c r="A3677" s="52" t="n"/>
      <c r="B3677" s="53">
        <f>IF(A3677="","",CHOOSE(WEEKDAY(A3677,2),"Пн","Вт","Ср","Чт","Пт","Сб","Вс"))</f>
        <v/>
      </c>
      <c r="C3677" s="53">
        <f>IF(A3677="","",YEAR(A3677))</f>
        <v/>
      </c>
      <c r="D3677" s="54">
        <f>IF(A3677="","",INDEX(lst_months,MONTH(A3677)))</f>
        <v/>
      </c>
      <c r="E3677" s="55" t="n"/>
      <c r="F3677" s="54">
        <f>IF(E3677="","",IFERROR(IF(INDEX(lst_exp_item_cat,MATCH(E3677,lst_exp_items,0))="","❔ Без категории",INDEX(lst_exp_item_cat,MATCH(E3677,lst_exp_items,0))),"❔ Без категории"))</f>
        <v/>
      </c>
      <c r="G3677" s="43" t="n"/>
      <c r="H3677" s="56" t="n"/>
      <c r="I3677" s="43" t="n"/>
      <c r="J3677" s="57">
        <f>IF(OR(A3677="",H3677=""),"",IF(COUNTIFS(exp_year,C3677,exp_month,D3677,exp_item,E3677,exp_status,"&lt;&gt;❌ Отменено")&gt;0,1,0))</f>
        <v/>
      </c>
    </row>
    <row r="3678">
      <c r="A3678" s="52" t="n"/>
      <c r="B3678" s="53">
        <f>IF(A3678="","",CHOOSE(WEEKDAY(A3678,2),"Пн","Вт","Ср","Чт","Пт","Сб","Вс"))</f>
        <v/>
      </c>
      <c r="C3678" s="53">
        <f>IF(A3678="","",YEAR(A3678))</f>
        <v/>
      </c>
      <c r="D3678" s="54">
        <f>IF(A3678="","",INDEX(lst_months,MONTH(A3678)))</f>
        <v/>
      </c>
      <c r="E3678" s="55" t="n"/>
      <c r="F3678" s="54">
        <f>IF(E3678="","",IFERROR(IF(INDEX(lst_exp_item_cat,MATCH(E3678,lst_exp_items,0))="","❔ Без категории",INDEX(lst_exp_item_cat,MATCH(E3678,lst_exp_items,0))),"❔ Без категории"))</f>
        <v/>
      </c>
      <c r="G3678" s="43" t="n"/>
      <c r="H3678" s="56" t="n"/>
      <c r="I3678" s="43" t="n"/>
      <c r="J3678" s="57">
        <f>IF(OR(A3678="",H3678=""),"",IF(COUNTIFS(exp_year,C3678,exp_month,D3678,exp_item,E3678,exp_status,"&lt;&gt;❌ Отменено")&gt;0,1,0))</f>
        <v/>
      </c>
    </row>
    <row r="3679">
      <c r="A3679" s="52" t="n"/>
      <c r="B3679" s="53">
        <f>IF(A3679="","",CHOOSE(WEEKDAY(A3679,2),"Пн","Вт","Ср","Чт","Пт","Сб","Вс"))</f>
        <v/>
      </c>
      <c r="C3679" s="53">
        <f>IF(A3679="","",YEAR(A3679))</f>
        <v/>
      </c>
      <c r="D3679" s="54">
        <f>IF(A3679="","",INDEX(lst_months,MONTH(A3679)))</f>
        <v/>
      </c>
      <c r="E3679" s="55" t="n"/>
      <c r="F3679" s="54">
        <f>IF(E3679="","",IFERROR(IF(INDEX(lst_exp_item_cat,MATCH(E3679,lst_exp_items,0))="","❔ Без категории",INDEX(lst_exp_item_cat,MATCH(E3679,lst_exp_items,0))),"❔ Без категории"))</f>
        <v/>
      </c>
      <c r="G3679" s="43" t="n"/>
      <c r="H3679" s="56" t="n"/>
      <c r="I3679" s="43" t="n"/>
      <c r="J3679" s="57">
        <f>IF(OR(A3679="",H3679=""),"",IF(COUNTIFS(exp_year,C3679,exp_month,D3679,exp_item,E3679,exp_status,"&lt;&gt;❌ Отменено")&gt;0,1,0))</f>
        <v/>
      </c>
    </row>
    <row r="3680">
      <c r="A3680" s="52" t="n"/>
      <c r="B3680" s="53">
        <f>IF(A3680="","",CHOOSE(WEEKDAY(A3680,2),"Пн","Вт","Ср","Чт","Пт","Сб","Вс"))</f>
        <v/>
      </c>
      <c r="C3680" s="53">
        <f>IF(A3680="","",YEAR(A3680))</f>
        <v/>
      </c>
      <c r="D3680" s="54">
        <f>IF(A3680="","",INDEX(lst_months,MONTH(A3680)))</f>
        <v/>
      </c>
      <c r="E3680" s="55" t="n"/>
      <c r="F3680" s="54">
        <f>IF(E3680="","",IFERROR(IF(INDEX(lst_exp_item_cat,MATCH(E3680,lst_exp_items,0))="","❔ Без категории",INDEX(lst_exp_item_cat,MATCH(E3680,lst_exp_items,0))),"❔ Без категории"))</f>
        <v/>
      </c>
      <c r="G3680" s="43" t="n"/>
      <c r="H3680" s="56" t="n"/>
      <c r="I3680" s="43" t="n"/>
      <c r="J3680" s="57">
        <f>IF(OR(A3680="",H3680=""),"",IF(COUNTIFS(exp_year,C3680,exp_month,D3680,exp_item,E3680,exp_status,"&lt;&gt;❌ Отменено")&gt;0,1,0))</f>
        <v/>
      </c>
    </row>
    <row r="3681">
      <c r="A3681" s="52" t="n"/>
      <c r="B3681" s="53">
        <f>IF(A3681="","",CHOOSE(WEEKDAY(A3681,2),"Пн","Вт","Ср","Чт","Пт","Сб","Вс"))</f>
        <v/>
      </c>
      <c r="C3681" s="53">
        <f>IF(A3681="","",YEAR(A3681))</f>
        <v/>
      </c>
      <c r="D3681" s="54">
        <f>IF(A3681="","",INDEX(lst_months,MONTH(A3681)))</f>
        <v/>
      </c>
      <c r="E3681" s="55" t="n"/>
      <c r="F3681" s="54">
        <f>IF(E3681="","",IFERROR(IF(INDEX(lst_exp_item_cat,MATCH(E3681,lst_exp_items,0))="","❔ Без категории",INDEX(lst_exp_item_cat,MATCH(E3681,lst_exp_items,0))),"❔ Без категории"))</f>
        <v/>
      </c>
      <c r="G3681" s="43" t="n"/>
      <c r="H3681" s="56" t="n"/>
      <c r="I3681" s="43" t="n"/>
      <c r="J3681" s="57">
        <f>IF(OR(A3681="",H3681=""),"",IF(COUNTIFS(exp_year,C3681,exp_month,D3681,exp_item,E3681,exp_status,"&lt;&gt;❌ Отменено")&gt;0,1,0))</f>
        <v/>
      </c>
    </row>
    <row r="3682">
      <c r="A3682" s="52" t="n"/>
      <c r="B3682" s="53">
        <f>IF(A3682="","",CHOOSE(WEEKDAY(A3682,2),"Пн","Вт","Ср","Чт","Пт","Сб","Вс"))</f>
        <v/>
      </c>
      <c r="C3682" s="53">
        <f>IF(A3682="","",YEAR(A3682))</f>
        <v/>
      </c>
      <c r="D3682" s="54">
        <f>IF(A3682="","",INDEX(lst_months,MONTH(A3682)))</f>
        <v/>
      </c>
      <c r="E3682" s="55" t="n"/>
      <c r="F3682" s="54">
        <f>IF(E3682="","",IFERROR(IF(INDEX(lst_exp_item_cat,MATCH(E3682,lst_exp_items,0))="","❔ Без категории",INDEX(lst_exp_item_cat,MATCH(E3682,lst_exp_items,0))),"❔ Без категории"))</f>
        <v/>
      </c>
      <c r="G3682" s="43" t="n"/>
      <c r="H3682" s="56" t="n"/>
      <c r="I3682" s="43" t="n"/>
      <c r="J3682" s="57">
        <f>IF(OR(A3682="",H3682=""),"",IF(COUNTIFS(exp_year,C3682,exp_month,D3682,exp_item,E3682,exp_status,"&lt;&gt;❌ Отменено")&gt;0,1,0))</f>
        <v/>
      </c>
    </row>
    <row r="3683">
      <c r="A3683" s="52" t="n"/>
      <c r="B3683" s="53">
        <f>IF(A3683="","",CHOOSE(WEEKDAY(A3683,2),"Пн","Вт","Ср","Чт","Пт","Сб","Вс"))</f>
        <v/>
      </c>
      <c r="C3683" s="53">
        <f>IF(A3683="","",YEAR(A3683))</f>
        <v/>
      </c>
      <c r="D3683" s="54">
        <f>IF(A3683="","",INDEX(lst_months,MONTH(A3683)))</f>
        <v/>
      </c>
      <c r="E3683" s="55" t="n"/>
      <c r="F3683" s="54">
        <f>IF(E3683="","",IFERROR(IF(INDEX(lst_exp_item_cat,MATCH(E3683,lst_exp_items,0))="","❔ Без категории",INDEX(lst_exp_item_cat,MATCH(E3683,lst_exp_items,0))),"❔ Без категории"))</f>
        <v/>
      </c>
      <c r="G3683" s="43" t="n"/>
      <c r="H3683" s="56" t="n"/>
      <c r="I3683" s="43" t="n"/>
      <c r="J3683" s="57">
        <f>IF(OR(A3683="",H3683=""),"",IF(COUNTIFS(exp_year,C3683,exp_month,D3683,exp_item,E3683,exp_status,"&lt;&gt;❌ Отменено")&gt;0,1,0))</f>
        <v/>
      </c>
    </row>
    <row r="3684">
      <c r="A3684" s="52" t="n"/>
      <c r="B3684" s="53">
        <f>IF(A3684="","",CHOOSE(WEEKDAY(A3684,2),"Пн","Вт","Ср","Чт","Пт","Сб","Вс"))</f>
        <v/>
      </c>
      <c r="C3684" s="53">
        <f>IF(A3684="","",YEAR(A3684))</f>
        <v/>
      </c>
      <c r="D3684" s="54">
        <f>IF(A3684="","",INDEX(lst_months,MONTH(A3684)))</f>
        <v/>
      </c>
      <c r="E3684" s="55" t="n"/>
      <c r="F3684" s="54">
        <f>IF(E3684="","",IFERROR(IF(INDEX(lst_exp_item_cat,MATCH(E3684,lst_exp_items,0))="","❔ Без категории",INDEX(lst_exp_item_cat,MATCH(E3684,lst_exp_items,0))),"❔ Без категории"))</f>
        <v/>
      </c>
      <c r="G3684" s="43" t="n"/>
      <c r="H3684" s="56" t="n"/>
      <c r="I3684" s="43" t="n"/>
      <c r="J3684" s="57">
        <f>IF(OR(A3684="",H3684=""),"",IF(COUNTIFS(exp_year,C3684,exp_month,D3684,exp_item,E3684,exp_status,"&lt;&gt;❌ Отменено")&gt;0,1,0))</f>
        <v/>
      </c>
    </row>
    <row r="3685">
      <c r="A3685" s="52" t="n"/>
      <c r="B3685" s="53">
        <f>IF(A3685="","",CHOOSE(WEEKDAY(A3685,2),"Пн","Вт","Ср","Чт","Пт","Сб","Вс"))</f>
        <v/>
      </c>
      <c r="C3685" s="53">
        <f>IF(A3685="","",YEAR(A3685))</f>
        <v/>
      </c>
      <c r="D3685" s="54">
        <f>IF(A3685="","",INDEX(lst_months,MONTH(A3685)))</f>
        <v/>
      </c>
      <c r="E3685" s="55" t="n"/>
      <c r="F3685" s="54">
        <f>IF(E3685="","",IFERROR(IF(INDEX(lst_exp_item_cat,MATCH(E3685,lst_exp_items,0))="","❔ Без категории",INDEX(lst_exp_item_cat,MATCH(E3685,lst_exp_items,0))),"❔ Без категории"))</f>
        <v/>
      </c>
      <c r="G3685" s="43" t="n"/>
      <c r="H3685" s="56" t="n"/>
      <c r="I3685" s="43" t="n"/>
      <c r="J3685" s="57">
        <f>IF(OR(A3685="",H3685=""),"",IF(COUNTIFS(exp_year,C3685,exp_month,D3685,exp_item,E3685,exp_status,"&lt;&gt;❌ Отменено")&gt;0,1,0))</f>
        <v/>
      </c>
    </row>
    <row r="3686">
      <c r="A3686" s="52" t="n"/>
      <c r="B3686" s="53">
        <f>IF(A3686="","",CHOOSE(WEEKDAY(A3686,2),"Пн","Вт","Ср","Чт","Пт","Сб","Вс"))</f>
        <v/>
      </c>
      <c r="C3686" s="53">
        <f>IF(A3686="","",YEAR(A3686))</f>
        <v/>
      </c>
      <c r="D3686" s="54">
        <f>IF(A3686="","",INDEX(lst_months,MONTH(A3686)))</f>
        <v/>
      </c>
      <c r="E3686" s="55" t="n"/>
      <c r="F3686" s="54">
        <f>IF(E3686="","",IFERROR(IF(INDEX(lst_exp_item_cat,MATCH(E3686,lst_exp_items,0))="","❔ Без категории",INDEX(lst_exp_item_cat,MATCH(E3686,lst_exp_items,0))),"❔ Без категории"))</f>
        <v/>
      </c>
      <c r="G3686" s="43" t="n"/>
      <c r="H3686" s="56" t="n"/>
      <c r="I3686" s="43" t="n"/>
      <c r="J3686" s="57">
        <f>IF(OR(A3686="",H3686=""),"",IF(COUNTIFS(exp_year,C3686,exp_month,D3686,exp_item,E3686,exp_status,"&lt;&gt;❌ Отменено")&gt;0,1,0))</f>
        <v/>
      </c>
    </row>
    <row r="3687">
      <c r="A3687" s="52" t="n"/>
      <c r="B3687" s="53">
        <f>IF(A3687="","",CHOOSE(WEEKDAY(A3687,2),"Пн","Вт","Ср","Чт","Пт","Сб","Вс"))</f>
        <v/>
      </c>
      <c r="C3687" s="53">
        <f>IF(A3687="","",YEAR(A3687))</f>
        <v/>
      </c>
      <c r="D3687" s="54">
        <f>IF(A3687="","",INDEX(lst_months,MONTH(A3687)))</f>
        <v/>
      </c>
      <c r="E3687" s="55" t="n"/>
      <c r="F3687" s="54">
        <f>IF(E3687="","",IFERROR(IF(INDEX(lst_exp_item_cat,MATCH(E3687,lst_exp_items,0))="","❔ Без категории",INDEX(lst_exp_item_cat,MATCH(E3687,lst_exp_items,0))),"❔ Без категории"))</f>
        <v/>
      </c>
      <c r="G3687" s="43" t="n"/>
      <c r="H3687" s="56" t="n"/>
      <c r="I3687" s="43" t="n"/>
      <c r="J3687" s="57">
        <f>IF(OR(A3687="",H3687=""),"",IF(COUNTIFS(exp_year,C3687,exp_month,D3687,exp_item,E3687,exp_status,"&lt;&gt;❌ Отменено")&gt;0,1,0))</f>
        <v/>
      </c>
    </row>
    <row r="3688">
      <c r="A3688" s="52" t="n"/>
      <c r="B3688" s="53">
        <f>IF(A3688="","",CHOOSE(WEEKDAY(A3688,2),"Пн","Вт","Ср","Чт","Пт","Сб","Вс"))</f>
        <v/>
      </c>
      <c r="C3688" s="53">
        <f>IF(A3688="","",YEAR(A3688))</f>
        <v/>
      </c>
      <c r="D3688" s="54">
        <f>IF(A3688="","",INDEX(lst_months,MONTH(A3688)))</f>
        <v/>
      </c>
      <c r="E3688" s="55" t="n"/>
      <c r="F3688" s="54">
        <f>IF(E3688="","",IFERROR(IF(INDEX(lst_exp_item_cat,MATCH(E3688,lst_exp_items,0))="","❔ Без категории",INDEX(lst_exp_item_cat,MATCH(E3688,lst_exp_items,0))),"❔ Без категории"))</f>
        <v/>
      </c>
      <c r="G3688" s="43" t="n"/>
      <c r="H3688" s="56" t="n"/>
      <c r="I3688" s="43" t="n"/>
      <c r="J3688" s="57">
        <f>IF(OR(A3688="",H3688=""),"",IF(COUNTIFS(exp_year,C3688,exp_month,D3688,exp_item,E3688,exp_status,"&lt;&gt;❌ Отменено")&gt;0,1,0))</f>
        <v/>
      </c>
    </row>
    <row r="3689">
      <c r="A3689" s="52" t="n"/>
      <c r="B3689" s="53">
        <f>IF(A3689="","",CHOOSE(WEEKDAY(A3689,2),"Пн","Вт","Ср","Чт","Пт","Сб","Вс"))</f>
        <v/>
      </c>
      <c r="C3689" s="53">
        <f>IF(A3689="","",YEAR(A3689))</f>
        <v/>
      </c>
      <c r="D3689" s="54">
        <f>IF(A3689="","",INDEX(lst_months,MONTH(A3689)))</f>
        <v/>
      </c>
      <c r="E3689" s="55" t="n"/>
      <c r="F3689" s="54">
        <f>IF(E3689="","",IFERROR(IF(INDEX(lst_exp_item_cat,MATCH(E3689,lst_exp_items,0))="","❔ Без категории",INDEX(lst_exp_item_cat,MATCH(E3689,lst_exp_items,0))),"❔ Без категории"))</f>
        <v/>
      </c>
      <c r="G3689" s="43" t="n"/>
      <c r="H3689" s="56" t="n"/>
      <c r="I3689" s="43" t="n"/>
      <c r="J3689" s="57">
        <f>IF(OR(A3689="",H3689=""),"",IF(COUNTIFS(exp_year,C3689,exp_month,D3689,exp_item,E3689,exp_status,"&lt;&gt;❌ Отменено")&gt;0,1,0))</f>
        <v/>
      </c>
    </row>
    <row r="3690">
      <c r="A3690" s="52" t="n"/>
      <c r="B3690" s="53">
        <f>IF(A3690="","",CHOOSE(WEEKDAY(A3690,2),"Пн","Вт","Ср","Чт","Пт","Сб","Вс"))</f>
        <v/>
      </c>
      <c r="C3690" s="53">
        <f>IF(A3690="","",YEAR(A3690))</f>
        <v/>
      </c>
      <c r="D3690" s="54">
        <f>IF(A3690="","",INDEX(lst_months,MONTH(A3690)))</f>
        <v/>
      </c>
      <c r="E3690" s="55" t="n"/>
      <c r="F3690" s="54">
        <f>IF(E3690="","",IFERROR(IF(INDEX(lst_exp_item_cat,MATCH(E3690,lst_exp_items,0))="","❔ Без категории",INDEX(lst_exp_item_cat,MATCH(E3690,lst_exp_items,0))),"❔ Без категории"))</f>
        <v/>
      </c>
      <c r="G3690" s="43" t="n"/>
      <c r="H3690" s="56" t="n"/>
      <c r="I3690" s="43" t="n"/>
      <c r="J3690" s="57">
        <f>IF(OR(A3690="",H3690=""),"",IF(COUNTIFS(exp_year,C3690,exp_month,D3690,exp_item,E3690,exp_status,"&lt;&gt;❌ Отменено")&gt;0,1,0))</f>
        <v/>
      </c>
    </row>
    <row r="3691">
      <c r="A3691" s="52" t="n"/>
      <c r="B3691" s="53">
        <f>IF(A3691="","",CHOOSE(WEEKDAY(A3691,2),"Пн","Вт","Ср","Чт","Пт","Сб","Вс"))</f>
        <v/>
      </c>
      <c r="C3691" s="53">
        <f>IF(A3691="","",YEAR(A3691))</f>
        <v/>
      </c>
      <c r="D3691" s="54">
        <f>IF(A3691="","",INDEX(lst_months,MONTH(A3691)))</f>
        <v/>
      </c>
      <c r="E3691" s="55" t="n"/>
      <c r="F3691" s="54">
        <f>IF(E3691="","",IFERROR(IF(INDEX(lst_exp_item_cat,MATCH(E3691,lst_exp_items,0))="","❔ Без категории",INDEX(lst_exp_item_cat,MATCH(E3691,lst_exp_items,0))),"❔ Без категории"))</f>
        <v/>
      </c>
      <c r="G3691" s="43" t="n"/>
      <c r="H3691" s="56" t="n"/>
      <c r="I3691" s="43" t="n"/>
      <c r="J3691" s="57">
        <f>IF(OR(A3691="",H3691=""),"",IF(COUNTIFS(exp_year,C3691,exp_month,D3691,exp_item,E3691,exp_status,"&lt;&gt;❌ Отменено")&gt;0,1,0))</f>
        <v/>
      </c>
    </row>
    <row r="3692">
      <c r="A3692" s="52" t="n"/>
      <c r="B3692" s="53">
        <f>IF(A3692="","",CHOOSE(WEEKDAY(A3692,2),"Пн","Вт","Ср","Чт","Пт","Сб","Вс"))</f>
        <v/>
      </c>
      <c r="C3692" s="53">
        <f>IF(A3692="","",YEAR(A3692))</f>
        <v/>
      </c>
      <c r="D3692" s="54">
        <f>IF(A3692="","",INDEX(lst_months,MONTH(A3692)))</f>
        <v/>
      </c>
      <c r="E3692" s="55" t="n"/>
      <c r="F3692" s="54">
        <f>IF(E3692="","",IFERROR(IF(INDEX(lst_exp_item_cat,MATCH(E3692,lst_exp_items,0))="","❔ Без категории",INDEX(lst_exp_item_cat,MATCH(E3692,lst_exp_items,0))),"❔ Без категории"))</f>
        <v/>
      </c>
      <c r="G3692" s="43" t="n"/>
      <c r="H3692" s="56" t="n"/>
      <c r="I3692" s="43" t="n"/>
      <c r="J3692" s="57">
        <f>IF(OR(A3692="",H3692=""),"",IF(COUNTIFS(exp_year,C3692,exp_month,D3692,exp_item,E3692,exp_status,"&lt;&gt;❌ Отменено")&gt;0,1,0))</f>
        <v/>
      </c>
    </row>
    <row r="3693">
      <c r="A3693" s="52" t="n"/>
      <c r="B3693" s="53">
        <f>IF(A3693="","",CHOOSE(WEEKDAY(A3693,2),"Пн","Вт","Ср","Чт","Пт","Сб","Вс"))</f>
        <v/>
      </c>
      <c r="C3693" s="53">
        <f>IF(A3693="","",YEAR(A3693))</f>
        <v/>
      </c>
      <c r="D3693" s="54">
        <f>IF(A3693="","",INDEX(lst_months,MONTH(A3693)))</f>
        <v/>
      </c>
      <c r="E3693" s="55" t="n"/>
      <c r="F3693" s="54">
        <f>IF(E3693="","",IFERROR(IF(INDEX(lst_exp_item_cat,MATCH(E3693,lst_exp_items,0))="","❔ Без категории",INDEX(lst_exp_item_cat,MATCH(E3693,lst_exp_items,0))),"❔ Без категории"))</f>
        <v/>
      </c>
      <c r="G3693" s="43" t="n"/>
      <c r="H3693" s="56" t="n"/>
      <c r="I3693" s="43" t="n"/>
      <c r="J3693" s="57">
        <f>IF(OR(A3693="",H3693=""),"",IF(COUNTIFS(exp_year,C3693,exp_month,D3693,exp_item,E3693,exp_status,"&lt;&gt;❌ Отменено")&gt;0,1,0))</f>
        <v/>
      </c>
    </row>
    <row r="3694">
      <c r="A3694" s="52" t="n"/>
      <c r="B3694" s="53">
        <f>IF(A3694="","",CHOOSE(WEEKDAY(A3694,2),"Пн","Вт","Ср","Чт","Пт","Сб","Вс"))</f>
        <v/>
      </c>
      <c r="C3694" s="53">
        <f>IF(A3694="","",YEAR(A3694))</f>
        <v/>
      </c>
      <c r="D3694" s="54">
        <f>IF(A3694="","",INDEX(lst_months,MONTH(A3694)))</f>
        <v/>
      </c>
      <c r="E3694" s="55" t="n"/>
      <c r="F3694" s="54">
        <f>IF(E3694="","",IFERROR(IF(INDEX(lst_exp_item_cat,MATCH(E3694,lst_exp_items,0))="","❔ Без категории",INDEX(lst_exp_item_cat,MATCH(E3694,lst_exp_items,0))),"❔ Без категории"))</f>
        <v/>
      </c>
      <c r="G3694" s="43" t="n"/>
      <c r="H3694" s="56" t="n"/>
      <c r="I3694" s="43" t="n"/>
      <c r="J3694" s="57">
        <f>IF(OR(A3694="",H3694=""),"",IF(COUNTIFS(exp_year,C3694,exp_month,D3694,exp_item,E3694,exp_status,"&lt;&gt;❌ Отменено")&gt;0,1,0))</f>
        <v/>
      </c>
    </row>
    <row r="3695">
      <c r="A3695" s="52" t="n"/>
      <c r="B3695" s="53">
        <f>IF(A3695="","",CHOOSE(WEEKDAY(A3695,2),"Пн","Вт","Ср","Чт","Пт","Сб","Вс"))</f>
        <v/>
      </c>
      <c r="C3695" s="53">
        <f>IF(A3695="","",YEAR(A3695))</f>
        <v/>
      </c>
      <c r="D3695" s="54">
        <f>IF(A3695="","",INDEX(lst_months,MONTH(A3695)))</f>
        <v/>
      </c>
      <c r="E3695" s="55" t="n"/>
      <c r="F3695" s="54">
        <f>IF(E3695="","",IFERROR(IF(INDEX(lst_exp_item_cat,MATCH(E3695,lst_exp_items,0))="","❔ Без категории",INDEX(lst_exp_item_cat,MATCH(E3695,lst_exp_items,0))),"❔ Без категории"))</f>
        <v/>
      </c>
      <c r="G3695" s="43" t="n"/>
      <c r="H3695" s="56" t="n"/>
      <c r="I3695" s="43" t="n"/>
      <c r="J3695" s="57">
        <f>IF(OR(A3695="",H3695=""),"",IF(COUNTIFS(exp_year,C3695,exp_month,D3695,exp_item,E3695,exp_status,"&lt;&gt;❌ Отменено")&gt;0,1,0))</f>
        <v/>
      </c>
    </row>
    <row r="3696">
      <c r="A3696" s="52" t="n"/>
      <c r="B3696" s="53">
        <f>IF(A3696="","",CHOOSE(WEEKDAY(A3696,2),"Пн","Вт","Ср","Чт","Пт","Сб","Вс"))</f>
        <v/>
      </c>
      <c r="C3696" s="53">
        <f>IF(A3696="","",YEAR(A3696))</f>
        <v/>
      </c>
      <c r="D3696" s="54">
        <f>IF(A3696="","",INDEX(lst_months,MONTH(A3696)))</f>
        <v/>
      </c>
      <c r="E3696" s="55" t="n"/>
      <c r="F3696" s="54">
        <f>IF(E3696="","",IFERROR(IF(INDEX(lst_exp_item_cat,MATCH(E3696,lst_exp_items,0))="","❔ Без категории",INDEX(lst_exp_item_cat,MATCH(E3696,lst_exp_items,0))),"❔ Без категории"))</f>
        <v/>
      </c>
      <c r="G3696" s="43" t="n"/>
      <c r="H3696" s="56" t="n"/>
      <c r="I3696" s="43" t="n"/>
      <c r="J3696" s="57">
        <f>IF(OR(A3696="",H3696=""),"",IF(COUNTIFS(exp_year,C3696,exp_month,D3696,exp_item,E3696,exp_status,"&lt;&gt;❌ Отменено")&gt;0,1,0))</f>
        <v/>
      </c>
    </row>
    <row r="3697">
      <c r="A3697" s="52" t="n"/>
      <c r="B3697" s="53">
        <f>IF(A3697="","",CHOOSE(WEEKDAY(A3697,2),"Пн","Вт","Ср","Чт","Пт","Сб","Вс"))</f>
        <v/>
      </c>
      <c r="C3697" s="53">
        <f>IF(A3697="","",YEAR(A3697))</f>
        <v/>
      </c>
      <c r="D3697" s="54">
        <f>IF(A3697="","",INDEX(lst_months,MONTH(A3697)))</f>
        <v/>
      </c>
      <c r="E3697" s="55" t="n"/>
      <c r="F3697" s="54">
        <f>IF(E3697="","",IFERROR(IF(INDEX(lst_exp_item_cat,MATCH(E3697,lst_exp_items,0))="","❔ Без категории",INDEX(lst_exp_item_cat,MATCH(E3697,lst_exp_items,0))),"❔ Без категории"))</f>
        <v/>
      </c>
      <c r="G3697" s="43" t="n"/>
      <c r="H3697" s="56" t="n"/>
      <c r="I3697" s="43" t="n"/>
      <c r="J3697" s="57">
        <f>IF(OR(A3697="",H3697=""),"",IF(COUNTIFS(exp_year,C3697,exp_month,D3697,exp_item,E3697,exp_status,"&lt;&gt;❌ Отменено")&gt;0,1,0))</f>
        <v/>
      </c>
    </row>
    <row r="3698">
      <c r="A3698" s="52" t="n"/>
      <c r="B3698" s="53">
        <f>IF(A3698="","",CHOOSE(WEEKDAY(A3698,2),"Пн","Вт","Ср","Чт","Пт","Сб","Вс"))</f>
        <v/>
      </c>
      <c r="C3698" s="53">
        <f>IF(A3698="","",YEAR(A3698))</f>
        <v/>
      </c>
      <c r="D3698" s="54">
        <f>IF(A3698="","",INDEX(lst_months,MONTH(A3698)))</f>
        <v/>
      </c>
      <c r="E3698" s="55" t="n"/>
      <c r="F3698" s="54">
        <f>IF(E3698="","",IFERROR(IF(INDEX(lst_exp_item_cat,MATCH(E3698,lst_exp_items,0))="","❔ Без категории",INDEX(lst_exp_item_cat,MATCH(E3698,lst_exp_items,0))),"❔ Без категории"))</f>
        <v/>
      </c>
      <c r="G3698" s="43" t="n"/>
      <c r="H3698" s="56" t="n"/>
      <c r="I3698" s="43" t="n"/>
      <c r="J3698" s="57">
        <f>IF(OR(A3698="",H3698=""),"",IF(COUNTIFS(exp_year,C3698,exp_month,D3698,exp_item,E3698,exp_status,"&lt;&gt;❌ Отменено")&gt;0,1,0))</f>
        <v/>
      </c>
    </row>
    <row r="3699">
      <c r="A3699" s="52" t="n"/>
      <c r="B3699" s="53">
        <f>IF(A3699="","",CHOOSE(WEEKDAY(A3699,2),"Пн","Вт","Ср","Чт","Пт","Сб","Вс"))</f>
        <v/>
      </c>
      <c r="C3699" s="53">
        <f>IF(A3699="","",YEAR(A3699))</f>
        <v/>
      </c>
      <c r="D3699" s="54">
        <f>IF(A3699="","",INDEX(lst_months,MONTH(A3699)))</f>
        <v/>
      </c>
      <c r="E3699" s="55" t="n"/>
      <c r="F3699" s="54">
        <f>IF(E3699="","",IFERROR(IF(INDEX(lst_exp_item_cat,MATCH(E3699,lst_exp_items,0))="","❔ Без категории",INDEX(lst_exp_item_cat,MATCH(E3699,lst_exp_items,0))),"❔ Без категории"))</f>
        <v/>
      </c>
      <c r="G3699" s="43" t="n"/>
      <c r="H3699" s="56" t="n"/>
      <c r="I3699" s="43" t="n"/>
      <c r="J3699" s="57">
        <f>IF(OR(A3699="",H3699=""),"",IF(COUNTIFS(exp_year,C3699,exp_month,D3699,exp_item,E3699,exp_status,"&lt;&gt;❌ Отменено")&gt;0,1,0))</f>
        <v/>
      </c>
    </row>
    <row r="3700">
      <c r="A3700" s="52" t="n"/>
      <c r="B3700" s="53">
        <f>IF(A3700="","",CHOOSE(WEEKDAY(A3700,2),"Пн","Вт","Ср","Чт","Пт","Сб","Вс"))</f>
        <v/>
      </c>
      <c r="C3700" s="53">
        <f>IF(A3700="","",YEAR(A3700))</f>
        <v/>
      </c>
      <c r="D3700" s="54">
        <f>IF(A3700="","",INDEX(lst_months,MONTH(A3700)))</f>
        <v/>
      </c>
      <c r="E3700" s="55" t="n"/>
      <c r="F3700" s="54">
        <f>IF(E3700="","",IFERROR(IF(INDEX(lst_exp_item_cat,MATCH(E3700,lst_exp_items,0))="","❔ Без категории",INDEX(lst_exp_item_cat,MATCH(E3700,lst_exp_items,0))),"❔ Без категории"))</f>
        <v/>
      </c>
      <c r="G3700" s="43" t="n"/>
      <c r="H3700" s="56" t="n"/>
      <c r="I3700" s="43" t="n"/>
      <c r="J3700" s="57">
        <f>IF(OR(A3700="",H3700=""),"",IF(COUNTIFS(exp_year,C3700,exp_month,D3700,exp_item,E3700,exp_status,"&lt;&gt;❌ Отменено")&gt;0,1,0))</f>
        <v/>
      </c>
    </row>
    <row r="3701">
      <c r="A3701" s="52" t="n"/>
      <c r="B3701" s="53">
        <f>IF(A3701="","",CHOOSE(WEEKDAY(A3701,2),"Пн","Вт","Ср","Чт","Пт","Сб","Вс"))</f>
        <v/>
      </c>
      <c r="C3701" s="53">
        <f>IF(A3701="","",YEAR(A3701))</f>
        <v/>
      </c>
      <c r="D3701" s="54">
        <f>IF(A3701="","",INDEX(lst_months,MONTH(A3701)))</f>
        <v/>
      </c>
      <c r="E3701" s="55" t="n"/>
      <c r="F3701" s="54">
        <f>IF(E3701="","",IFERROR(IF(INDEX(lst_exp_item_cat,MATCH(E3701,lst_exp_items,0))="","❔ Без категории",INDEX(lst_exp_item_cat,MATCH(E3701,lst_exp_items,0))),"❔ Без категории"))</f>
        <v/>
      </c>
      <c r="G3701" s="43" t="n"/>
      <c r="H3701" s="56" t="n"/>
      <c r="I3701" s="43" t="n"/>
      <c r="J3701" s="57">
        <f>IF(OR(A3701="",H3701=""),"",IF(COUNTIFS(exp_year,C3701,exp_month,D3701,exp_item,E3701,exp_status,"&lt;&gt;❌ Отменено")&gt;0,1,0))</f>
        <v/>
      </c>
    </row>
    <row r="3702">
      <c r="A3702" s="52" t="n"/>
      <c r="B3702" s="53">
        <f>IF(A3702="","",CHOOSE(WEEKDAY(A3702,2),"Пн","Вт","Ср","Чт","Пт","Сб","Вс"))</f>
        <v/>
      </c>
      <c r="C3702" s="53">
        <f>IF(A3702="","",YEAR(A3702))</f>
        <v/>
      </c>
      <c r="D3702" s="54">
        <f>IF(A3702="","",INDEX(lst_months,MONTH(A3702)))</f>
        <v/>
      </c>
      <c r="E3702" s="55" t="n"/>
      <c r="F3702" s="54">
        <f>IF(E3702="","",IFERROR(IF(INDEX(lst_exp_item_cat,MATCH(E3702,lst_exp_items,0))="","❔ Без категории",INDEX(lst_exp_item_cat,MATCH(E3702,lst_exp_items,0))),"❔ Без категории"))</f>
        <v/>
      </c>
      <c r="G3702" s="43" t="n"/>
      <c r="H3702" s="56" t="n"/>
      <c r="I3702" s="43" t="n"/>
      <c r="J3702" s="57">
        <f>IF(OR(A3702="",H3702=""),"",IF(COUNTIFS(exp_year,C3702,exp_month,D3702,exp_item,E3702,exp_status,"&lt;&gt;❌ Отменено")&gt;0,1,0))</f>
        <v/>
      </c>
    </row>
    <row r="3703">
      <c r="A3703" s="52" t="n"/>
      <c r="B3703" s="53">
        <f>IF(A3703="","",CHOOSE(WEEKDAY(A3703,2),"Пн","Вт","Ср","Чт","Пт","Сб","Вс"))</f>
        <v/>
      </c>
      <c r="C3703" s="53">
        <f>IF(A3703="","",YEAR(A3703))</f>
        <v/>
      </c>
      <c r="D3703" s="54">
        <f>IF(A3703="","",INDEX(lst_months,MONTH(A3703)))</f>
        <v/>
      </c>
      <c r="E3703" s="55" t="n"/>
      <c r="F3703" s="54">
        <f>IF(E3703="","",IFERROR(IF(INDEX(lst_exp_item_cat,MATCH(E3703,lst_exp_items,0))="","❔ Без категории",INDEX(lst_exp_item_cat,MATCH(E3703,lst_exp_items,0))),"❔ Без категории"))</f>
        <v/>
      </c>
      <c r="G3703" s="43" t="n"/>
      <c r="H3703" s="56" t="n"/>
      <c r="I3703" s="43" t="n"/>
      <c r="J3703" s="57">
        <f>IF(OR(A3703="",H3703=""),"",IF(COUNTIFS(exp_year,C3703,exp_month,D3703,exp_item,E3703,exp_status,"&lt;&gt;❌ Отменено")&gt;0,1,0))</f>
        <v/>
      </c>
    </row>
    <row r="3704">
      <c r="A3704" s="52" t="n"/>
      <c r="B3704" s="53">
        <f>IF(A3704="","",CHOOSE(WEEKDAY(A3704,2),"Пн","Вт","Ср","Чт","Пт","Сб","Вс"))</f>
        <v/>
      </c>
      <c r="C3704" s="53">
        <f>IF(A3704="","",YEAR(A3704))</f>
        <v/>
      </c>
      <c r="D3704" s="54">
        <f>IF(A3704="","",INDEX(lst_months,MONTH(A3704)))</f>
        <v/>
      </c>
      <c r="E3704" s="55" t="n"/>
      <c r="F3704" s="54">
        <f>IF(E3704="","",IFERROR(IF(INDEX(lst_exp_item_cat,MATCH(E3704,lst_exp_items,0))="","❔ Без категории",INDEX(lst_exp_item_cat,MATCH(E3704,lst_exp_items,0))),"❔ Без категории"))</f>
        <v/>
      </c>
      <c r="G3704" s="43" t="n"/>
      <c r="H3704" s="56" t="n"/>
      <c r="I3704" s="43" t="n"/>
      <c r="J3704" s="57">
        <f>IF(OR(A3704="",H3704=""),"",IF(COUNTIFS(exp_year,C3704,exp_month,D3704,exp_item,E3704,exp_status,"&lt;&gt;❌ Отменено")&gt;0,1,0))</f>
        <v/>
      </c>
    </row>
    <row r="3705">
      <c r="A3705" s="52" t="n"/>
      <c r="B3705" s="53">
        <f>IF(A3705="","",CHOOSE(WEEKDAY(A3705,2),"Пн","Вт","Ср","Чт","Пт","Сб","Вс"))</f>
        <v/>
      </c>
      <c r="C3705" s="53">
        <f>IF(A3705="","",YEAR(A3705))</f>
        <v/>
      </c>
      <c r="D3705" s="54">
        <f>IF(A3705="","",INDEX(lst_months,MONTH(A3705)))</f>
        <v/>
      </c>
      <c r="E3705" s="55" t="n"/>
      <c r="F3705" s="54">
        <f>IF(E3705="","",IFERROR(IF(INDEX(lst_exp_item_cat,MATCH(E3705,lst_exp_items,0))="","❔ Без категории",INDEX(lst_exp_item_cat,MATCH(E3705,lst_exp_items,0))),"❔ Без категории"))</f>
        <v/>
      </c>
      <c r="G3705" s="43" t="n"/>
      <c r="H3705" s="56" t="n"/>
      <c r="I3705" s="43" t="n"/>
      <c r="J3705" s="57">
        <f>IF(OR(A3705="",H3705=""),"",IF(COUNTIFS(exp_year,C3705,exp_month,D3705,exp_item,E3705,exp_status,"&lt;&gt;❌ Отменено")&gt;0,1,0))</f>
        <v/>
      </c>
    </row>
    <row r="3706">
      <c r="A3706" s="52" t="n"/>
      <c r="B3706" s="53">
        <f>IF(A3706="","",CHOOSE(WEEKDAY(A3706,2),"Пн","Вт","Ср","Чт","Пт","Сб","Вс"))</f>
        <v/>
      </c>
      <c r="C3706" s="53">
        <f>IF(A3706="","",YEAR(A3706))</f>
        <v/>
      </c>
      <c r="D3706" s="54">
        <f>IF(A3706="","",INDEX(lst_months,MONTH(A3706)))</f>
        <v/>
      </c>
      <c r="E3706" s="55" t="n"/>
      <c r="F3706" s="54">
        <f>IF(E3706="","",IFERROR(IF(INDEX(lst_exp_item_cat,MATCH(E3706,lst_exp_items,0))="","❔ Без категории",INDEX(lst_exp_item_cat,MATCH(E3706,lst_exp_items,0))),"❔ Без категории"))</f>
        <v/>
      </c>
      <c r="G3706" s="43" t="n"/>
      <c r="H3706" s="56" t="n"/>
      <c r="I3706" s="43" t="n"/>
      <c r="J3706" s="57">
        <f>IF(OR(A3706="",H3706=""),"",IF(COUNTIFS(exp_year,C3706,exp_month,D3706,exp_item,E3706,exp_status,"&lt;&gt;❌ Отменено")&gt;0,1,0))</f>
        <v/>
      </c>
    </row>
    <row r="3707">
      <c r="A3707" s="52" t="n"/>
      <c r="B3707" s="53">
        <f>IF(A3707="","",CHOOSE(WEEKDAY(A3707,2),"Пн","Вт","Ср","Чт","Пт","Сб","Вс"))</f>
        <v/>
      </c>
      <c r="C3707" s="53">
        <f>IF(A3707="","",YEAR(A3707))</f>
        <v/>
      </c>
      <c r="D3707" s="54">
        <f>IF(A3707="","",INDEX(lst_months,MONTH(A3707)))</f>
        <v/>
      </c>
      <c r="E3707" s="55" t="n"/>
      <c r="F3707" s="54">
        <f>IF(E3707="","",IFERROR(IF(INDEX(lst_exp_item_cat,MATCH(E3707,lst_exp_items,0))="","❔ Без категории",INDEX(lst_exp_item_cat,MATCH(E3707,lst_exp_items,0))),"❔ Без категории"))</f>
        <v/>
      </c>
      <c r="G3707" s="43" t="n"/>
      <c r="H3707" s="56" t="n"/>
      <c r="I3707" s="43" t="n"/>
      <c r="J3707" s="57">
        <f>IF(OR(A3707="",H3707=""),"",IF(COUNTIFS(exp_year,C3707,exp_month,D3707,exp_item,E3707,exp_status,"&lt;&gt;❌ Отменено")&gt;0,1,0))</f>
        <v/>
      </c>
    </row>
    <row r="3708">
      <c r="A3708" s="52" t="n"/>
      <c r="B3708" s="53">
        <f>IF(A3708="","",CHOOSE(WEEKDAY(A3708,2),"Пн","Вт","Ср","Чт","Пт","Сб","Вс"))</f>
        <v/>
      </c>
      <c r="C3708" s="53">
        <f>IF(A3708="","",YEAR(A3708))</f>
        <v/>
      </c>
      <c r="D3708" s="54">
        <f>IF(A3708="","",INDEX(lst_months,MONTH(A3708)))</f>
        <v/>
      </c>
      <c r="E3708" s="55" t="n"/>
      <c r="F3708" s="54">
        <f>IF(E3708="","",IFERROR(IF(INDEX(lst_exp_item_cat,MATCH(E3708,lst_exp_items,0))="","❔ Без категории",INDEX(lst_exp_item_cat,MATCH(E3708,lst_exp_items,0))),"❔ Без категории"))</f>
        <v/>
      </c>
      <c r="G3708" s="43" t="n"/>
      <c r="H3708" s="56" t="n"/>
      <c r="I3708" s="43" t="n"/>
      <c r="J3708" s="57">
        <f>IF(OR(A3708="",H3708=""),"",IF(COUNTIFS(exp_year,C3708,exp_month,D3708,exp_item,E3708,exp_status,"&lt;&gt;❌ Отменено")&gt;0,1,0))</f>
        <v/>
      </c>
    </row>
    <row r="3709">
      <c r="A3709" s="52" t="n"/>
      <c r="B3709" s="53">
        <f>IF(A3709="","",CHOOSE(WEEKDAY(A3709,2),"Пн","Вт","Ср","Чт","Пт","Сб","Вс"))</f>
        <v/>
      </c>
      <c r="C3709" s="53">
        <f>IF(A3709="","",YEAR(A3709))</f>
        <v/>
      </c>
      <c r="D3709" s="54">
        <f>IF(A3709="","",INDEX(lst_months,MONTH(A3709)))</f>
        <v/>
      </c>
      <c r="E3709" s="55" t="n"/>
      <c r="F3709" s="54">
        <f>IF(E3709="","",IFERROR(IF(INDEX(lst_exp_item_cat,MATCH(E3709,lst_exp_items,0))="","❔ Без категории",INDEX(lst_exp_item_cat,MATCH(E3709,lst_exp_items,0))),"❔ Без категории"))</f>
        <v/>
      </c>
      <c r="G3709" s="43" t="n"/>
      <c r="H3709" s="56" t="n"/>
      <c r="I3709" s="43" t="n"/>
      <c r="J3709" s="57">
        <f>IF(OR(A3709="",H3709=""),"",IF(COUNTIFS(exp_year,C3709,exp_month,D3709,exp_item,E3709,exp_status,"&lt;&gt;❌ Отменено")&gt;0,1,0))</f>
        <v/>
      </c>
    </row>
    <row r="3710">
      <c r="A3710" s="52" t="n"/>
      <c r="B3710" s="53">
        <f>IF(A3710="","",CHOOSE(WEEKDAY(A3710,2),"Пн","Вт","Ср","Чт","Пт","Сб","Вс"))</f>
        <v/>
      </c>
      <c r="C3710" s="53">
        <f>IF(A3710="","",YEAR(A3710))</f>
        <v/>
      </c>
      <c r="D3710" s="54">
        <f>IF(A3710="","",INDEX(lst_months,MONTH(A3710)))</f>
        <v/>
      </c>
      <c r="E3710" s="55" t="n"/>
      <c r="F3710" s="54">
        <f>IF(E3710="","",IFERROR(IF(INDEX(lst_exp_item_cat,MATCH(E3710,lst_exp_items,0))="","❔ Без категории",INDEX(lst_exp_item_cat,MATCH(E3710,lst_exp_items,0))),"❔ Без категории"))</f>
        <v/>
      </c>
      <c r="G3710" s="43" t="n"/>
      <c r="H3710" s="56" t="n"/>
      <c r="I3710" s="43" t="n"/>
      <c r="J3710" s="57">
        <f>IF(OR(A3710="",H3710=""),"",IF(COUNTIFS(exp_year,C3710,exp_month,D3710,exp_item,E3710,exp_status,"&lt;&gt;❌ Отменено")&gt;0,1,0))</f>
        <v/>
      </c>
    </row>
    <row r="3711">
      <c r="A3711" s="52" t="n"/>
      <c r="B3711" s="53">
        <f>IF(A3711="","",CHOOSE(WEEKDAY(A3711,2),"Пн","Вт","Ср","Чт","Пт","Сб","Вс"))</f>
        <v/>
      </c>
      <c r="C3711" s="53">
        <f>IF(A3711="","",YEAR(A3711))</f>
        <v/>
      </c>
      <c r="D3711" s="54">
        <f>IF(A3711="","",INDEX(lst_months,MONTH(A3711)))</f>
        <v/>
      </c>
      <c r="E3711" s="55" t="n"/>
      <c r="F3711" s="54">
        <f>IF(E3711="","",IFERROR(IF(INDEX(lst_exp_item_cat,MATCH(E3711,lst_exp_items,0))="","❔ Без категории",INDEX(lst_exp_item_cat,MATCH(E3711,lst_exp_items,0))),"❔ Без категории"))</f>
        <v/>
      </c>
      <c r="G3711" s="43" t="n"/>
      <c r="H3711" s="56" t="n"/>
      <c r="I3711" s="43" t="n"/>
      <c r="J3711" s="57">
        <f>IF(OR(A3711="",H3711=""),"",IF(COUNTIFS(exp_year,C3711,exp_month,D3711,exp_item,E3711,exp_status,"&lt;&gt;❌ Отменено")&gt;0,1,0))</f>
        <v/>
      </c>
    </row>
    <row r="3712">
      <c r="A3712" s="52" t="n"/>
      <c r="B3712" s="53">
        <f>IF(A3712="","",CHOOSE(WEEKDAY(A3712,2),"Пн","Вт","Ср","Чт","Пт","Сб","Вс"))</f>
        <v/>
      </c>
      <c r="C3712" s="53">
        <f>IF(A3712="","",YEAR(A3712))</f>
        <v/>
      </c>
      <c r="D3712" s="54">
        <f>IF(A3712="","",INDEX(lst_months,MONTH(A3712)))</f>
        <v/>
      </c>
      <c r="E3712" s="55" t="n"/>
      <c r="F3712" s="54">
        <f>IF(E3712="","",IFERROR(IF(INDEX(lst_exp_item_cat,MATCH(E3712,lst_exp_items,0))="","❔ Без категории",INDEX(lst_exp_item_cat,MATCH(E3712,lst_exp_items,0))),"❔ Без категории"))</f>
        <v/>
      </c>
      <c r="G3712" s="43" t="n"/>
      <c r="H3712" s="56" t="n"/>
      <c r="I3712" s="43" t="n"/>
      <c r="J3712" s="57">
        <f>IF(OR(A3712="",H3712=""),"",IF(COUNTIFS(exp_year,C3712,exp_month,D3712,exp_item,E3712,exp_status,"&lt;&gt;❌ Отменено")&gt;0,1,0))</f>
        <v/>
      </c>
    </row>
    <row r="3713">
      <c r="A3713" s="52" t="n"/>
      <c r="B3713" s="53">
        <f>IF(A3713="","",CHOOSE(WEEKDAY(A3713,2),"Пн","Вт","Ср","Чт","Пт","Сб","Вс"))</f>
        <v/>
      </c>
      <c r="C3713" s="53">
        <f>IF(A3713="","",YEAR(A3713))</f>
        <v/>
      </c>
      <c r="D3713" s="54">
        <f>IF(A3713="","",INDEX(lst_months,MONTH(A3713)))</f>
        <v/>
      </c>
      <c r="E3713" s="55" t="n"/>
      <c r="F3713" s="54">
        <f>IF(E3713="","",IFERROR(IF(INDEX(lst_exp_item_cat,MATCH(E3713,lst_exp_items,0))="","❔ Без категории",INDEX(lst_exp_item_cat,MATCH(E3713,lst_exp_items,0))),"❔ Без категории"))</f>
        <v/>
      </c>
      <c r="G3713" s="43" t="n"/>
      <c r="H3713" s="56" t="n"/>
      <c r="I3713" s="43" t="n"/>
      <c r="J3713" s="57">
        <f>IF(OR(A3713="",H3713=""),"",IF(COUNTIFS(exp_year,C3713,exp_month,D3713,exp_item,E3713,exp_status,"&lt;&gt;❌ Отменено")&gt;0,1,0))</f>
        <v/>
      </c>
    </row>
    <row r="3714">
      <c r="A3714" s="52" t="n"/>
      <c r="B3714" s="53">
        <f>IF(A3714="","",CHOOSE(WEEKDAY(A3714,2),"Пн","Вт","Ср","Чт","Пт","Сб","Вс"))</f>
        <v/>
      </c>
      <c r="C3714" s="53">
        <f>IF(A3714="","",YEAR(A3714))</f>
        <v/>
      </c>
      <c r="D3714" s="54">
        <f>IF(A3714="","",INDEX(lst_months,MONTH(A3714)))</f>
        <v/>
      </c>
      <c r="E3714" s="55" t="n"/>
      <c r="F3714" s="54">
        <f>IF(E3714="","",IFERROR(IF(INDEX(lst_exp_item_cat,MATCH(E3714,lst_exp_items,0))="","❔ Без категории",INDEX(lst_exp_item_cat,MATCH(E3714,lst_exp_items,0))),"❔ Без категории"))</f>
        <v/>
      </c>
      <c r="G3714" s="43" t="n"/>
      <c r="H3714" s="56" t="n"/>
      <c r="I3714" s="43" t="n"/>
      <c r="J3714" s="57">
        <f>IF(OR(A3714="",H3714=""),"",IF(COUNTIFS(exp_year,C3714,exp_month,D3714,exp_item,E3714,exp_status,"&lt;&gt;❌ Отменено")&gt;0,1,0))</f>
        <v/>
      </c>
    </row>
    <row r="3715">
      <c r="A3715" s="52" t="n"/>
      <c r="B3715" s="53">
        <f>IF(A3715="","",CHOOSE(WEEKDAY(A3715,2),"Пн","Вт","Ср","Чт","Пт","Сб","Вс"))</f>
        <v/>
      </c>
      <c r="C3715" s="53">
        <f>IF(A3715="","",YEAR(A3715))</f>
        <v/>
      </c>
      <c r="D3715" s="54">
        <f>IF(A3715="","",INDEX(lst_months,MONTH(A3715)))</f>
        <v/>
      </c>
      <c r="E3715" s="55" t="n"/>
      <c r="F3715" s="54">
        <f>IF(E3715="","",IFERROR(IF(INDEX(lst_exp_item_cat,MATCH(E3715,lst_exp_items,0))="","❔ Без категории",INDEX(lst_exp_item_cat,MATCH(E3715,lst_exp_items,0))),"❔ Без категории"))</f>
        <v/>
      </c>
      <c r="G3715" s="43" t="n"/>
      <c r="H3715" s="56" t="n"/>
      <c r="I3715" s="43" t="n"/>
      <c r="J3715" s="57">
        <f>IF(OR(A3715="",H3715=""),"",IF(COUNTIFS(exp_year,C3715,exp_month,D3715,exp_item,E3715,exp_status,"&lt;&gt;❌ Отменено")&gt;0,1,0))</f>
        <v/>
      </c>
    </row>
    <row r="3716">
      <c r="A3716" s="52" t="n"/>
      <c r="B3716" s="53">
        <f>IF(A3716="","",CHOOSE(WEEKDAY(A3716,2),"Пн","Вт","Ср","Чт","Пт","Сб","Вс"))</f>
        <v/>
      </c>
      <c r="C3716" s="53">
        <f>IF(A3716="","",YEAR(A3716))</f>
        <v/>
      </c>
      <c r="D3716" s="54">
        <f>IF(A3716="","",INDEX(lst_months,MONTH(A3716)))</f>
        <v/>
      </c>
      <c r="E3716" s="55" t="n"/>
      <c r="F3716" s="54">
        <f>IF(E3716="","",IFERROR(IF(INDEX(lst_exp_item_cat,MATCH(E3716,lst_exp_items,0))="","❔ Без категории",INDEX(lst_exp_item_cat,MATCH(E3716,lst_exp_items,0))),"❔ Без категории"))</f>
        <v/>
      </c>
      <c r="G3716" s="43" t="n"/>
      <c r="H3716" s="56" t="n"/>
      <c r="I3716" s="43" t="n"/>
      <c r="J3716" s="57">
        <f>IF(OR(A3716="",H3716=""),"",IF(COUNTIFS(exp_year,C3716,exp_month,D3716,exp_item,E3716,exp_status,"&lt;&gt;❌ Отменено")&gt;0,1,0))</f>
        <v/>
      </c>
    </row>
    <row r="3717">
      <c r="A3717" s="52" t="n"/>
      <c r="B3717" s="53">
        <f>IF(A3717="","",CHOOSE(WEEKDAY(A3717,2),"Пн","Вт","Ср","Чт","Пт","Сб","Вс"))</f>
        <v/>
      </c>
      <c r="C3717" s="53">
        <f>IF(A3717="","",YEAR(A3717))</f>
        <v/>
      </c>
      <c r="D3717" s="54">
        <f>IF(A3717="","",INDEX(lst_months,MONTH(A3717)))</f>
        <v/>
      </c>
      <c r="E3717" s="55" t="n"/>
      <c r="F3717" s="54">
        <f>IF(E3717="","",IFERROR(IF(INDEX(lst_exp_item_cat,MATCH(E3717,lst_exp_items,0))="","❔ Без категории",INDEX(lst_exp_item_cat,MATCH(E3717,lst_exp_items,0))),"❔ Без категории"))</f>
        <v/>
      </c>
      <c r="G3717" s="43" t="n"/>
      <c r="H3717" s="56" t="n"/>
      <c r="I3717" s="43" t="n"/>
      <c r="J3717" s="57">
        <f>IF(OR(A3717="",H3717=""),"",IF(COUNTIFS(exp_year,C3717,exp_month,D3717,exp_item,E3717,exp_status,"&lt;&gt;❌ Отменено")&gt;0,1,0))</f>
        <v/>
      </c>
    </row>
    <row r="3718">
      <c r="A3718" s="52" t="n"/>
      <c r="B3718" s="53">
        <f>IF(A3718="","",CHOOSE(WEEKDAY(A3718,2),"Пн","Вт","Ср","Чт","Пт","Сб","Вс"))</f>
        <v/>
      </c>
      <c r="C3718" s="53">
        <f>IF(A3718="","",YEAR(A3718))</f>
        <v/>
      </c>
      <c r="D3718" s="54">
        <f>IF(A3718="","",INDEX(lst_months,MONTH(A3718)))</f>
        <v/>
      </c>
      <c r="E3718" s="55" t="n"/>
      <c r="F3718" s="54">
        <f>IF(E3718="","",IFERROR(IF(INDEX(lst_exp_item_cat,MATCH(E3718,lst_exp_items,0))="","❔ Без категории",INDEX(lst_exp_item_cat,MATCH(E3718,lst_exp_items,0))),"❔ Без категории"))</f>
        <v/>
      </c>
      <c r="G3718" s="43" t="n"/>
      <c r="H3718" s="56" t="n"/>
      <c r="I3718" s="43" t="n"/>
      <c r="J3718" s="57">
        <f>IF(OR(A3718="",H3718=""),"",IF(COUNTIFS(exp_year,C3718,exp_month,D3718,exp_item,E3718,exp_status,"&lt;&gt;❌ Отменено")&gt;0,1,0))</f>
        <v/>
      </c>
    </row>
    <row r="3719">
      <c r="A3719" s="52" t="n"/>
      <c r="B3719" s="53">
        <f>IF(A3719="","",CHOOSE(WEEKDAY(A3719,2),"Пн","Вт","Ср","Чт","Пт","Сб","Вс"))</f>
        <v/>
      </c>
      <c r="C3719" s="53">
        <f>IF(A3719="","",YEAR(A3719))</f>
        <v/>
      </c>
      <c r="D3719" s="54">
        <f>IF(A3719="","",INDEX(lst_months,MONTH(A3719)))</f>
        <v/>
      </c>
      <c r="E3719" s="55" t="n"/>
      <c r="F3719" s="54">
        <f>IF(E3719="","",IFERROR(IF(INDEX(lst_exp_item_cat,MATCH(E3719,lst_exp_items,0))="","❔ Без категории",INDEX(lst_exp_item_cat,MATCH(E3719,lst_exp_items,0))),"❔ Без категории"))</f>
        <v/>
      </c>
      <c r="G3719" s="43" t="n"/>
      <c r="H3719" s="56" t="n"/>
      <c r="I3719" s="43" t="n"/>
      <c r="J3719" s="57">
        <f>IF(OR(A3719="",H3719=""),"",IF(COUNTIFS(exp_year,C3719,exp_month,D3719,exp_item,E3719,exp_status,"&lt;&gt;❌ Отменено")&gt;0,1,0))</f>
        <v/>
      </c>
    </row>
    <row r="3720">
      <c r="A3720" s="52" t="n"/>
      <c r="B3720" s="53">
        <f>IF(A3720="","",CHOOSE(WEEKDAY(A3720,2),"Пн","Вт","Ср","Чт","Пт","Сб","Вс"))</f>
        <v/>
      </c>
      <c r="C3720" s="53">
        <f>IF(A3720="","",YEAR(A3720))</f>
        <v/>
      </c>
      <c r="D3720" s="54">
        <f>IF(A3720="","",INDEX(lst_months,MONTH(A3720)))</f>
        <v/>
      </c>
      <c r="E3720" s="55" t="n"/>
      <c r="F3720" s="54">
        <f>IF(E3720="","",IFERROR(IF(INDEX(lst_exp_item_cat,MATCH(E3720,lst_exp_items,0))="","❔ Без категории",INDEX(lst_exp_item_cat,MATCH(E3720,lst_exp_items,0))),"❔ Без категории"))</f>
        <v/>
      </c>
      <c r="G3720" s="43" t="n"/>
      <c r="H3720" s="56" t="n"/>
      <c r="I3720" s="43" t="n"/>
      <c r="J3720" s="57">
        <f>IF(OR(A3720="",H3720=""),"",IF(COUNTIFS(exp_year,C3720,exp_month,D3720,exp_item,E3720,exp_status,"&lt;&gt;❌ Отменено")&gt;0,1,0))</f>
        <v/>
      </c>
    </row>
    <row r="3721">
      <c r="A3721" s="52" t="n"/>
      <c r="B3721" s="53">
        <f>IF(A3721="","",CHOOSE(WEEKDAY(A3721,2),"Пн","Вт","Ср","Чт","Пт","Сб","Вс"))</f>
        <v/>
      </c>
      <c r="C3721" s="53">
        <f>IF(A3721="","",YEAR(A3721))</f>
        <v/>
      </c>
      <c r="D3721" s="54">
        <f>IF(A3721="","",INDEX(lst_months,MONTH(A3721)))</f>
        <v/>
      </c>
      <c r="E3721" s="55" t="n"/>
      <c r="F3721" s="54">
        <f>IF(E3721="","",IFERROR(IF(INDEX(lst_exp_item_cat,MATCH(E3721,lst_exp_items,0))="","❔ Без категории",INDEX(lst_exp_item_cat,MATCH(E3721,lst_exp_items,0))),"❔ Без категории"))</f>
        <v/>
      </c>
      <c r="G3721" s="43" t="n"/>
      <c r="H3721" s="56" t="n"/>
      <c r="I3721" s="43" t="n"/>
      <c r="J3721" s="57">
        <f>IF(OR(A3721="",H3721=""),"",IF(COUNTIFS(exp_year,C3721,exp_month,D3721,exp_item,E3721,exp_status,"&lt;&gt;❌ Отменено")&gt;0,1,0))</f>
        <v/>
      </c>
    </row>
    <row r="3722">
      <c r="A3722" s="52" t="n"/>
      <c r="B3722" s="53">
        <f>IF(A3722="","",CHOOSE(WEEKDAY(A3722,2),"Пн","Вт","Ср","Чт","Пт","Сб","Вс"))</f>
        <v/>
      </c>
      <c r="C3722" s="53">
        <f>IF(A3722="","",YEAR(A3722))</f>
        <v/>
      </c>
      <c r="D3722" s="54">
        <f>IF(A3722="","",INDEX(lst_months,MONTH(A3722)))</f>
        <v/>
      </c>
      <c r="E3722" s="55" t="n"/>
      <c r="F3722" s="54">
        <f>IF(E3722="","",IFERROR(IF(INDEX(lst_exp_item_cat,MATCH(E3722,lst_exp_items,0))="","❔ Без категории",INDEX(lst_exp_item_cat,MATCH(E3722,lst_exp_items,0))),"❔ Без категории"))</f>
        <v/>
      </c>
      <c r="G3722" s="43" t="n"/>
      <c r="H3722" s="56" t="n"/>
      <c r="I3722" s="43" t="n"/>
      <c r="J3722" s="57">
        <f>IF(OR(A3722="",H3722=""),"",IF(COUNTIFS(exp_year,C3722,exp_month,D3722,exp_item,E3722,exp_status,"&lt;&gt;❌ Отменено")&gt;0,1,0))</f>
        <v/>
      </c>
    </row>
    <row r="3723">
      <c r="A3723" s="52" t="n"/>
      <c r="B3723" s="53">
        <f>IF(A3723="","",CHOOSE(WEEKDAY(A3723,2),"Пн","Вт","Ср","Чт","Пт","Сб","Вс"))</f>
        <v/>
      </c>
      <c r="C3723" s="53">
        <f>IF(A3723="","",YEAR(A3723))</f>
        <v/>
      </c>
      <c r="D3723" s="54">
        <f>IF(A3723="","",INDEX(lst_months,MONTH(A3723)))</f>
        <v/>
      </c>
      <c r="E3723" s="55" t="n"/>
      <c r="F3723" s="54">
        <f>IF(E3723="","",IFERROR(IF(INDEX(lst_exp_item_cat,MATCH(E3723,lst_exp_items,0))="","❔ Без категории",INDEX(lst_exp_item_cat,MATCH(E3723,lst_exp_items,0))),"❔ Без категории"))</f>
        <v/>
      </c>
      <c r="G3723" s="43" t="n"/>
      <c r="H3723" s="56" t="n"/>
      <c r="I3723" s="43" t="n"/>
      <c r="J3723" s="57">
        <f>IF(OR(A3723="",H3723=""),"",IF(COUNTIFS(exp_year,C3723,exp_month,D3723,exp_item,E3723,exp_status,"&lt;&gt;❌ Отменено")&gt;0,1,0))</f>
        <v/>
      </c>
    </row>
    <row r="3724">
      <c r="A3724" s="52" t="n"/>
      <c r="B3724" s="53">
        <f>IF(A3724="","",CHOOSE(WEEKDAY(A3724,2),"Пн","Вт","Ср","Чт","Пт","Сб","Вс"))</f>
        <v/>
      </c>
      <c r="C3724" s="53">
        <f>IF(A3724="","",YEAR(A3724))</f>
        <v/>
      </c>
      <c r="D3724" s="54">
        <f>IF(A3724="","",INDEX(lst_months,MONTH(A3724)))</f>
        <v/>
      </c>
      <c r="E3724" s="55" t="n"/>
      <c r="F3724" s="54">
        <f>IF(E3724="","",IFERROR(IF(INDEX(lst_exp_item_cat,MATCH(E3724,lst_exp_items,0))="","❔ Без категории",INDEX(lst_exp_item_cat,MATCH(E3724,lst_exp_items,0))),"❔ Без категории"))</f>
        <v/>
      </c>
      <c r="G3724" s="43" t="n"/>
      <c r="H3724" s="56" t="n"/>
      <c r="I3724" s="43" t="n"/>
      <c r="J3724" s="57">
        <f>IF(OR(A3724="",H3724=""),"",IF(COUNTIFS(exp_year,C3724,exp_month,D3724,exp_item,E3724,exp_status,"&lt;&gt;❌ Отменено")&gt;0,1,0))</f>
        <v/>
      </c>
    </row>
    <row r="3725">
      <c r="A3725" s="52" t="n"/>
      <c r="B3725" s="53">
        <f>IF(A3725="","",CHOOSE(WEEKDAY(A3725,2),"Пн","Вт","Ср","Чт","Пт","Сб","Вс"))</f>
        <v/>
      </c>
      <c r="C3725" s="53">
        <f>IF(A3725="","",YEAR(A3725))</f>
        <v/>
      </c>
      <c r="D3725" s="54">
        <f>IF(A3725="","",INDEX(lst_months,MONTH(A3725)))</f>
        <v/>
      </c>
      <c r="E3725" s="55" t="n"/>
      <c r="F3725" s="54">
        <f>IF(E3725="","",IFERROR(IF(INDEX(lst_exp_item_cat,MATCH(E3725,lst_exp_items,0))="","❔ Без категории",INDEX(lst_exp_item_cat,MATCH(E3725,lst_exp_items,0))),"❔ Без категории"))</f>
        <v/>
      </c>
      <c r="G3725" s="43" t="n"/>
      <c r="H3725" s="56" t="n"/>
      <c r="I3725" s="43" t="n"/>
      <c r="J3725" s="57">
        <f>IF(OR(A3725="",H3725=""),"",IF(COUNTIFS(exp_year,C3725,exp_month,D3725,exp_item,E3725,exp_status,"&lt;&gt;❌ Отменено")&gt;0,1,0))</f>
        <v/>
      </c>
    </row>
    <row r="3726">
      <c r="A3726" s="52" t="n"/>
      <c r="B3726" s="53">
        <f>IF(A3726="","",CHOOSE(WEEKDAY(A3726,2),"Пн","Вт","Ср","Чт","Пт","Сб","Вс"))</f>
        <v/>
      </c>
      <c r="C3726" s="53">
        <f>IF(A3726="","",YEAR(A3726))</f>
        <v/>
      </c>
      <c r="D3726" s="54">
        <f>IF(A3726="","",INDEX(lst_months,MONTH(A3726)))</f>
        <v/>
      </c>
      <c r="E3726" s="55" t="n"/>
      <c r="F3726" s="54">
        <f>IF(E3726="","",IFERROR(IF(INDEX(lst_exp_item_cat,MATCH(E3726,lst_exp_items,0))="","❔ Без категории",INDEX(lst_exp_item_cat,MATCH(E3726,lst_exp_items,0))),"❔ Без категории"))</f>
        <v/>
      </c>
      <c r="G3726" s="43" t="n"/>
      <c r="H3726" s="56" t="n"/>
      <c r="I3726" s="43" t="n"/>
      <c r="J3726" s="57">
        <f>IF(OR(A3726="",H3726=""),"",IF(COUNTIFS(exp_year,C3726,exp_month,D3726,exp_item,E3726,exp_status,"&lt;&gt;❌ Отменено")&gt;0,1,0))</f>
        <v/>
      </c>
    </row>
    <row r="3727">
      <c r="A3727" s="52" t="n"/>
      <c r="B3727" s="53">
        <f>IF(A3727="","",CHOOSE(WEEKDAY(A3727,2),"Пн","Вт","Ср","Чт","Пт","Сб","Вс"))</f>
        <v/>
      </c>
      <c r="C3727" s="53">
        <f>IF(A3727="","",YEAR(A3727))</f>
        <v/>
      </c>
      <c r="D3727" s="54">
        <f>IF(A3727="","",INDEX(lst_months,MONTH(A3727)))</f>
        <v/>
      </c>
      <c r="E3727" s="55" t="n"/>
      <c r="F3727" s="54">
        <f>IF(E3727="","",IFERROR(IF(INDEX(lst_exp_item_cat,MATCH(E3727,lst_exp_items,0))="","❔ Без категории",INDEX(lst_exp_item_cat,MATCH(E3727,lst_exp_items,0))),"❔ Без категории"))</f>
        <v/>
      </c>
      <c r="G3727" s="43" t="n"/>
      <c r="H3727" s="56" t="n"/>
      <c r="I3727" s="43" t="n"/>
      <c r="J3727" s="57">
        <f>IF(OR(A3727="",H3727=""),"",IF(COUNTIFS(exp_year,C3727,exp_month,D3727,exp_item,E3727,exp_status,"&lt;&gt;❌ Отменено")&gt;0,1,0))</f>
        <v/>
      </c>
    </row>
    <row r="3728">
      <c r="A3728" s="52" t="n"/>
      <c r="B3728" s="53">
        <f>IF(A3728="","",CHOOSE(WEEKDAY(A3728,2),"Пн","Вт","Ср","Чт","Пт","Сб","Вс"))</f>
        <v/>
      </c>
      <c r="C3728" s="53">
        <f>IF(A3728="","",YEAR(A3728))</f>
        <v/>
      </c>
      <c r="D3728" s="54">
        <f>IF(A3728="","",INDEX(lst_months,MONTH(A3728)))</f>
        <v/>
      </c>
      <c r="E3728" s="55" t="n"/>
      <c r="F3728" s="54">
        <f>IF(E3728="","",IFERROR(IF(INDEX(lst_exp_item_cat,MATCH(E3728,lst_exp_items,0))="","❔ Без категории",INDEX(lst_exp_item_cat,MATCH(E3728,lst_exp_items,0))),"❔ Без категории"))</f>
        <v/>
      </c>
      <c r="G3728" s="43" t="n"/>
      <c r="H3728" s="56" t="n"/>
      <c r="I3728" s="43" t="n"/>
      <c r="J3728" s="57">
        <f>IF(OR(A3728="",H3728=""),"",IF(COUNTIFS(exp_year,C3728,exp_month,D3728,exp_item,E3728,exp_status,"&lt;&gt;❌ Отменено")&gt;0,1,0))</f>
        <v/>
      </c>
    </row>
    <row r="3729">
      <c r="A3729" s="52" t="n"/>
      <c r="B3729" s="53">
        <f>IF(A3729="","",CHOOSE(WEEKDAY(A3729,2),"Пн","Вт","Ср","Чт","Пт","Сб","Вс"))</f>
        <v/>
      </c>
      <c r="C3729" s="53">
        <f>IF(A3729="","",YEAR(A3729))</f>
        <v/>
      </c>
      <c r="D3729" s="54">
        <f>IF(A3729="","",INDEX(lst_months,MONTH(A3729)))</f>
        <v/>
      </c>
      <c r="E3729" s="55" t="n"/>
      <c r="F3729" s="54">
        <f>IF(E3729="","",IFERROR(IF(INDEX(lst_exp_item_cat,MATCH(E3729,lst_exp_items,0))="","❔ Без категории",INDEX(lst_exp_item_cat,MATCH(E3729,lst_exp_items,0))),"❔ Без категории"))</f>
        <v/>
      </c>
      <c r="G3729" s="43" t="n"/>
      <c r="H3729" s="56" t="n"/>
      <c r="I3729" s="43" t="n"/>
      <c r="J3729" s="57">
        <f>IF(OR(A3729="",H3729=""),"",IF(COUNTIFS(exp_year,C3729,exp_month,D3729,exp_item,E3729,exp_status,"&lt;&gt;❌ Отменено")&gt;0,1,0))</f>
        <v/>
      </c>
    </row>
    <row r="3730">
      <c r="A3730" s="52" t="n"/>
      <c r="B3730" s="53">
        <f>IF(A3730="","",CHOOSE(WEEKDAY(A3730,2),"Пн","Вт","Ср","Чт","Пт","Сб","Вс"))</f>
        <v/>
      </c>
      <c r="C3730" s="53">
        <f>IF(A3730="","",YEAR(A3730))</f>
        <v/>
      </c>
      <c r="D3730" s="54">
        <f>IF(A3730="","",INDEX(lst_months,MONTH(A3730)))</f>
        <v/>
      </c>
      <c r="E3730" s="55" t="n"/>
      <c r="F3730" s="54">
        <f>IF(E3730="","",IFERROR(IF(INDEX(lst_exp_item_cat,MATCH(E3730,lst_exp_items,0))="","❔ Без категории",INDEX(lst_exp_item_cat,MATCH(E3730,lst_exp_items,0))),"❔ Без категории"))</f>
        <v/>
      </c>
      <c r="G3730" s="43" t="n"/>
      <c r="H3730" s="56" t="n"/>
      <c r="I3730" s="43" t="n"/>
      <c r="J3730" s="57">
        <f>IF(OR(A3730="",H3730=""),"",IF(COUNTIFS(exp_year,C3730,exp_month,D3730,exp_item,E3730,exp_status,"&lt;&gt;❌ Отменено")&gt;0,1,0))</f>
        <v/>
      </c>
    </row>
    <row r="3731">
      <c r="A3731" s="52" t="n"/>
      <c r="B3731" s="53">
        <f>IF(A3731="","",CHOOSE(WEEKDAY(A3731,2),"Пн","Вт","Ср","Чт","Пт","Сб","Вс"))</f>
        <v/>
      </c>
      <c r="C3731" s="53">
        <f>IF(A3731="","",YEAR(A3731))</f>
        <v/>
      </c>
      <c r="D3731" s="54">
        <f>IF(A3731="","",INDEX(lst_months,MONTH(A3731)))</f>
        <v/>
      </c>
      <c r="E3731" s="55" t="n"/>
      <c r="F3731" s="54">
        <f>IF(E3731="","",IFERROR(IF(INDEX(lst_exp_item_cat,MATCH(E3731,lst_exp_items,0))="","❔ Без категории",INDEX(lst_exp_item_cat,MATCH(E3731,lst_exp_items,0))),"❔ Без категории"))</f>
        <v/>
      </c>
      <c r="G3731" s="43" t="n"/>
      <c r="H3731" s="56" t="n"/>
      <c r="I3731" s="43" t="n"/>
      <c r="J3731" s="57">
        <f>IF(OR(A3731="",H3731=""),"",IF(COUNTIFS(exp_year,C3731,exp_month,D3731,exp_item,E3731,exp_status,"&lt;&gt;❌ Отменено")&gt;0,1,0))</f>
        <v/>
      </c>
    </row>
    <row r="3732">
      <c r="A3732" s="52" t="n"/>
      <c r="B3732" s="53">
        <f>IF(A3732="","",CHOOSE(WEEKDAY(A3732,2),"Пн","Вт","Ср","Чт","Пт","Сб","Вс"))</f>
        <v/>
      </c>
      <c r="C3732" s="53">
        <f>IF(A3732="","",YEAR(A3732))</f>
        <v/>
      </c>
      <c r="D3732" s="54">
        <f>IF(A3732="","",INDEX(lst_months,MONTH(A3732)))</f>
        <v/>
      </c>
      <c r="E3732" s="55" t="n"/>
      <c r="F3732" s="54">
        <f>IF(E3732="","",IFERROR(IF(INDEX(lst_exp_item_cat,MATCH(E3732,lst_exp_items,0))="","❔ Без категории",INDEX(lst_exp_item_cat,MATCH(E3732,lst_exp_items,0))),"❔ Без категории"))</f>
        <v/>
      </c>
      <c r="G3732" s="43" t="n"/>
      <c r="H3732" s="56" t="n"/>
      <c r="I3732" s="43" t="n"/>
      <c r="J3732" s="57">
        <f>IF(OR(A3732="",H3732=""),"",IF(COUNTIFS(exp_year,C3732,exp_month,D3732,exp_item,E3732,exp_status,"&lt;&gt;❌ Отменено")&gt;0,1,0))</f>
        <v/>
      </c>
    </row>
    <row r="3733">
      <c r="A3733" s="52" t="n"/>
      <c r="B3733" s="53">
        <f>IF(A3733="","",CHOOSE(WEEKDAY(A3733,2),"Пн","Вт","Ср","Чт","Пт","Сб","Вс"))</f>
        <v/>
      </c>
      <c r="C3733" s="53">
        <f>IF(A3733="","",YEAR(A3733))</f>
        <v/>
      </c>
      <c r="D3733" s="54">
        <f>IF(A3733="","",INDEX(lst_months,MONTH(A3733)))</f>
        <v/>
      </c>
      <c r="E3733" s="55" t="n"/>
      <c r="F3733" s="54">
        <f>IF(E3733="","",IFERROR(IF(INDEX(lst_exp_item_cat,MATCH(E3733,lst_exp_items,0))="","❔ Без категории",INDEX(lst_exp_item_cat,MATCH(E3733,lst_exp_items,0))),"❔ Без категории"))</f>
        <v/>
      </c>
      <c r="G3733" s="43" t="n"/>
      <c r="H3733" s="56" t="n"/>
      <c r="I3733" s="43" t="n"/>
      <c r="J3733" s="57">
        <f>IF(OR(A3733="",H3733=""),"",IF(COUNTIFS(exp_year,C3733,exp_month,D3733,exp_item,E3733,exp_status,"&lt;&gt;❌ Отменено")&gt;0,1,0))</f>
        <v/>
      </c>
    </row>
    <row r="3734">
      <c r="A3734" s="52" t="n"/>
      <c r="B3734" s="53">
        <f>IF(A3734="","",CHOOSE(WEEKDAY(A3734,2),"Пн","Вт","Ср","Чт","Пт","Сб","Вс"))</f>
        <v/>
      </c>
      <c r="C3734" s="53">
        <f>IF(A3734="","",YEAR(A3734))</f>
        <v/>
      </c>
      <c r="D3734" s="54">
        <f>IF(A3734="","",INDEX(lst_months,MONTH(A3734)))</f>
        <v/>
      </c>
      <c r="E3734" s="55" t="n"/>
      <c r="F3734" s="54">
        <f>IF(E3734="","",IFERROR(IF(INDEX(lst_exp_item_cat,MATCH(E3734,lst_exp_items,0))="","❔ Без категории",INDEX(lst_exp_item_cat,MATCH(E3734,lst_exp_items,0))),"❔ Без категории"))</f>
        <v/>
      </c>
      <c r="G3734" s="43" t="n"/>
      <c r="H3734" s="56" t="n"/>
      <c r="I3734" s="43" t="n"/>
      <c r="J3734" s="57">
        <f>IF(OR(A3734="",H3734=""),"",IF(COUNTIFS(exp_year,C3734,exp_month,D3734,exp_item,E3734,exp_status,"&lt;&gt;❌ Отменено")&gt;0,1,0))</f>
        <v/>
      </c>
    </row>
    <row r="3735">
      <c r="A3735" s="52" t="n"/>
      <c r="B3735" s="53">
        <f>IF(A3735="","",CHOOSE(WEEKDAY(A3735,2),"Пн","Вт","Ср","Чт","Пт","Сб","Вс"))</f>
        <v/>
      </c>
      <c r="C3735" s="53">
        <f>IF(A3735="","",YEAR(A3735))</f>
        <v/>
      </c>
      <c r="D3735" s="54">
        <f>IF(A3735="","",INDEX(lst_months,MONTH(A3735)))</f>
        <v/>
      </c>
      <c r="E3735" s="55" t="n"/>
      <c r="F3735" s="54">
        <f>IF(E3735="","",IFERROR(IF(INDEX(lst_exp_item_cat,MATCH(E3735,lst_exp_items,0))="","❔ Без категории",INDEX(lst_exp_item_cat,MATCH(E3735,lst_exp_items,0))),"❔ Без категории"))</f>
        <v/>
      </c>
      <c r="G3735" s="43" t="n"/>
      <c r="H3735" s="56" t="n"/>
      <c r="I3735" s="43" t="n"/>
      <c r="J3735" s="57">
        <f>IF(OR(A3735="",H3735=""),"",IF(COUNTIFS(exp_year,C3735,exp_month,D3735,exp_item,E3735,exp_status,"&lt;&gt;❌ Отменено")&gt;0,1,0))</f>
        <v/>
      </c>
    </row>
    <row r="3736">
      <c r="A3736" s="52" t="n"/>
      <c r="B3736" s="53">
        <f>IF(A3736="","",CHOOSE(WEEKDAY(A3736,2),"Пн","Вт","Ср","Чт","Пт","Сб","Вс"))</f>
        <v/>
      </c>
      <c r="C3736" s="53">
        <f>IF(A3736="","",YEAR(A3736))</f>
        <v/>
      </c>
      <c r="D3736" s="54">
        <f>IF(A3736="","",INDEX(lst_months,MONTH(A3736)))</f>
        <v/>
      </c>
      <c r="E3736" s="55" t="n"/>
      <c r="F3736" s="54">
        <f>IF(E3736="","",IFERROR(IF(INDEX(lst_exp_item_cat,MATCH(E3736,lst_exp_items,0))="","❔ Без категории",INDEX(lst_exp_item_cat,MATCH(E3736,lst_exp_items,0))),"❔ Без категории"))</f>
        <v/>
      </c>
      <c r="G3736" s="43" t="n"/>
      <c r="H3736" s="56" t="n"/>
      <c r="I3736" s="43" t="n"/>
      <c r="J3736" s="57">
        <f>IF(OR(A3736="",H3736=""),"",IF(COUNTIFS(exp_year,C3736,exp_month,D3736,exp_item,E3736,exp_status,"&lt;&gt;❌ Отменено")&gt;0,1,0))</f>
        <v/>
      </c>
    </row>
    <row r="3737">
      <c r="A3737" s="52" t="n"/>
      <c r="B3737" s="53">
        <f>IF(A3737="","",CHOOSE(WEEKDAY(A3737,2),"Пн","Вт","Ср","Чт","Пт","Сб","Вс"))</f>
        <v/>
      </c>
      <c r="C3737" s="53">
        <f>IF(A3737="","",YEAR(A3737))</f>
        <v/>
      </c>
      <c r="D3737" s="54">
        <f>IF(A3737="","",INDEX(lst_months,MONTH(A3737)))</f>
        <v/>
      </c>
      <c r="E3737" s="55" t="n"/>
      <c r="F3737" s="54">
        <f>IF(E3737="","",IFERROR(IF(INDEX(lst_exp_item_cat,MATCH(E3737,lst_exp_items,0))="","❔ Без категории",INDEX(lst_exp_item_cat,MATCH(E3737,lst_exp_items,0))),"❔ Без категории"))</f>
        <v/>
      </c>
      <c r="G3737" s="43" t="n"/>
      <c r="H3737" s="56" t="n"/>
      <c r="I3737" s="43" t="n"/>
      <c r="J3737" s="57">
        <f>IF(OR(A3737="",H3737=""),"",IF(COUNTIFS(exp_year,C3737,exp_month,D3737,exp_item,E3737,exp_status,"&lt;&gt;❌ Отменено")&gt;0,1,0))</f>
        <v/>
      </c>
    </row>
    <row r="3738">
      <c r="A3738" s="52" t="n"/>
      <c r="B3738" s="53">
        <f>IF(A3738="","",CHOOSE(WEEKDAY(A3738,2),"Пн","Вт","Ср","Чт","Пт","Сб","Вс"))</f>
        <v/>
      </c>
      <c r="C3738" s="53">
        <f>IF(A3738="","",YEAR(A3738))</f>
        <v/>
      </c>
      <c r="D3738" s="54">
        <f>IF(A3738="","",INDEX(lst_months,MONTH(A3738)))</f>
        <v/>
      </c>
      <c r="E3738" s="55" t="n"/>
      <c r="F3738" s="54">
        <f>IF(E3738="","",IFERROR(IF(INDEX(lst_exp_item_cat,MATCH(E3738,lst_exp_items,0))="","❔ Без категории",INDEX(lst_exp_item_cat,MATCH(E3738,lst_exp_items,0))),"❔ Без категории"))</f>
        <v/>
      </c>
      <c r="G3738" s="43" t="n"/>
      <c r="H3738" s="56" t="n"/>
      <c r="I3738" s="43" t="n"/>
      <c r="J3738" s="57">
        <f>IF(OR(A3738="",H3738=""),"",IF(COUNTIFS(exp_year,C3738,exp_month,D3738,exp_item,E3738,exp_status,"&lt;&gt;❌ Отменено")&gt;0,1,0))</f>
        <v/>
      </c>
    </row>
    <row r="3739">
      <c r="A3739" s="52" t="n"/>
      <c r="B3739" s="53">
        <f>IF(A3739="","",CHOOSE(WEEKDAY(A3739,2),"Пн","Вт","Ср","Чт","Пт","Сб","Вс"))</f>
        <v/>
      </c>
      <c r="C3739" s="53">
        <f>IF(A3739="","",YEAR(A3739))</f>
        <v/>
      </c>
      <c r="D3739" s="54">
        <f>IF(A3739="","",INDEX(lst_months,MONTH(A3739)))</f>
        <v/>
      </c>
      <c r="E3739" s="55" t="n"/>
      <c r="F3739" s="54">
        <f>IF(E3739="","",IFERROR(IF(INDEX(lst_exp_item_cat,MATCH(E3739,lst_exp_items,0))="","❔ Без категории",INDEX(lst_exp_item_cat,MATCH(E3739,lst_exp_items,0))),"❔ Без категории"))</f>
        <v/>
      </c>
      <c r="G3739" s="43" t="n"/>
      <c r="H3739" s="56" t="n"/>
      <c r="I3739" s="43" t="n"/>
      <c r="J3739" s="57">
        <f>IF(OR(A3739="",H3739=""),"",IF(COUNTIFS(exp_year,C3739,exp_month,D3739,exp_item,E3739,exp_status,"&lt;&gt;❌ Отменено")&gt;0,1,0))</f>
        <v/>
      </c>
    </row>
    <row r="3740">
      <c r="A3740" s="52" t="n"/>
      <c r="B3740" s="53">
        <f>IF(A3740="","",CHOOSE(WEEKDAY(A3740,2),"Пн","Вт","Ср","Чт","Пт","Сб","Вс"))</f>
        <v/>
      </c>
      <c r="C3740" s="53">
        <f>IF(A3740="","",YEAR(A3740))</f>
        <v/>
      </c>
      <c r="D3740" s="54">
        <f>IF(A3740="","",INDEX(lst_months,MONTH(A3740)))</f>
        <v/>
      </c>
      <c r="E3740" s="55" t="n"/>
      <c r="F3740" s="54">
        <f>IF(E3740="","",IFERROR(IF(INDEX(lst_exp_item_cat,MATCH(E3740,lst_exp_items,0))="","❔ Без категории",INDEX(lst_exp_item_cat,MATCH(E3740,lst_exp_items,0))),"❔ Без категории"))</f>
        <v/>
      </c>
      <c r="G3740" s="43" t="n"/>
      <c r="H3740" s="56" t="n"/>
      <c r="I3740" s="43" t="n"/>
      <c r="J3740" s="57">
        <f>IF(OR(A3740="",H3740=""),"",IF(COUNTIFS(exp_year,C3740,exp_month,D3740,exp_item,E3740,exp_status,"&lt;&gt;❌ Отменено")&gt;0,1,0))</f>
        <v/>
      </c>
    </row>
    <row r="3741">
      <c r="A3741" s="52" t="n"/>
      <c r="B3741" s="53">
        <f>IF(A3741="","",CHOOSE(WEEKDAY(A3741,2),"Пн","Вт","Ср","Чт","Пт","Сб","Вс"))</f>
        <v/>
      </c>
      <c r="C3741" s="53">
        <f>IF(A3741="","",YEAR(A3741))</f>
        <v/>
      </c>
      <c r="D3741" s="54">
        <f>IF(A3741="","",INDEX(lst_months,MONTH(A3741)))</f>
        <v/>
      </c>
      <c r="E3741" s="55" t="n"/>
      <c r="F3741" s="54">
        <f>IF(E3741="","",IFERROR(IF(INDEX(lst_exp_item_cat,MATCH(E3741,lst_exp_items,0))="","❔ Без категории",INDEX(lst_exp_item_cat,MATCH(E3741,lst_exp_items,0))),"❔ Без категории"))</f>
        <v/>
      </c>
      <c r="G3741" s="43" t="n"/>
      <c r="H3741" s="56" t="n"/>
      <c r="I3741" s="43" t="n"/>
      <c r="J3741" s="57">
        <f>IF(OR(A3741="",H3741=""),"",IF(COUNTIFS(exp_year,C3741,exp_month,D3741,exp_item,E3741,exp_status,"&lt;&gt;❌ Отменено")&gt;0,1,0))</f>
        <v/>
      </c>
    </row>
    <row r="3742">
      <c r="A3742" s="52" t="n"/>
      <c r="B3742" s="53">
        <f>IF(A3742="","",CHOOSE(WEEKDAY(A3742,2),"Пн","Вт","Ср","Чт","Пт","Сб","Вс"))</f>
        <v/>
      </c>
      <c r="C3742" s="53">
        <f>IF(A3742="","",YEAR(A3742))</f>
        <v/>
      </c>
      <c r="D3742" s="54">
        <f>IF(A3742="","",INDEX(lst_months,MONTH(A3742)))</f>
        <v/>
      </c>
      <c r="E3742" s="55" t="n"/>
      <c r="F3742" s="54">
        <f>IF(E3742="","",IFERROR(IF(INDEX(lst_exp_item_cat,MATCH(E3742,lst_exp_items,0))="","❔ Без категории",INDEX(lst_exp_item_cat,MATCH(E3742,lst_exp_items,0))),"❔ Без категории"))</f>
        <v/>
      </c>
      <c r="G3742" s="43" t="n"/>
      <c r="H3742" s="56" t="n"/>
      <c r="I3742" s="43" t="n"/>
      <c r="J3742" s="57">
        <f>IF(OR(A3742="",H3742=""),"",IF(COUNTIFS(exp_year,C3742,exp_month,D3742,exp_item,E3742,exp_status,"&lt;&gt;❌ Отменено")&gt;0,1,0))</f>
        <v/>
      </c>
    </row>
    <row r="3743">
      <c r="A3743" s="52" t="n"/>
      <c r="B3743" s="53">
        <f>IF(A3743="","",CHOOSE(WEEKDAY(A3743,2),"Пн","Вт","Ср","Чт","Пт","Сб","Вс"))</f>
        <v/>
      </c>
      <c r="C3743" s="53">
        <f>IF(A3743="","",YEAR(A3743))</f>
        <v/>
      </c>
      <c r="D3743" s="54">
        <f>IF(A3743="","",INDEX(lst_months,MONTH(A3743)))</f>
        <v/>
      </c>
      <c r="E3743" s="55" t="n"/>
      <c r="F3743" s="54">
        <f>IF(E3743="","",IFERROR(IF(INDEX(lst_exp_item_cat,MATCH(E3743,lst_exp_items,0))="","❔ Без категории",INDEX(lst_exp_item_cat,MATCH(E3743,lst_exp_items,0))),"❔ Без категории"))</f>
        <v/>
      </c>
      <c r="G3743" s="43" t="n"/>
      <c r="H3743" s="56" t="n"/>
      <c r="I3743" s="43" t="n"/>
      <c r="J3743" s="57">
        <f>IF(OR(A3743="",H3743=""),"",IF(COUNTIFS(exp_year,C3743,exp_month,D3743,exp_item,E3743,exp_status,"&lt;&gt;❌ Отменено")&gt;0,1,0))</f>
        <v/>
      </c>
    </row>
    <row r="3744">
      <c r="A3744" s="52" t="n"/>
      <c r="B3744" s="53">
        <f>IF(A3744="","",CHOOSE(WEEKDAY(A3744,2),"Пн","Вт","Ср","Чт","Пт","Сб","Вс"))</f>
        <v/>
      </c>
      <c r="C3744" s="53">
        <f>IF(A3744="","",YEAR(A3744))</f>
        <v/>
      </c>
      <c r="D3744" s="54">
        <f>IF(A3744="","",INDEX(lst_months,MONTH(A3744)))</f>
        <v/>
      </c>
      <c r="E3744" s="55" t="n"/>
      <c r="F3744" s="54">
        <f>IF(E3744="","",IFERROR(IF(INDEX(lst_exp_item_cat,MATCH(E3744,lst_exp_items,0))="","❔ Без категории",INDEX(lst_exp_item_cat,MATCH(E3744,lst_exp_items,0))),"❔ Без категории"))</f>
        <v/>
      </c>
      <c r="G3744" s="43" t="n"/>
      <c r="H3744" s="56" t="n"/>
      <c r="I3744" s="43" t="n"/>
      <c r="J3744" s="57">
        <f>IF(OR(A3744="",H3744=""),"",IF(COUNTIFS(exp_year,C3744,exp_month,D3744,exp_item,E3744,exp_status,"&lt;&gt;❌ Отменено")&gt;0,1,0))</f>
        <v/>
      </c>
    </row>
    <row r="3745">
      <c r="A3745" s="52" t="n"/>
      <c r="B3745" s="53">
        <f>IF(A3745="","",CHOOSE(WEEKDAY(A3745,2),"Пн","Вт","Ср","Чт","Пт","Сб","Вс"))</f>
        <v/>
      </c>
      <c r="C3745" s="53">
        <f>IF(A3745="","",YEAR(A3745))</f>
        <v/>
      </c>
      <c r="D3745" s="54">
        <f>IF(A3745="","",INDEX(lst_months,MONTH(A3745)))</f>
        <v/>
      </c>
      <c r="E3745" s="55" t="n"/>
      <c r="F3745" s="54">
        <f>IF(E3745="","",IFERROR(IF(INDEX(lst_exp_item_cat,MATCH(E3745,lst_exp_items,0))="","❔ Без категории",INDEX(lst_exp_item_cat,MATCH(E3745,lst_exp_items,0))),"❔ Без категории"))</f>
        <v/>
      </c>
      <c r="G3745" s="43" t="n"/>
      <c r="H3745" s="56" t="n"/>
      <c r="I3745" s="43" t="n"/>
      <c r="J3745" s="57">
        <f>IF(OR(A3745="",H3745=""),"",IF(COUNTIFS(exp_year,C3745,exp_month,D3745,exp_item,E3745,exp_status,"&lt;&gt;❌ Отменено")&gt;0,1,0))</f>
        <v/>
      </c>
    </row>
    <row r="3746">
      <c r="A3746" s="52" t="n"/>
      <c r="B3746" s="53">
        <f>IF(A3746="","",CHOOSE(WEEKDAY(A3746,2),"Пн","Вт","Ср","Чт","Пт","Сб","Вс"))</f>
        <v/>
      </c>
      <c r="C3746" s="53">
        <f>IF(A3746="","",YEAR(A3746))</f>
        <v/>
      </c>
      <c r="D3746" s="54">
        <f>IF(A3746="","",INDEX(lst_months,MONTH(A3746)))</f>
        <v/>
      </c>
      <c r="E3746" s="55" t="n"/>
      <c r="F3746" s="54">
        <f>IF(E3746="","",IFERROR(IF(INDEX(lst_exp_item_cat,MATCH(E3746,lst_exp_items,0))="","❔ Без категории",INDEX(lst_exp_item_cat,MATCH(E3746,lst_exp_items,0))),"❔ Без категории"))</f>
        <v/>
      </c>
      <c r="G3746" s="43" t="n"/>
      <c r="H3746" s="56" t="n"/>
      <c r="I3746" s="43" t="n"/>
      <c r="J3746" s="57">
        <f>IF(OR(A3746="",H3746=""),"",IF(COUNTIFS(exp_year,C3746,exp_month,D3746,exp_item,E3746,exp_status,"&lt;&gt;❌ Отменено")&gt;0,1,0))</f>
        <v/>
      </c>
    </row>
    <row r="3747">
      <c r="A3747" s="52" t="n"/>
      <c r="B3747" s="53">
        <f>IF(A3747="","",CHOOSE(WEEKDAY(A3747,2),"Пн","Вт","Ср","Чт","Пт","Сб","Вс"))</f>
        <v/>
      </c>
      <c r="C3747" s="53">
        <f>IF(A3747="","",YEAR(A3747))</f>
        <v/>
      </c>
      <c r="D3747" s="54">
        <f>IF(A3747="","",INDEX(lst_months,MONTH(A3747)))</f>
        <v/>
      </c>
      <c r="E3747" s="55" t="n"/>
      <c r="F3747" s="54">
        <f>IF(E3747="","",IFERROR(IF(INDEX(lst_exp_item_cat,MATCH(E3747,lst_exp_items,0))="","❔ Без категории",INDEX(lst_exp_item_cat,MATCH(E3747,lst_exp_items,0))),"❔ Без категории"))</f>
        <v/>
      </c>
      <c r="G3747" s="43" t="n"/>
      <c r="H3747" s="56" t="n"/>
      <c r="I3747" s="43" t="n"/>
      <c r="J3747" s="57">
        <f>IF(OR(A3747="",H3747=""),"",IF(COUNTIFS(exp_year,C3747,exp_month,D3747,exp_item,E3747,exp_status,"&lt;&gt;❌ Отменено")&gt;0,1,0))</f>
        <v/>
      </c>
    </row>
    <row r="3748">
      <c r="A3748" s="52" t="n"/>
      <c r="B3748" s="53">
        <f>IF(A3748="","",CHOOSE(WEEKDAY(A3748,2),"Пн","Вт","Ср","Чт","Пт","Сб","Вс"))</f>
        <v/>
      </c>
      <c r="C3748" s="53">
        <f>IF(A3748="","",YEAR(A3748))</f>
        <v/>
      </c>
      <c r="D3748" s="54">
        <f>IF(A3748="","",INDEX(lst_months,MONTH(A3748)))</f>
        <v/>
      </c>
      <c r="E3748" s="55" t="n"/>
      <c r="F3748" s="54">
        <f>IF(E3748="","",IFERROR(IF(INDEX(lst_exp_item_cat,MATCH(E3748,lst_exp_items,0))="","❔ Без категории",INDEX(lst_exp_item_cat,MATCH(E3748,lst_exp_items,0))),"❔ Без категории"))</f>
        <v/>
      </c>
      <c r="G3748" s="43" t="n"/>
      <c r="H3748" s="56" t="n"/>
      <c r="I3748" s="43" t="n"/>
      <c r="J3748" s="57">
        <f>IF(OR(A3748="",H3748=""),"",IF(COUNTIFS(exp_year,C3748,exp_month,D3748,exp_item,E3748,exp_status,"&lt;&gt;❌ Отменено")&gt;0,1,0))</f>
        <v/>
      </c>
    </row>
    <row r="3749">
      <c r="A3749" s="52" t="n"/>
      <c r="B3749" s="53">
        <f>IF(A3749="","",CHOOSE(WEEKDAY(A3749,2),"Пн","Вт","Ср","Чт","Пт","Сб","Вс"))</f>
        <v/>
      </c>
      <c r="C3749" s="53">
        <f>IF(A3749="","",YEAR(A3749))</f>
        <v/>
      </c>
      <c r="D3749" s="54">
        <f>IF(A3749="","",INDEX(lst_months,MONTH(A3749)))</f>
        <v/>
      </c>
      <c r="E3749" s="55" t="n"/>
      <c r="F3749" s="54">
        <f>IF(E3749="","",IFERROR(IF(INDEX(lst_exp_item_cat,MATCH(E3749,lst_exp_items,0))="","❔ Без категории",INDEX(lst_exp_item_cat,MATCH(E3749,lst_exp_items,0))),"❔ Без категории"))</f>
        <v/>
      </c>
      <c r="G3749" s="43" t="n"/>
      <c r="H3749" s="56" t="n"/>
      <c r="I3749" s="43" t="n"/>
      <c r="J3749" s="57">
        <f>IF(OR(A3749="",H3749=""),"",IF(COUNTIFS(exp_year,C3749,exp_month,D3749,exp_item,E3749,exp_status,"&lt;&gt;❌ Отменено")&gt;0,1,0))</f>
        <v/>
      </c>
    </row>
    <row r="3750">
      <c r="A3750" s="52" t="n"/>
      <c r="B3750" s="53">
        <f>IF(A3750="","",CHOOSE(WEEKDAY(A3750,2),"Пн","Вт","Ср","Чт","Пт","Сб","Вс"))</f>
        <v/>
      </c>
      <c r="C3750" s="53">
        <f>IF(A3750="","",YEAR(A3750))</f>
        <v/>
      </c>
      <c r="D3750" s="54">
        <f>IF(A3750="","",INDEX(lst_months,MONTH(A3750)))</f>
        <v/>
      </c>
      <c r="E3750" s="55" t="n"/>
      <c r="F3750" s="54">
        <f>IF(E3750="","",IFERROR(IF(INDEX(lst_exp_item_cat,MATCH(E3750,lst_exp_items,0))="","❔ Без категории",INDEX(lst_exp_item_cat,MATCH(E3750,lst_exp_items,0))),"❔ Без категории"))</f>
        <v/>
      </c>
      <c r="G3750" s="43" t="n"/>
      <c r="H3750" s="56" t="n"/>
      <c r="I3750" s="43" t="n"/>
      <c r="J3750" s="57">
        <f>IF(OR(A3750="",H3750=""),"",IF(COUNTIFS(exp_year,C3750,exp_month,D3750,exp_item,E3750,exp_status,"&lt;&gt;❌ Отменено")&gt;0,1,0))</f>
        <v/>
      </c>
    </row>
    <row r="3751">
      <c r="A3751" s="52" t="n"/>
      <c r="B3751" s="53">
        <f>IF(A3751="","",CHOOSE(WEEKDAY(A3751,2),"Пн","Вт","Ср","Чт","Пт","Сб","Вс"))</f>
        <v/>
      </c>
      <c r="C3751" s="53">
        <f>IF(A3751="","",YEAR(A3751))</f>
        <v/>
      </c>
      <c r="D3751" s="54">
        <f>IF(A3751="","",INDEX(lst_months,MONTH(A3751)))</f>
        <v/>
      </c>
      <c r="E3751" s="55" t="n"/>
      <c r="F3751" s="54">
        <f>IF(E3751="","",IFERROR(IF(INDEX(lst_exp_item_cat,MATCH(E3751,lst_exp_items,0))="","❔ Без категории",INDEX(lst_exp_item_cat,MATCH(E3751,lst_exp_items,0))),"❔ Без категории"))</f>
        <v/>
      </c>
      <c r="G3751" s="43" t="n"/>
      <c r="H3751" s="56" t="n"/>
      <c r="I3751" s="43" t="n"/>
      <c r="J3751" s="57">
        <f>IF(OR(A3751="",H3751=""),"",IF(COUNTIFS(exp_year,C3751,exp_month,D3751,exp_item,E3751,exp_status,"&lt;&gt;❌ Отменено")&gt;0,1,0))</f>
        <v/>
      </c>
    </row>
    <row r="3752">
      <c r="A3752" s="52" t="n"/>
      <c r="B3752" s="53">
        <f>IF(A3752="","",CHOOSE(WEEKDAY(A3752,2),"Пн","Вт","Ср","Чт","Пт","Сб","Вс"))</f>
        <v/>
      </c>
      <c r="C3752" s="53">
        <f>IF(A3752="","",YEAR(A3752))</f>
        <v/>
      </c>
      <c r="D3752" s="54">
        <f>IF(A3752="","",INDEX(lst_months,MONTH(A3752)))</f>
        <v/>
      </c>
      <c r="E3752" s="55" t="n"/>
      <c r="F3752" s="54">
        <f>IF(E3752="","",IFERROR(IF(INDEX(lst_exp_item_cat,MATCH(E3752,lst_exp_items,0))="","❔ Без категории",INDEX(lst_exp_item_cat,MATCH(E3752,lst_exp_items,0))),"❔ Без категории"))</f>
        <v/>
      </c>
      <c r="G3752" s="43" t="n"/>
      <c r="H3752" s="56" t="n"/>
      <c r="I3752" s="43" t="n"/>
      <c r="J3752" s="57">
        <f>IF(OR(A3752="",H3752=""),"",IF(COUNTIFS(exp_year,C3752,exp_month,D3752,exp_item,E3752,exp_status,"&lt;&gt;❌ Отменено")&gt;0,1,0))</f>
        <v/>
      </c>
    </row>
    <row r="3753">
      <c r="A3753" s="52" t="n"/>
      <c r="B3753" s="53">
        <f>IF(A3753="","",CHOOSE(WEEKDAY(A3753,2),"Пн","Вт","Ср","Чт","Пт","Сб","Вс"))</f>
        <v/>
      </c>
      <c r="C3753" s="53">
        <f>IF(A3753="","",YEAR(A3753))</f>
        <v/>
      </c>
      <c r="D3753" s="54">
        <f>IF(A3753="","",INDEX(lst_months,MONTH(A3753)))</f>
        <v/>
      </c>
      <c r="E3753" s="55" t="n"/>
      <c r="F3753" s="54">
        <f>IF(E3753="","",IFERROR(IF(INDEX(lst_exp_item_cat,MATCH(E3753,lst_exp_items,0))="","❔ Без категории",INDEX(lst_exp_item_cat,MATCH(E3753,lst_exp_items,0))),"❔ Без категории"))</f>
        <v/>
      </c>
      <c r="G3753" s="43" t="n"/>
      <c r="H3753" s="56" t="n"/>
      <c r="I3753" s="43" t="n"/>
      <c r="J3753" s="57">
        <f>IF(OR(A3753="",H3753=""),"",IF(COUNTIFS(exp_year,C3753,exp_month,D3753,exp_item,E3753,exp_status,"&lt;&gt;❌ Отменено")&gt;0,1,0))</f>
        <v/>
      </c>
    </row>
    <row r="3754">
      <c r="A3754" s="52" t="n"/>
      <c r="B3754" s="53">
        <f>IF(A3754="","",CHOOSE(WEEKDAY(A3754,2),"Пн","Вт","Ср","Чт","Пт","Сб","Вс"))</f>
        <v/>
      </c>
      <c r="C3754" s="53">
        <f>IF(A3754="","",YEAR(A3754))</f>
        <v/>
      </c>
      <c r="D3754" s="54">
        <f>IF(A3754="","",INDEX(lst_months,MONTH(A3754)))</f>
        <v/>
      </c>
      <c r="E3754" s="55" t="n"/>
      <c r="F3754" s="54">
        <f>IF(E3754="","",IFERROR(IF(INDEX(lst_exp_item_cat,MATCH(E3754,lst_exp_items,0))="","❔ Без категории",INDEX(lst_exp_item_cat,MATCH(E3754,lst_exp_items,0))),"❔ Без категории"))</f>
        <v/>
      </c>
      <c r="G3754" s="43" t="n"/>
      <c r="H3754" s="56" t="n"/>
      <c r="I3754" s="43" t="n"/>
      <c r="J3754" s="57">
        <f>IF(OR(A3754="",H3754=""),"",IF(COUNTIFS(exp_year,C3754,exp_month,D3754,exp_item,E3754,exp_status,"&lt;&gt;❌ Отменено")&gt;0,1,0))</f>
        <v/>
      </c>
    </row>
    <row r="3755">
      <c r="A3755" s="52" t="n"/>
      <c r="B3755" s="53">
        <f>IF(A3755="","",CHOOSE(WEEKDAY(A3755,2),"Пн","Вт","Ср","Чт","Пт","Сб","Вс"))</f>
        <v/>
      </c>
      <c r="C3755" s="53">
        <f>IF(A3755="","",YEAR(A3755))</f>
        <v/>
      </c>
      <c r="D3755" s="54">
        <f>IF(A3755="","",INDEX(lst_months,MONTH(A3755)))</f>
        <v/>
      </c>
      <c r="E3755" s="55" t="n"/>
      <c r="F3755" s="54">
        <f>IF(E3755="","",IFERROR(IF(INDEX(lst_exp_item_cat,MATCH(E3755,lst_exp_items,0))="","❔ Без категории",INDEX(lst_exp_item_cat,MATCH(E3755,lst_exp_items,0))),"❔ Без категории"))</f>
        <v/>
      </c>
      <c r="G3755" s="43" t="n"/>
      <c r="H3755" s="56" t="n"/>
      <c r="I3755" s="43" t="n"/>
      <c r="J3755" s="57">
        <f>IF(OR(A3755="",H3755=""),"",IF(COUNTIFS(exp_year,C3755,exp_month,D3755,exp_item,E3755,exp_status,"&lt;&gt;❌ Отменено")&gt;0,1,0))</f>
        <v/>
      </c>
    </row>
    <row r="3756">
      <c r="A3756" s="52" t="n"/>
      <c r="B3756" s="53">
        <f>IF(A3756="","",CHOOSE(WEEKDAY(A3756,2),"Пн","Вт","Ср","Чт","Пт","Сб","Вс"))</f>
        <v/>
      </c>
      <c r="C3756" s="53">
        <f>IF(A3756="","",YEAR(A3756))</f>
        <v/>
      </c>
      <c r="D3756" s="54">
        <f>IF(A3756="","",INDEX(lst_months,MONTH(A3756)))</f>
        <v/>
      </c>
      <c r="E3756" s="55" t="n"/>
      <c r="F3756" s="54">
        <f>IF(E3756="","",IFERROR(IF(INDEX(lst_exp_item_cat,MATCH(E3756,lst_exp_items,0))="","❔ Без категории",INDEX(lst_exp_item_cat,MATCH(E3756,lst_exp_items,0))),"❔ Без категории"))</f>
        <v/>
      </c>
      <c r="G3756" s="43" t="n"/>
      <c r="H3756" s="56" t="n"/>
      <c r="I3756" s="43" t="n"/>
      <c r="J3756" s="57">
        <f>IF(OR(A3756="",H3756=""),"",IF(COUNTIFS(exp_year,C3756,exp_month,D3756,exp_item,E3756,exp_status,"&lt;&gt;❌ Отменено")&gt;0,1,0))</f>
        <v/>
      </c>
    </row>
    <row r="3757">
      <c r="A3757" s="52" t="n"/>
      <c r="B3757" s="53">
        <f>IF(A3757="","",CHOOSE(WEEKDAY(A3757,2),"Пн","Вт","Ср","Чт","Пт","Сб","Вс"))</f>
        <v/>
      </c>
      <c r="C3757" s="53">
        <f>IF(A3757="","",YEAR(A3757))</f>
        <v/>
      </c>
      <c r="D3757" s="54">
        <f>IF(A3757="","",INDEX(lst_months,MONTH(A3757)))</f>
        <v/>
      </c>
      <c r="E3757" s="55" t="n"/>
      <c r="F3757" s="54">
        <f>IF(E3757="","",IFERROR(IF(INDEX(lst_exp_item_cat,MATCH(E3757,lst_exp_items,0))="","❔ Без категории",INDEX(lst_exp_item_cat,MATCH(E3757,lst_exp_items,0))),"❔ Без категории"))</f>
        <v/>
      </c>
      <c r="G3757" s="43" t="n"/>
      <c r="H3757" s="56" t="n"/>
      <c r="I3757" s="43" t="n"/>
      <c r="J3757" s="57">
        <f>IF(OR(A3757="",H3757=""),"",IF(COUNTIFS(exp_year,C3757,exp_month,D3757,exp_item,E3757,exp_status,"&lt;&gt;❌ Отменено")&gt;0,1,0))</f>
        <v/>
      </c>
    </row>
    <row r="3758">
      <c r="A3758" s="52" t="n"/>
      <c r="B3758" s="53">
        <f>IF(A3758="","",CHOOSE(WEEKDAY(A3758,2),"Пн","Вт","Ср","Чт","Пт","Сб","Вс"))</f>
        <v/>
      </c>
      <c r="C3758" s="53">
        <f>IF(A3758="","",YEAR(A3758))</f>
        <v/>
      </c>
      <c r="D3758" s="54">
        <f>IF(A3758="","",INDEX(lst_months,MONTH(A3758)))</f>
        <v/>
      </c>
      <c r="E3758" s="55" t="n"/>
      <c r="F3758" s="54">
        <f>IF(E3758="","",IFERROR(IF(INDEX(lst_exp_item_cat,MATCH(E3758,lst_exp_items,0))="","❔ Без категории",INDEX(lst_exp_item_cat,MATCH(E3758,lst_exp_items,0))),"❔ Без категории"))</f>
        <v/>
      </c>
      <c r="G3758" s="43" t="n"/>
      <c r="H3758" s="56" t="n"/>
      <c r="I3758" s="43" t="n"/>
      <c r="J3758" s="57">
        <f>IF(OR(A3758="",H3758=""),"",IF(COUNTIFS(exp_year,C3758,exp_month,D3758,exp_item,E3758,exp_status,"&lt;&gt;❌ Отменено")&gt;0,1,0))</f>
        <v/>
      </c>
    </row>
    <row r="3759">
      <c r="A3759" s="52" t="n"/>
      <c r="B3759" s="53">
        <f>IF(A3759="","",CHOOSE(WEEKDAY(A3759,2),"Пн","Вт","Ср","Чт","Пт","Сб","Вс"))</f>
        <v/>
      </c>
      <c r="C3759" s="53">
        <f>IF(A3759="","",YEAR(A3759))</f>
        <v/>
      </c>
      <c r="D3759" s="54">
        <f>IF(A3759="","",INDEX(lst_months,MONTH(A3759)))</f>
        <v/>
      </c>
      <c r="E3759" s="55" t="n"/>
      <c r="F3759" s="54">
        <f>IF(E3759="","",IFERROR(IF(INDEX(lst_exp_item_cat,MATCH(E3759,lst_exp_items,0))="","❔ Без категории",INDEX(lst_exp_item_cat,MATCH(E3759,lst_exp_items,0))),"❔ Без категории"))</f>
        <v/>
      </c>
      <c r="G3759" s="43" t="n"/>
      <c r="H3759" s="56" t="n"/>
      <c r="I3759" s="43" t="n"/>
      <c r="J3759" s="57">
        <f>IF(OR(A3759="",H3759=""),"",IF(COUNTIFS(exp_year,C3759,exp_month,D3759,exp_item,E3759,exp_status,"&lt;&gt;❌ Отменено")&gt;0,1,0))</f>
        <v/>
      </c>
    </row>
    <row r="3760">
      <c r="A3760" s="52" t="n"/>
      <c r="B3760" s="53">
        <f>IF(A3760="","",CHOOSE(WEEKDAY(A3760,2),"Пн","Вт","Ср","Чт","Пт","Сб","Вс"))</f>
        <v/>
      </c>
      <c r="C3760" s="53">
        <f>IF(A3760="","",YEAR(A3760))</f>
        <v/>
      </c>
      <c r="D3760" s="54">
        <f>IF(A3760="","",INDEX(lst_months,MONTH(A3760)))</f>
        <v/>
      </c>
      <c r="E3760" s="55" t="n"/>
      <c r="F3760" s="54">
        <f>IF(E3760="","",IFERROR(IF(INDEX(lst_exp_item_cat,MATCH(E3760,lst_exp_items,0))="","❔ Без категории",INDEX(lst_exp_item_cat,MATCH(E3760,lst_exp_items,0))),"❔ Без категории"))</f>
        <v/>
      </c>
      <c r="G3760" s="43" t="n"/>
      <c r="H3760" s="56" t="n"/>
      <c r="I3760" s="43" t="n"/>
      <c r="J3760" s="57">
        <f>IF(OR(A3760="",H3760=""),"",IF(COUNTIFS(exp_year,C3760,exp_month,D3760,exp_item,E3760,exp_status,"&lt;&gt;❌ Отменено")&gt;0,1,0))</f>
        <v/>
      </c>
    </row>
    <row r="3761">
      <c r="A3761" s="52" t="n"/>
      <c r="B3761" s="53">
        <f>IF(A3761="","",CHOOSE(WEEKDAY(A3761,2),"Пн","Вт","Ср","Чт","Пт","Сб","Вс"))</f>
        <v/>
      </c>
      <c r="C3761" s="53">
        <f>IF(A3761="","",YEAR(A3761))</f>
        <v/>
      </c>
      <c r="D3761" s="54">
        <f>IF(A3761="","",INDEX(lst_months,MONTH(A3761)))</f>
        <v/>
      </c>
      <c r="E3761" s="55" t="n"/>
      <c r="F3761" s="54">
        <f>IF(E3761="","",IFERROR(IF(INDEX(lst_exp_item_cat,MATCH(E3761,lst_exp_items,0))="","❔ Без категории",INDEX(lst_exp_item_cat,MATCH(E3761,lst_exp_items,0))),"❔ Без категории"))</f>
        <v/>
      </c>
      <c r="G3761" s="43" t="n"/>
      <c r="H3761" s="56" t="n"/>
      <c r="I3761" s="43" t="n"/>
      <c r="J3761" s="57">
        <f>IF(OR(A3761="",H3761=""),"",IF(COUNTIFS(exp_year,C3761,exp_month,D3761,exp_item,E3761,exp_status,"&lt;&gt;❌ Отменено")&gt;0,1,0))</f>
        <v/>
      </c>
    </row>
    <row r="3762">
      <c r="A3762" s="52" t="n"/>
      <c r="B3762" s="53">
        <f>IF(A3762="","",CHOOSE(WEEKDAY(A3762,2),"Пн","Вт","Ср","Чт","Пт","Сб","Вс"))</f>
        <v/>
      </c>
      <c r="C3762" s="53">
        <f>IF(A3762="","",YEAR(A3762))</f>
        <v/>
      </c>
      <c r="D3762" s="54">
        <f>IF(A3762="","",INDEX(lst_months,MONTH(A3762)))</f>
        <v/>
      </c>
      <c r="E3762" s="55" t="n"/>
      <c r="F3762" s="54">
        <f>IF(E3762="","",IFERROR(IF(INDEX(lst_exp_item_cat,MATCH(E3762,lst_exp_items,0))="","❔ Без категории",INDEX(lst_exp_item_cat,MATCH(E3762,lst_exp_items,0))),"❔ Без категории"))</f>
        <v/>
      </c>
      <c r="G3762" s="43" t="n"/>
      <c r="H3762" s="56" t="n"/>
      <c r="I3762" s="43" t="n"/>
      <c r="J3762" s="57">
        <f>IF(OR(A3762="",H3762=""),"",IF(COUNTIFS(exp_year,C3762,exp_month,D3762,exp_item,E3762,exp_status,"&lt;&gt;❌ Отменено")&gt;0,1,0))</f>
        <v/>
      </c>
    </row>
    <row r="3763">
      <c r="A3763" s="52" t="n"/>
      <c r="B3763" s="53">
        <f>IF(A3763="","",CHOOSE(WEEKDAY(A3763,2),"Пн","Вт","Ср","Чт","Пт","Сб","Вс"))</f>
        <v/>
      </c>
      <c r="C3763" s="53">
        <f>IF(A3763="","",YEAR(A3763))</f>
        <v/>
      </c>
      <c r="D3763" s="54">
        <f>IF(A3763="","",INDEX(lst_months,MONTH(A3763)))</f>
        <v/>
      </c>
      <c r="E3763" s="55" t="n"/>
      <c r="F3763" s="54">
        <f>IF(E3763="","",IFERROR(IF(INDEX(lst_exp_item_cat,MATCH(E3763,lst_exp_items,0))="","❔ Без категории",INDEX(lst_exp_item_cat,MATCH(E3763,lst_exp_items,0))),"❔ Без категории"))</f>
        <v/>
      </c>
      <c r="G3763" s="43" t="n"/>
      <c r="H3763" s="56" t="n"/>
      <c r="I3763" s="43" t="n"/>
      <c r="J3763" s="57">
        <f>IF(OR(A3763="",H3763=""),"",IF(COUNTIFS(exp_year,C3763,exp_month,D3763,exp_item,E3763,exp_status,"&lt;&gt;❌ Отменено")&gt;0,1,0))</f>
        <v/>
      </c>
    </row>
    <row r="3764">
      <c r="A3764" s="52" t="n"/>
      <c r="B3764" s="53">
        <f>IF(A3764="","",CHOOSE(WEEKDAY(A3764,2),"Пн","Вт","Ср","Чт","Пт","Сб","Вс"))</f>
        <v/>
      </c>
      <c r="C3764" s="53">
        <f>IF(A3764="","",YEAR(A3764))</f>
        <v/>
      </c>
      <c r="D3764" s="54">
        <f>IF(A3764="","",INDEX(lst_months,MONTH(A3764)))</f>
        <v/>
      </c>
      <c r="E3764" s="55" t="n"/>
      <c r="F3764" s="54">
        <f>IF(E3764="","",IFERROR(IF(INDEX(lst_exp_item_cat,MATCH(E3764,lst_exp_items,0))="","❔ Без категории",INDEX(lst_exp_item_cat,MATCH(E3764,lst_exp_items,0))),"❔ Без категории"))</f>
        <v/>
      </c>
      <c r="G3764" s="43" t="n"/>
      <c r="H3764" s="56" t="n"/>
      <c r="I3764" s="43" t="n"/>
      <c r="J3764" s="57">
        <f>IF(OR(A3764="",H3764=""),"",IF(COUNTIFS(exp_year,C3764,exp_month,D3764,exp_item,E3764,exp_status,"&lt;&gt;❌ Отменено")&gt;0,1,0))</f>
        <v/>
      </c>
    </row>
    <row r="3765">
      <c r="A3765" s="52" t="n"/>
      <c r="B3765" s="53">
        <f>IF(A3765="","",CHOOSE(WEEKDAY(A3765,2),"Пн","Вт","Ср","Чт","Пт","Сб","Вс"))</f>
        <v/>
      </c>
      <c r="C3765" s="53">
        <f>IF(A3765="","",YEAR(A3765))</f>
        <v/>
      </c>
      <c r="D3765" s="54">
        <f>IF(A3765="","",INDEX(lst_months,MONTH(A3765)))</f>
        <v/>
      </c>
      <c r="E3765" s="55" t="n"/>
      <c r="F3765" s="54">
        <f>IF(E3765="","",IFERROR(IF(INDEX(lst_exp_item_cat,MATCH(E3765,lst_exp_items,0))="","❔ Без категории",INDEX(lst_exp_item_cat,MATCH(E3765,lst_exp_items,0))),"❔ Без категории"))</f>
        <v/>
      </c>
      <c r="G3765" s="43" t="n"/>
      <c r="H3765" s="56" t="n"/>
      <c r="I3765" s="43" t="n"/>
      <c r="J3765" s="57">
        <f>IF(OR(A3765="",H3765=""),"",IF(COUNTIFS(exp_year,C3765,exp_month,D3765,exp_item,E3765,exp_status,"&lt;&gt;❌ Отменено")&gt;0,1,0))</f>
        <v/>
      </c>
    </row>
    <row r="3766">
      <c r="A3766" s="52" t="n"/>
      <c r="B3766" s="53">
        <f>IF(A3766="","",CHOOSE(WEEKDAY(A3766,2),"Пн","Вт","Ср","Чт","Пт","Сб","Вс"))</f>
        <v/>
      </c>
      <c r="C3766" s="53">
        <f>IF(A3766="","",YEAR(A3766))</f>
        <v/>
      </c>
      <c r="D3766" s="54">
        <f>IF(A3766="","",INDEX(lst_months,MONTH(A3766)))</f>
        <v/>
      </c>
      <c r="E3766" s="55" t="n"/>
      <c r="F3766" s="54">
        <f>IF(E3766="","",IFERROR(IF(INDEX(lst_exp_item_cat,MATCH(E3766,lst_exp_items,0))="","❔ Без категории",INDEX(lst_exp_item_cat,MATCH(E3766,lst_exp_items,0))),"❔ Без категории"))</f>
        <v/>
      </c>
      <c r="G3766" s="43" t="n"/>
      <c r="H3766" s="56" t="n"/>
      <c r="I3766" s="43" t="n"/>
      <c r="J3766" s="57">
        <f>IF(OR(A3766="",H3766=""),"",IF(COUNTIFS(exp_year,C3766,exp_month,D3766,exp_item,E3766,exp_status,"&lt;&gt;❌ Отменено")&gt;0,1,0))</f>
        <v/>
      </c>
    </row>
    <row r="3767">
      <c r="A3767" s="52" t="n"/>
      <c r="B3767" s="53">
        <f>IF(A3767="","",CHOOSE(WEEKDAY(A3767,2),"Пн","Вт","Ср","Чт","Пт","Сб","Вс"))</f>
        <v/>
      </c>
      <c r="C3767" s="53">
        <f>IF(A3767="","",YEAR(A3767))</f>
        <v/>
      </c>
      <c r="D3767" s="54">
        <f>IF(A3767="","",INDEX(lst_months,MONTH(A3767)))</f>
        <v/>
      </c>
      <c r="E3767" s="55" t="n"/>
      <c r="F3767" s="54">
        <f>IF(E3767="","",IFERROR(IF(INDEX(lst_exp_item_cat,MATCH(E3767,lst_exp_items,0))="","❔ Без категории",INDEX(lst_exp_item_cat,MATCH(E3767,lst_exp_items,0))),"❔ Без категории"))</f>
        <v/>
      </c>
      <c r="G3767" s="43" t="n"/>
      <c r="H3767" s="56" t="n"/>
      <c r="I3767" s="43" t="n"/>
      <c r="J3767" s="57">
        <f>IF(OR(A3767="",H3767=""),"",IF(COUNTIFS(exp_year,C3767,exp_month,D3767,exp_item,E3767,exp_status,"&lt;&gt;❌ Отменено")&gt;0,1,0))</f>
        <v/>
      </c>
    </row>
    <row r="3768">
      <c r="A3768" s="52" t="n"/>
      <c r="B3768" s="53">
        <f>IF(A3768="","",CHOOSE(WEEKDAY(A3768,2),"Пн","Вт","Ср","Чт","Пт","Сб","Вс"))</f>
        <v/>
      </c>
      <c r="C3768" s="53">
        <f>IF(A3768="","",YEAR(A3768))</f>
        <v/>
      </c>
      <c r="D3768" s="54">
        <f>IF(A3768="","",INDEX(lst_months,MONTH(A3768)))</f>
        <v/>
      </c>
      <c r="E3768" s="55" t="n"/>
      <c r="F3768" s="54">
        <f>IF(E3768="","",IFERROR(IF(INDEX(lst_exp_item_cat,MATCH(E3768,lst_exp_items,0))="","❔ Без категории",INDEX(lst_exp_item_cat,MATCH(E3768,lst_exp_items,0))),"❔ Без категории"))</f>
        <v/>
      </c>
      <c r="G3768" s="43" t="n"/>
      <c r="H3768" s="56" t="n"/>
      <c r="I3768" s="43" t="n"/>
      <c r="J3768" s="57">
        <f>IF(OR(A3768="",H3768=""),"",IF(COUNTIFS(exp_year,C3768,exp_month,D3768,exp_item,E3768,exp_status,"&lt;&gt;❌ Отменено")&gt;0,1,0))</f>
        <v/>
      </c>
    </row>
    <row r="3769">
      <c r="A3769" s="52" t="n"/>
      <c r="B3769" s="53">
        <f>IF(A3769="","",CHOOSE(WEEKDAY(A3769,2),"Пн","Вт","Ср","Чт","Пт","Сб","Вс"))</f>
        <v/>
      </c>
      <c r="C3769" s="53">
        <f>IF(A3769="","",YEAR(A3769))</f>
        <v/>
      </c>
      <c r="D3769" s="54">
        <f>IF(A3769="","",INDEX(lst_months,MONTH(A3769)))</f>
        <v/>
      </c>
      <c r="E3769" s="55" t="n"/>
      <c r="F3769" s="54">
        <f>IF(E3769="","",IFERROR(IF(INDEX(lst_exp_item_cat,MATCH(E3769,lst_exp_items,0))="","❔ Без категории",INDEX(lst_exp_item_cat,MATCH(E3769,lst_exp_items,0))),"❔ Без категории"))</f>
        <v/>
      </c>
      <c r="G3769" s="43" t="n"/>
      <c r="H3769" s="56" t="n"/>
      <c r="I3769" s="43" t="n"/>
      <c r="J3769" s="57">
        <f>IF(OR(A3769="",H3769=""),"",IF(COUNTIFS(exp_year,C3769,exp_month,D3769,exp_item,E3769,exp_status,"&lt;&gt;❌ Отменено")&gt;0,1,0))</f>
        <v/>
      </c>
    </row>
    <row r="3770">
      <c r="A3770" s="52" t="n"/>
      <c r="B3770" s="53">
        <f>IF(A3770="","",CHOOSE(WEEKDAY(A3770,2),"Пн","Вт","Ср","Чт","Пт","Сб","Вс"))</f>
        <v/>
      </c>
      <c r="C3770" s="53">
        <f>IF(A3770="","",YEAR(A3770))</f>
        <v/>
      </c>
      <c r="D3770" s="54">
        <f>IF(A3770="","",INDEX(lst_months,MONTH(A3770)))</f>
        <v/>
      </c>
      <c r="E3770" s="55" t="n"/>
      <c r="F3770" s="54">
        <f>IF(E3770="","",IFERROR(IF(INDEX(lst_exp_item_cat,MATCH(E3770,lst_exp_items,0))="","❔ Без категории",INDEX(lst_exp_item_cat,MATCH(E3770,lst_exp_items,0))),"❔ Без категории"))</f>
        <v/>
      </c>
      <c r="G3770" s="43" t="n"/>
      <c r="H3770" s="56" t="n"/>
      <c r="I3770" s="43" t="n"/>
      <c r="J3770" s="57">
        <f>IF(OR(A3770="",H3770=""),"",IF(COUNTIFS(exp_year,C3770,exp_month,D3770,exp_item,E3770,exp_status,"&lt;&gt;❌ Отменено")&gt;0,1,0))</f>
        <v/>
      </c>
    </row>
    <row r="3771">
      <c r="A3771" s="52" t="n"/>
      <c r="B3771" s="53">
        <f>IF(A3771="","",CHOOSE(WEEKDAY(A3771,2),"Пн","Вт","Ср","Чт","Пт","Сб","Вс"))</f>
        <v/>
      </c>
      <c r="C3771" s="53">
        <f>IF(A3771="","",YEAR(A3771))</f>
        <v/>
      </c>
      <c r="D3771" s="54">
        <f>IF(A3771="","",INDEX(lst_months,MONTH(A3771)))</f>
        <v/>
      </c>
      <c r="E3771" s="55" t="n"/>
      <c r="F3771" s="54">
        <f>IF(E3771="","",IFERROR(IF(INDEX(lst_exp_item_cat,MATCH(E3771,lst_exp_items,0))="","❔ Без категории",INDEX(lst_exp_item_cat,MATCH(E3771,lst_exp_items,0))),"❔ Без категории"))</f>
        <v/>
      </c>
      <c r="G3771" s="43" t="n"/>
      <c r="H3771" s="56" t="n"/>
      <c r="I3771" s="43" t="n"/>
      <c r="J3771" s="57">
        <f>IF(OR(A3771="",H3771=""),"",IF(COUNTIFS(exp_year,C3771,exp_month,D3771,exp_item,E3771,exp_status,"&lt;&gt;❌ Отменено")&gt;0,1,0))</f>
        <v/>
      </c>
    </row>
    <row r="3772">
      <c r="A3772" s="52" t="n"/>
      <c r="B3772" s="53">
        <f>IF(A3772="","",CHOOSE(WEEKDAY(A3772,2),"Пн","Вт","Ср","Чт","Пт","Сб","Вс"))</f>
        <v/>
      </c>
      <c r="C3772" s="53">
        <f>IF(A3772="","",YEAR(A3772))</f>
        <v/>
      </c>
      <c r="D3772" s="54">
        <f>IF(A3772="","",INDEX(lst_months,MONTH(A3772)))</f>
        <v/>
      </c>
      <c r="E3772" s="55" t="n"/>
      <c r="F3772" s="54">
        <f>IF(E3772="","",IFERROR(IF(INDEX(lst_exp_item_cat,MATCH(E3772,lst_exp_items,0))="","❔ Без категории",INDEX(lst_exp_item_cat,MATCH(E3772,lst_exp_items,0))),"❔ Без категории"))</f>
        <v/>
      </c>
      <c r="G3772" s="43" t="n"/>
      <c r="H3772" s="56" t="n"/>
      <c r="I3772" s="43" t="n"/>
      <c r="J3772" s="57">
        <f>IF(OR(A3772="",H3772=""),"",IF(COUNTIFS(exp_year,C3772,exp_month,D3772,exp_item,E3772,exp_status,"&lt;&gt;❌ Отменено")&gt;0,1,0))</f>
        <v/>
      </c>
    </row>
    <row r="3773">
      <c r="A3773" s="52" t="n"/>
      <c r="B3773" s="53">
        <f>IF(A3773="","",CHOOSE(WEEKDAY(A3773,2),"Пн","Вт","Ср","Чт","Пт","Сб","Вс"))</f>
        <v/>
      </c>
      <c r="C3773" s="53">
        <f>IF(A3773="","",YEAR(A3773))</f>
        <v/>
      </c>
      <c r="D3773" s="54">
        <f>IF(A3773="","",INDEX(lst_months,MONTH(A3773)))</f>
        <v/>
      </c>
      <c r="E3773" s="55" t="n"/>
      <c r="F3773" s="54">
        <f>IF(E3773="","",IFERROR(IF(INDEX(lst_exp_item_cat,MATCH(E3773,lst_exp_items,0))="","❔ Без категории",INDEX(lst_exp_item_cat,MATCH(E3773,lst_exp_items,0))),"❔ Без категории"))</f>
        <v/>
      </c>
      <c r="G3773" s="43" t="n"/>
      <c r="H3773" s="56" t="n"/>
      <c r="I3773" s="43" t="n"/>
      <c r="J3773" s="57">
        <f>IF(OR(A3773="",H3773=""),"",IF(COUNTIFS(exp_year,C3773,exp_month,D3773,exp_item,E3773,exp_status,"&lt;&gt;❌ Отменено")&gt;0,1,0))</f>
        <v/>
      </c>
    </row>
    <row r="3774">
      <c r="A3774" s="52" t="n"/>
      <c r="B3774" s="53">
        <f>IF(A3774="","",CHOOSE(WEEKDAY(A3774,2),"Пн","Вт","Ср","Чт","Пт","Сб","Вс"))</f>
        <v/>
      </c>
      <c r="C3774" s="53">
        <f>IF(A3774="","",YEAR(A3774))</f>
        <v/>
      </c>
      <c r="D3774" s="54">
        <f>IF(A3774="","",INDEX(lst_months,MONTH(A3774)))</f>
        <v/>
      </c>
      <c r="E3774" s="55" t="n"/>
      <c r="F3774" s="54">
        <f>IF(E3774="","",IFERROR(IF(INDEX(lst_exp_item_cat,MATCH(E3774,lst_exp_items,0))="","❔ Без категории",INDEX(lst_exp_item_cat,MATCH(E3774,lst_exp_items,0))),"❔ Без категории"))</f>
        <v/>
      </c>
      <c r="G3774" s="43" t="n"/>
      <c r="H3774" s="56" t="n"/>
      <c r="I3774" s="43" t="n"/>
      <c r="J3774" s="57">
        <f>IF(OR(A3774="",H3774=""),"",IF(COUNTIFS(exp_year,C3774,exp_month,D3774,exp_item,E3774,exp_status,"&lt;&gt;❌ Отменено")&gt;0,1,0))</f>
        <v/>
      </c>
    </row>
    <row r="3775">
      <c r="A3775" s="52" t="n"/>
      <c r="B3775" s="53">
        <f>IF(A3775="","",CHOOSE(WEEKDAY(A3775,2),"Пн","Вт","Ср","Чт","Пт","Сб","Вс"))</f>
        <v/>
      </c>
      <c r="C3775" s="53">
        <f>IF(A3775="","",YEAR(A3775))</f>
        <v/>
      </c>
      <c r="D3775" s="54">
        <f>IF(A3775="","",INDEX(lst_months,MONTH(A3775)))</f>
        <v/>
      </c>
      <c r="E3775" s="55" t="n"/>
      <c r="F3775" s="54">
        <f>IF(E3775="","",IFERROR(IF(INDEX(lst_exp_item_cat,MATCH(E3775,lst_exp_items,0))="","❔ Без категории",INDEX(lst_exp_item_cat,MATCH(E3775,lst_exp_items,0))),"❔ Без категории"))</f>
        <v/>
      </c>
      <c r="G3775" s="43" t="n"/>
      <c r="H3775" s="56" t="n"/>
      <c r="I3775" s="43" t="n"/>
      <c r="J3775" s="57">
        <f>IF(OR(A3775="",H3775=""),"",IF(COUNTIFS(exp_year,C3775,exp_month,D3775,exp_item,E3775,exp_status,"&lt;&gt;❌ Отменено")&gt;0,1,0))</f>
        <v/>
      </c>
    </row>
    <row r="3776">
      <c r="A3776" s="52" t="n"/>
      <c r="B3776" s="53">
        <f>IF(A3776="","",CHOOSE(WEEKDAY(A3776,2),"Пн","Вт","Ср","Чт","Пт","Сб","Вс"))</f>
        <v/>
      </c>
      <c r="C3776" s="53">
        <f>IF(A3776="","",YEAR(A3776))</f>
        <v/>
      </c>
      <c r="D3776" s="54">
        <f>IF(A3776="","",INDEX(lst_months,MONTH(A3776)))</f>
        <v/>
      </c>
      <c r="E3776" s="55" t="n"/>
      <c r="F3776" s="54">
        <f>IF(E3776="","",IFERROR(IF(INDEX(lst_exp_item_cat,MATCH(E3776,lst_exp_items,0))="","❔ Без категории",INDEX(lst_exp_item_cat,MATCH(E3776,lst_exp_items,0))),"❔ Без категории"))</f>
        <v/>
      </c>
      <c r="G3776" s="43" t="n"/>
      <c r="H3776" s="56" t="n"/>
      <c r="I3776" s="43" t="n"/>
      <c r="J3776" s="57">
        <f>IF(OR(A3776="",H3776=""),"",IF(COUNTIFS(exp_year,C3776,exp_month,D3776,exp_item,E3776,exp_status,"&lt;&gt;❌ Отменено")&gt;0,1,0))</f>
        <v/>
      </c>
    </row>
    <row r="3777">
      <c r="A3777" s="52" t="n"/>
      <c r="B3777" s="53">
        <f>IF(A3777="","",CHOOSE(WEEKDAY(A3777,2),"Пн","Вт","Ср","Чт","Пт","Сб","Вс"))</f>
        <v/>
      </c>
      <c r="C3777" s="53">
        <f>IF(A3777="","",YEAR(A3777))</f>
        <v/>
      </c>
      <c r="D3777" s="54">
        <f>IF(A3777="","",INDEX(lst_months,MONTH(A3777)))</f>
        <v/>
      </c>
      <c r="E3777" s="55" t="n"/>
      <c r="F3777" s="54">
        <f>IF(E3777="","",IFERROR(IF(INDEX(lst_exp_item_cat,MATCH(E3777,lst_exp_items,0))="","❔ Без категории",INDEX(lst_exp_item_cat,MATCH(E3777,lst_exp_items,0))),"❔ Без категории"))</f>
        <v/>
      </c>
      <c r="G3777" s="43" t="n"/>
      <c r="H3777" s="56" t="n"/>
      <c r="I3777" s="43" t="n"/>
      <c r="J3777" s="57">
        <f>IF(OR(A3777="",H3777=""),"",IF(COUNTIFS(exp_year,C3777,exp_month,D3777,exp_item,E3777,exp_status,"&lt;&gt;❌ Отменено")&gt;0,1,0))</f>
        <v/>
      </c>
    </row>
    <row r="3778">
      <c r="A3778" s="52" t="n"/>
      <c r="B3778" s="53">
        <f>IF(A3778="","",CHOOSE(WEEKDAY(A3778,2),"Пн","Вт","Ср","Чт","Пт","Сб","Вс"))</f>
        <v/>
      </c>
      <c r="C3778" s="53">
        <f>IF(A3778="","",YEAR(A3778))</f>
        <v/>
      </c>
      <c r="D3778" s="54">
        <f>IF(A3778="","",INDEX(lst_months,MONTH(A3778)))</f>
        <v/>
      </c>
      <c r="E3778" s="55" t="n"/>
      <c r="F3778" s="54">
        <f>IF(E3778="","",IFERROR(IF(INDEX(lst_exp_item_cat,MATCH(E3778,lst_exp_items,0))="","❔ Без категории",INDEX(lst_exp_item_cat,MATCH(E3778,lst_exp_items,0))),"❔ Без категории"))</f>
        <v/>
      </c>
      <c r="G3778" s="43" t="n"/>
      <c r="H3778" s="56" t="n"/>
      <c r="I3778" s="43" t="n"/>
      <c r="J3778" s="57">
        <f>IF(OR(A3778="",H3778=""),"",IF(COUNTIFS(exp_year,C3778,exp_month,D3778,exp_item,E3778,exp_status,"&lt;&gt;❌ Отменено")&gt;0,1,0))</f>
        <v/>
      </c>
    </row>
    <row r="3779">
      <c r="A3779" s="52" t="n"/>
      <c r="B3779" s="53">
        <f>IF(A3779="","",CHOOSE(WEEKDAY(A3779,2),"Пн","Вт","Ср","Чт","Пт","Сб","Вс"))</f>
        <v/>
      </c>
      <c r="C3779" s="53">
        <f>IF(A3779="","",YEAR(A3779))</f>
        <v/>
      </c>
      <c r="D3779" s="54">
        <f>IF(A3779="","",INDEX(lst_months,MONTH(A3779)))</f>
        <v/>
      </c>
      <c r="E3779" s="55" t="n"/>
      <c r="F3779" s="54">
        <f>IF(E3779="","",IFERROR(IF(INDEX(lst_exp_item_cat,MATCH(E3779,lst_exp_items,0))="","❔ Без категории",INDEX(lst_exp_item_cat,MATCH(E3779,lst_exp_items,0))),"❔ Без категории"))</f>
        <v/>
      </c>
      <c r="G3779" s="43" t="n"/>
      <c r="H3779" s="56" t="n"/>
      <c r="I3779" s="43" t="n"/>
      <c r="J3779" s="57">
        <f>IF(OR(A3779="",H3779=""),"",IF(COUNTIFS(exp_year,C3779,exp_month,D3779,exp_item,E3779,exp_status,"&lt;&gt;❌ Отменено")&gt;0,1,0))</f>
        <v/>
      </c>
    </row>
    <row r="3780">
      <c r="A3780" s="52" t="n"/>
      <c r="B3780" s="53">
        <f>IF(A3780="","",CHOOSE(WEEKDAY(A3780,2),"Пн","Вт","Ср","Чт","Пт","Сб","Вс"))</f>
        <v/>
      </c>
      <c r="C3780" s="53">
        <f>IF(A3780="","",YEAR(A3780))</f>
        <v/>
      </c>
      <c r="D3780" s="54">
        <f>IF(A3780="","",INDEX(lst_months,MONTH(A3780)))</f>
        <v/>
      </c>
      <c r="E3780" s="55" t="n"/>
      <c r="F3780" s="54">
        <f>IF(E3780="","",IFERROR(IF(INDEX(lst_exp_item_cat,MATCH(E3780,lst_exp_items,0))="","❔ Без категории",INDEX(lst_exp_item_cat,MATCH(E3780,lst_exp_items,0))),"❔ Без категории"))</f>
        <v/>
      </c>
      <c r="G3780" s="43" t="n"/>
      <c r="H3780" s="56" t="n"/>
      <c r="I3780" s="43" t="n"/>
      <c r="J3780" s="57">
        <f>IF(OR(A3780="",H3780=""),"",IF(COUNTIFS(exp_year,C3780,exp_month,D3780,exp_item,E3780,exp_status,"&lt;&gt;❌ Отменено")&gt;0,1,0))</f>
        <v/>
      </c>
    </row>
    <row r="3781">
      <c r="A3781" s="52" t="n"/>
      <c r="B3781" s="53">
        <f>IF(A3781="","",CHOOSE(WEEKDAY(A3781,2),"Пн","Вт","Ср","Чт","Пт","Сб","Вс"))</f>
        <v/>
      </c>
      <c r="C3781" s="53">
        <f>IF(A3781="","",YEAR(A3781))</f>
        <v/>
      </c>
      <c r="D3781" s="54">
        <f>IF(A3781="","",INDEX(lst_months,MONTH(A3781)))</f>
        <v/>
      </c>
      <c r="E3781" s="55" t="n"/>
      <c r="F3781" s="54">
        <f>IF(E3781="","",IFERROR(IF(INDEX(lst_exp_item_cat,MATCH(E3781,lst_exp_items,0))="","❔ Без категории",INDEX(lst_exp_item_cat,MATCH(E3781,lst_exp_items,0))),"❔ Без категории"))</f>
        <v/>
      </c>
      <c r="G3781" s="43" t="n"/>
      <c r="H3781" s="56" t="n"/>
      <c r="I3781" s="43" t="n"/>
      <c r="J3781" s="57">
        <f>IF(OR(A3781="",H3781=""),"",IF(COUNTIFS(exp_year,C3781,exp_month,D3781,exp_item,E3781,exp_status,"&lt;&gt;❌ Отменено")&gt;0,1,0))</f>
        <v/>
      </c>
    </row>
    <row r="3782">
      <c r="A3782" s="52" t="n"/>
      <c r="B3782" s="53">
        <f>IF(A3782="","",CHOOSE(WEEKDAY(A3782,2),"Пн","Вт","Ср","Чт","Пт","Сб","Вс"))</f>
        <v/>
      </c>
      <c r="C3782" s="53">
        <f>IF(A3782="","",YEAR(A3782))</f>
        <v/>
      </c>
      <c r="D3782" s="54">
        <f>IF(A3782="","",INDEX(lst_months,MONTH(A3782)))</f>
        <v/>
      </c>
      <c r="E3782" s="55" t="n"/>
      <c r="F3782" s="54">
        <f>IF(E3782="","",IFERROR(IF(INDEX(lst_exp_item_cat,MATCH(E3782,lst_exp_items,0))="","❔ Без категории",INDEX(lst_exp_item_cat,MATCH(E3782,lst_exp_items,0))),"❔ Без категории"))</f>
        <v/>
      </c>
      <c r="G3782" s="43" t="n"/>
      <c r="H3782" s="56" t="n"/>
      <c r="I3782" s="43" t="n"/>
      <c r="J3782" s="57">
        <f>IF(OR(A3782="",H3782=""),"",IF(COUNTIFS(exp_year,C3782,exp_month,D3782,exp_item,E3782,exp_status,"&lt;&gt;❌ Отменено")&gt;0,1,0))</f>
        <v/>
      </c>
    </row>
    <row r="3783">
      <c r="A3783" s="52" t="n"/>
      <c r="B3783" s="53">
        <f>IF(A3783="","",CHOOSE(WEEKDAY(A3783,2),"Пн","Вт","Ср","Чт","Пт","Сб","Вс"))</f>
        <v/>
      </c>
      <c r="C3783" s="53">
        <f>IF(A3783="","",YEAR(A3783))</f>
        <v/>
      </c>
      <c r="D3783" s="54">
        <f>IF(A3783="","",INDEX(lst_months,MONTH(A3783)))</f>
        <v/>
      </c>
      <c r="E3783" s="55" t="n"/>
      <c r="F3783" s="54">
        <f>IF(E3783="","",IFERROR(IF(INDEX(lst_exp_item_cat,MATCH(E3783,lst_exp_items,0))="","❔ Без категории",INDEX(lst_exp_item_cat,MATCH(E3783,lst_exp_items,0))),"❔ Без категории"))</f>
        <v/>
      </c>
      <c r="G3783" s="43" t="n"/>
      <c r="H3783" s="56" t="n"/>
      <c r="I3783" s="43" t="n"/>
      <c r="J3783" s="57">
        <f>IF(OR(A3783="",H3783=""),"",IF(COUNTIFS(exp_year,C3783,exp_month,D3783,exp_item,E3783,exp_status,"&lt;&gt;❌ Отменено")&gt;0,1,0))</f>
        <v/>
      </c>
    </row>
    <row r="3784">
      <c r="A3784" s="52" t="n"/>
      <c r="B3784" s="53">
        <f>IF(A3784="","",CHOOSE(WEEKDAY(A3784,2),"Пн","Вт","Ср","Чт","Пт","Сб","Вс"))</f>
        <v/>
      </c>
      <c r="C3784" s="53">
        <f>IF(A3784="","",YEAR(A3784))</f>
        <v/>
      </c>
      <c r="D3784" s="54">
        <f>IF(A3784="","",INDEX(lst_months,MONTH(A3784)))</f>
        <v/>
      </c>
      <c r="E3784" s="55" t="n"/>
      <c r="F3784" s="54">
        <f>IF(E3784="","",IFERROR(IF(INDEX(lst_exp_item_cat,MATCH(E3784,lst_exp_items,0))="","❔ Без категории",INDEX(lst_exp_item_cat,MATCH(E3784,lst_exp_items,0))),"❔ Без категории"))</f>
        <v/>
      </c>
      <c r="G3784" s="43" t="n"/>
      <c r="H3784" s="56" t="n"/>
      <c r="I3784" s="43" t="n"/>
      <c r="J3784" s="57">
        <f>IF(OR(A3784="",H3784=""),"",IF(COUNTIFS(exp_year,C3784,exp_month,D3784,exp_item,E3784,exp_status,"&lt;&gt;❌ Отменено")&gt;0,1,0))</f>
        <v/>
      </c>
    </row>
    <row r="3785">
      <c r="A3785" s="52" t="n"/>
      <c r="B3785" s="53">
        <f>IF(A3785="","",CHOOSE(WEEKDAY(A3785,2),"Пн","Вт","Ср","Чт","Пт","Сб","Вс"))</f>
        <v/>
      </c>
      <c r="C3785" s="53">
        <f>IF(A3785="","",YEAR(A3785))</f>
        <v/>
      </c>
      <c r="D3785" s="54">
        <f>IF(A3785="","",INDEX(lst_months,MONTH(A3785)))</f>
        <v/>
      </c>
      <c r="E3785" s="55" t="n"/>
      <c r="F3785" s="54">
        <f>IF(E3785="","",IFERROR(IF(INDEX(lst_exp_item_cat,MATCH(E3785,lst_exp_items,0))="","❔ Без категории",INDEX(lst_exp_item_cat,MATCH(E3785,lst_exp_items,0))),"❔ Без категории"))</f>
        <v/>
      </c>
      <c r="G3785" s="43" t="n"/>
      <c r="H3785" s="56" t="n"/>
      <c r="I3785" s="43" t="n"/>
      <c r="J3785" s="57">
        <f>IF(OR(A3785="",H3785=""),"",IF(COUNTIFS(exp_year,C3785,exp_month,D3785,exp_item,E3785,exp_status,"&lt;&gt;❌ Отменено")&gt;0,1,0))</f>
        <v/>
      </c>
    </row>
    <row r="3786">
      <c r="A3786" s="52" t="n"/>
      <c r="B3786" s="53">
        <f>IF(A3786="","",CHOOSE(WEEKDAY(A3786,2),"Пн","Вт","Ср","Чт","Пт","Сб","Вс"))</f>
        <v/>
      </c>
      <c r="C3786" s="53">
        <f>IF(A3786="","",YEAR(A3786))</f>
        <v/>
      </c>
      <c r="D3786" s="54">
        <f>IF(A3786="","",INDEX(lst_months,MONTH(A3786)))</f>
        <v/>
      </c>
      <c r="E3786" s="55" t="n"/>
      <c r="F3786" s="54">
        <f>IF(E3786="","",IFERROR(IF(INDEX(lst_exp_item_cat,MATCH(E3786,lst_exp_items,0))="","❔ Без категории",INDEX(lst_exp_item_cat,MATCH(E3786,lst_exp_items,0))),"❔ Без категории"))</f>
        <v/>
      </c>
      <c r="G3786" s="43" t="n"/>
      <c r="H3786" s="56" t="n"/>
      <c r="I3786" s="43" t="n"/>
      <c r="J3786" s="57">
        <f>IF(OR(A3786="",H3786=""),"",IF(COUNTIFS(exp_year,C3786,exp_month,D3786,exp_item,E3786,exp_status,"&lt;&gt;❌ Отменено")&gt;0,1,0))</f>
        <v/>
      </c>
    </row>
    <row r="3787">
      <c r="A3787" s="52" t="n"/>
      <c r="B3787" s="53">
        <f>IF(A3787="","",CHOOSE(WEEKDAY(A3787,2),"Пн","Вт","Ср","Чт","Пт","Сб","Вс"))</f>
        <v/>
      </c>
      <c r="C3787" s="53">
        <f>IF(A3787="","",YEAR(A3787))</f>
        <v/>
      </c>
      <c r="D3787" s="54">
        <f>IF(A3787="","",INDEX(lst_months,MONTH(A3787)))</f>
        <v/>
      </c>
      <c r="E3787" s="55" t="n"/>
      <c r="F3787" s="54">
        <f>IF(E3787="","",IFERROR(IF(INDEX(lst_exp_item_cat,MATCH(E3787,lst_exp_items,0))="","❔ Без категории",INDEX(lst_exp_item_cat,MATCH(E3787,lst_exp_items,0))),"❔ Без категории"))</f>
        <v/>
      </c>
      <c r="G3787" s="43" t="n"/>
      <c r="H3787" s="56" t="n"/>
      <c r="I3787" s="43" t="n"/>
      <c r="J3787" s="57">
        <f>IF(OR(A3787="",H3787=""),"",IF(COUNTIFS(exp_year,C3787,exp_month,D3787,exp_item,E3787,exp_status,"&lt;&gt;❌ Отменено")&gt;0,1,0))</f>
        <v/>
      </c>
    </row>
    <row r="3788">
      <c r="A3788" s="52" t="n"/>
      <c r="B3788" s="53">
        <f>IF(A3788="","",CHOOSE(WEEKDAY(A3788,2),"Пн","Вт","Ср","Чт","Пт","Сб","Вс"))</f>
        <v/>
      </c>
      <c r="C3788" s="53">
        <f>IF(A3788="","",YEAR(A3788))</f>
        <v/>
      </c>
      <c r="D3788" s="54">
        <f>IF(A3788="","",INDEX(lst_months,MONTH(A3788)))</f>
        <v/>
      </c>
      <c r="E3788" s="55" t="n"/>
      <c r="F3788" s="54">
        <f>IF(E3788="","",IFERROR(IF(INDEX(lst_exp_item_cat,MATCH(E3788,lst_exp_items,0))="","❔ Без категории",INDEX(lst_exp_item_cat,MATCH(E3788,lst_exp_items,0))),"❔ Без категории"))</f>
        <v/>
      </c>
      <c r="G3788" s="43" t="n"/>
      <c r="H3788" s="56" t="n"/>
      <c r="I3788" s="43" t="n"/>
      <c r="J3788" s="57">
        <f>IF(OR(A3788="",H3788=""),"",IF(COUNTIFS(exp_year,C3788,exp_month,D3788,exp_item,E3788,exp_status,"&lt;&gt;❌ Отменено")&gt;0,1,0))</f>
        <v/>
      </c>
    </row>
    <row r="3789">
      <c r="A3789" s="52" t="n"/>
      <c r="B3789" s="53">
        <f>IF(A3789="","",CHOOSE(WEEKDAY(A3789,2),"Пн","Вт","Ср","Чт","Пт","Сб","Вс"))</f>
        <v/>
      </c>
      <c r="C3789" s="53">
        <f>IF(A3789="","",YEAR(A3789))</f>
        <v/>
      </c>
      <c r="D3789" s="54">
        <f>IF(A3789="","",INDEX(lst_months,MONTH(A3789)))</f>
        <v/>
      </c>
      <c r="E3789" s="55" t="n"/>
      <c r="F3789" s="54">
        <f>IF(E3789="","",IFERROR(IF(INDEX(lst_exp_item_cat,MATCH(E3789,lst_exp_items,0))="","❔ Без категории",INDEX(lst_exp_item_cat,MATCH(E3789,lst_exp_items,0))),"❔ Без категории"))</f>
        <v/>
      </c>
      <c r="G3789" s="43" t="n"/>
      <c r="H3789" s="56" t="n"/>
      <c r="I3789" s="43" t="n"/>
      <c r="J3789" s="57">
        <f>IF(OR(A3789="",H3789=""),"",IF(COUNTIFS(exp_year,C3789,exp_month,D3789,exp_item,E3789,exp_status,"&lt;&gt;❌ Отменено")&gt;0,1,0))</f>
        <v/>
      </c>
    </row>
    <row r="3790">
      <c r="A3790" s="52" t="n"/>
      <c r="B3790" s="53">
        <f>IF(A3790="","",CHOOSE(WEEKDAY(A3790,2),"Пн","Вт","Ср","Чт","Пт","Сб","Вс"))</f>
        <v/>
      </c>
      <c r="C3790" s="53">
        <f>IF(A3790="","",YEAR(A3790))</f>
        <v/>
      </c>
      <c r="D3790" s="54">
        <f>IF(A3790="","",INDEX(lst_months,MONTH(A3790)))</f>
        <v/>
      </c>
      <c r="E3790" s="55" t="n"/>
      <c r="F3790" s="54">
        <f>IF(E3790="","",IFERROR(IF(INDEX(lst_exp_item_cat,MATCH(E3790,lst_exp_items,0))="","❔ Без категории",INDEX(lst_exp_item_cat,MATCH(E3790,lst_exp_items,0))),"❔ Без категории"))</f>
        <v/>
      </c>
      <c r="G3790" s="43" t="n"/>
      <c r="H3790" s="56" t="n"/>
      <c r="I3790" s="43" t="n"/>
      <c r="J3790" s="57">
        <f>IF(OR(A3790="",H3790=""),"",IF(COUNTIFS(exp_year,C3790,exp_month,D3790,exp_item,E3790,exp_status,"&lt;&gt;❌ Отменено")&gt;0,1,0))</f>
        <v/>
      </c>
    </row>
    <row r="3791">
      <c r="A3791" s="52" t="n"/>
      <c r="B3791" s="53">
        <f>IF(A3791="","",CHOOSE(WEEKDAY(A3791,2),"Пн","Вт","Ср","Чт","Пт","Сб","Вс"))</f>
        <v/>
      </c>
      <c r="C3791" s="53">
        <f>IF(A3791="","",YEAR(A3791))</f>
        <v/>
      </c>
      <c r="D3791" s="54">
        <f>IF(A3791="","",INDEX(lst_months,MONTH(A3791)))</f>
        <v/>
      </c>
      <c r="E3791" s="55" t="n"/>
      <c r="F3791" s="54">
        <f>IF(E3791="","",IFERROR(IF(INDEX(lst_exp_item_cat,MATCH(E3791,lst_exp_items,0))="","❔ Без категории",INDEX(lst_exp_item_cat,MATCH(E3791,lst_exp_items,0))),"❔ Без категории"))</f>
        <v/>
      </c>
      <c r="G3791" s="43" t="n"/>
      <c r="H3791" s="56" t="n"/>
      <c r="I3791" s="43" t="n"/>
      <c r="J3791" s="57">
        <f>IF(OR(A3791="",H3791=""),"",IF(COUNTIFS(exp_year,C3791,exp_month,D3791,exp_item,E3791,exp_status,"&lt;&gt;❌ Отменено")&gt;0,1,0))</f>
        <v/>
      </c>
    </row>
    <row r="3792">
      <c r="A3792" s="52" t="n"/>
      <c r="B3792" s="53">
        <f>IF(A3792="","",CHOOSE(WEEKDAY(A3792,2),"Пн","Вт","Ср","Чт","Пт","Сб","Вс"))</f>
        <v/>
      </c>
      <c r="C3792" s="53">
        <f>IF(A3792="","",YEAR(A3792))</f>
        <v/>
      </c>
      <c r="D3792" s="54">
        <f>IF(A3792="","",INDEX(lst_months,MONTH(A3792)))</f>
        <v/>
      </c>
      <c r="E3792" s="55" t="n"/>
      <c r="F3792" s="54">
        <f>IF(E3792="","",IFERROR(IF(INDEX(lst_exp_item_cat,MATCH(E3792,lst_exp_items,0))="","❔ Без категории",INDEX(lst_exp_item_cat,MATCH(E3792,lst_exp_items,0))),"❔ Без категории"))</f>
        <v/>
      </c>
      <c r="G3792" s="43" t="n"/>
      <c r="H3792" s="56" t="n"/>
      <c r="I3792" s="43" t="n"/>
      <c r="J3792" s="57">
        <f>IF(OR(A3792="",H3792=""),"",IF(COUNTIFS(exp_year,C3792,exp_month,D3792,exp_item,E3792,exp_status,"&lt;&gt;❌ Отменено")&gt;0,1,0))</f>
        <v/>
      </c>
    </row>
    <row r="3793">
      <c r="A3793" s="52" t="n"/>
      <c r="B3793" s="53">
        <f>IF(A3793="","",CHOOSE(WEEKDAY(A3793,2),"Пн","Вт","Ср","Чт","Пт","Сб","Вс"))</f>
        <v/>
      </c>
      <c r="C3793" s="53">
        <f>IF(A3793="","",YEAR(A3793))</f>
        <v/>
      </c>
      <c r="D3793" s="54">
        <f>IF(A3793="","",INDEX(lst_months,MONTH(A3793)))</f>
        <v/>
      </c>
      <c r="E3793" s="55" t="n"/>
      <c r="F3793" s="54">
        <f>IF(E3793="","",IFERROR(IF(INDEX(lst_exp_item_cat,MATCH(E3793,lst_exp_items,0))="","❔ Без категории",INDEX(lst_exp_item_cat,MATCH(E3793,lst_exp_items,0))),"❔ Без категории"))</f>
        <v/>
      </c>
      <c r="G3793" s="43" t="n"/>
      <c r="H3793" s="56" t="n"/>
      <c r="I3793" s="43" t="n"/>
      <c r="J3793" s="57">
        <f>IF(OR(A3793="",H3793=""),"",IF(COUNTIFS(exp_year,C3793,exp_month,D3793,exp_item,E3793,exp_status,"&lt;&gt;❌ Отменено")&gt;0,1,0))</f>
        <v/>
      </c>
    </row>
    <row r="3794">
      <c r="A3794" s="52" t="n"/>
      <c r="B3794" s="53">
        <f>IF(A3794="","",CHOOSE(WEEKDAY(A3794,2),"Пн","Вт","Ср","Чт","Пт","Сб","Вс"))</f>
        <v/>
      </c>
      <c r="C3794" s="53">
        <f>IF(A3794="","",YEAR(A3794))</f>
        <v/>
      </c>
      <c r="D3794" s="54">
        <f>IF(A3794="","",INDEX(lst_months,MONTH(A3794)))</f>
        <v/>
      </c>
      <c r="E3794" s="55" t="n"/>
      <c r="F3794" s="54">
        <f>IF(E3794="","",IFERROR(IF(INDEX(lst_exp_item_cat,MATCH(E3794,lst_exp_items,0))="","❔ Без категории",INDEX(lst_exp_item_cat,MATCH(E3794,lst_exp_items,0))),"❔ Без категории"))</f>
        <v/>
      </c>
      <c r="G3794" s="43" t="n"/>
      <c r="H3794" s="56" t="n"/>
      <c r="I3794" s="43" t="n"/>
      <c r="J3794" s="57">
        <f>IF(OR(A3794="",H3794=""),"",IF(COUNTIFS(exp_year,C3794,exp_month,D3794,exp_item,E3794,exp_status,"&lt;&gt;❌ Отменено")&gt;0,1,0))</f>
        <v/>
      </c>
    </row>
    <row r="3795">
      <c r="A3795" s="52" t="n"/>
      <c r="B3795" s="53">
        <f>IF(A3795="","",CHOOSE(WEEKDAY(A3795,2),"Пн","Вт","Ср","Чт","Пт","Сб","Вс"))</f>
        <v/>
      </c>
      <c r="C3795" s="53">
        <f>IF(A3795="","",YEAR(A3795))</f>
        <v/>
      </c>
      <c r="D3795" s="54">
        <f>IF(A3795="","",INDEX(lst_months,MONTH(A3795)))</f>
        <v/>
      </c>
      <c r="E3795" s="55" t="n"/>
      <c r="F3795" s="54">
        <f>IF(E3795="","",IFERROR(IF(INDEX(lst_exp_item_cat,MATCH(E3795,lst_exp_items,0))="","❔ Без категории",INDEX(lst_exp_item_cat,MATCH(E3795,lst_exp_items,0))),"❔ Без категории"))</f>
        <v/>
      </c>
      <c r="G3795" s="43" t="n"/>
      <c r="H3795" s="56" t="n"/>
      <c r="I3795" s="43" t="n"/>
      <c r="J3795" s="57">
        <f>IF(OR(A3795="",H3795=""),"",IF(COUNTIFS(exp_year,C3795,exp_month,D3795,exp_item,E3795,exp_status,"&lt;&gt;❌ Отменено")&gt;0,1,0))</f>
        <v/>
      </c>
    </row>
    <row r="3796">
      <c r="A3796" s="52" t="n"/>
      <c r="B3796" s="53">
        <f>IF(A3796="","",CHOOSE(WEEKDAY(A3796,2),"Пн","Вт","Ср","Чт","Пт","Сб","Вс"))</f>
        <v/>
      </c>
      <c r="C3796" s="53">
        <f>IF(A3796="","",YEAR(A3796))</f>
        <v/>
      </c>
      <c r="D3796" s="54">
        <f>IF(A3796="","",INDEX(lst_months,MONTH(A3796)))</f>
        <v/>
      </c>
      <c r="E3796" s="55" t="n"/>
      <c r="F3796" s="54">
        <f>IF(E3796="","",IFERROR(IF(INDEX(lst_exp_item_cat,MATCH(E3796,lst_exp_items,0))="","❔ Без категории",INDEX(lst_exp_item_cat,MATCH(E3796,lst_exp_items,0))),"❔ Без категории"))</f>
        <v/>
      </c>
      <c r="G3796" s="43" t="n"/>
      <c r="H3796" s="56" t="n"/>
      <c r="I3796" s="43" t="n"/>
      <c r="J3796" s="57">
        <f>IF(OR(A3796="",H3796=""),"",IF(COUNTIFS(exp_year,C3796,exp_month,D3796,exp_item,E3796,exp_status,"&lt;&gt;❌ Отменено")&gt;0,1,0))</f>
        <v/>
      </c>
    </row>
    <row r="3797">
      <c r="A3797" s="52" t="n"/>
      <c r="B3797" s="53">
        <f>IF(A3797="","",CHOOSE(WEEKDAY(A3797,2),"Пн","Вт","Ср","Чт","Пт","Сб","Вс"))</f>
        <v/>
      </c>
      <c r="C3797" s="53">
        <f>IF(A3797="","",YEAR(A3797))</f>
        <v/>
      </c>
      <c r="D3797" s="54">
        <f>IF(A3797="","",INDEX(lst_months,MONTH(A3797)))</f>
        <v/>
      </c>
      <c r="E3797" s="55" t="n"/>
      <c r="F3797" s="54">
        <f>IF(E3797="","",IFERROR(IF(INDEX(lst_exp_item_cat,MATCH(E3797,lst_exp_items,0))="","❔ Без категории",INDEX(lst_exp_item_cat,MATCH(E3797,lst_exp_items,0))),"❔ Без категории"))</f>
        <v/>
      </c>
      <c r="G3797" s="43" t="n"/>
      <c r="H3797" s="56" t="n"/>
      <c r="I3797" s="43" t="n"/>
      <c r="J3797" s="57">
        <f>IF(OR(A3797="",H3797=""),"",IF(COUNTIFS(exp_year,C3797,exp_month,D3797,exp_item,E3797,exp_status,"&lt;&gt;❌ Отменено")&gt;0,1,0))</f>
        <v/>
      </c>
    </row>
    <row r="3798">
      <c r="A3798" s="52" t="n"/>
      <c r="B3798" s="53">
        <f>IF(A3798="","",CHOOSE(WEEKDAY(A3798,2),"Пн","Вт","Ср","Чт","Пт","Сб","Вс"))</f>
        <v/>
      </c>
      <c r="C3798" s="53">
        <f>IF(A3798="","",YEAR(A3798))</f>
        <v/>
      </c>
      <c r="D3798" s="54">
        <f>IF(A3798="","",INDEX(lst_months,MONTH(A3798)))</f>
        <v/>
      </c>
      <c r="E3798" s="55" t="n"/>
      <c r="F3798" s="54">
        <f>IF(E3798="","",IFERROR(IF(INDEX(lst_exp_item_cat,MATCH(E3798,lst_exp_items,0))="","❔ Без категории",INDEX(lst_exp_item_cat,MATCH(E3798,lst_exp_items,0))),"❔ Без категории"))</f>
        <v/>
      </c>
      <c r="G3798" s="43" t="n"/>
      <c r="H3798" s="56" t="n"/>
      <c r="I3798" s="43" t="n"/>
      <c r="J3798" s="57">
        <f>IF(OR(A3798="",H3798=""),"",IF(COUNTIFS(exp_year,C3798,exp_month,D3798,exp_item,E3798,exp_status,"&lt;&gt;❌ Отменено")&gt;0,1,0))</f>
        <v/>
      </c>
    </row>
    <row r="3799">
      <c r="A3799" s="52" t="n"/>
      <c r="B3799" s="53">
        <f>IF(A3799="","",CHOOSE(WEEKDAY(A3799,2),"Пн","Вт","Ср","Чт","Пт","Сб","Вс"))</f>
        <v/>
      </c>
      <c r="C3799" s="53">
        <f>IF(A3799="","",YEAR(A3799))</f>
        <v/>
      </c>
      <c r="D3799" s="54">
        <f>IF(A3799="","",INDEX(lst_months,MONTH(A3799)))</f>
        <v/>
      </c>
      <c r="E3799" s="55" t="n"/>
      <c r="F3799" s="54">
        <f>IF(E3799="","",IFERROR(IF(INDEX(lst_exp_item_cat,MATCH(E3799,lst_exp_items,0))="","❔ Без категории",INDEX(lst_exp_item_cat,MATCH(E3799,lst_exp_items,0))),"❔ Без категории"))</f>
        <v/>
      </c>
      <c r="G3799" s="43" t="n"/>
      <c r="H3799" s="56" t="n"/>
      <c r="I3799" s="43" t="n"/>
      <c r="J3799" s="57">
        <f>IF(OR(A3799="",H3799=""),"",IF(COUNTIFS(exp_year,C3799,exp_month,D3799,exp_item,E3799,exp_status,"&lt;&gt;❌ Отменено")&gt;0,1,0))</f>
        <v/>
      </c>
    </row>
    <row r="3800">
      <c r="A3800" s="52" t="n"/>
      <c r="B3800" s="53">
        <f>IF(A3800="","",CHOOSE(WEEKDAY(A3800,2),"Пн","Вт","Ср","Чт","Пт","Сб","Вс"))</f>
        <v/>
      </c>
      <c r="C3800" s="53">
        <f>IF(A3800="","",YEAR(A3800))</f>
        <v/>
      </c>
      <c r="D3800" s="54">
        <f>IF(A3800="","",INDEX(lst_months,MONTH(A3800)))</f>
        <v/>
      </c>
      <c r="E3800" s="55" t="n"/>
      <c r="F3800" s="54">
        <f>IF(E3800="","",IFERROR(IF(INDEX(lst_exp_item_cat,MATCH(E3800,lst_exp_items,0))="","❔ Без категории",INDEX(lst_exp_item_cat,MATCH(E3800,lst_exp_items,0))),"❔ Без категории"))</f>
        <v/>
      </c>
      <c r="G3800" s="43" t="n"/>
      <c r="H3800" s="56" t="n"/>
      <c r="I3800" s="43" t="n"/>
      <c r="J3800" s="57">
        <f>IF(OR(A3800="",H3800=""),"",IF(COUNTIFS(exp_year,C3800,exp_month,D3800,exp_item,E3800,exp_status,"&lt;&gt;❌ Отменено")&gt;0,1,0))</f>
        <v/>
      </c>
    </row>
    <row r="3801">
      <c r="A3801" s="52" t="n"/>
      <c r="B3801" s="53">
        <f>IF(A3801="","",CHOOSE(WEEKDAY(A3801,2),"Пн","Вт","Ср","Чт","Пт","Сб","Вс"))</f>
        <v/>
      </c>
      <c r="C3801" s="53">
        <f>IF(A3801="","",YEAR(A3801))</f>
        <v/>
      </c>
      <c r="D3801" s="54">
        <f>IF(A3801="","",INDEX(lst_months,MONTH(A3801)))</f>
        <v/>
      </c>
      <c r="E3801" s="55" t="n"/>
      <c r="F3801" s="54">
        <f>IF(E3801="","",IFERROR(IF(INDEX(lst_exp_item_cat,MATCH(E3801,lst_exp_items,0))="","❔ Без категории",INDEX(lst_exp_item_cat,MATCH(E3801,lst_exp_items,0))),"❔ Без категории"))</f>
        <v/>
      </c>
      <c r="G3801" s="43" t="n"/>
      <c r="H3801" s="56" t="n"/>
      <c r="I3801" s="43" t="n"/>
      <c r="J3801" s="57">
        <f>IF(OR(A3801="",H3801=""),"",IF(COUNTIFS(exp_year,C3801,exp_month,D3801,exp_item,E3801,exp_status,"&lt;&gt;❌ Отменено")&gt;0,1,0))</f>
        <v/>
      </c>
    </row>
    <row r="3802">
      <c r="A3802" s="52" t="n"/>
      <c r="B3802" s="53">
        <f>IF(A3802="","",CHOOSE(WEEKDAY(A3802,2),"Пн","Вт","Ср","Чт","Пт","Сб","Вс"))</f>
        <v/>
      </c>
      <c r="C3802" s="53">
        <f>IF(A3802="","",YEAR(A3802))</f>
        <v/>
      </c>
      <c r="D3802" s="54">
        <f>IF(A3802="","",INDEX(lst_months,MONTH(A3802)))</f>
        <v/>
      </c>
      <c r="E3802" s="55" t="n"/>
      <c r="F3802" s="54">
        <f>IF(E3802="","",IFERROR(IF(INDEX(lst_exp_item_cat,MATCH(E3802,lst_exp_items,0))="","❔ Без категории",INDEX(lst_exp_item_cat,MATCH(E3802,lst_exp_items,0))),"❔ Без категории"))</f>
        <v/>
      </c>
      <c r="G3802" s="43" t="n"/>
      <c r="H3802" s="56" t="n"/>
      <c r="I3802" s="43" t="n"/>
      <c r="J3802" s="57">
        <f>IF(OR(A3802="",H3802=""),"",IF(COUNTIFS(exp_year,C3802,exp_month,D3802,exp_item,E3802,exp_status,"&lt;&gt;❌ Отменено")&gt;0,1,0))</f>
        <v/>
      </c>
    </row>
    <row r="3803">
      <c r="A3803" s="52" t="n"/>
      <c r="B3803" s="53">
        <f>IF(A3803="","",CHOOSE(WEEKDAY(A3803,2),"Пн","Вт","Ср","Чт","Пт","Сб","Вс"))</f>
        <v/>
      </c>
      <c r="C3803" s="53">
        <f>IF(A3803="","",YEAR(A3803))</f>
        <v/>
      </c>
      <c r="D3803" s="54">
        <f>IF(A3803="","",INDEX(lst_months,MONTH(A3803)))</f>
        <v/>
      </c>
      <c r="E3803" s="55" t="n"/>
      <c r="F3803" s="54">
        <f>IF(E3803="","",IFERROR(IF(INDEX(lst_exp_item_cat,MATCH(E3803,lst_exp_items,0))="","❔ Без категории",INDEX(lst_exp_item_cat,MATCH(E3803,lst_exp_items,0))),"❔ Без категории"))</f>
        <v/>
      </c>
      <c r="G3803" s="43" t="n"/>
      <c r="H3803" s="56" t="n"/>
      <c r="I3803" s="43" t="n"/>
      <c r="J3803" s="57">
        <f>IF(OR(A3803="",H3803=""),"",IF(COUNTIFS(exp_year,C3803,exp_month,D3803,exp_item,E3803,exp_status,"&lt;&gt;❌ Отменено")&gt;0,1,0))</f>
        <v/>
      </c>
    </row>
    <row r="3804">
      <c r="A3804" s="52" t="n"/>
      <c r="B3804" s="53">
        <f>IF(A3804="","",CHOOSE(WEEKDAY(A3804,2),"Пн","Вт","Ср","Чт","Пт","Сб","Вс"))</f>
        <v/>
      </c>
      <c r="C3804" s="53">
        <f>IF(A3804="","",YEAR(A3804))</f>
        <v/>
      </c>
      <c r="D3804" s="54">
        <f>IF(A3804="","",INDEX(lst_months,MONTH(A3804)))</f>
        <v/>
      </c>
      <c r="E3804" s="55" t="n"/>
      <c r="F3804" s="54">
        <f>IF(E3804="","",IFERROR(IF(INDEX(lst_exp_item_cat,MATCH(E3804,lst_exp_items,0))="","❔ Без категории",INDEX(lst_exp_item_cat,MATCH(E3804,lst_exp_items,0))),"❔ Без категории"))</f>
        <v/>
      </c>
      <c r="G3804" s="43" t="n"/>
      <c r="H3804" s="56" t="n"/>
      <c r="I3804" s="43" t="n"/>
      <c r="J3804" s="57">
        <f>IF(OR(A3804="",H3804=""),"",IF(COUNTIFS(exp_year,C3804,exp_month,D3804,exp_item,E3804,exp_status,"&lt;&gt;❌ Отменено")&gt;0,1,0))</f>
        <v/>
      </c>
    </row>
    <row r="3805">
      <c r="A3805" s="52" t="n"/>
      <c r="B3805" s="53">
        <f>IF(A3805="","",CHOOSE(WEEKDAY(A3805,2),"Пн","Вт","Ср","Чт","Пт","Сб","Вс"))</f>
        <v/>
      </c>
      <c r="C3805" s="53">
        <f>IF(A3805="","",YEAR(A3805))</f>
        <v/>
      </c>
      <c r="D3805" s="54">
        <f>IF(A3805="","",INDEX(lst_months,MONTH(A3805)))</f>
        <v/>
      </c>
      <c r="E3805" s="55" t="n"/>
      <c r="F3805" s="54">
        <f>IF(E3805="","",IFERROR(IF(INDEX(lst_exp_item_cat,MATCH(E3805,lst_exp_items,0))="","❔ Без категории",INDEX(lst_exp_item_cat,MATCH(E3805,lst_exp_items,0))),"❔ Без категории"))</f>
        <v/>
      </c>
      <c r="G3805" s="43" t="n"/>
      <c r="H3805" s="56" t="n"/>
      <c r="I3805" s="43" t="n"/>
      <c r="J3805" s="57">
        <f>IF(OR(A3805="",H3805=""),"",IF(COUNTIFS(exp_year,C3805,exp_month,D3805,exp_item,E3805,exp_status,"&lt;&gt;❌ Отменено")&gt;0,1,0))</f>
        <v/>
      </c>
    </row>
    <row r="3806">
      <c r="A3806" s="52" t="n"/>
      <c r="B3806" s="53">
        <f>IF(A3806="","",CHOOSE(WEEKDAY(A3806,2),"Пн","Вт","Ср","Чт","Пт","Сб","Вс"))</f>
        <v/>
      </c>
      <c r="C3806" s="53">
        <f>IF(A3806="","",YEAR(A3806))</f>
        <v/>
      </c>
      <c r="D3806" s="54">
        <f>IF(A3806="","",INDEX(lst_months,MONTH(A3806)))</f>
        <v/>
      </c>
      <c r="E3806" s="55" t="n"/>
      <c r="F3806" s="54">
        <f>IF(E3806="","",IFERROR(IF(INDEX(lst_exp_item_cat,MATCH(E3806,lst_exp_items,0))="","❔ Без категории",INDEX(lst_exp_item_cat,MATCH(E3806,lst_exp_items,0))),"❔ Без категории"))</f>
        <v/>
      </c>
      <c r="G3806" s="43" t="n"/>
      <c r="H3806" s="56" t="n"/>
      <c r="I3806" s="43" t="n"/>
      <c r="J3806" s="57">
        <f>IF(OR(A3806="",H3806=""),"",IF(COUNTIFS(exp_year,C3806,exp_month,D3806,exp_item,E3806,exp_status,"&lt;&gt;❌ Отменено")&gt;0,1,0))</f>
        <v/>
      </c>
    </row>
    <row r="3807">
      <c r="A3807" s="52" t="n"/>
      <c r="B3807" s="53">
        <f>IF(A3807="","",CHOOSE(WEEKDAY(A3807,2),"Пн","Вт","Ср","Чт","Пт","Сб","Вс"))</f>
        <v/>
      </c>
      <c r="C3807" s="53">
        <f>IF(A3807="","",YEAR(A3807))</f>
        <v/>
      </c>
      <c r="D3807" s="54">
        <f>IF(A3807="","",INDEX(lst_months,MONTH(A3807)))</f>
        <v/>
      </c>
      <c r="E3807" s="55" t="n"/>
      <c r="F3807" s="54">
        <f>IF(E3807="","",IFERROR(IF(INDEX(lst_exp_item_cat,MATCH(E3807,lst_exp_items,0))="","❔ Без категории",INDEX(lst_exp_item_cat,MATCH(E3807,lst_exp_items,0))),"❔ Без категории"))</f>
        <v/>
      </c>
      <c r="G3807" s="43" t="n"/>
      <c r="H3807" s="56" t="n"/>
      <c r="I3807" s="43" t="n"/>
      <c r="J3807" s="57">
        <f>IF(OR(A3807="",H3807=""),"",IF(COUNTIFS(exp_year,C3807,exp_month,D3807,exp_item,E3807,exp_status,"&lt;&gt;❌ Отменено")&gt;0,1,0))</f>
        <v/>
      </c>
    </row>
    <row r="3808">
      <c r="A3808" s="52" t="n"/>
      <c r="B3808" s="53">
        <f>IF(A3808="","",CHOOSE(WEEKDAY(A3808,2),"Пн","Вт","Ср","Чт","Пт","Сб","Вс"))</f>
        <v/>
      </c>
      <c r="C3808" s="53">
        <f>IF(A3808="","",YEAR(A3808))</f>
        <v/>
      </c>
      <c r="D3808" s="54">
        <f>IF(A3808="","",INDEX(lst_months,MONTH(A3808)))</f>
        <v/>
      </c>
      <c r="E3808" s="55" t="n"/>
      <c r="F3808" s="54">
        <f>IF(E3808="","",IFERROR(IF(INDEX(lst_exp_item_cat,MATCH(E3808,lst_exp_items,0))="","❔ Без категории",INDEX(lst_exp_item_cat,MATCH(E3808,lst_exp_items,0))),"❔ Без категории"))</f>
        <v/>
      </c>
      <c r="G3808" s="43" t="n"/>
      <c r="H3808" s="56" t="n"/>
      <c r="I3808" s="43" t="n"/>
      <c r="J3808" s="57">
        <f>IF(OR(A3808="",H3808=""),"",IF(COUNTIFS(exp_year,C3808,exp_month,D3808,exp_item,E3808,exp_status,"&lt;&gt;❌ Отменено")&gt;0,1,0))</f>
        <v/>
      </c>
    </row>
    <row r="3809">
      <c r="A3809" s="52" t="n"/>
      <c r="B3809" s="53">
        <f>IF(A3809="","",CHOOSE(WEEKDAY(A3809,2),"Пн","Вт","Ср","Чт","Пт","Сб","Вс"))</f>
        <v/>
      </c>
      <c r="C3809" s="53">
        <f>IF(A3809="","",YEAR(A3809))</f>
        <v/>
      </c>
      <c r="D3809" s="54">
        <f>IF(A3809="","",INDEX(lst_months,MONTH(A3809)))</f>
        <v/>
      </c>
      <c r="E3809" s="55" t="n"/>
      <c r="F3809" s="54">
        <f>IF(E3809="","",IFERROR(IF(INDEX(lst_exp_item_cat,MATCH(E3809,lst_exp_items,0))="","❔ Без категории",INDEX(lst_exp_item_cat,MATCH(E3809,lst_exp_items,0))),"❔ Без категории"))</f>
        <v/>
      </c>
      <c r="G3809" s="43" t="n"/>
      <c r="H3809" s="56" t="n"/>
      <c r="I3809" s="43" t="n"/>
      <c r="J3809" s="57">
        <f>IF(OR(A3809="",H3809=""),"",IF(COUNTIFS(exp_year,C3809,exp_month,D3809,exp_item,E3809,exp_status,"&lt;&gt;❌ Отменено")&gt;0,1,0))</f>
        <v/>
      </c>
    </row>
    <row r="3810">
      <c r="A3810" s="52" t="n"/>
      <c r="B3810" s="53">
        <f>IF(A3810="","",CHOOSE(WEEKDAY(A3810,2),"Пн","Вт","Ср","Чт","Пт","Сб","Вс"))</f>
        <v/>
      </c>
      <c r="C3810" s="53">
        <f>IF(A3810="","",YEAR(A3810))</f>
        <v/>
      </c>
      <c r="D3810" s="54">
        <f>IF(A3810="","",INDEX(lst_months,MONTH(A3810)))</f>
        <v/>
      </c>
      <c r="E3810" s="55" t="n"/>
      <c r="F3810" s="54">
        <f>IF(E3810="","",IFERROR(IF(INDEX(lst_exp_item_cat,MATCH(E3810,lst_exp_items,0))="","❔ Без категории",INDEX(lst_exp_item_cat,MATCH(E3810,lst_exp_items,0))),"❔ Без категории"))</f>
        <v/>
      </c>
      <c r="G3810" s="43" t="n"/>
      <c r="H3810" s="56" t="n"/>
      <c r="I3810" s="43" t="n"/>
      <c r="J3810" s="57">
        <f>IF(OR(A3810="",H3810=""),"",IF(COUNTIFS(exp_year,C3810,exp_month,D3810,exp_item,E3810,exp_status,"&lt;&gt;❌ Отменено")&gt;0,1,0))</f>
        <v/>
      </c>
    </row>
    <row r="3811">
      <c r="A3811" s="52" t="n"/>
      <c r="B3811" s="53">
        <f>IF(A3811="","",CHOOSE(WEEKDAY(A3811,2),"Пн","Вт","Ср","Чт","Пт","Сб","Вс"))</f>
        <v/>
      </c>
      <c r="C3811" s="53">
        <f>IF(A3811="","",YEAR(A3811))</f>
        <v/>
      </c>
      <c r="D3811" s="54">
        <f>IF(A3811="","",INDEX(lst_months,MONTH(A3811)))</f>
        <v/>
      </c>
      <c r="E3811" s="55" t="n"/>
      <c r="F3811" s="54">
        <f>IF(E3811="","",IFERROR(IF(INDEX(lst_exp_item_cat,MATCH(E3811,lst_exp_items,0))="","❔ Без категории",INDEX(lst_exp_item_cat,MATCH(E3811,lst_exp_items,0))),"❔ Без категории"))</f>
        <v/>
      </c>
      <c r="G3811" s="43" t="n"/>
      <c r="H3811" s="56" t="n"/>
      <c r="I3811" s="43" t="n"/>
      <c r="J3811" s="57">
        <f>IF(OR(A3811="",H3811=""),"",IF(COUNTIFS(exp_year,C3811,exp_month,D3811,exp_item,E3811,exp_status,"&lt;&gt;❌ Отменено")&gt;0,1,0))</f>
        <v/>
      </c>
    </row>
    <row r="3812">
      <c r="A3812" s="52" t="n"/>
      <c r="B3812" s="53">
        <f>IF(A3812="","",CHOOSE(WEEKDAY(A3812,2),"Пн","Вт","Ср","Чт","Пт","Сб","Вс"))</f>
        <v/>
      </c>
      <c r="C3812" s="53">
        <f>IF(A3812="","",YEAR(A3812))</f>
        <v/>
      </c>
      <c r="D3812" s="54">
        <f>IF(A3812="","",INDEX(lst_months,MONTH(A3812)))</f>
        <v/>
      </c>
      <c r="E3812" s="55" t="n"/>
      <c r="F3812" s="54">
        <f>IF(E3812="","",IFERROR(IF(INDEX(lst_exp_item_cat,MATCH(E3812,lst_exp_items,0))="","❔ Без категории",INDEX(lst_exp_item_cat,MATCH(E3812,lst_exp_items,0))),"❔ Без категории"))</f>
        <v/>
      </c>
      <c r="G3812" s="43" t="n"/>
      <c r="H3812" s="56" t="n"/>
      <c r="I3812" s="43" t="n"/>
      <c r="J3812" s="57">
        <f>IF(OR(A3812="",H3812=""),"",IF(COUNTIFS(exp_year,C3812,exp_month,D3812,exp_item,E3812,exp_status,"&lt;&gt;❌ Отменено")&gt;0,1,0))</f>
        <v/>
      </c>
    </row>
    <row r="3813">
      <c r="A3813" s="52" t="n"/>
      <c r="B3813" s="53">
        <f>IF(A3813="","",CHOOSE(WEEKDAY(A3813,2),"Пн","Вт","Ср","Чт","Пт","Сб","Вс"))</f>
        <v/>
      </c>
      <c r="C3813" s="53">
        <f>IF(A3813="","",YEAR(A3813))</f>
        <v/>
      </c>
      <c r="D3813" s="54">
        <f>IF(A3813="","",INDEX(lst_months,MONTH(A3813)))</f>
        <v/>
      </c>
      <c r="E3813" s="55" t="n"/>
      <c r="F3813" s="54">
        <f>IF(E3813="","",IFERROR(IF(INDEX(lst_exp_item_cat,MATCH(E3813,lst_exp_items,0))="","❔ Без категории",INDEX(lst_exp_item_cat,MATCH(E3813,lst_exp_items,0))),"❔ Без категории"))</f>
        <v/>
      </c>
      <c r="G3813" s="43" t="n"/>
      <c r="H3813" s="56" t="n"/>
      <c r="I3813" s="43" t="n"/>
      <c r="J3813" s="57">
        <f>IF(OR(A3813="",H3813=""),"",IF(COUNTIFS(exp_year,C3813,exp_month,D3813,exp_item,E3813,exp_status,"&lt;&gt;❌ Отменено")&gt;0,1,0))</f>
        <v/>
      </c>
    </row>
    <row r="3814">
      <c r="A3814" s="52" t="n"/>
      <c r="B3814" s="53">
        <f>IF(A3814="","",CHOOSE(WEEKDAY(A3814,2),"Пн","Вт","Ср","Чт","Пт","Сб","Вс"))</f>
        <v/>
      </c>
      <c r="C3814" s="53">
        <f>IF(A3814="","",YEAR(A3814))</f>
        <v/>
      </c>
      <c r="D3814" s="54">
        <f>IF(A3814="","",INDEX(lst_months,MONTH(A3814)))</f>
        <v/>
      </c>
      <c r="E3814" s="55" t="n"/>
      <c r="F3814" s="54">
        <f>IF(E3814="","",IFERROR(IF(INDEX(lst_exp_item_cat,MATCH(E3814,lst_exp_items,0))="","❔ Без категории",INDEX(lst_exp_item_cat,MATCH(E3814,lst_exp_items,0))),"❔ Без категории"))</f>
        <v/>
      </c>
      <c r="G3814" s="43" t="n"/>
      <c r="H3814" s="56" t="n"/>
      <c r="I3814" s="43" t="n"/>
      <c r="J3814" s="57">
        <f>IF(OR(A3814="",H3814=""),"",IF(COUNTIFS(exp_year,C3814,exp_month,D3814,exp_item,E3814,exp_status,"&lt;&gt;❌ Отменено")&gt;0,1,0))</f>
        <v/>
      </c>
    </row>
    <row r="3815">
      <c r="A3815" s="52" t="n"/>
      <c r="B3815" s="53">
        <f>IF(A3815="","",CHOOSE(WEEKDAY(A3815,2),"Пн","Вт","Ср","Чт","Пт","Сб","Вс"))</f>
        <v/>
      </c>
      <c r="C3815" s="53">
        <f>IF(A3815="","",YEAR(A3815))</f>
        <v/>
      </c>
      <c r="D3815" s="54">
        <f>IF(A3815="","",INDEX(lst_months,MONTH(A3815)))</f>
        <v/>
      </c>
      <c r="E3815" s="55" t="n"/>
      <c r="F3815" s="54">
        <f>IF(E3815="","",IFERROR(IF(INDEX(lst_exp_item_cat,MATCH(E3815,lst_exp_items,0))="","❔ Без категории",INDEX(lst_exp_item_cat,MATCH(E3815,lst_exp_items,0))),"❔ Без категории"))</f>
        <v/>
      </c>
      <c r="G3815" s="43" t="n"/>
      <c r="H3815" s="56" t="n"/>
      <c r="I3815" s="43" t="n"/>
      <c r="J3815" s="57">
        <f>IF(OR(A3815="",H3815=""),"",IF(COUNTIFS(exp_year,C3815,exp_month,D3815,exp_item,E3815,exp_status,"&lt;&gt;❌ Отменено")&gt;0,1,0))</f>
        <v/>
      </c>
    </row>
    <row r="3816">
      <c r="A3816" s="52" t="n"/>
      <c r="B3816" s="53">
        <f>IF(A3816="","",CHOOSE(WEEKDAY(A3816,2),"Пн","Вт","Ср","Чт","Пт","Сб","Вс"))</f>
        <v/>
      </c>
      <c r="C3816" s="53">
        <f>IF(A3816="","",YEAR(A3816))</f>
        <v/>
      </c>
      <c r="D3816" s="54">
        <f>IF(A3816="","",INDEX(lst_months,MONTH(A3816)))</f>
        <v/>
      </c>
      <c r="E3816" s="55" t="n"/>
      <c r="F3816" s="54">
        <f>IF(E3816="","",IFERROR(IF(INDEX(lst_exp_item_cat,MATCH(E3816,lst_exp_items,0))="","❔ Без категории",INDEX(lst_exp_item_cat,MATCH(E3816,lst_exp_items,0))),"❔ Без категории"))</f>
        <v/>
      </c>
      <c r="G3816" s="43" t="n"/>
      <c r="H3816" s="56" t="n"/>
      <c r="I3816" s="43" t="n"/>
      <c r="J3816" s="57">
        <f>IF(OR(A3816="",H3816=""),"",IF(COUNTIFS(exp_year,C3816,exp_month,D3816,exp_item,E3816,exp_status,"&lt;&gt;❌ Отменено")&gt;0,1,0))</f>
        <v/>
      </c>
    </row>
    <row r="3817">
      <c r="A3817" s="52" t="n"/>
      <c r="B3817" s="53">
        <f>IF(A3817="","",CHOOSE(WEEKDAY(A3817,2),"Пн","Вт","Ср","Чт","Пт","Сб","Вс"))</f>
        <v/>
      </c>
      <c r="C3817" s="53">
        <f>IF(A3817="","",YEAR(A3817))</f>
        <v/>
      </c>
      <c r="D3817" s="54">
        <f>IF(A3817="","",INDEX(lst_months,MONTH(A3817)))</f>
        <v/>
      </c>
      <c r="E3817" s="55" t="n"/>
      <c r="F3817" s="54">
        <f>IF(E3817="","",IFERROR(IF(INDEX(lst_exp_item_cat,MATCH(E3817,lst_exp_items,0))="","❔ Без категории",INDEX(lst_exp_item_cat,MATCH(E3817,lst_exp_items,0))),"❔ Без категории"))</f>
        <v/>
      </c>
      <c r="G3817" s="43" t="n"/>
      <c r="H3817" s="56" t="n"/>
      <c r="I3817" s="43" t="n"/>
      <c r="J3817" s="57">
        <f>IF(OR(A3817="",H3817=""),"",IF(COUNTIFS(exp_year,C3817,exp_month,D3817,exp_item,E3817,exp_status,"&lt;&gt;❌ Отменено")&gt;0,1,0))</f>
        <v/>
      </c>
    </row>
    <row r="3818">
      <c r="A3818" s="52" t="n"/>
      <c r="B3818" s="53">
        <f>IF(A3818="","",CHOOSE(WEEKDAY(A3818,2),"Пн","Вт","Ср","Чт","Пт","Сб","Вс"))</f>
        <v/>
      </c>
      <c r="C3818" s="53">
        <f>IF(A3818="","",YEAR(A3818))</f>
        <v/>
      </c>
      <c r="D3818" s="54">
        <f>IF(A3818="","",INDEX(lst_months,MONTH(A3818)))</f>
        <v/>
      </c>
      <c r="E3818" s="55" t="n"/>
      <c r="F3818" s="54">
        <f>IF(E3818="","",IFERROR(IF(INDEX(lst_exp_item_cat,MATCH(E3818,lst_exp_items,0))="","❔ Без категории",INDEX(lst_exp_item_cat,MATCH(E3818,lst_exp_items,0))),"❔ Без категории"))</f>
        <v/>
      </c>
      <c r="G3818" s="43" t="n"/>
      <c r="H3818" s="56" t="n"/>
      <c r="I3818" s="43" t="n"/>
      <c r="J3818" s="57">
        <f>IF(OR(A3818="",H3818=""),"",IF(COUNTIFS(exp_year,C3818,exp_month,D3818,exp_item,E3818,exp_status,"&lt;&gt;❌ Отменено")&gt;0,1,0))</f>
        <v/>
      </c>
    </row>
    <row r="3819">
      <c r="A3819" s="52" t="n"/>
      <c r="B3819" s="53">
        <f>IF(A3819="","",CHOOSE(WEEKDAY(A3819,2),"Пн","Вт","Ср","Чт","Пт","Сб","Вс"))</f>
        <v/>
      </c>
      <c r="C3819" s="53">
        <f>IF(A3819="","",YEAR(A3819))</f>
        <v/>
      </c>
      <c r="D3819" s="54">
        <f>IF(A3819="","",INDEX(lst_months,MONTH(A3819)))</f>
        <v/>
      </c>
      <c r="E3819" s="55" t="n"/>
      <c r="F3819" s="54">
        <f>IF(E3819="","",IFERROR(IF(INDEX(lst_exp_item_cat,MATCH(E3819,lst_exp_items,0))="","❔ Без категории",INDEX(lst_exp_item_cat,MATCH(E3819,lst_exp_items,0))),"❔ Без категории"))</f>
        <v/>
      </c>
      <c r="G3819" s="43" t="n"/>
      <c r="H3819" s="56" t="n"/>
      <c r="I3819" s="43" t="n"/>
      <c r="J3819" s="57">
        <f>IF(OR(A3819="",H3819=""),"",IF(COUNTIFS(exp_year,C3819,exp_month,D3819,exp_item,E3819,exp_status,"&lt;&gt;❌ Отменено")&gt;0,1,0))</f>
        <v/>
      </c>
    </row>
    <row r="3820">
      <c r="A3820" s="52" t="n"/>
      <c r="B3820" s="53">
        <f>IF(A3820="","",CHOOSE(WEEKDAY(A3820,2),"Пн","Вт","Ср","Чт","Пт","Сб","Вс"))</f>
        <v/>
      </c>
      <c r="C3820" s="53">
        <f>IF(A3820="","",YEAR(A3820))</f>
        <v/>
      </c>
      <c r="D3820" s="54">
        <f>IF(A3820="","",INDEX(lst_months,MONTH(A3820)))</f>
        <v/>
      </c>
      <c r="E3820" s="55" t="n"/>
      <c r="F3820" s="54">
        <f>IF(E3820="","",IFERROR(IF(INDEX(lst_exp_item_cat,MATCH(E3820,lst_exp_items,0))="","❔ Без категории",INDEX(lst_exp_item_cat,MATCH(E3820,lst_exp_items,0))),"❔ Без категории"))</f>
        <v/>
      </c>
      <c r="G3820" s="43" t="n"/>
      <c r="H3820" s="56" t="n"/>
      <c r="I3820" s="43" t="n"/>
      <c r="J3820" s="57">
        <f>IF(OR(A3820="",H3820=""),"",IF(COUNTIFS(exp_year,C3820,exp_month,D3820,exp_item,E3820,exp_status,"&lt;&gt;❌ Отменено")&gt;0,1,0))</f>
        <v/>
      </c>
    </row>
    <row r="3821">
      <c r="A3821" s="52" t="n"/>
      <c r="B3821" s="53">
        <f>IF(A3821="","",CHOOSE(WEEKDAY(A3821,2),"Пн","Вт","Ср","Чт","Пт","Сб","Вс"))</f>
        <v/>
      </c>
      <c r="C3821" s="53">
        <f>IF(A3821="","",YEAR(A3821))</f>
        <v/>
      </c>
      <c r="D3821" s="54">
        <f>IF(A3821="","",INDEX(lst_months,MONTH(A3821)))</f>
        <v/>
      </c>
      <c r="E3821" s="55" t="n"/>
      <c r="F3821" s="54">
        <f>IF(E3821="","",IFERROR(IF(INDEX(lst_exp_item_cat,MATCH(E3821,lst_exp_items,0))="","❔ Без категории",INDEX(lst_exp_item_cat,MATCH(E3821,lst_exp_items,0))),"❔ Без категории"))</f>
        <v/>
      </c>
      <c r="G3821" s="43" t="n"/>
      <c r="H3821" s="56" t="n"/>
      <c r="I3821" s="43" t="n"/>
      <c r="J3821" s="57">
        <f>IF(OR(A3821="",H3821=""),"",IF(COUNTIFS(exp_year,C3821,exp_month,D3821,exp_item,E3821,exp_status,"&lt;&gt;❌ Отменено")&gt;0,1,0))</f>
        <v/>
      </c>
    </row>
    <row r="3822">
      <c r="A3822" s="52" t="n"/>
      <c r="B3822" s="53">
        <f>IF(A3822="","",CHOOSE(WEEKDAY(A3822,2),"Пн","Вт","Ср","Чт","Пт","Сб","Вс"))</f>
        <v/>
      </c>
      <c r="C3822" s="53">
        <f>IF(A3822="","",YEAR(A3822))</f>
        <v/>
      </c>
      <c r="D3822" s="54">
        <f>IF(A3822="","",INDEX(lst_months,MONTH(A3822)))</f>
        <v/>
      </c>
      <c r="E3822" s="55" t="n"/>
      <c r="F3822" s="54">
        <f>IF(E3822="","",IFERROR(IF(INDEX(lst_exp_item_cat,MATCH(E3822,lst_exp_items,0))="","❔ Без категории",INDEX(lst_exp_item_cat,MATCH(E3822,lst_exp_items,0))),"❔ Без категории"))</f>
        <v/>
      </c>
      <c r="G3822" s="43" t="n"/>
      <c r="H3822" s="56" t="n"/>
      <c r="I3822" s="43" t="n"/>
      <c r="J3822" s="57">
        <f>IF(OR(A3822="",H3822=""),"",IF(COUNTIFS(exp_year,C3822,exp_month,D3822,exp_item,E3822,exp_status,"&lt;&gt;❌ Отменено")&gt;0,1,0))</f>
        <v/>
      </c>
    </row>
    <row r="3823">
      <c r="A3823" s="52" t="n"/>
      <c r="B3823" s="53">
        <f>IF(A3823="","",CHOOSE(WEEKDAY(A3823,2),"Пн","Вт","Ср","Чт","Пт","Сб","Вс"))</f>
        <v/>
      </c>
      <c r="C3823" s="53">
        <f>IF(A3823="","",YEAR(A3823))</f>
        <v/>
      </c>
      <c r="D3823" s="54">
        <f>IF(A3823="","",INDEX(lst_months,MONTH(A3823)))</f>
        <v/>
      </c>
      <c r="E3823" s="55" t="n"/>
      <c r="F3823" s="54">
        <f>IF(E3823="","",IFERROR(IF(INDEX(lst_exp_item_cat,MATCH(E3823,lst_exp_items,0))="","❔ Без категории",INDEX(lst_exp_item_cat,MATCH(E3823,lst_exp_items,0))),"❔ Без категории"))</f>
        <v/>
      </c>
      <c r="G3823" s="43" t="n"/>
      <c r="H3823" s="56" t="n"/>
      <c r="I3823" s="43" t="n"/>
      <c r="J3823" s="57">
        <f>IF(OR(A3823="",H3823=""),"",IF(COUNTIFS(exp_year,C3823,exp_month,D3823,exp_item,E3823,exp_status,"&lt;&gt;❌ Отменено")&gt;0,1,0))</f>
        <v/>
      </c>
    </row>
    <row r="3824">
      <c r="A3824" s="52" t="n"/>
      <c r="B3824" s="53">
        <f>IF(A3824="","",CHOOSE(WEEKDAY(A3824,2),"Пн","Вт","Ср","Чт","Пт","Сб","Вс"))</f>
        <v/>
      </c>
      <c r="C3824" s="53">
        <f>IF(A3824="","",YEAR(A3824))</f>
        <v/>
      </c>
      <c r="D3824" s="54">
        <f>IF(A3824="","",INDEX(lst_months,MONTH(A3824)))</f>
        <v/>
      </c>
      <c r="E3824" s="55" t="n"/>
      <c r="F3824" s="54">
        <f>IF(E3824="","",IFERROR(IF(INDEX(lst_exp_item_cat,MATCH(E3824,lst_exp_items,0))="","❔ Без категории",INDEX(lst_exp_item_cat,MATCH(E3824,lst_exp_items,0))),"❔ Без категории"))</f>
        <v/>
      </c>
      <c r="G3824" s="43" t="n"/>
      <c r="H3824" s="56" t="n"/>
      <c r="I3824" s="43" t="n"/>
      <c r="J3824" s="57">
        <f>IF(OR(A3824="",H3824=""),"",IF(COUNTIFS(exp_year,C3824,exp_month,D3824,exp_item,E3824,exp_status,"&lt;&gt;❌ Отменено")&gt;0,1,0))</f>
        <v/>
      </c>
    </row>
    <row r="3825">
      <c r="A3825" s="52" t="n"/>
      <c r="B3825" s="53">
        <f>IF(A3825="","",CHOOSE(WEEKDAY(A3825,2),"Пн","Вт","Ср","Чт","Пт","Сб","Вс"))</f>
        <v/>
      </c>
      <c r="C3825" s="53">
        <f>IF(A3825="","",YEAR(A3825))</f>
        <v/>
      </c>
      <c r="D3825" s="54">
        <f>IF(A3825="","",INDEX(lst_months,MONTH(A3825)))</f>
        <v/>
      </c>
      <c r="E3825" s="55" t="n"/>
      <c r="F3825" s="54">
        <f>IF(E3825="","",IFERROR(IF(INDEX(lst_exp_item_cat,MATCH(E3825,lst_exp_items,0))="","❔ Без категории",INDEX(lst_exp_item_cat,MATCH(E3825,lst_exp_items,0))),"❔ Без категории"))</f>
        <v/>
      </c>
      <c r="G3825" s="43" t="n"/>
      <c r="H3825" s="56" t="n"/>
      <c r="I3825" s="43" t="n"/>
      <c r="J3825" s="57">
        <f>IF(OR(A3825="",H3825=""),"",IF(COUNTIFS(exp_year,C3825,exp_month,D3825,exp_item,E3825,exp_status,"&lt;&gt;❌ Отменено")&gt;0,1,0))</f>
        <v/>
      </c>
    </row>
    <row r="3826">
      <c r="A3826" s="52" t="n"/>
      <c r="B3826" s="53">
        <f>IF(A3826="","",CHOOSE(WEEKDAY(A3826,2),"Пн","Вт","Ср","Чт","Пт","Сб","Вс"))</f>
        <v/>
      </c>
      <c r="C3826" s="53">
        <f>IF(A3826="","",YEAR(A3826))</f>
        <v/>
      </c>
      <c r="D3826" s="54">
        <f>IF(A3826="","",INDEX(lst_months,MONTH(A3826)))</f>
        <v/>
      </c>
      <c r="E3826" s="55" t="n"/>
      <c r="F3826" s="54">
        <f>IF(E3826="","",IFERROR(IF(INDEX(lst_exp_item_cat,MATCH(E3826,lst_exp_items,0))="","❔ Без категории",INDEX(lst_exp_item_cat,MATCH(E3826,lst_exp_items,0))),"❔ Без категории"))</f>
        <v/>
      </c>
      <c r="G3826" s="43" t="n"/>
      <c r="H3826" s="56" t="n"/>
      <c r="I3826" s="43" t="n"/>
      <c r="J3826" s="57">
        <f>IF(OR(A3826="",H3826=""),"",IF(COUNTIFS(exp_year,C3826,exp_month,D3826,exp_item,E3826,exp_status,"&lt;&gt;❌ Отменено")&gt;0,1,0))</f>
        <v/>
      </c>
    </row>
    <row r="3827">
      <c r="A3827" s="52" t="n"/>
      <c r="B3827" s="53">
        <f>IF(A3827="","",CHOOSE(WEEKDAY(A3827,2),"Пн","Вт","Ср","Чт","Пт","Сб","Вс"))</f>
        <v/>
      </c>
      <c r="C3827" s="53">
        <f>IF(A3827="","",YEAR(A3827))</f>
        <v/>
      </c>
      <c r="D3827" s="54">
        <f>IF(A3827="","",INDEX(lst_months,MONTH(A3827)))</f>
        <v/>
      </c>
      <c r="E3827" s="55" t="n"/>
      <c r="F3827" s="54">
        <f>IF(E3827="","",IFERROR(IF(INDEX(lst_exp_item_cat,MATCH(E3827,lst_exp_items,0))="","❔ Без категории",INDEX(lst_exp_item_cat,MATCH(E3827,lst_exp_items,0))),"❔ Без категории"))</f>
        <v/>
      </c>
      <c r="G3827" s="43" t="n"/>
      <c r="H3827" s="56" t="n"/>
      <c r="I3827" s="43" t="n"/>
      <c r="J3827" s="57">
        <f>IF(OR(A3827="",H3827=""),"",IF(COUNTIFS(exp_year,C3827,exp_month,D3827,exp_item,E3827,exp_status,"&lt;&gt;❌ Отменено")&gt;0,1,0))</f>
        <v/>
      </c>
    </row>
    <row r="3828">
      <c r="A3828" s="52" t="n"/>
      <c r="B3828" s="53">
        <f>IF(A3828="","",CHOOSE(WEEKDAY(A3828,2),"Пн","Вт","Ср","Чт","Пт","Сб","Вс"))</f>
        <v/>
      </c>
      <c r="C3828" s="53">
        <f>IF(A3828="","",YEAR(A3828))</f>
        <v/>
      </c>
      <c r="D3828" s="54">
        <f>IF(A3828="","",INDEX(lst_months,MONTH(A3828)))</f>
        <v/>
      </c>
      <c r="E3828" s="55" t="n"/>
      <c r="F3828" s="54">
        <f>IF(E3828="","",IFERROR(IF(INDEX(lst_exp_item_cat,MATCH(E3828,lst_exp_items,0))="","❔ Без категории",INDEX(lst_exp_item_cat,MATCH(E3828,lst_exp_items,0))),"❔ Без категории"))</f>
        <v/>
      </c>
      <c r="G3828" s="43" t="n"/>
      <c r="H3828" s="56" t="n"/>
      <c r="I3828" s="43" t="n"/>
      <c r="J3828" s="57">
        <f>IF(OR(A3828="",H3828=""),"",IF(COUNTIFS(exp_year,C3828,exp_month,D3828,exp_item,E3828,exp_status,"&lt;&gt;❌ Отменено")&gt;0,1,0))</f>
        <v/>
      </c>
    </row>
    <row r="3829">
      <c r="A3829" s="52" t="n"/>
      <c r="B3829" s="53">
        <f>IF(A3829="","",CHOOSE(WEEKDAY(A3829,2),"Пн","Вт","Ср","Чт","Пт","Сб","Вс"))</f>
        <v/>
      </c>
      <c r="C3829" s="53">
        <f>IF(A3829="","",YEAR(A3829))</f>
        <v/>
      </c>
      <c r="D3829" s="54">
        <f>IF(A3829="","",INDEX(lst_months,MONTH(A3829)))</f>
        <v/>
      </c>
      <c r="E3829" s="55" t="n"/>
      <c r="F3829" s="54">
        <f>IF(E3829="","",IFERROR(IF(INDEX(lst_exp_item_cat,MATCH(E3829,lst_exp_items,0))="","❔ Без категории",INDEX(lst_exp_item_cat,MATCH(E3829,lst_exp_items,0))),"❔ Без категории"))</f>
        <v/>
      </c>
      <c r="G3829" s="43" t="n"/>
      <c r="H3829" s="56" t="n"/>
      <c r="I3829" s="43" t="n"/>
      <c r="J3829" s="57">
        <f>IF(OR(A3829="",H3829=""),"",IF(COUNTIFS(exp_year,C3829,exp_month,D3829,exp_item,E3829,exp_status,"&lt;&gt;❌ Отменено")&gt;0,1,0))</f>
        <v/>
      </c>
    </row>
    <row r="3830">
      <c r="A3830" s="52" t="n"/>
      <c r="B3830" s="53">
        <f>IF(A3830="","",CHOOSE(WEEKDAY(A3830,2),"Пн","Вт","Ср","Чт","Пт","Сб","Вс"))</f>
        <v/>
      </c>
      <c r="C3830" s="53">
        <f>IF(A3830="","",YEAR(A3830))</f>
        <v/>
      </c>
      <c r="D3830" s="54">
        <f>IF(A3830="","",INDEX(lst_months,MONTH(A3830)))</f>
        <v/>
      </c>
      <c r="E3830" s="55" t="n"/>
      <c r="F3830" s="54">
        <f>IF(E3830="","",IFERROR(IF(INDEX(lst_exp_item_cat,MATCH(E3830,lst_exp_items,0))="","❔ Без категории",INDEX(lst_exp_item_cat,MATCH(E3830,lst_exp_items,0))),"❔ Без категории"))</f>
        <v/>
      </c>
      <c r="G3830" s="43" t="n"/>
      <c r="H3830" s="56" t="n"/>
      <c r="I3830" s="43" t="n"/>
      <c r="J3830" s="57">
        <f>IF(OR(A3830="",H3830=""),"",IF(COUNTIFS(exp_year,C3830,exp_month,D3830,exp_item,E3830,exp_status,"&lt;&gt;❌ Отменено")&gt;0,1,0))</f>
        <v/>
      </c>
    </row>
    <row r="3831">
      <c r="A3831" s="52" t="n"/>
      <c r="B3831" s="53">
        <f>IF(A3831="","",CHOOSE(WEEKDAY(A3831,2),"Пн","Вт","Ср","Чт","Пт","Сб","Вс"))</f>
        <v/>
      </c>
      <c r="C3831" s="53">
        <f>IF(A3831="","",YEAR(A3831))</f>
        <v/>
      </c>
      <c r="D3831" s="54">
        <f>IF(A3831="","",INDEX(lst_months,MONTH(A3831)))</f>
        <v/>
      </c>
      <c r="E3831" s="55" t="n"/>
      <c r="F3831" s="54">
        <f>IF(E3831="","",IFERROR(IF(INDEX(lst_exp_item_cat,MATCH(E3831,lst_exp_items,0))="","❔ Без категории",INDEX(lst_exp_item_cat,MATCH(E3831,lst_exp_items,0))),"❔ Без категории"))</f>
        <v/>
      </c>
      <c r="G3831" s="43" t="n"/>
      <c r="H3831" s="56" t="n"/>
      <c r="I3831" s="43" t="n"/>
      <c r="J3831" s="57">
        <f>IF(OR(A3831="",H3831=""),"",IF(COUNTIFS(exp_year,C3831,exp_month,D3831,exp_item,E3831,exp_status,"&lt;&gt;❌ Отменено")&gt;0,1,0))</f>
        <v/>
      </c>
    </row>
    <row r="3832">
      <c r="A3832" s="52" t="n"/>
      <c r="B3832" s="53">
        <f>IF(A3832="","",CHOOSE(WEEKDAY(A3832,2),"Пн","Вт","Ср","Чт","Пт","Сб","Вс"))</f>
        <v/>
      </c>
      <c r="C3832" s="53">
        <f>IF(A3832="","",YEAR(A3832))</f>
        <v/>
      </c>
      <c r="D3832" s="54">
        <f>IF(A3832="","",INDEX(lst_months,MONTH(A3832)))</f>
        <v/>
      </c>
      <c r="E3832" s="55" t="n"/>
      <c r="F3832" s="54">
        <f>IF(E3832="","",IFERROR(IF(INDEX(lst_exp_item_cat,MATCH(E3832,lst_exp_items,0))="","❔ Без категории",INDEX(lst_exp_item_cat,MATCH(E3832,lst_exp_items,0))),"❔ Без категории"))</f>
        <v/>
      </c>
      <c r="G3832" s="43" t="n"/>
      <c r="H3832" s="56" t="n"/>
      <c r="I3832" s="43" t="n"/>
      <c r="J3832" s="57">
        <f>IF(OR(A3832="",H3832=""),"",IF(COUNTIFS(exp_year,C3832,exp_month,D3832,exp_item,E3832,exp_status,"&lt;&gt;❌ Отменено")&gt;0,1,0))</f>
        <v/>
      </c>
    </row>
    <row r="3833">
      <c r="A3833" s="52" t="n"/>
      <c r="B3833" s="53">
        <f>IF(A3833="","",CHOOSE(WEEKDAY(A3833,2),"Пн","Вт","Ср","Чт","Пт","Сб","Вс"))</f>
        <v/>
      </c>
      <c r="C3833" s="53">
        <f>IF(A3833="","",YEAR(A3833))</f>
        <v/>
      </c>
      <c r="D3833" s="54">
        <f>IF(A3833="","",INDEX(lst_months,MONTH(A3833)))</f>
        <v/>
      </c>
      <c r="E3833" s="55" t="n"/>
      <c r="F3833" s="54">
        <f>IF(E3833="","",IFERROR(IF(INDEX(lst_exp_item_cat,MATCH(E3833,lst_exp_items,0))="","❔ Без категории",INDEX(lst_exp_item_cat,MATCH(E3833,lst_exp_items,0))),"❔ Без категории"))</f>
        <v/>
      </c>
      <c r="G3833" s="43" t="n"/>
      <c r="H3833" s="56" t="n"/>
      <c r="I3833" s="43" t="n"/>
      <c r="J3833" s="57">
        <f>IF(OR(A3833="",H3833=""),"",IF(COUNTIFS(exp_year,C3833,exp_month,D3833,exp_item,E3833,exp_status,"&lt;&gt;❌ Отменено")&gt;0,1,0))</f>
        <v/>
      </c>
    </row>
    <row r="3834">
      <c r="A3834" s="52" t="n"/>
      <c r="B3834" s="53">
        <f>IF(A3834="","",CHOOSE(WEEKDAY(A3834,2),"Пн","Вт","Ср","Чт","Пт","Сб","Вс"))</f>
        <v/>
      </c>
      <c r="C3834" s="53">
        <f>IF(A3834="","",YEAR(A3834))</f>
        <v/>
      </c>
      <c r="D3834" s="54">
        <f>IF(A3834="","",INDEX(lst_months,MONTH(A3834)))</f>
        <v/>
      </c>
      <c r="E3834" s="55" t="n"/>
      <c r="F3834" s="54">
        <f>IF(E3834="","",IFERROR(IF(INDEX(lst_exp_item_cat,MATCH(E3834,lst_exp_items,0))="","❔ Без категории",INDEX(lst_exp_item_cat,MATCH(E3834,lst_exp_items,0))),"❔ Без категории"))</f>
        <v/>
      </c>
      <c r="G3834" s="43" t="n"/>
      <c r="H3834" s="56" t="n"/>
      <c r="I3834" s="43" t="n"/>
      <c r="J3834" s="57">
        <f>IF(OR(A3834="",H3834=""),"",IF(COUNTIFS(exp_year,C3834,exp_month,D3834,exp_item,E3834,exp_status,"&lt;&gt;❌ Отменено")&gt;0,1,0))</f>
        <v/>
      </c>
    </row>
    <row r="3835">
      <c r="A3835" s="52" t="n"/>
      <c r="B3835" s="53">
        <f>IF(A3835="","",CHOOSE(WEEKDAY(A3835,2),"Пн","Вт","Ср","Чт","Пт","Сб","Вс"))</f>
        <v/>
      </c>
      <c r="C3835" s="53">
        <f>IF(A3835="","",YEAR(A3835))</f>
        <v/>
      </c>
      <c r="D3835" s="54">
        <f>IF(A3835="","",INDEX(lst_months,MONTH(A3835)))</f>
        <v/>
      </c>
      <c r="E3835" s="55" t="n"/>
      <c r="F3835" s="54">
        <f>IF(E3835="","",IFERROR(IF(INDEX(lst_exp_item_cat,MATCH(E3835,lst_exp_items,0))="","❔ Без категории",INDEX(lst_exp_item_cat,MATCH(E3835,lst_exp_items,0))),"❔ Без категории"))</f>
        <v/>
      </c>
      <c r="G3835" s="43" t="n"/>
      <c r="H3835" s="56" t="n"/>
      <c r="I3835" s="43" t="n"/>
      <c r="J3835" s="57">
        <f>IF(OR(A3835="",H3835=""),"",IF(COUNTIFS(exp_year,C3835,exp_month,D3835,exp_item,E3835,exp_status,"&lt;&gt;❌ Отменено")&gt;0,1,0))</f>
        <v/>
      </c>
    </row>
    <row r="3836">
      <c r="A3836" s="52" t="n"/>
      <c r="B3836" s="53">
        <f>IF(A3836="","",CHOOSE(WEEKDAY(A3836,2),"Пн","Вт","Ср","Чт","Пт","Сб","Вс"))</f>
        <v/>
      </c>
      <c r="C3836" s="53">
        <f>IF(A3836="","",YEAR(A3836))</f>
        <v/>
      </c>
      <c r="D3836" s="54">
        <f>IF(A3836="","",INDEX(lst_months,MONTH(A3836)))</f>
        <v/>
      </c>
      <c r="E3836" s="55" t="n"/>
      <c r="F3836" s="54">
        <f>IF(E3836="","",IFERROR(IF(INDEX(lst_exp_item_cat,MATCH(E3836,lst_exp_items,0))="","❔ Без категории",INDEX(lst_exp_item_cat,MATCH(E3836,lst_exp_items,0))),"❔ Без категории"))</f>
        <v/>
      </c>
      <c r="G3836" s="43" t="n"/>
      <c r="H3836" s="56" t="n"/>
      <c r="I3836" s="43" t="n"/>
      <c r="J3836" s="57">
        <f>IF(OR(A3836="",H3836=""),"",IF(COUNTIFS(exp_year,C3836,exp_month,D3836,exp_item,E3836,exp_status,"&lt;&gt;❌ Отменено")&gt;0,1,0))</f>
        <v/>
      </c>
    </row>
    <row r="3837">
      <c r="A3837" s="52" t="n"/>
      <c r="B3837" s="53">
        <f>IF(A3837="","",CHOOSE(WEEKDAY(A3837,2),"Пн","Вт","Ср","Чт","Пт","Сб","Вс"))</f>
        <v/>
      </c>
      <c r="C3837" s="53">
        <f>IF(A3837="","",YEAR(A3837))</f>
        <v/>
      </c>
      <c r="D3837" s="54">
        <f>IF(A3837="","",INDEX(lst_months,MONTH(A3837)))</f>
        <v/>
      </c>
      <c r="E3837" s="55" t="n"/>
      <c r="F3837" s="54">
        <f>IF(E3837="","",IFERROR(IF(INDEX(lst_exp_item_cat,MATCH(E3837,lst_exp_items,0))="","❔ Без категории",INDEX(lst_exp_item_cat,MATCH(E3837,lst_exp_items,0))),"❔ Без категории"))</f>
        <v/>
      </c>
      <c r="G3837" s="43" t="n"/>
      <c r="H3837" s="56" t="n"/>
      <c r="I3837" s="43" t="n"/>
      <c r="J3837" s="57">
        <f>IF(OR(A3837="",H3837=""),"",IF(COUNTIFS(exp_year,C3837,exp_month,D3837,exp_item,E3837,exp_status,"&lt;&gt;❌ Отменено")&gt;0,1,0))</f>
        <v/>
      </c>
    </row>
    <row r="3838">
      <c r="A3838" s="52" t="n"/>
      <c r="B3838" s="53">
        <f>IF(A3838="","",CHOOSE(WEEKDAY(A3838,2),"Пн","Вт","Ср","Чт","Пт","Сб","Вс"))</f>
        <v/>
      </c>
      <c r="C3838" s="53">
        <f>IF(A3838="","",YEAR(A3838))</f>
        <v/>
      </c>
      <c r="D3838" s="54">
        <f>IF(A3838="","",INDEX(lst_months,MONTH(A3838)))</f>
        <v/>
      </c>
      <c r="E3838" s="55" t="n"/>
      <c r="F3838" s="54">
        <f>IF(E3838="","",IFERROR(IF(INDEX(lst_exp_item_cat,MATCH(E3838,lst_exp_items,0))="","❔ Без категории",INDEX(lst_exp_item_cat,MATCH(E3838,lst_exp_items,0))),"❔ Без категории"))</f>
        <v/>
      </c>
      <c r="G3838" s="43" t="n"/>
      <c r="H3838" s="56" t="n"/>
      <c r="I3838" s="43" t="n"/>
      <c r="J3838" s="57">
        <f>IF(OR(A3838="",H3838=""),"",IF(COUNTIFS(exp_year,C3838,exp_month,D3838,exp_item,E3838,exp_status,"&lt;&gt;❌ Отменено")&gt;0,1,0))</f>
        <v/>
      </c>
    </row>
    <row r="3839">
      <c r="A3839" s="52" t="n"/>
      <c r="B3839" s="53">
        <f>IF(A3839="","",CHOOSE(WEEKDAY(A3839,2),"Пн","Вт","Ср","Чт","Пт","Сб","Вс"))</f>
        <v/>
      </c>
      <c r="C3839" s="53">
        <f>IF(A3839="","",YEAR(A3839))</f>
        <v/>
      </c>
      <c r="D3839" s="54">
        <f>IF(A3839="","",INDEX(lst_months,MONTH(A3839)))</f>
        <v/>
      </c>
      <c r="E3839" s="55" t="n"/>
      <c r="F3839" s="54">
        <f>IF(E3839="","",IFERROR(IF(INDEX(lst_exp_item_cat,MATCH(E3839,lst_exp_items,0))="","❔ Без категории",INDEX(lst_exp_item_cat,MATCH(E3839,lst_exp_items,0))),"❔ Без категории"))</f>
        <v/>
      </c>
      <c r="G3839" s="43" t="n"/>
      <c r="H3839" s="56" t="n"/>
      <c r="I3839" s="43" t="n"/>
      <c r="J3839" s="57">
        <f>IF(OR(A3839="",H3839=""),"",IF(COUNTIFS(exp_year,C3839,exp_month,D3839,exp_item,E3839,exp_status,"&lt;&gt;❌ Отменено")&gt;0,1,0))</f>
        <v/>
      </c>
    </row>
    <row r="3840">
      <c r="A3840" s="52" t="n"/>
      <c r="B3840" s="53">
        <f>IF(A3840="","",CHOOSE(WEEKDAY(A3840,2),"Пн","Вт","Ср","Чт","Пт","Сб","Вс"))</f>
        <v/>
      </c>
      <c r="C3840" s="53">
        <f>IF(A3840="","",YEAR(A3840))</f>
        <v/>
      </c>
      <c r="D3840" s="54">
        <f>IF(A3840="","",INDEX(lst_months,MONTH(A3840)))</f>
        <v/>
      </c>
      <c r="E3840" s="55" t="n"/>
      <c r="F3840" s="54">
        <f>IF(E3840="","",IFERROR(IF(INDEX(lst_exp_item_cat,MATCH(E3840,lst_exp_items,0))="","❔ Без категории",INDEX(lst_exp_item_cat,MATCH(E3840,lst_exp_items,0))),"❔ Без категории"))</f>
        <v/>
      </c>
      <c r="G3840" s="43" t="n"/>
      <c r="H3840" s="56" t="n"/>
      <c r="I3840" s="43" t="n"/>
      <c r="J3840" s="57">
        <f>IF(OR(A3840="",H3840=""),"",IF(COUNTIFS(exp_year,C3840,exp_month,D3840,exp_item,E3840,exp_status,"&lt;&gt;❌ Отменено")&gt;0,1,0))</f>
        <v/>
      </c>
    </row>
    <row r="3841">
      <c r="A3841" s="52" t="n"/>
      <c r="B3841" s="53">
        <f>IF(A3841="","",CHOOSE(WEEKDAY(A3841,2),"Пн","Вт","Ср","Чт","Пт","Сб","Вс"))</f>
        <v/>
      </c>
      <c r="C3841" s="53">
        <f>IF(A3841="","",YEAR(A3841))</f>
        <v/>
      </c>
      <c r="D3841" s="54">
        <f>IF(A3841="","",INDEX(lst_months,MONTH(A3841)))</f>
        <v/>
      </c>
      <c r="E3841" s="55" t="n"/>
      <c r="F3841" s="54">
        <f>IF(E3841="","",IFERROR(IF(INDEX(lst_exp_item_cat,MATCH(E3841,lst_exp_items,0))="","❔ Без категории",INDEX(lst_exp_item_cat,MATCH(E3841,lst_exp_items,0))),"❔ Без категории"))</f>
        <v/>
      </c>
      <c r="G3841" s="43" t="n"/>
      <c r="H3841" s="56" t="n"/>
      <c r="I3841" s="43" t="n"/>
      <c r="J3841" s="57">
        <f>IF(OR(A3841="",H3841=""),"",IF(COUNTIFS(exp_year,C3841,exp_month,D3841,exp_item,E3841,exp_status,"&lt;&gt;❌ Отменено")&gt;0,1,0))</f>
        <v/>
      </c>
    </row>
    <row r="3842">
      <c r="A3842" s="52" t="n"/>
      <c r="B3842" s="53">
        <f>IF(A3842="","",CHOOSE(WEEKDAY(A3842,2),"Пн","Вт","Ср","Чт","Пт","Сб","Вс"))</f>
        <v/>
      </c>
      <c r="C3842" s="53">
        <f>IF(A3842="","",YEAR(A3842))</f>
        <v/>
      </c>
      <c r="D3842" s="54">
        <f>IF(A3842="","",INDEX(lst_months,MONTH(A3842)))</f>
        <v/>
      </c>
      <c r="E3842" s="55" t="n"/>
      <c r="F3842" s="54">
        <f>IF(E3842="","",IFERROR(IF(INDEX(lst_exp_item_cat,MATCH(E3842,lst_exp_items,0))="","❔ Без категории",INDEX(lst_exp_item_cat,MATCH(E3842,lst_exp_items,0))),"❔ Без категории"))</f>
        <v/>
      </c>
      <c r="G3842" s="43" t="n"/>
      <c r="H3842" s="56" t="n"/>
      <c r="I3842" s="43" t="n"/>
      <c r="J3842" s="57">
        <f>IF(OR(A3842="",H3842=""),"",IF(COUNTIFS(exp_year,C3842,exp_month,D3842,exp_item,E3842,exp_status,"&lt;&gt;❌ Отменено")&gt;0,1,0))</f>
        <v/>
      </c>
    </row>
    <row r="3843">
      <c r="A3843" s="52" t="n"/>
      <c r="B3843" s="53">
        <f>IF(A3843="","",CHOOSE(WEEKDAY(A3843,2),"Пн","Вт","Ср","Чт","Пт","Сб","Вс"))</f>
        <v/>
      </c>
      <c r="C3843" s="53">
        <f>IF(A3843="","",YEAR(A3843))</f>
        <v/>
      </c>
      <c r="D3843" s="54">
        <f>IF(A3843="","",INDEX(lst_months,MONTH(A3843)))</f>
        <v/>
      </c>
      <c r="E3843" s="55" t="n"/>
      <c r="F3843" s="54">
        <f>IF(E3843="","",IFERROR(IF(INDEX(lst_exp_item_cat,MATCH(E3843,lst_exp_items,0))="","❔ Без категории",INDEX(lst_exp_item_cat,MATCH(E3843,lst_exp_items,0))),"❔ Без категории"))</f>
        <v/>
      </c>
      <c r="G3843" s="43" t="n"/>
      <c r="H3843" s="56" t="n"/>
      <c r="I3843" s="43" t="n"/>
      <c r="J3843" s="57">
        <f>IF(OR(A3843="",H3843=""),"",IF(COUNTIFS(exp_year,C3843,exp_month,D3843,exp_item,E3843,exp_status,"&lt;&gt;❌ Отменено")&gt;0,1,0))</f>
        <v/>
      </c>
    </row>
    <row r="3844">
      <c r="A3844" s="52" t="n"/>
      <c r="B3844" s="53">
        <f>IF(A3844="","",CHOOSE(WEEKDAY(A3844,2),"Пн","Вт","Ср","Чт","Пт","Сб","Вс"))</f>
        <v/>
      </c>
      <c r="C3844" s="53">
        <f>IF(A3844="","",YEAR(A3844))</f>
        <v/>
      </c>
      <c r="D3844" s="54">
        <f>IF(A3844="","",INDEX(lst_months,MONTH(A3844)))</f>
        <v/>
      </c>
      <c r="E3844" s="55" t="n"/>
      <c r="F3844" s="54">
        <f>IF(E3844="","",IFERROR(IF(INDEX(lst_exp_item_cat,MATCH(E3844,lst_exp_items,0))="","❔ Без категории",INDEX(lst_exp_item_cat,MATCH(E3844,lst_exp_items,0))),"❔ Без категории"))</f>
        <v/>
      </c>
      <c r="G3844" s="43" t="n"/>
      <c r="H3844" s="56" t="n"/>
      <c r="I3844" s="43" t="n"/>
      <c r="J3844" s="57">
        <f>IF(OR(A3844="",H3844=""),"",IF(COUNTIFS(exp_year,C3844,exp_month,D3844,exp_item,E3844,exp_status,"&lt;&gt;❌ Отменено")&gt;0,1,0))</f>
        <v/>
      </c>
    </row>
    <row r="3845">
      <c r="A3845" s="52" t="n"/>
      <c r="B3845" s="53">
        <f>IF(A3845="","",CHOOSE(WEEKDAY(A3845,2),"Пн","Вт","Ср","Чт","Пт","Сб","Вс"))</f>
        <v/>
      </c>
      <c r="C3845" s="53">
        <f>IF(A3845="","",YEAR(A3845))</f>
        <v/>
      </c>
      <c r="D3845" s="54">
        <f>IF(A3845="","",INDEX(lst_months,MONTH(A3845)))</f>
        <v/>
      </c>
      <c r="E3845" s="55" t="n"/>
      <c r="F3845" s="54">
        <f>IF(E3845="","",IFERROR(IF(INDEX(lst_exp_item_cat,MATCH(E3845,lst_exp_items,0))="","❔ Без категории",INDEX(lst_exp_item_cat,MATCH(E3845,lst_exp_items,0))),"❔ Без категории"))</f>
        <v/>
      </c>
      <c r="G3845" s="43" t="n"/>
      <c r="H3845" s="56" t="n"/>
      <c r="I3845" s="43" t="n"/>
      <c r="J3845" s="57">
        <f>IF(OR(A3845="",H3845=""),"",IF(COUNTIFS(exp_year,C3845,exp_month,D3845,exp_item,E3845,exp_status,"&lt;&gt;❌ Отменено")&gt;0,1,0))</f>
        <v/>
      </c>
    </row>
    <row r="3846">
      <c r="A3846" s="52" t="n"/>
      <c r="B3846" s="53">
        <f>IF(A3846="","",CHOOSE(WEEKDAY(A3846,2),"Пн","Вт","Ср","Чт","Пт","Сб","Вс"))</f>
        <v/>
      </c>
      <c r="C3846" s="53">
        <f>IF(A3846="","",YEAR(A3846))</f>
        <v/>
      </c>
      <c r="D3846" s="54">
        <f>IF(A3846="","",INDEX(lst_months,MONTH(A3846)))</f>
        <v/>
      </c>
      <c r="E3846" s="55" t="n"/>
      <c r="F3846" s="54">
        <f>IF(E3846="","",IFERROR(IF(INDEX(lst_exp_item_cat,MATCH(E3846,lst_exp_items,0))="","❔ Без категории",INDEX(lst_exp_item_cat,MATCH(E3846,lst_exp_items,0))),"❔ Без категории"))</f>
        <v/>
      </c>
      <c r="G3846" s="43" t="n"/>
      <c r="H3846" s="56" t="n"/>
      <c r="I3846" s="43" t="n"/>
      <c r="J3846" s="57">
        <f>IF(OR(A3846="",H3846=""),"",IF(COUNTIFS(exp_year,C3846,exp_month,D3846,exp_item,E3846,exp_status,"&lt;&gt;❌ Отменено")&gt;0,1,0))</f>
        <v/>
      </c>
    </row>
    <row r="3847">
      <c r="A3847" s="52" t="n"/>
      <c r="B3847" s="53">
        <f>IF(A3847="","",CHOOSE(WEEKDAY(A3847,2),"Пн","Вт","Ср","Чт","Пт","Сб","Вс"))</f>
        <v/>
      </c>
      <c r="C3847" s="53">
        <f>IF(A3847="","",YEAR(A3847))</f>
        <v/>
      </c>
      <c r="D3847" s="54">
        <f>IF(A3847="","",INDEX(lst_months,MONTH(A3847)))</f>
        <v/>
      </c>
      <c r="E3847" s="55" t="n"/>
      <c r="F3847" s="54">
        <f>IF(E3847="","",IFERROR(IF(INDEX(lst_exp_item_cat,MATCH(E3847,lst_exp_items,0))="","❔ Без категории",INDEX(lst_exp_item_cat,MATCH(E3847,lst_exp_items,0))),"❔ Без категории"))</f>
        <v/>
      </c>
      <c r="G3847" s="43" t="n"/>
      <c r="H3847" s="56" t="n"/>
      <c r="I3847" s="43" t="n"/>
      <c r="J3847" s="57">
        <f>IF(OR(A3847="",H3847=""),"",IF(COUNTIFS(exp_year,C3847,exp_month,D3847,exp_item,E3847,exp_status,"&lt;&gt;❌ Отменено")&gt;0,1,0))</f>
        <v/>
      </c>
    </row>
    <row r="3848">
      <c r="A3848" s="52" t="n"/>
      <c r="B3848" s="53">
        <f>IF(A3848="","",CHOOSE(WEEKDAY(A3848,2),"Пн","Вт","Ср","Чт","Пт","Сб","Вс"))</f>
        <v/>
      </c>
      <c r="C3848" s="53">
        <f>IF(A3848="","",YEAR(A3848))</f>
        <v/>
      </c>
      <c r="D3848" s="54">
        <f>IF(A3848="","",INDEX(lst_months,MONTH(A3848)))</f>
        <v/>
      </c>
      <c r="E3848" s="55" t="n"/>
      <c r="F3848" s="54">
        <f>IF(E3848="","",IFERROR(IF(INDEX(lst_exp_item_cat,MATCH(E3848,lst_exp_items,0))="","❔ Без категории",INDEX(lst_exp_item_cat,MATCH(E3848,lst_exp_items,0))),"❔ Без категории"))</f>
        <v/>
      </c>
      <c r="G3848" s="43" t="n"/>
      <c r="H3848" s="56" t="n"/>
      <c r="I3848" s="43" t="n"/>
      <c r="J3848" s="57">
        <f>IF(OR(A3848="",H3848=""),"",IF(COUNTIFS(exp_year,C3848,exp_month,D3848,exp_item,E3848,exp_status,"&lt;&gt;❌ Отменено")&gt;0,1,0))</f>
        <v/>
      </c>
    </row>
    <row r="3849">
      <c r="A3849" s="52" t="n"/>
      <c r="B3849" s="53">
        <f>IF(A3849="","",CHOOSE(WEEKDAY(A3849,2),"Пн","Вт","Ср","Чт","Пт","Сб","Вс"))</f>
        <v/>
      </c>
      <c r="C3849" s="53">
        <f>IF(A3849="","",YEAR(A3849))</f>
        <v/>
      </c>
      <c r="D3849" s="54">
        <f>IF(A3849="","",INDEX(lst_months,MONTH(A3849)))</f>
        <v/>
      </c>
      <c r="E3849" s="55" t="n"/>
      <c r="F3849" s="54">
        <f>IF(E3849="","",IFERROR(IF(INDEX(lst_exp_item_cat,MATCH(E3849,lst_exp_items,0))="","❔ Без категории",INDEX(lst_exp_item_cat,MATCH(E3849,lst_exp_items,0))),"❔ Без категории"))</f>
        <v/>
      </c>
      <c r="G3849" s="43" t="n"/>
      <c r="H3849" s="56" t="n"/>
      <c r="I3849" s="43" t="n"/>
      <c r="J3849" s="57">
        <f>IF(OR(A3849="",H3849=""),"",IF(COUNTIFS(exp_year,C3849,exp_month,D3849,exp_item,E3849,exp_status,"&lt;&gt;❌ Отменено")&gt;0,1,0))</f>
        <v/>
      </c>
    </row>
    <row r="3850">
      <c r="A3850" s="52" t="n"/>
      <c r="B3850" s="53">
        <f>IF(A3850="","",CHOOSE(WEEKDAY(A3850,2),"Пн","Вт","Ср","Чт","Пт","Сб","Вс"))</f>
        <v/>
      </c>
      <c r="C3850" s="53">
        <f>IF(A3850="","",YEAR(A3850))</f>
        <v/>
      </c>
      <c r="D3850" s="54">
        <f>IF(A3850="","",INDEX(lst_months,MONTH(A3850)))</f>
        <v/>
      </c>
      <c r="E3850" s="55" t="n"/>
      <c r="F3850" s="54">
        <f>IF(E3850="","",IFERROR(IF(INDEX(lst_exp_item_cat,MATCH(E3850,lst_exp_items,0))="","❔ Без категории",INDEX(lst_exp_item_cat,MATCH(E3850,lst_exp_items,0))),"❔ Без категории"))</f>
        <v/>
      </c>
      <c r="G3850" s="43" t="n"/>
      <c r="H3850" s="56" t="n"/>
      <c r="I3850" s="43" t="n"/>
      <c r="J3850" s="57">
        <f>IF(OR(A3850="",H3850=""),"",IF(COUNTIFS(exp_year,C3850,exp_month,D3850,exp_item,E3850,exp_status,"&lt;&gt;❌ Отменено")&gt;0,1,0))</f>
        <v/>
      </c>
    </row>
    <row r="3851">
      <c r="A3851" s="52" t="n"/>
      <c r="B3851" s="53">
        <f>IF(A3851="","",CHOOSE(WEEKDAY(A3851,2),"Пн","Вт","Ср","Чт","Пт","Сб","Вс"))</f>
        <v/>
      </c>
      <c r="C3851" s="53">
        <f>IF(A3851="","",YEAR(A3851))</f>
        <v/>
      </c>
      <c r="D3851" s="54">
        <f>IF(A3851="","",INDEX(lst_months,MONTH(A3851)))</f>
        <v/>
      </c>
      <c r="E3851" s="55" t="n"/>
      <c r="F3851" s="54">
        <f>IF(E3851="","",IFERROR(IF(INDEX(lst_exp_item_cat,MATCH(E3851,lst_exp_items,0))="","❔ Без категории",INDEX(lst_exp_item_cat,MATCH(E3851,lst_exp_items,0))),"❔ Без категории"))</f>
        <v/>
      </c>
      <c r="G3851" s="43" t="n"/>
      <c r="H3851" s="56" t="n"/>
      <c r="I3851" s="43" t="n"/>
      <c r="J3851" s="57">
        <f>IF(OR(A3851="",H3851=""),"",IF(COUNTIFS(exp_year,C3851,exp_month,D3851,exp_item,E3851,exp_status,"&lt;&gt;❌ Отменено")&gt;0,1,0))</f>
        <v/>
      </c>
    </row>
    <row r="3852">
      <c r="A3852" s="52" t="n"/>
      <c r="B3852" s="53">
        <f>IF(A3852="","",CHOOSE(WEEKDAY(A3852,2),"Пн","Вт","Ср","Чт","Пт","Сб","Вс"))</f>
        <v/>
      </c>
      <c r="C3852" s="53">
        <f>IF(A3852="","",YEAR(A3852))</f>
        <v/>
      </c>
      <c r="D3852" s="54">
        <f>IF(A3852="","",INDEX(lst_months,MONTH(A3852)))</f>
        <v/>
      </c>
      <c r="E3852" s="55" t="n"/>
      <c r="F3852" s="54">
        <f>IF(E3852="","",IFERROR(IF(INDEX(lst_exp_item_cat,MATCH(E3852,lst_exp_items,0))="","❔ Без категории",INDEX(lst_exp_item_cat,MATCH(E3852,lst_exp_items,0))),"❔ Без категории"))</f>
        <v/>
      </c>
      <c r="G3852" s="43" t="n"/>
      <c r="H3852" s="56" t="n"/>
      <c r="I3852" s="43" t="n"/>
      <c r="J3852" s="57">
        <f>IF(OR(A3852="",H3852=""),"",IF(COUNTIFS(exp_year,C3852,exp_month,D3852,exp_item,E3852,exp_status,"&lt;&gt;❌ Отменено")&gt;0,1,0))</f>
        <v/>
      </c>
    </row>
    <row r="3853">
      <c r="A3853" s="52" t="n"/>
      <c r="B3853" s="53">
        <f>IF(A3853="","",CHOOSE(WEEKDAY(A3853,2),"Пн","Вт","Ср","Чт","Пт","Сб","Вс"))</f>
        <v/>
      </c>
      <c r="C3853" s="53">
        <f>IF(A3853="","",YEAR(A3853))</f>
        <v/>
      </c>
      <c r="D3853" s="54">
        <f>IF(A3853="","",INDEX(lst_months,MONTH(A3853)))</f>
        <v/>
      </c>
      <c r="E3853" s="55" t="n"/>
      <c r="F3853" s="54">
        <f>IF(E3853="","",IFERROR(IF(INDEX(lst_exp_item_cat,MATCH(E3853,lst_exp_items,0))="","❔ Без категории",INDEX(lst_exp_item_cat,MATCH(E3853,lst_exp_items,0))),"❔ Без категории"))</f>
        <v/>
      </c>
      <c r="G3853" s="43" t="n"/>
      <c r="H3853" s="56" t="n"/>
      <c r="I3853" s="43" t="n"/>
      <c r="J3853" s="57">
        <f>IF(OR(A3853="",H3853=""),"",IF(COUNTIFS(exp_year,C3853,exp_month,D3853,exp_item,E3853,exp_status,"&lt;&gt;❌ Отменено")&gt;0,1,0))</f>
        <v/>
      </c>
    </row>
    <row r="3854">
      <c r="A3854" s="52" t="n"/>
      <c r="B3854" s="53">
        <f>IF(A3854="","",CHOOSE(WEEKDAY(A3854,2),"Пн","Вт","Ср","Чт","Пт","Сб","Вс"))</f>
        <v/>
      </c>
      <c r="C3854" s="53">
        <f>IF(A3854="","",YEAR(A3854))</f>
        <v/>
      </c>
      <c r="D3854" s="54">
        <f>IF(A3854="","",INDEX(lst_months,MONTH(A3854)))</f>
        <v/>
      </c>
      <c r="E3854" s="55" t="n"/>
      <c r="F3854" s="54">
        <f>IF(E3854="","",IFERROR(IF(INDEX(lst_exp_item_cat,MATCH(E3854,lst_exp_items,0))="","❔ Без категории",INDEX(lst_exp_item_cat,MATCH(E3854,lst_exp_items,0))),"❔ Без категории"))</f>
        <v/>
      </c>
      <c r="G3854" s="43" t="n"/>
      <c r="H3854" s="56" t="n"/>
      <c r="I3854" s="43" t="n"/>
      <c r="J3854" s="57">
        <f>IF(OR(A3854="",H3854=""),"",IF(COUNTIFS(exp_year,C3854,exp_month,D3854,exp_item,E3854,exp_status,"&lt;&gt;❌ Отменено")&gt;0,1,0))</f>
        <v/>
      </c>
    </row>
    <row r="3855">
      <c r="A3855" s="52" t="n"/>
      <c r="B3855" s="53">
        <f>IF(A3855="","",CHOOSE(WEEKDAY(A3855,2),"Пн","Вт","Ср","Чт","Пт","Сб","Вс"))</f>
        <v/>
      </c>
      <c r="C3855" s="53">
        <f>IF(A3855="","",YEAR(A3855))</f>
        <v/>
      </c>
      <c r="D3855" s="54">
        <f>IF(A3855="","",INDEX(lst_months,MONTH(A3855)))</f>
        <v/>
      </c>
      <c r="E3855" s="55" t="n"/>
      <c r="F3855" s="54">
        <f>IF(E3855="","",IFERROR(IF(INDEX(lst_exp_item_cat,MATCH(E3855,lst_exp_items,0))="","❔ Без категории",INDEX(lst_exp_item_cat,MATCH(E3855,lst_exp_items,0))),"❔ Без категории"))</f>
        <v/>
      </c>
      <c r="G3855" s="43" t="n"/>
      <c r="H3855" s="56" t="n"/>
      <c r="I3855" s="43" t="n"/>
      <c r="J3855" s="57">
        <f>IF(OR(A3855="",H3855=""),"",IF(COUNTIFS(exp_year,C3855,exp_month,D3855,exp_item,E3855,exp_status,"&lt;&gt;❌ Отменено")&gt;0,1,0))</f>
        <v/>
      </c>
    </row>
    <row r="3856">
      <c r="A3856" s="52" t="n"/>
      <c r="B3856" s="53">
        <f>IF(A3856="","",CHOOSE(WEEKDAY(A3856,2),"Пн","Вт","Ср","Чт","Пт","Сб","Вс"))</f>
        <v/>
      </c>
      <c r="C3856" s="53">
        <f>IF(A3856="","",YEAR(A3856))</f>
        <v/>
      </c>
      <c r="D3856" s="54">
        <f>IF(A3856="","",INDEX(lst_months,MONTH(A3856)))</f>
        <v/>
      </c>
      <c r="E3856" s="55" t="n"/>
      <c r="F3856" s="54">
        <f>IF(E3856="","",IFERROR(IF(INDEX(lst_exp_item_cat,MATCH(E3856,lst_exp_items,0))="","❔ Без категории",INDEX(lst_exp_item_cat,MATCH(E3856,lst_exp_items,0))),"❔ Без категории"))</f>
        <v/>
      </c>
      <c r="G3856" s="43" t="n"/>
      <c r="H3856" s="56" t="n"/>
      <c r="I3856" s="43" t="n"/>
      <c r="J3856" s="57">
        <f>IF(OR(A3856="",H3856=""),"",IF(COUNTIFS(exp_year,C3856,exp_month,D3856,exp_item,E3856,exp_status,"&lt;&gt;❌ Отменено")&gt;0,1,0))</f>
        <v/>
      </c>
    </row>
    <row r="3857">
      <c r="A3857" s="52" t="n"/>
      <c r="B3857" s="53">
        <f>IF(A3857="","",CHOOSE(WEEKDAY(A3857,2),"Пн","Вт","Ср","Чт","Пт","Сб","Вс"))</f>
        <v/>
      </c>
      <c r="C3857" s="53">
        <f>IF(A3857="","",YEAR(A3857))</f>
        <v/>
      </c>
      <c r="D3857" s="54">
        <f>IF(A3857="","",INDEX(lst_months,MONTH(A3857)))</f>
        <v/>
      </c>
      <c r="E3857" s="55" t="n"/>
      <c r="F3857" s="54">
        <f>IF(E3857="","",IFERROR(IF(INDEX(lst_exp_item_cat,MATCH(E3857,lst_exp_items,0))="","❔ Без категории",INDEX(lst_exp_item_cat,MATCH(E3857,lst_exp_items,0))),"❔ Без категории"))</f>
        <v/>
      </c>
      <c r="G3857" s="43" t="n"/>
      <c r="H3857" s="56" t="n"/>
      <c r="I3857" s="43" t="n"/>
      <c r="J3857" s="57">
        <f>IF(OR(A3857="",H3857=""),"",IF(COUNTIFS(exp_year,C3857,exp_month,D3857,exp_item,E3857,exp_status,"&lt;&gt;❌ Отменено")&gt;0,1,0))</f>
        <v/>
      </c>
    </row>
    <row r="3858">
      <c r="A3858" s="52" t="n"/>
      <c r="B3858" s="53">
        <f>IF(A3858="","",CHOOSE(WEEKDAY(A3858,2),"Пн","Вт","Ср","Чт","Пт","Сб","Вс"))</f>
        <v/>
      </c>
      <c r="C3858" s="53">
        <f>IF(A3858="","",YEAR(A3858))</f>
        <v/>
      </c>
      <c r="D3858" s="54">
        <f>IF(A3858="","",INDEX(lst_months,MONTH(A3858)))</f>
        <v/>
      </c>
      <c r="E3858" s="55" t="n"/>
      <c r="F3858" s="54">
        <f>IF(E3858="","",IFERROR(IF(INDEX(lst_exp_item_cat,MATCH(E3858,lst_exp_items,0))="","❔ Без категории",INDEX(lst_exp_item_cat,MATCH(E3858,lst_exp_items,0))),"❔ Без категории"))</f>
        <v/>
      </c>
      <c r="G3858" s="43" t="n"/>
      <c r="H3858" s="56" t="n"/>
      <c r="I3858" s="43" t="n"/>
      <c r="J3858" s="57">
        <f>IF(OR(A3858="",H3858=""),"",IF(COUNTIFS(exp_year,C3858,exp_month,D3858,exp_item,E3858,exp_status,"&lt;&gt;❌ Отменено")&gt;0,1,0))</f>
        <v/>
      </c>
    </row>
    <row r="3859">
      <c r="A3859" s="52" t="n"/>
      <c r="B3859" s="53">
        <f>IF(A3859="","",CHOOSE(WEEKDAY(A3859,2),"Пн","Вт","Ср","Чт","Пт","Сб","Вс"))</f>
        <v/>
      </c>
      <c r="C3859" s="53">
        <f>IF(A3859="","",YEAR(A3859))</f>
        <v/>
      </c>
      <c r="D3859" s="54">
        <f>IF(A3859="","",INDEX(lst_months,MONTH(A3859)))</f>
        <v/>
      </c>
      <c r="E3859" s="55" t="n"/>
      <c r="F3859" s="54">
        <f>IF(E3859="","",IFERROR(IF(INDEX(lst_exp_item_cat,MATCH(E3859,lst_exp_items,0))="","❔ Без категории",INDEX(lst_exp_item_cat,MATCH(E3859,lst_exp_items,0))),"❔ Без категории"))</f>
        <v/>
      </c>
      <c r="G3859" s="43" t="n"/>
      <c r="H3859" s="56" t="n"/>
      <c r="I3859" s="43" t="n"/>
      <c r="J3859" s="57">
        <f>IF(OR(A3859="",H3859=""),"",IF(COUNTIFS(exp_year,C3859,exp_month,D3859,exp_item,E3859,exp_status,"&lt;&gt;❌ Отменено")&gt;0,1,0))</f>
        <v/>
      </c>
    </row>
    <row r="3860">
      <c r="A3860" s="52" t="n"/>
      <c r="B3860" s="53">
        <f>IF(A3860="","",CHOOSE(WEEKDAY(A3860,2),"Пн","Вт","Ср","Чт","Пт","Сб","Вс"))</f>
        <v/>
      </c>
      <c r="C3860" s="53">
        <f>IF(A3860="","",YEAR(A3860))</f>
        <v/>
      </c>
      <c r="D3860" s="54">
        <f>IF(A3860="","",INDEX(lst_months,MONTH(A3860)))</f>
        <v/>
      </c>
      <c r="E3860" s="55" t="n"/>
      <c r="F3860" s="54">
        <f>IF(E3860="","",IFERROR(IF(INDEX(lst_exp_item_cat,MATCH(E3860,lst_exp_items,0))="","❔ Без категории",INDEX(lst_exp_item_cat,MATCH(E3860,lst_exp_items,0))),"❔ Без категории"))</f>
        <v/>
      </c>
      <c r="G3860" s="43" t="n"/>
      <c r="H3860" s="56" t="n"/>
      <c r="I3860" s="43" t="n"/>
      <c r="J3860" s="57">
        <f>IF(OR(A3860="",H3860=""),"",IF(COUNTIFS(exp_year,C3860,exp_month,D3860,exp_item,E3860,exp_status,"&lt;&gt;❌ Отменено")&gt;0,1,0))</f>
        <v/>
      </c>
    </row>
    <row r="3861">
      <c r="A3861" s="52" t="n"/>
      <c r="B3861" s="53">
        <f>IF(A3861="","",CHOOSE(WEEKDAY(A3861,2),"Пн","Вт","Ср","Чт","Пт","Сб","Вс"))</f>
        <v/>
      </c>
      <c r="C3861" s="53">
        <f>IF(A3861="","",YEAR(A3861))</f>
        <v/>
      </c>
      <c r="D3861" s="54">
        <f>IF(A3861="","",INDEX(lst_months,MONTH(A3861)))</f>
        <v/>
      </c>
      <c r="E3861" s="55" t="n"/>
      <c r="F3861" s="54">
        <f>IF(E3861="","",IFERROR(IF(INDEX(lst_exp_item_cat,MATCH(E3861,lst_exp_items,0))="","❔ Без категории",INDEX(lst_exp_item_cat,MATCH(E3861,lst_exp_items,0))),"❔ Без категории"))</f>
        <v/>
      </c>
      <c r="G3861" s="43" t="n"/>
      <c r="H3861" s="56" t="n"/>
      <c r="I3861" s="43" t="n"/>
      <c r="J3861" s="57">
        <f>IF(OR(A3861="",H3861=""),"",IF(COUNTIFS(exp_year,C3861,exp_month,D3861,exp_item,E3861,exp_status,"&lt;&gt;❌ Отменено")&gt;0,1,0))</f>
        <v/>
      </c>
    </row>
    <row r="3862">
      <c r="A3862" s="52" t="n"/>
      <c r="B3862" s="53">
        <f>IF(A3862="","",CHOOSE(WEEKDAY(A3862,2),"Пн","Вт","Ср","Чт","Пт","Сб","Вс"))</f>
        <v/>
      </c>
      <c r="C3862" s="53">
        <f>IF(A3862="","",YEAR(A3862))</f>
        <v/>
      </c>
      <c r="D3862" s="54">
        <f>IF(A3862="","",INDEX(lst_months,MONTH(A3862)))</f>
        <v/>
      </c>
      <c r="E3862" s="55" t="n"/>
      <c r="F3862" s="54">
        <f>IF(E3862="","",IFERROR(IF(INDEX(lst_exp_item_cat,MATCH(E3862,lst_exp_items,0))="","❔ Без категории",INDEX(lst_exp_item_cat,MATCH(E3862,lst_exp_items,0))),"❔ Без категории"))</f>
        <v/>
      </c>
      <c r="G3862" s="43" t="n"/>
      <c r="H3862" s="56" t="n"/>
      <c r="I3862" s="43" t="n"/>
      <c r="J3862" s="57">
        <f>IF(OR(A3862="",H3862=""),"",IF(COUNTIFS(exp_year,C3862,exp_month,D3862,exp_item,E3862,exp_status,"&lt;&gt;❌ Отменено")&gt;0,1,0))</f>
        <v/>
      </c>
    </row>
    <row r="3863">
      <c r="A3863" s="52" t="n"/>
      <c r="B3863" s="53">
        <f>IF(A3863="","",CHOOSE(WEEKDAY(A3863,2),"Пн","Вт","Ср","Чт","Пт","Сб","Вс"))</f>
        <v/>
      </c>
      <c r="C3863" s="53">
        <f>IF(A3863="","",YEAR(A3863))</f>
        <v/>
      </c>
      <c r="D3863" s="54">
        <f>IF(A3863="","",INDEX(lst_months,MONTH(A3863)))</f>
        <v/>
      </c>
      <c r="E3863" s="55" t="n"/>
      <c r="F3863" s="54">
        <f>IF(E3863="","",IFERROR(IF(INDEX(lst_exp_item_cat,MATCH(E3863,lst_exp_items,0))="","❔ Без категории",INDEX(lst_exp_item_cat,MATCH(E3863,lst_exp_items,0))),"❔ Без категории"))</f>
        <v/>
      </c>
      <c r="G3863" s="43" t="n"/>
      <c r="H3863" s="56" t="n"/>
      <c r="I3863" s="43" t="n"/>
      <c r="J3863" s="57">
        <f>IF(OR(A3863="",H3863=""),"",IF(COUNTIFS(exp_year,C3863,exp_month,D3863,exp_item,E3863,exp_status,"&lt;&gt;❌ Отменено")&gt;0,1,0))</f>
        <v/>
      </c>
    </row>
    <row r="3864">
      <c r="A3864" s="52" t="n"/>
      <c r="B3864" s="53">
        <f>IF(A3864="","",CHOOSE(WEEKDAY(A3864,2),"Пн","Вт","Ср","Чт","Пт","Сб","Вс"))</f>
        <v/>
      </c>
      <c r="C3864" s="53">
        <f>IF(A3864="","",YEAR(A3864))</f>
        <v/>
      </c>
      <c r="D3864" s="54">
        <f>IF(A3864="","",INDEX(lst_months,MONTH(A3864)))</f>
        <v/>
      </c>
      <c r="E3864" s="55" t="n"/>
      <c r="F3864" s="54">
        <f>IF(E3864="","",IFERROR(IF(INDEX(lst_exp_item_cat,MATCH(E3864,lst_exp_items,0))="","❔ Без категории",INDEX(lst_exp_item_cat,MATCH(E3864,lst_exp_items,0))),"❔ Без категории"))</f>
        <v/>
      </c>
      <c r="G3864" s="43" t="n"/>
      <c r="H3864" s="56" t="n"/>
      <c r="I3864" s="43" t="n"/>
      <c r="J3864" s="57">
        <f>IF(OR(A3864="",H3864=""),"",IF(COUNTIFS(exp_year,C3864,exp_month,D3864,exp_item,E3864,exp_status,"&lt;&gt;❌ Отменено")&gt;0,1,0))</f>
        <v/>
      </c>
    </row>
    <row r="3865">
      <c r="A3865" s="52" t="n"/>
      <c r="B3865" s="53">
        <f>IF(A3865="","",CHOOSE(WEEKDAY(A3865,2),"Пн","Вт","Ср","Чт","Пт","Сб","Вс"))</f>
        <v/>
      </c>
      <c r="C3865" s="53">
        <f>IF(A3865="","",YEAR(A3865))</f>
        <v/>
      </c>
      <c r="D3865" s="54">
        <f>IF(A3865="","",INDEX(lst_months,MONTH(A3865)))</f>
        <v/>
      </c>
      <c r="E3865" s="55" t="n"/>
      <c r="F3865" s="54">
        <f>IF(E3865="","",IFERROR(IF(INDEX(lst_exp_item_cat,MATCH(E3865,lst_exp_items,0))="","❔ Без категории",INDEX(lst_exp_item_cat,MATCH(E3865,lst_exp_items,0))),"❔ Без категории"))</f>
        <v/>
      </c>
      <c r="G3865" s="43" t="n"/>
      <c r="H3865" s="56" t="n"/>
      <c r="I3865" s="43" t="n"/>
      <c r="J3865" s="57">
        <f>IF(OR(A3865="",H3865=""),"",IF(COUNTIFS(exp_year,C3865,exp_month,D3865,exp_item,E3865,exp_status,"&lt;&gt;❌ Отменено")&gt;0,1,0))</f>
        <v/>
      </c>
    </row>
    <row r="3866">
      <c r="A3866" s="52" t="n"/>
      <c r="B3866" s="53">
        <f>IF(A3866="","",CHOOSE(WEEKDAY(A3866,2),"Пн","Вт","Ср","Чт","Пт","Сб","Вс"))</f>
        <v/>
      </c>
      <c r="C3866" s="53">
        <f>IF(A3866="","",YEAR(A3866))</f>
        <v/>
      </c>
      <c r="D3866" s="54">
        <f>IF(A3866="","",INDEX(lst_months,MONTH(A3866)))</f>
        <v/>
      </c>
      <c r="E3866" s="55" t="n"/>
      <c r="F3866" s="54">
        <f>IF(E3866="","",IFERROR(IF(INDEX(lst_exp_item_cat,MATCH(E3866,lst_exp_items,0))="","❔ Без категории",INDEX(lst_exp_item_cat,MATCH(E3866,lst_exp_items,0))),"❔ Без категории"))</f>
        <v/>
      </c>
      <c r="G3866" s="43" t="n"/>
      <c r="H3866" s="56" t="n"/>
      <c r="I3866" s="43" t="n"/>
      <c r="J3866" s="57">
        <f>IF(OR(A3866="",H3866=""),"",IF(COUNTIFS(exp_year,C3866,exp_month,D3866,exp_item,E3866,exp_status,"&lt;&gt;❌ Отменено")&gt;0,1,0))</f>
        <v/>
      </c>
    </row>
    <row r="3867">
      <c r="A3867" s="52" t="n"/>
      <c r="B3867" s="53">
        <f>IF(A3867="","",CHOOSE(WEEKDAY(A3867,2),"Пн","Вт","Ср","Чт","Пт","Сб","Вс"))</f>
        <v/>
      </c>
      <c r="C3867" s="53">
        <f>IF(A3867="","",YEAR(A3867))</f>
        <v/>
      </c>
      <c r="D3867" s="54">
        <f>IF(A3867="","",INDEX(lst_months,MONTH(A3867)))</f>
        <v/>
      </c>
      <c r="E3867" s="55" t="n"/>
      <c r="F3867" s="54">
        <f>IF(E3867="","",IFERROR(IF(INDEX(lst_exp_item_cat,MATCH(E3867,lst_exp_items,0))="","❔ Без категории",INDEX(lst_exp_item_cat,MATCH(E3867,lst_exp_items,0))),"❔ Без категории"))</f>
        <v/>
      </c>
      <c r="G3867" s="43" t="n"/>
      <c r="H3867" s="56" t="n"/>
      <c r="I3867" s="43" t="n"/>
      <c r="J3867" s="57">
        <f>IF(OR(A3867="",H3867=""),"",IF(COUNTIFS(exp_year,C3867,exp_month,D3867,exp_item,E3867,exp_status,"&lt;&gt;❌ Отменено")&gt;0,1,0))</f>
        <v/>
      </c>
    </row>
    <row r="3868">
      <c r="A3868" s="52" t="n"/>
      <c r="B3868" s="53">
        <f>IF(A3868="","",CHOOSE(WEEKDAY(A3868,2),"Пн","Вт","Ср","Чт","Пт","Сб","Вс"))</f>
        <v/>
      </c>
      <c r="C3868" s="53">
        <f>IF(A3868="","",YEAR(A3868))</f>
        <v/>
      </c>
      <c r="D3868" s="54">
        <f>IF(A3868="","",INDEX(lst_months,MONTH(A3868)))</f>
        <v/>
      </c>
      <c r="E3868" s="55" t="n"/>
      <c r="F3868" s="54">
        <f>IF(E3868="","",IFERROR(IF(INDEX(lst_exp_item_cat,MATCH(E3868,lst_exp_items,0))="","❔ Без категории",INDEX(lst_exp_item_cat,MATCH(E3868,lst_exp_items,0))),"❔ Без категории"))</f>
        <v/>
      </c>
      <c r="G3868" s="43" t="n"/>
      <c r="H3868" s="56" t="n"/>
      <c r="I3868" s="43" t="n"/>
      <c r="J3868" s="57">
        <f>IF(OR(A3868="",H3868=""),"",IF(COUNTIFS(exp_year,C3868,exp_month,D3868,exp_item,E3868,exp_status,"&lt;&gt;❌ Отменено")&gt;0,1,0))</f>
        <v/>
      </c>
    </row>
    <row r="3869">
      <c r="A3869" s="52" t="n"/>
      <c r="B3869" s="53">
        <f>IF(A3869="","",CHOOSE(WEEKDAY(A3869,2),"Пн","Вт","Ср","Чт","Пт","Сб","Вс"))</f>
        <v/>
      </c>
      <c r="C3869" s="53">
        <f>IF(A3869="","",YEAR(A3869))</f>
        <v/>
      </c>
      <c r="D3869" s="54">
        <f>IF(A3869="","",INDEX(lst_months,MONTH(A3869)))</f>
        <v/>
      </c>
      <c r="E3869" s="55" t="n"/>
      <c r="F3869" s="54">
        <f>IF(E3869="","",IFERROR(IF(INDEX(lst_exp_item_cat,MATCH(E3869,lst_exp_items,0))="","❔ Без категории",INDEX(lst_exp_item_cat,MATCH(E3869,lst_exp_items,0))),"❔ Без категории"))</f>
        <v/>
      </c>
      <c r="G3869" s="43" t="n"/>
      <c r="H3869" s="56" t="n"/>
      <c r="I3869" s="43" t="n"/>
      <c r="J3869" s="57">
        <f>IF(OR(A3869="",H3869=""),"",IF(COUNTIFS(exp_year,C3869,exp_month,D3869,exp_item,E3869,exp_status,"&lt;&gt;❌ Отменено")&gt;0,1,0))</f>
        <v/>
      </c>
    </row>
    <row r="3870">
      <c r="A3870" s="52" t="n"/>
      <c r="B3870" s="53">
        <f>IF(A3870="","",CHOOSE(WEEKDAY(A3870,2),"Пн","Вт","Ср","Чт","Пт","Сб","Вс"))</f>
        <v/>
      </c>
      <c r="C3870" s="53">
        <f>IF(A3870="","",YEAR(A3870))</f>
        <v/>
      </c>
      <c r="D3870" s="54">
        <f>IF(A3870="","",INDEX(lst_months,MONTH(A3870)))</f>
        <v/>
      </c>
      <c r="E3870" s="55" t="n"/>
      <c r="F3870" s="54">
        <f>IF(E3870="","",IFERROR(IF(INDEX(lst_exp_item_cat,MATCH(E3870,lst_exp_items,0))="","❔ Без категории",INDEX(lst_exp_item_cat,MATCH(E3870,lst_exp_items,0))),"❔ Без категории"))</f>
        <v/>
      </c>
      <c r="G3870" s="43" t="n"/>
      <c r="H3870" s="56" t="n"/>
      <c r="I3870" s="43" t="n"/>
      <c r="J3870" s="57">
        <f>IF(OR(A3870="",H3870=""),"",IF(COUNTIFS(exp_year,C3870,exp_month,D3870,exp_item,E3870,exp_status,"&lt;&gt;❌ Отменено")&gt;0,1,0))</f>
        <v/>
      </c>
    </row>
    <row r="3871">
      <c r="A3871" s="52" t="n"/>
      <c r="B3871" s="53">
        <f>IF(A3871="","",CHOOSE(WEEKDAY(A3871,2),"Пн","Вт","Ср","Чт","Пт","Сб","Вс"))</f>
        <v/>
      </c>
      <c r="C3871" s="53">
        <f>IF(A3871="","",YEAR(A3871))</f>
        <v/>
      </c>
      <c r="D3871" s="54">
        <f>IF(A3871="","",INDEX(lst_months,MONTH(A3871)))</f>
        <v/>
      </c>
      <c r="E3871" s="55" t="n"/>
      <c r="F3871" s="54">
        <f>IF(E3871="","",IFERROR(IF(INDEX(lst_exp_item_cat,MATCH(E3871,lst_exp_items,0))="","❔ Без категории",INDEX(lst_exp_item_cat,MATCH(E3871,lst_exp_items,0))),"❔ Без категории"))</f>
        <v/>
      </c>
      <c r="G3871" s="43" t="n"/>
      <c r="H3871" s="56" t="n"/>
      <c r="I3871" s="43" t="n"/>
      <c r="J3871" s="57">
        <f>IF(OR(A3871="",H3871=""),"",IF(COUNTIFS(exp_year,C3871,exp_month,D3871,exp_item,E3871,exp_status,"&lt;&gt;❌ Отменено")&gt;0,1,0))</f>
        <v/>
      </c>
    </row>
    <row r="3872">
      <c r="A3872" s="52" t="n"/>
      <c r="B3872" s="53">
        <f>IF(A3872="","",CHOOSE(WEEKDAY(A3872,2),"Пн","Вт","Ср","Чт","Пт","Сб","Вс"))</f>
        <v/>
      </c>
      <c r="C3872" s="53">
        <f>IF(A3872="","",YEAR(A3872))</f>
        <v/>
      </c>
      <c r="D3872" s="54">
        <f>IF(A3872="","",INDEX(lst_months,MONTH(A3872)))</f>
        <v/>
      </c>
      <c r="E3872" s="55" t="n"/>
      <c r="F3872" s="54">
        <f>IF(E3872="","",IFERROR(IF(INDEX(lst_exp_item_cat,MATCH(E3872,lst_exp_items,0))="","❔ Без категории",INDEX(lst_exp_item_cat,MATCH(E3872,lst_exp_items,0))),"❔ Без категории"))</f>
        <v/>
      </c>
      <c r="G3872" s="43" t="n"/>
      <c r="H3872" s="56" t="n"/>
      <c r="I3872" s="43" t="n"/>
      <c r="J3872" s="57">
        <f>IF(OR(A3872="",H3872=""),"",IF(COUNTIFS(exp_year,C3872,exp_month,D3872,exp_item,E3872,exp_status,"&lt;&gt;❌ Отменено")&gt;0,1,0))</f>
        <v/>
      </c>
    </row>
    <row r="3873">
      <c r="A3873" s="52" t="n"/>
      <c r="B3873" s="53">
        <f>IF(A3873="","",CHOOSE(WEEKDAY(A3873,2),"Пн","Вт","Ср","Чт","Пт","Сб","Вс"))</f>
        <v/>
      </c>
      <c r="C3873" s="53">
        <f>IF(A3873="","",YEAR(A3873))</f>
        <v/>
      </c>
      <c r="D3873" s="54">
        <f>IF(A3873="","",INDEX(lst_months,MONTH(A3873)))</f>
        <v/>
      </c>
      <c r="E3873" s="55" t="n"/>
      <c r="F3873" s="54">
        <f>IF(E3873="","",IFERROR(IF(INDEX(lst_exp_item_cat,MATCH(E3873,lst_exp_items,0))="","❔ Без категории",INDEX(lst_exp_item_cat,MATCH(E3873,lst_exp_items,0))),"❔ Без категории"))</f>
        <v/>
      </c>
      <c r="G3873" s="43" t="n"/>
      <c r="H3873" s="56" t="n"/>
      <c r="I3873" s="43" t="n"/>
      <c r="J3873" s="57">
        <f>IF(OR(A3873="",H3873=""),"",IF(COUNTIFS(exp_year,C3873,exp_month,D3873,exp_item,E3873,exp_status,"&lt;&gt;❌ Отменено")&gt;0,1,0))</f>
        <v/>
      </c>
    </row>
    <row r="3874">
      <c r="A3874" s="52" t="n"/>
      <c r="B3874" s="53">
        <f>IF(A3874="","",CHOOSE(WEEKDAY(A3874,2),"Пн","Вт","Ср","Чт","Пт","Сб","Вс"))</f>
        <v/>
      </c>
      <c r="C3874" s="53">
        <f>IF(A3874="","",YEAR(A3874))</f>
        <v/>
      </c>
      <c r="D3874" s="54">
        <f>IF(A3874="","",INDEX(lst_months,MONTH(A3874)))</f>
        <v/>
      </c>
      <c r="E3874" s="55" t="n"/>
      <c r="F3874" s="54">
        <f>IF(E3874="","",IFERROR(IF(INDEX(lst_exp_item_cat,MATCH(E3874,lst_exp_items,0))="","❔ Без категории",INDEX(lst_exp_item_cat,MATCH(E3874,lst_exp_items,0))),"❔ Без категории"))</f>
        <v/>
      </c>
      <c r="G3874" s="43" t="n"/>
      <c r="H3874" s="56" t="n"/>
      <c r="I3874" s="43" t="n"/>
      <c r="J3874" s="57">
        <f>IF(OR(A3874="",H3874=""),"",IF(COUNTIFS(exp_year,C3874,exp_month,D3874,exp_item,E3874,exp_status,"&lt;&gt;❌ Отменено")&gt;0,1,0))</f>
        <v/>
      </c>
    </row>
    <row r="3875">
      <c r="A3875" s="52" t="n"/>
      <c r="B3875" s="53">
        <f>IF(A3875="","",CHOOSE(WEEKDAY(A3875,2),"Пн","Вт","Ср","Чт","Пт","Сб","Вс"))</f>
        <v/>
      </c>
      <c r="C3875" s="53">
        <f>IF(A3875="","",YEAR(A3875))</f>
        <v/>
      </c>
      <c r="D3875" s="54">
        <f>IF(A3875="","",INDEX(lst_months,MONTH(A3875)))</f>
        <v/>
      </c>
      <c r="E3875" s="55" t="n"/>
      <c r="F3875" s="54">
        <f>IF(E3875="","",IFERROR(IF(INDEX(lst_exp_item_cat,MATCH(E3875,lst_exp_items,0))="","❔ Без категории",INDEX(lst_exp_item_cat,MATCH(E3875,lst_exp_items,0))),"❔ Без категории"))</f>
        <v/>
      </c>
      <c r="G3875" s="43" t="n"/>
      <c r="H3875" s="56" t="n"/>
      <c r="I3875" s="43" t="n"/>
      <c r="J3875" s="57">
        <f>IF(OR(A3875="",H3875=""),"",IF(COUNTIFS(exp_year,C3875,exp_month,D3875,exp_item,E3875,exp_status,"&lt;&gt;❌ Отменено")&gt;0,1,0))</f>
        <v/>
      </c>
    </row>
    <row r="3876">
      <c r="A3876" s="52" t="n"/>
      <c r="B3876" s="53">
        <f>IF(A3876="","",CHOOSE(WEEKDAY(A3876,2),"Пн","Вт","Ср","Чт","Пт","Сб","Вс"))</f>
        <v/>
      </c>
      <c r="C3876" s="53">
        <f>IF(A3876="","",YEAR(A3876))</f>
        <v/>
      </c>
      <c r="D3876" s="54">
        <f>IF(A3876="","",INDEX(lst_months,MONTH(A3876)))</f>
        <v/>
      </c>
      <c r="E3876" s="55" t="n"/>
      <c r="F3876" s="54">
        <f>IF(E3876="","",IFERROR(IF(INDEX(lst_exp_item_cat,MATCH(E3876,lst_exp_items,0))="","❔ Без категории",INDEX(lst_exp_item_cat,MATCH(E3876,lst_exp_items,0))),"❔ Без категории"))</f>
        <v/>
      </c>
      <c r="G3876" s="43" t="n"/>
      <c r="H3876" s="56" t="n"/>
      <c r="I3876" s="43" t="n"/>
      <c r="J3876" s="57">
        <f>IF(OR(A3876="",H3876=""),"",IF(COUNTIFS(exp_year,C3876,exp_month,D3876,exp_item,E3876,exp_status,"&lt;&gt;❌ Отменено")&gt;0,1,0))</f>
        <v/>
      </c>
    </row>
    <row r="3877">
      <c r="A3877" s="52" t="n"/>
      <c r="B3877" s="53">
        <f>IF(A3877="","",CHOOSE(WEEKDAY(A3877,2),"Пн","Вт","Ср","Чт","Пт","Сб","Вс"))</f>
        <v/>
      </c>
      <c r="C3877" s="53">
        <f>IF(A3877="","",YEAR(A3877))</f>
        <v/>
      </c>
      <c r="D3877" s="54">
        <f>IF(A3877="","",INDEX(lst_months,MONTH(A3877)))</f>
        <v/>
      </c>
      <c r="E3877" s="55" t="n"/>
      <c r="F3877" s="54">
        <f>IF(E3877="","",IFERROR(IF(INDEX(lst_exp_item_cat,MATCH(E3877,lst_exp_items,0))="","❔ Без категории",INDEX(lst_exp_item_cat,MATCH(E3877,lst_exp_items,0))),"❔ Без категории"))</f>
        <v/>
      </c>
      <c r="G3877" s="43" t="n"/>
      <c r="H3877" s="56" t="n"/>
      <c r="I3877" s="43" t="n"/>
      <c r="J3877" s="57">
        <f>IF(OR(A3877="",H3877=""),"",IF(COUNTIFS(exp_year,C3877,exp_month,D3877,exp_item,E3877,exp_status,"&lt;&gt;❌ Отменено")&gt;0,1,0))</f>
        <v/>
      </c>
    </row>
    <row r="3878">
      <c r="A3878" s="52" t="n"/>
      <c r="B3878" s="53">
        <f>IF(A3878="","",CHOOSE(WEEKDAY(A3878,2),"Пн","Вт","Ср","Чт","Пт","Сб","Вс"))</f>
        <v/>
      </c>
      <c r="C3878" s="53">
        <f>IF(A3878="","",YEAR(A3878))</f>
        <v/>
      </c>
      <c r="D3878" s="54">
        <f>IF(A3878="","",INDEX(lst_months,MONTH(A3878)))</f>
        <v/>
      </c>
      <c r="E3878" s="55" t="n"/>
      <c r="F3878" s="54">
        <f>IF(E3878="","",IFERROR(IF(INDEX(lst_exp_item_cat,MATCH(E3878,lst_exp_items,0))="","❔ Без категории",INDEX(lst_exp_item_cat,MATCH(E3878,lst_exp_items,0))),"❔ Без категории"))</f>
        <v/>
      </c>
      <c r="G3878" s="43" t="n"/>
      <c r="H3878" s="56" t="n"/>
      <c r="I3878" s="43" t="n"/>
      <c r="J3878" s="57">
        <f>IF(OR(A3878="",H3878=""),"",IF(COUNTIFS(exp_year,C3878,exp_month,D3878,exp_item,E3878,exp_status,"&lt;&gt;❌ Отменено")&gt;0,1,0))</f>
        <v/>
      </c>
    </row>
    <row r="3879">
      <c r="A3879" s="52" t="n"/>
      <c r="B3879" s="53">
        <f>IF(A3879="","",CHOOSE(WEEKDAY(A3879,2),"Пн","Вт","Ср","Чт","Пт","Сб","Вс"))</f>
        <v/>
      </c>
      <c r="C3879" s="53">
        <f>IF(A3879="","",YEAR(A3879))</f>
        <v/>
      </c>
      <c r="D3879" s="54">
        <f>IF(A3879="","",INDEX(lst_months,MONTH(A3879)))</f>
        <v/>
      </c>
      <c r="E3879" s="55" t="n"/>
      <c r="F3879" s="54">
        <f>IF(E3879="","",IFERROR(IF(INDEX(lst_exp_item_cat,MATCH(E3879,lst_exp_items,0))="","❔ Без категории",INDEX(lst_exp_item_cat,MATCH(E3879,lst_exp_items,0))),"❔ Без категории"))</f>
        <v/>
      </c>
      <c r="G3879" s="43" t="n"/>
      <c r="H3879" s="56" t="n"/>
      <c r="I3879" s="43" t="n"/>
      <c r="J3879" s="57">
        <f>IF(OR(A3879="",H3879=""),"",IF(COUNTIFS(exp_year,C3879,exp_month,D3879,exp_item,E3879,exp_status,"&lt;&gt;❌ Отменено")&gt;0,1,0))</f>
        <v/>
      </c>
    </row>
    <row r="3880">
      <c r="A3880" s="52" t="n"/>
      <c r="B3880" s="53">
        <f>IF(A3880="","",CHOOSE(WEEKDAY(A3880,2),"Пн","Вт","Ср","Чт","Пт","Сб","Вс"))</f>
        <v/>
      </c>
      <c r="C3880" s="53">
        <f>IF(A3880="","",YEAR(A3880))</f>
        <v/>
      </c>
      <c r="D3880" s="54">
        <f>IF(A3880="","",INDEX(lst_months,MONTH(A3880)))</f>
        <v/>
      </c>
      <c r="E3880" s="55" t="n"/>
      <c r="F3880" s="54">
        <f>IF(E3880="","",IFERROR(IF(INDEX(lst_exp_item_cat,MATCH(E3880,lst_exp_items,0))="","❔ Без категории",INDEX(lst_exp_item_cat,MATCH(E3880,lst_exp_items,0))),"❔ Без категории"))</f>
        <v/>
      </c>
      <c r="G3880" s="43" t="n"/>
      <c r="H3880" s="56" t="n"/>
      <c r="I3880" s="43" t="n"/>
      <c r="J3880" s="57">
        <f>IF(OR(A3880="",H3880=""),"",IF(COUNTIFS(exp_year,C3880,exp_month,D3880,exp_item,E3880,exp_status,"&lt;&gt;❌ Отменено")&gt;0,1,0))</f>
        <v/>
      </c>
    </row>
    <row r="3881">
      <c r="A3881" s="52" t="n"/>
      <c r="B3881" s="53">
        <f>IF(A3881="","",CHOOSE(WEEKDAY(A3881,2),"Пн","Вт","Ср","Чт","Пт","Сб","Вс"))</f>
        <v/>
      </c>
      <c r="C3881" s="53">
        <f>IF(A3881="","",YEAR(A3881))</f>
        <v/>
      </c>
      <c r="D3881" s="54">
        <f>IF(A3881="","",INDEX(lst_months,MONTH(A3881)))</f>
        <v/>
      </c>
      <c r="E3881" s="55" t="n"/>
      <c r="F3881" s="54">
        <f>IF(E3881="","",IFERROR(IF(INDEX(lst_exp_item_cat,MATCH(E3881,lst_exp_items,0))="","❔ Без категории",INDEX(lst_exp_item_cat,MATCH(E3881,lst_exp_items,0))),"❔ Без категории"))</f>
        <v/>
      </c>
      <c r="G3881" s="43" t="n"/>
      <c r="H3881" s="56" t="n"/>
      <c r="I3881" s="43" t="n"/>
      <c r="J3881" s="57">
        <f>IF(OR(A3881="",H3881=""),"",IF(COUNTIFS(exp_year,C3881,exp_month,D3881,exp_item,E3881,exp_status,"&lt;&gt;❌ Отменено")&gt;0,1,0))</f>
        <v/>
      </c>
    </row>
    <row r="3882">
      <c r="A3882" s="52" t="n"/>
      <c r="B3882" s="53">
        <f>IF(A3882="","",CHOOSE(WEEKDAY(A3882,2),"Пн","Вт","Ср","Чт","Пт","Сб","Вс"))</f>
        <v/>
      </c>
      <c r="C3882" s="53">
        <f>IF(A3882="","",YEAR(A3882))</f>
        <v/>
      </c>
      <c r="D3882" s="54">
        <f>IF(A3882="","",INDEX(lst_months,MONTH(A3882)))</f>
        <v/>
      </c>
      <c r="E3882" s="55" t="n"/>
      <c r="F3882" s="54">
        <f>IF(E3882="","",IFERROR(IF(INDEX(lst_exp_item_cat,MATCH(E3882,lst_exp_items,0))="","❔ Без категории",INDEX(lst_exp_item_cat,MATCH(E3882,lst_exp_items,0))),"❔ Без категории"))</f>
        <v/>
      </c>
      <c r="G3882" s="43" t="n"/>
      <c r="H3882" s="56" t="n"/>
      <c r="I3882" s="43" t="n"/>
      <c r="J3882" s="57">
        <f>IF(OR(A3882="",H3882=""),"",IF(COUNTIFS(exp_year,C3882,exp_month,D3882,exp_item,E3882,exp_status,"&lt;&gt;❌ Отменено")&gt;0,1,0))</f>
        <v/>
      </c>
    </row>
    <row r="3883">
      <c r="A3883" s="52" t="n"/>
      <c r="B3883" s="53">
        <f>IF(A3883="","",CHOOSE(WEEKDAY(A3883,2),"Пн","Вт","Ср","Чт","Пт","Сб","Вс"))</f>
        <v/>
      </c>
      <c r="C3883" s="53">
        <f>IF(A3883="","",YEAR(A3883))</f>
        <v/>
      </c>
      <c r="D3883" s="54">
        <f>IF(A3883="","",INDEX(lst_months,MONTH(A3883)))</f>
        <v/>
      </c>
      <c r="E3883" s="55" t="n"/>
      <c r="F3883" s="54">
        <f>IF(E3883="","",IFERROR(IF(INDEX(lst_exp_item_cat,MATCH(E3883,lst_exp_items,0))="","❔ Без категории",INDEX(lst_exp_item_cat,MATCH(E3883,lst_exp_items,0))),"❔ Без категории"))</f>
        <v/>
      </c>
      <c r="G3883" s="43" t="n"/>
      <c r="H3883" s="56" t="n"/>
      <c r="I3883" s="43" t="n"/>
      <c r="J3883" s="57">
        <f>IF(OR(A3883="",H3883=""),"",IF(COUNTIFS(exp_year,C3883,exp_month,D3883,exp_item,E3883,exp_status,"&lt;&gt;❌ Отменено")&gt;0,1,0))</f>
        <v/>
      </c>
    </row>
    <row r="3884">
      <c r="A3884" s="52" t="n"/>
      <c r="B3884" s="53">
        <f>IF(A3884="","",CHOOSE(WEEKDAY(A3884,2),"Пн","Вт","Ср","Чт","Пт","Сб","Вс"))</f>
        <v/>
      </c>
      <c r="C3884" s="53">
        <f>IF(A3884="","",YEAR(A3884))</f>
        <v/>
      </c>
      <c r="D3884" s="54">
        <f>IF(A3884="","",INDEX(lst_months,MONTH(A3884)))</f>
        <v/>
      </c>
      <c r="E3884" s="55" t="n"/>
      <c r="F3884" s="54">
        <f>IF(E3884="","",IFERROR(IF(INDEX(lst_exp_item_cat,MATCH(E3884,lst_exp_items,0))="","❔ Без категории",INDEX(lst_exp_item_cat,MATCH(E3884,lst_exp_items,0))),"❔ Без категории"))</f>
        <v/>
      </c>
      <c r="G3884" s="43" t="n"/>
      <c r="H3884" s="56" t="n"/>
      <c r="I3884" s="43" t="n"/>
      <c r="J3884" s="57">
        <f>IF(OR(A3884="",H3884=""),"",IF(COUNTIFS(exp_year,C3884,exp_month,D3884,exp_item,E3884,exp_status,"&lt;&gt;❌ Отменено")&gt;0,1,0))</f>
        <v/>
      </c>
    </row>
    <row r="3885">
      <c r="A3885" s="52" t="n"/>
      <c r="B3885" s="53">
        <f>IF(A3885="","",CHOOSE(WEEKDAY(A3885,2),"Пн","Вт","Ср","Чт","Пт","Сб","Вс"))</f>
        <v/>
      </c>
      <c r="C3885" s="53">
        <f>IF(A3885="","",YEAR(A3885))</f>
        <v/>
      </c>
      <c r="D3885" s="54">
        <f>IF(A3885="","",INDEX(lst_months,MONTH(A3885)))</f>
        <v/>
      </c>
      <c r="E3885" s="55" t="n"/>
      <c r="F3885" s="54">
        <f>IF(E3885="","",IFERROR(IF(INDEX(lst_exp_item_cat,MATCH(E3885,lst_exp_items,0))="","❔ Без категории",INDEX(lst_exp_item_cat,MATCH(E3885,lst_exp_items,0))),"❔ Без категории"))</f>
        <v/>
      </c>
      <c r="G3885" s="43" t="n"/>
      <c r="H3885" s="56" t="n"/>
      <c r="I3885" s="43" t="n"/>
      <c r="J3885" s="57">
        <f>IF(OR(A3885="",H3885=""),"",IF(COUNTIFS(exp_year,C3885,exp_month,D3885,exp_item,E3885,exp_status,"&lt;&gt;❌ Отменено")&gt;0,1,0))</f>
        <v/>
      </c>
    </row>
    <row r="3886">
      <c r="A3886" s="52" t="n"/>
      <c r="B3886" s="53">
        <f>IF(A3886="","",CHOOSE(WEEKDAY(A3886,2),"Пн","Вт","Ср","Чт","Пт","Сб","Вс"))</f>
        <v/>
      </c>
      <c r="C3886" s="53">
        <f>IF(A3886="","",YEAR(A3886))</f>
        <v/>
      </c>
      <c r="D3886" s="54">
        <f>IF(A3886="","",INDEX(lst_months,MONTH(A3886)))</f>
        <v/>
      </c>
      <c r="E3886" s="55" t="n"/>
      <c r="F3886" s="54">
        <f>IF(E3886="","",IFERROR(IF(INDEX(lst_exp_item_cat,MATCH(E3886,lst_exp_items,0))="","❔ Без категории",INDEX(lst_exp_item_cat,MATCH(E3886,lst_exp_items,0))),"❔ Без категории"))</f>
        <v/>
      </c>
      <c r="G3886" s="43" t="n"/>
      <c r="H3886" s="56" t="n"/>
      <c r="I3886" s="43" t="n"/>
      <c r="J3886" s="57">
        <f>IF(OR(A3886="",H3886=""),"",IF(COUNTIFS(exp_year,C3886,exp_month,D3886,exp_item,E3886,exp_status,"&lt;&gt;❌ Отменено")&gt;0,1,0))</f>
        <v/>
      </c>
    </row>
    <row r="3887">
      <c r="A3887" s="52" t="n"/>
      <c r="B3887" s="53">
        <f>IF(A3887="","",CHOOSE(WEEKDAY(A3887,2),"Пн","Вт","Ср","Чт","Пт","Сб","Вс"))</f>
        <v/>
      </c>
      <c r="C3887" s="53">
        <f>IF(A3887="","",YEAR(A3887))</f>
        <v/>
      </c>
      <c r="D3887" s="54">
        <f>IF(A3887="","",INDEX(lst_months,MONTH(A3887)))</f>
        <v/>
      </c>
      <c r="E3887" s="55" t="n"/>
      <c r="F3887" s="54">
        <f>IF(E3887="","",IFERROR(IF(INDEX(lst_exp_item_cat,MATCH(E3887,lst_exp_items,0))="","❔ Без категории",INDEX(lst_exp_item_cat,MATCH(E3887,lst_exp_items,0))),"❔ Без категории"))</f>
        <v/>
      </c>
      <c r="G3887" s="43" t="n"/>
      <c r="H3887" s="56" t="n"/>
      <c r="I3887" s="43" t="n"/>
      <c r="J3887" s="57">
        <f>IF(OR(A3887="",H3887=""),"",IF(COUNTIFS(exp_year,C3887,exp_month,D3887,exp_item,E3887,exp_status,"&lt;&gt;❌ Отменено")&gt;0,1,0))</f>
        <v/>
      </c>
    </row>
    <row r="3888">
      <c r="A3888" s="52" t="n"/>
      <c r="B3888" s="53">
        <f>IF(A3888="","",CHOOSE(WEEKDAY(A3888,2),"Пн","Вт","Ср","Чт","Пт","Сб","Вс"))</f>
        <v/>
      </c>
      <c r="C3888" s="53">
        <f>IF(A3888="","",YEAR(A3888))</f>
        <v/>
      </c>
      <c r="D3888" s="54">
        <f>IF(A3888="","",INDEX(lst_months,MONTH(A3888)))</f>
        <v/>
      </c>
      <c r="E3888" s="55" t="n"/>
      <c r="F3888" s="54">
        <f>IF(E3888="","",IFERROR(IF(INDEX(lst_exp_item_cat,MATCH(E3888,lst_exp_items,0))="","❔ Без категории",INDEX(lst_exp_item_cat,MATCH(E3888,lst_exp_items,0))),"❔ Без категории"))</f>
        <v/>
      </c>
      <c r="G3888" s="43" t="n"/>
      <c r="H3888" s="56" t="n"/>
      <c r="I3888" s="43" t="n"/>
      <c r="J3888" s="57">
        <f>IF(OR(A3888="",H3888=""),"",IF(COUNTIFS(exp_year,C3888,exp_month,D3888,exp_item,E3888,exp_status,"&lt;&gt;❌ Отменено")&gt;0,1,0))</f>
        <v/>
      </c>
    </row>
    <row r="3889">
      <c r="A3889" s="52" t="n"/>
      <c r="B3889" s="53">
        <f>IF(A3889="","",CHOOSE(WEEKDAY(A3889,2),"Пн","Вт","Ср","Чт","Пт","Сб","Вс"))</f>
        <v/>
      </c>
      <c r="C3889" s="53">
        <f>IF(A3889="","",YEAR(A3889))</f>
        <v/>
      </c>
      <c r="D3889" s="54">
        <f>IF(A3889="","",INDEX(lst_months,MONTH(A3889)))</f>
        <v/>
      </c>
      <c r="E3889" s="55" t="n"/>
      <c r="F3889" s="54">
        <f>IF(E3889="","",IFERROR(IF(INDEX(lst_exp_item_cat,MATCH(E3889,lst_exp_items,0))="","❔ Без категории",INDEX(lst_exp_item_cat,MATCH(E3889,lst_exp_items,0))),"❔ Без категории"))</f>
        <v/>
      </c>
      <c r="G3889" s="43" t="n"/>
      <c r="H3889" s="56" t="n"/>
      <c r="I3889" s="43" t="n"/>
      <c r="J3889" s="57">
        <f>IF(OR(A3889="",H3889=""),"",IF(COUNTIFS(exp_year,C3889,exp_month,D3889,exp_item,E3889,exp_status,"&lt;&gt;❌ Отменено")&gt;0,1,0))</f>
        <v/>
      </c>
    </row>
    <row r="3890">
      <c r="A3890" s="52" t="n"/>
      <c r="B3890" s="53">
        <f>IF(A3890="","",CHOOSE(WEEKDAY(A3890,2),"Пн","Вт","Ср","Чт","Пт","Сб","Вс"))</f>
        <v/>
      </c>
      <c r="C3890" s="53">
        <f>IF(A3890="","",YEAR(A3890))</f>
        <v/>
      </c>
      <c r="D3890" s="54">
        <f>IF(A3890="","",INDEX(lst_months,MONTH(A3890)))</f>
        <v/>
      </c>
      <c r="E3890" s="55" t="n"/>
      <c r="F3890" s="54">
        <f>IF(E3890="","",IFERROR(IF(INDEX(lst_exp_item_cat,MATCH(E3890,lst_exp_items,0))="","❔ Без категории",INDEX(lst_exp_item_cat,MATCH(E3890,lst_exp_items,0))),"❔ Без категории"))</f>
        <v/>
      </c>
      <c r="G3890" s="43" t="n"/>
      <c r="H3890" s="56" t="n"/>
      <c r="I3890" s="43" t="n"/>
      <c r="J3890" s="57">
        <f>IF(OR(A3890="",H3890=""),"",IF(COUNTIFS(exp_year,C3890,exp_month,D3890,exp_item,E3890,exp_status,"&lt;&gt;❌ Отменено")&gt;0,1,0))</f>
        <v/>
      </c>
    </row>
    <row r="3891">
      <c r="A3891" s="52" t="n"/>
      <c r="B3891" s="53">
        <f>IF(A3891="","",CHOOSE(WEEKDAY(A3891,2),"Пн","Вт","Ср","Чт","Пт","Сб","Вс"))</f>
        <v/>
      </c>
      <c r="C3891" s="53">
        <f>IF(A3891="","",YEAR(A3891))</f>
        <v/>
      </c>
      <c r="D3891" s="54">
        <f>IF(A3891="","",INDEX(lst_months,MONTH(A3891)))</f>
        <v/>
      </c>
      <c r="E3891" s="55" t="n"/>
      <c r="F3891" s="54">
        <f>IF(E3891="","",IFERROR(IF(INDEX(lst_exp_item_cat,MATCH(E3891,lst_exp_items,0))="","❔ Без категории",INDEX(lst_exp_item_cat,MATCH(E3891,lst_exp_items,0))),"❔ Без категории"))</f>
        <v/>
      </c>
      <c r="G3891" s="43" t="n"/>
      <c r="H3891" s="56" t="n"/>
      <c r="I3891" s="43" t="n"/>
      <c r="J3891" s="57">
        <f>IF(OR(A3891="",H3891=""),"",IF(COUNTIFS(exp_year,C3891,exp_month,D3891,exp_item,E3891,exp_status,"&lt;&gt;❌ Отменено")&gt;0,1,0))</f>
        <v/>
      </c>
    </row>
    <row r="3892">
      <c r="A3892" s="52" t="n"/>
      <c r="B3892" s="53">
        <f>IF(A3892="","",CHOOSE(WEEKDAY(A3892,2),"Пн","Вт","Ср","Чт","Пт","Сб","Вс"))</f>
        <v/>
      </c>
      <c r="C3892" s="53">
        <f>IF(A3892="","",YEAR(A3892))</f>
        <v/>
      </c>
      <c r="D3892" s="54">
        <f>IF(A3892="","",INDEX(lst_months,MONTH(A3892)))</f>
        <v/>
      </c>
      <c r="E3892" s="55" t="n"/>
      <c r="F3892" s="54">
        <f>IF(E3892="","",IFERROR(IF(INDEX(lst_exp_item_cat,MATCH(E3892,lst_exp_items,0))="","❔ Без категории",INDEX(lst_exp_item_cat,MATCH(E3892,lst_exp_items,0))),"❔ Без категории"))</f>
        <v/>
      </c>
      <c r="G3892" s="43" t="n"/>
      <c r="H3892" s="56" t="n"/>
      <c r="I3892" s="43" t="n"/>
      <c r="J3892" s="57">
        <f>IF(OR(A3892="",H3892=""),"",IF(COUNTIFS(exp_year,C3892,exp_month,D3892,exp_item,E3892,exp_status,"&lt;&gt;❌ Отменено")&gt;0,1,0))</f>
        <v/>
      </c>
    </row>
    <row r="3893">
      <c r="A3893" s="52" t="n"/>
      <c r="B3893" s="53">
        <f>IF(A3893="","",CHOOSE(WEEKDAY(A3893,2),"Пн","Вт","Ср","Чт","Пт","Сб","Вс"))</f>
        <v/>
      </c>
      <c r="C3893" s="53">
        <f>IF(A3893="","",YEAR(A3893))</f>
        <v/>
      </c>
      <c r="D3893" s="54">
        <f>IF(A3893="","",INDEX(lst_months,MONTH(A3893)))</f>
        <v/>
      </c>
      <c r="E3893" s="55" t="n"/>
      <c r="F3893" s="54">
        <f>IF(E3893="","",IFERROR(IF(INDEX(lst_exp_item_cat,MATCH(E3893,lst_exp_items,0))="","❔ Без категории",INDEX(lst_exp_item_cat,MATCH(E3893,lst_exp_items,0))),"❔ Без категории"))</f>
        <v/>
      </c>
      <c r="G3893" s="43" t="n"/>
      <c r="H3893" s="56" t="n"/>
      <c r="I3893" s="43" t="n"/>
      <c r="J3893" s="57">
        <f>IF(OR(A3893="",H3893=""),"",IF(COUNTIFS(exp_year,C3893,exp_month,D3893,exp_item,E3893,exp_status,"&lt;&gt;❌ Отменено")&gt;0,1,0))</f>
        <v/>
      </c>
    </row>
    <row r="3894">
      <c r="A3894" s="52" t="n"/>
      <c r="B3894" s="53">
        <f>IF(A3894="","",CHOOSE(WEEKDAY(A3894,2),"Пн","Вт","Ср","Чт","Пт","Сб","Вс"))</f>
        <v/>
      </c>
      <c r="C3894" s="53">
        <f>IF(A3894="","",YEAR(A3894))</f>
        <v/>
      </c>
      <c r="D3894" s="54">
        <f>IF(A3894="","",INDEX(lst_months,MONTH(A3894)))</f>
        <v/>
      </c>
      <c r="E3894" s="55" t="n"/>
      <c r="F3894" s="54">
        <f>IF(E3894="","",IFERROR(IF(INDEX(lst_exp_item_cat,MATCH(E3894,lst_exp_items,0))="","❔ Без категории",INDEX(lst_exp_item_cat,MATCH(E3894,lst_exp_items,0))),"❔ Без категории"))</f>
        <v/>
      </c>
      <c r="G3894" s="43" t="n"/>
      <c r="H3894" s="56" t="n"/>
      <c r="I3894" s="43" t="n"/>
      <c r="J3894" s="57">
        <f>IF(OR(A3894="",H3894=""),"",IF(COUNTIFS(exp_year,C3894,exp_month,D3894,exp_item,E3894,exp_status,"&lt;&gt;❌ Отменено")&gt;0,1,0))</f>
        <v/>
      </c>
    </row>
    <row r="3895">
      <c r="A3895" s="52" t="n"/>
      <c r="B3895" s="53">
        <f>IF(A3895="","",CHOOSE(WEEKDAY(A3895,2),"Пн","Вт","Ср","Чт","Пт","Сб","Вс"))</f>
        <v/>
      </c>
      <c r="C3895" s="53">
        <f>IF(A3895="","",YEAR(A3895))</f>
        <v/>
      </c>
      <c r="D3895" s="54">
        <f>IF(A3895="","",INDEX(lst_months,MONTH(A3895)))</f>
        <v/>
      </c>
      <c r="E3895" s="55" t="n"/>
      <c r="F3895" s="54">
        <f>IF(E3895="","",IFERROR(IF(INDEX(lst_exp_item_cat,MATCH(E3895,lst_exp_items,0))="","❔ Без категории",INDEX(lst_exp_item_cat,MATCH(E3895,lst_exp_items,0))),"❔ Без категории"))</f>
        <v/>
      </c>
      <c r="G3895" s="43" t="n"/>
      <c r="H3895" s="56" t="n"/>
      <c r="I3895" s="43" t="n"/>
      <c r="J3895" s="57">
        <f>IF(OR(A3895="",H3895=""),"",IF(COUNTIFS(exp_year,C3895,exp_month,D3895,exp_item,E3895,exp_status,"&lt;&gt;❌ Отменено")&gt;0,1,0))</f>
        <v/>
      </c>
    </row>
    <row r="3896">
      <c r="A3896" s="52" t="n"/>
      <c r="B3896" s="53">
        <f>IF(A3896="","",CHOOSE(WEEKDAY(A3896,2),"Пн","Вт","Ср","Чт","Пт","Сб","Вс"))</f>
        <v/>
      </c>
      <c r="C3896" s="53">
        <f>IF(A3896="","",YEAR(A3896))</f>
        <v/>
      </c>
      <c r="D3896" s="54">
        <f>IF(A3896="","",INDEX(lst_months,MONTH(A3896)))</f>
        <v/>
      </c>
      <c r="E3896" s="55" t="n"/>
      <c r="F3896" s="54">
        <f>IF(E3896="","",IFERROR(IF(INDEX(lst_exp_item_cat,MATCH(E3896,lst_exp_items,0))="","❔ Без категории",INDEX(lst_exp_item_cat,MATCH(E3896,lst_exp_items,0))),"❔ Без категории"))</f>
        <v/>
      </c>
      <c r="G3896" s="43" t="n"/>
      <c r="H3896" s="56" t="n"/>
      <c r="I3896" s="43" t="n"/>
      <c r="J3896" s="57">
        <f>IF(OR(A3896="",H3896=""),"",IF(COUNTIFS(exp_year,C3896,exp_month,D3896,exp_item,E3896,exp_status,"&lt;&gt;❌ Отменено")&gt;0,1,0))</f>
        <v/>
      </c>
    </row>
    <row r="3897">
      <c r="A3897" s="52" t="n"/>
      <c r="B3897" s="53">
        <f>IF(A3897="","",CHOOSE(WEEKDAY(A3897,2),"Пн","Вт","Ср","Чт","Пт","Сб","Вс"))</f>
        <v/>
      </c>
      <c r="C3897" s="53">
        <f>IF(A3897="","",YEAR(A3897))</f>
        <v/>
      </c>
      <c r="D3897" s="54">
        <f>IF(A3897="","",INDEX(lst_months,MONTH(A3897)))</f>
        <v/>
      </c>
      <c r="E3897" s="55" t="n"/>
      <c r="F3897" s="54">
        <f>IF(E3897="","",IFERROR(IF(INDEX(lst_exp_item_cat,MATCH(E3897,lst_exp_items,0))="","❔ Без категории",INDEX(lst_exp_item_cat,MATCH(E3897,lst_exp_items,0))),"❔ Без категории"))</f>
        <v/>
      </c>
      <c r="G3897" s="43" t="n"/>
      <c r="H3897" s="56" t="n"/>
      <c r="I3897" s="43" t="n"/>
      <c r="J3897" s="57">
        <f>IF(OR(A3897="",H3897=""),"",IF(COUNTIFS(exp_year,C3897,exp_month,D3897,exp_item,E3897,exp_status,"&lt;&gt;❌ Отменено")&gt;0,1,0))</f>
        <v/>
      </c>
    </row>
    <row r="3898">
      <c r="A3898" s="52" t="n"/>
      <c r="B3898" s="53">
        <f>IF(A3898="","",CHOOSE(WEEKDAY(A3898,2),"Пн","Вт","Ср","Чт","Пт","Сб","Вс"))</f>
        <v/>
      </c>
      <c r="C3898" s="53">
        <f>IF(A3898="","",YEAR(A3898))</f>
        <v/>
      </c>
      <c r="D3898" s="54">
        <f>IF(A3898="","",INDEX(lst_months,MONTH(A3898)))</f>
        <v/>
      </c>
      <c r="E3898" s="55" t="n"/>
      <c r="F3898" s="54">
        <f>IF(E3898="","",IFERROR(IF(INDEX(lst_exp_item_cat,MATCH(E3898,lst_exp_items,0))="","❔ Без категории",INDEX(lst_exp_item_cat,MATCH(E3898,lst_exp_items,0))),"❔ Без категории"))</f>
        <v/>
      </c>
      <c r="G3898" s="43" t="n"/>
      <c r="H3898" s="56" t="n"/>
      <c r="I3898" s="43" t="n"/>
      <c r="J3898" s="57">
        <f>IF(OR(A3898="",H3898=""),"",IF(COUNTIFS(exp_year,C3898,exp_month,D3898,exp_item,E3898,exp_status,"&lt;&gt;❌ Отменено")&gt;0,1,0))</f>
        <v/>
      </c>
    </row>
    <row r="3899">
      <c r="A3899" s="52" t="n"/>
      <c r="B3899" s="53">
        <f>IF(A3899="","",CHOOSE(WEEKDAY(A3899,2),"Пн","Вт","Ср","Чт","Пт","Сб","Вс"))</f>
        <v/>
      </c>
      <c r="C3899" s="53">
        <f>IF(A3899="","",YEAR(A3899))</f>
        <v/>
      </c>
      <c r="D3899" s="54">
        <f>IF(A3899="","",INDEX(lst_months,MONTH(A3899)))</f>
        <v/>
      </c>
      <c r="E3899" s="55" t="n"/>
      <c r="F3899" s="54">
        <f>IF(E3899="","",IFERROR(IF(INDEX(lst_exp_item_cat,MATCH(E3899,lst_exp_items,0))="","❔ Без категории",INDEX(lst_exp_item_cat,MATCH(E3899,lst_exp_items,0))),"❔ Без категории"))</f>
        <v/>
      </c>
      <c r="G3899" s="43" t="n"/>
      <c r="H3899" s="56" t="n"/>
      <c r="I3899" s="43" t="n"/>
      <c r="J3899" s="57">
        <f>IF(OR(A3899="",H3899=""),"",IF(COUNTIFS(exp_year,C3899,exp_month,D3899,exp_item,E3899,exp_status,"&lt;&gt;❌ Отменено")&gt;0,1,0))</f>
        <v/>
      </c>
    </row>
    <row r="3900">
      <c r="A3900" s="52" t="n"/>
      <c r="B3900" s="53">
        <f>IF(A3900="","",CHOOSE(WEEKDAY(A3900,2),"Пн","Вт","Ср","Чт","Пт","Сб","Вс"))</f>
        <v/>
      </c>
      <c r="C3900" s="53">
        <f>IF(A3900="","",YEAR(A3900))</f>
        <v/>
      </c>
      <c r="D3900" s="54">
        <f>IF(A3900="","",INDEX(lst_months,MONTH(A3900)))</f>
        <v/>
      </c>
      <c r="E3900" s="55" t="n"/>
      <c r="F3900" s="54">
        <f>IF(E3900="","",IFERROR(IF(INDEX(lst_exp_item_cat,MATCH(E3900,lst_exp_items,0))="","❔ Без категории",INDEX(lst_exp_item_cat,MATCH(E3900,lst_exp_items,0))),"❔ Без категории"))</f>
        <v/>
      </c>
      <c r="G3900" s="43" t="n"/>
      <c r="H3900" s="56" t="n"/>
      <c r="I3900" s="43" t="n"/>
      <c r="J3900" s="57">
        <f>IF(OR(A3900="",H3900=""),"",IF(COUNTIFS(exp_year,C3900,exp_month,D3900,exp_item,E3900,exp_status,"&lt;&gt;❌ Отменено")&gt;0,1,0))</f>
        <v/>
      </c>
    </row>
    <row r="3901">
      <c r="A3901" s="52" t="n"/>
      <c r="B3901" s="53">
        <f>IF(A3901="","",CHOOSE(WEEKDAY(A3901,2),"Пн","Вт","Ср","Чт","Пт","Сб","Вс"))</f>
        <v/>
      </c>
      <c r="C3901" s="53">
        <f>IF(A3901="","",YEAR(A3901))</f>
        <v/>
      </c>
      <c r="D3901" s="54">
        <f>IF(A3901="","",INDEX(lst_months,MONTH(A3901)))</f>
        <v/>
      </c>
      <c r="E3901" s="55" t="n"/>
      <c r="F3901" s="54">
        <f>IF(E3901="","",IFERROR(IF(INDEX(lst_exp_item_cat,MATCH(E3901,lst_exp_items,0))="","❔ Без категории",INDEX(lst_exp_item_cat,MATCH(E3901,lst_exp_items,0))),"❔ Без категории"))</f>
        <v/>
      </c>
      <c r="G3901" s="43" t="n"/>
      <c r="H3901" s="56" t="n"/>
      <c r="I3901" s="43" t="n"/>
      <c r="J3901" s="57">
        <f>IF(OR(A3901="",H3901=""),"",IF(COUNTIFS(exp_year,C3901,exp_month,D3901,exp_item,E3901,exp_status,"&lt;&gt;❌ Отменено")&gt;0,1,0))</f>
        <v/>
      </c>
    </row>
    <row r="3902">
      <c r="A3902" s="52" t="n"/>
      <c r="B3902" s="53">
        <f>IF(A3902="","",CHOOSE(WEEKDAY(A3902,2),"Пн","Вт","Ср","Чт","Пт","Сб","Вс"))</f>
        <v/>
      </c>
      <c r="C3902" s="53">
        <f>IF(A3902="","",YEAR(A3902))</f>
        <v/>
      </c>
      <c r="D3902" s="54">
        <f>IF(A3902="","",INDEX(lst_months,MONTH(A3902)))</f>
        <v/>
      </c>
      <c r="E3902" s="55" t="n"/>
      <c r="F3902" s="54">
        <f>IF(E3902="","",IFERROR(IF(INDEX(lst_exp_item_cat,MATCH(E3902,lst_exp_items,0))="","❔ Без категории",INDEX(lst_exp_item_cat,MATCH(E3902,lst_exp_items,0))),"❔ Без категории"))</f>
        <v/>
      </c>
      <c r="G3902" s="43" t="n"/>
      <c r="H3902" s="56" t="n"/>
      <c r="I3902" s="43" t="n"/>
      <c r="J3902" s="57">
        <f>IF(OR(A3902="",H3902=""),"",IF(COUNTIFS(exp_year,C3902,exp_month,D3902,exp_item,E3902,exp_status,"&lt;&gt;❌ Отменено")&gt;0,1,0))</f>
        <v/>
      </c>
    </row>
    <row r="3903">
      <c r="A3903" s="52" t="n"/>
      <c r="B3903" s="53">
        <f>IF(A3903="","",CHOOSE(WEEKDAY(A3903,2),"Пн","Вт","Ср","Чт","Пт","Сб","Вс"))</f>
        <v/>
      </c>
      <c r="C3903" s="53">
        <f>IF(A3903="","",YEAR(A3903))</f>
        <v/>
      </c>
      <c r="D3903" s="54">
        <f>IF(A3903="","",INDEX(lst_months,MONTH(A3903)))</f>
        <v/>
      </c>
      <c r="E3903" s="55" t="n"/>
      <c r="F3903" s="54">
        <f>IF(E3903="","",IFERROR(IF(INDEX(lst_exp_item_cat,MATCH(E3903,lst_exp_items,0))="","❔ Без категории",INDEX(lst_exp_item_cat,MATCH(E3903,lst_exp_items,0))),"❔ Без категории"))</f>
        <v/>
      </c>
      <c r="G3903" s="43" t="n"/>
      <c r="H3903" s="56" t="n"/>
      <c r="I3903" s="43" t="n"/>
      <c r="J3903" s="57">
        <f>IF(OR(A3903="",H3903=""),"",IF(COUNTIFS(exp_year,C3903,exp_month,D3903,exp_item,E3903,exp_status,"&lt;&gt;❌ Отменено")&gt;0,1,0))</f>
        <v/>
      </c>
    </row>
    <row r="3904">
      <c r="A3904" s="52" t="n"/>
      <c r="B3904" s="53">
        <f>IF(A3904="","",CHOOSE(WEEKDAY(A3904,2),"Пн","Вт","Ср","Чт","Пт","Сб","Вс"))</f>
        <v/>
      </c>
      <c r="C3904" s="53">
        <f>IF(A3904="","",YEAR(A3904))</f>
        <v/>
      </c>
      <c r="D3904" s="54">
        <f>IF(A3904="","",INDEX(lst_months,MONTH(A3904)))</f>
        <v/>
      </c>
      <c r="E3904" s="55" t="n"/>
      <c r="F3904" s="54">
        <f>IF(E3904="","",IFERROR(IF(INDEX(lst_exp_item_cat,MATCH(E3904,lst_exp_items,0))="","❔ Без категории",INDEX(lst_exp_item_cat,MATCH(E3904,lst_exp_items,0))),"❔ Без категории"))</f>
        <v/>
      </c>
      <c r="G3904" s="43" t="n"/>
      <c r="H3904" s="56" t="n"/>
      <c r="I3904" s="43" t="n"/>
      <c r="J3904" s="57">
        <f>IF(OR(A3904="",H3904=""),"",IF(COUNTIFS(exp_year,C3904,exp_month,D3904,exp_item,E3904,exp_status,"&lt;&gt;❌ Отменено")&gt;0,1,0))</f>
        <v/>
      </c>
    </row>
    <row r="3905">
      <c r="A3905" s="52" t="n"/>
      <c r="B3905" s="53">
        <f>IF(A3905="","",CHOOSE(WEEKDAY(A3905,2),"Пн","Вт","Ср","Чт","Пт","Сб","Вс"))</f>
        <v/>
      </c>
      <c r="C3905" s="53">
        <f>IF(A3905="","",YEAR(A3905))</f>
        <v/>
      </c>
      <c r="D3905" s="54">
        <f>IF(A3905="","",INDEX(lst_months,MONTH(A3905)))</f>
        <v/>
      </c>
      <c r="E3905" s="55" t="n"/>
      <c r="F3905" s="54">
        <f>IF(E3905="","",IFERROR(IF(INDEX(lst_exp_item_cat,MATCH(E3905,lst_exp_items,0))="","❔ Без категории",INDEX(lst_exp_item_cat,MATCH(E3905,lst_exp_items,0))),"❔ Без категории"))</f>
        <v/>
      </c>
      <c r="G3905" s="43" t="n"/>
      <c r="H3905" s="56" t="n"/>
      <c r="I3905" s="43" t="n"/>
      <c r="J3905" s="57">
        <f>IF(OR(A3905="",H3905=""),"",IF(COUNTIFS(exp_year,C3905,exp_month,D3905,exp_item,E3905,exp_status,"&lt;&gt;❌ Отменено")&gt;0,1,0))</f>
        <v/>
      </c>
    </row>
    <row r="3906">
      <c r="A3906" s="52" t="n"/>
      <c r="B3906" s="53">
        <f>IF(A3906="","",CHOOSE(WEEKDAY(A3906,2),"Пн","Вт","Ср","Чт","Пт","Сб","Вс"))</f>
        <v/>
      </c>
      <c r="C3906" s="53">
        <f>IF(A3906="","",YEAR(A3906))</f>
        <v/>
      </c>
      <c r="D3906" s="54">
        <f>IF(A3906="","",INDEX(lst_months,MONTH(A3906)))</f>
        <v/>
      </c>
      <c r="E3906" s="55" t="n"/>
      <c r="F3906" s="54">
        <f>IF(E3906="","",IFERROR(IF(INDEX(lst_exp_item_cat,MATCH(E3906,lst_exp_items,0))="","❔ Без категории",INDEX(lst_exp_item_cat,MATCH(E3906,lst_exp_items,0))),"❔ Без категории"))</f>
        <v/>
      </c>
      <c r="G3906" s="43" t="n"/>
      <c r="H3906" s="56" t="n"/>
      <c r="I3906" s="43" t="n"/>
      <c r="J3906" s="57">
        <f>IF(OR(A3906="",H3906=""),"",IF(COUNTIFS(exp_year,C3906,exp_month,D3906,exp_item,E3906,exp_status,"&lt;&gt;❌ Отменено")&gt;0,1,0))</f>
        <v/>
      </c>
    </row>
    <row r="3907">
      <c r="A3907" s="52" t="n"/>
      <c r="B3907" s="53">
        <f>IF(A3907="","",CHOOSE(WEEKDAY(A3907,2),"Пн","Вт","Ср","Чт","Пт","Сб","Вс"))</f>
        <v/>
      </c>
      <c r="C3907" s="53">
        <f>IF(A3907="","",YEAR(A3907))</f>
        <v/>
      </c>
      <c r="D3907" s="54">
        <f>IF(A3907="","",INDEX(lst_months,MONTH(A3907)))</f>
        <v/>
      </c>
      <c r="E3907" s="55" t="n"/>
      <c r="F3907" s="54">
        <f>IF(E3907="","",IFERROR(IF(INDEX(lst_exp_item_cat,MATCH(E3907,lst_exp_items,0))="","❔ Без категории",INDEX(lst_exp_item_cat,MATCH(E3907,lst_exp_items,0))),"❔ Без категории"))</f>
        <v/>
      </c>
      <c r="G3907" s="43" t="n"/>
      <c r="H3907" s="56" t="n"/>
      <c r="I3907" s="43" t="n"/>
      <c r="J3907" s="57">
        <f>IF(OR(A3907="",H3907=""),"",IF(COUNTIFS(exp_year,C3907,exp_month,D3907,exp_item,E3907,exp_status,"&lt;&gt;❌ Отменено")&gt;0,1,0))</f>
        <v/>
      </c>
    </row>
    <row r="3908">
      <c r="A3908" s="52" t="n"/>
      <c r="B3908" s="53">
        <f>IF(A3908="","",CHOOSE(WEEKDAY(A3908,2),"Пн","Вт","Ср","Чт","Пт","Сб","Вс"))</f>
        <v/>
      </c>
      <c r="C3908" s="53">
        <f>IF(A3908="","",YEAR(A3908))</f>
        <v/>
      </c>
      <c r="D3908" s="54">
        <f>IF(A3908="","",INDEX(lst_months,MONTH(A3908)))</f>
        <v/>
      </c>
      <c r="E3908" s="55" t="n"/>
      <c r="F3908" s="54">
        <f>IF(E3908="","",IFERROR(IF(INDEX(lst_exp_item_cat,MATCH(E3908,lst_exp_items,0))="","❔ Без категории",INDEX(lst_exp_item_cat,MATCH(E3908,lst_exp_items,0))),"❔ Без категории"))</f>
        <v/>
      </c>
      <c r="G3908" s="43" t="n"/>
      <c r="H3908" s="56" t="n"/>
      <c r="I3908" s="43" t="n"/>
      <c r="J3908" s="57">
        <f>IF(OR(A3908="",H3908=""),"",IF(COUNTIFS(exp_year,C3908,exp_month,D3908,exp_item,E3908,exp_status,"&lt;&gt;❌ Отменено")&gt;0,1,0))</f>
        <v/>
      </c>
    </row>
    <row r="3909">
      <c r="A3909" s="52" t="n"/>
      <c r="B3909" s="53">
        <f>IF(A3909="","",CHOOSE(WEEKDAY(A3909,2),"Пн","Вт","Ср","Чт","Пт","Сб","Вс"))</f>
        <v/>
      </c>
      <c r="C3909" s="53">
        <f>IF(A3909="","",YEAR(A3909))</f>
        <v/>
      </c>
      <c r="D3909" s="54">
        <f>IF(A3909="","",INDEX(lst_months,MONTH(A3909)))</f>
        <v/>
      </c>
      <c r="E3909" s="55" t="n"/>
      <c r="F3909" s="54">
        <f>IF(E3909="","",IFERROR(IF(INDEX(lst_exp_item_cat,MATCH(E3909,lst_exp_items,0))="","❔ Без категории",INDEX(lst_exp_item_cat,MATCH(E3909,lst_exp_items,0))),"❔ Без категории"))</f>
        <v/>
      </c>
      <c r="G3909" s="43" t="n"/>
      <c r="H3909" s="56" t="n"/>
      <c r="I3909" s="43" t="n"/>
      <c r="J3909" s="57">
        <f>IF(OR(A3909="",H3909=""),"",IF(COUNTIFS(exp_year,C3909,exp_month,D3909,exp_item,E3909,exp_status,"&lt;&gt;❌ Отменено")&gt;0,1,0))</f>
        <v/>
      </c>
    </row>
    <row r="3910">
      <c r="A3910" s="52" t="n"/>
      <c r="B3910" s="53">
        <f>IF(A3910="","",CHOOSE(WEEKDAY(A3910,2),"Пн","Вт","Ср","Чт","Пт","Сб","Вс"))</f>
        <v/>
      </c>
      <c r="C3910" s="53">
        <f>IF(A3910="","",YEAR(A3910))</f>
        <v/>
      </c>
      <c r="D3910" s="54">
        <f>IF(A3910="","",INDEX(lst_months,MONTH(A3910)))</f>
        <v/>
      </c>
      <c r="E3910" s="55" t="n"/>
      <c r="F3910" s="54">
        <f>IF(E3910="","",IFERROR(IF(INDEX(lst_exp_item_cat,MATCH(E3910,lst_exp_items,0))="","❔ Без категории",INDEX(lst_exp_item_cat,MATCH(E3910,lst_exp_items,0))),"❔ Без категории"))</f>
        <v/>
      </c>
      <c r="G3910" s="43" t="n"/>
      <c r="H3910" s="56" t="n"/>
      <c r="I3910" s="43" t="n"/>
      <c r="J3910" s="57">
        <f>IF(OR(A3910="",H3910=""),"",IF(COUNTIFS(exp_year,C3910,exp_month,D3910,exp_item,E3910,exp_status,"&lt;&gt;❌ Отменено")&gt;0,1,0))</f>
        <v/>
      </c>
    </row>
    <row r="3911">
      <c r="A3911" s="52" t="n"/>
      <c r="B3911" s="53">
        <f>IF(A3911="","",CHOOSE(WEEKDAY(A3911,2),"Пн","Вт","Ср","Чт","Пт","Сб","Вс"))</f>
        <v/>
      </c>
      <c r="C3911" s="53">
        <f>IF(A3911="","",YEAR(A3911))</f>
        <v/>
      </c>
      <c r="D3911" s="54">
        <f>IF(A3911="","",INDEX(lst_months,MONTH(A3911)))</f>
        <v/>
      </c>
      <c r="E3911" s="55" t="n"/>
      <c r="F3911" s="54">
        <f>IF(E3911="","",IFERROR(IF(INDEX(lst_exp_item_cat,MATCH(E3911,lst_exp_items,0))="","❔ Без категории",INDEX(lst_exp_item_cat,MATCH(E3911,lst_exp_items,0))),"❔ Без категории"))</f>
        <v/>
      </c>
      <c r="G3911" s="43" t="n"/>
      <c r="H3911" s="56" t="n"/>
      <c r="I3911" s="43" t="n"/>
      <c r="J3911" s="57">
        <f>IF(OR(A3911="",H3911=""),"",IF(COUNTIFS(exp_year,C3911,exp_month,D3911,exp_item,E3911,exp_status,"&lt;&gt;❌ Отменено")&gt;0,1,0))</f>
        <v/>
      </c>
    </row>
    <row r="3912">
      <c r="A3912" s="52" t="n"/>
      <c r="B3912" s="53">
        <f>IF(A3912="","",CHOOSE(WEEKDAY(A3912,2),"Пн","Вт","Ср","Чт","Пт","Сб","Вс"))</f>
        <v/>
      </c>
      <c r="C3912" s="53">
        <f>IF(A3912="","",YEAR(A3912))</f>
        <v/>
      </c>
      <c r="D3912" s="54">
        <f>IF(A3912="","",INDEX(lst_months,MONTH(A3912)))</f>
        <v/>
      </c>
      <c r="E3912" s="55" t="n"/>
      <c r="F3912" s="54">
        <f>IF(E3912="","",IFERROR(IF(INDEX(lst_exp_item_cat,MATCH(E3912,lst_exp_items,0))="","❔ Без категории",INDEX(lst_exp_item_cat,MATCH(E3912,lst_exp_items,0))),"❔ Без категории"))</f>
        <v/>
      </c>
      <c r="G3912" s="43" t="n"/>
      <c r="H3912" s="56" t="n"/>
      <c r="I3912" s="43" t="n"/>
      <c r="J3912" s="57">
        <f>IF(OR(A3912="",H3912=""),"",IF(COUNTIFS(exp_year,C3912,exp_month,D3912,exp_item,E3912,exp_status,"&lt;&gt;❌ Отменено")&gt;0,1,0))</f>
        <v/>
      </c>
    </row>
    <row r="3913">
      <c r="A3913" s="52" t="n"/>
      <c r="B3913" s="53">
        <f>IF(A3913="","",CHOOSE(WEEKDAY(A3913,2),"Пн","Вт","Ср","Чт","Пт","Сб","Вс"))</f>
        <v/>
      </c>
      <c r="C3913" s="53">
        <f>IF(A3913="","",YEAR(A3913))</f>
        <v/>
      </c>
      <c r="D3913" s="54">
        <f>IF(A3913="","",INDEX(lst_months,MONTH(A3913)))</f>
        <v/>
      </c>
      <c r="E3913" s="55" t="n"/>
      <c r="F3913" s="54">
        <f>IF(E3913="","",IFERROR(IF(INDEX(lst_exp_item_cat,MATCH(E3913,lst_exp_items,0))="","❔ Без категории",INDEX(lst_exp_item_cat,MATCH(E3913,lst_exp_items,0))),"❔ Без категории"))</f>
        <v/>
      </c>
      <c r="G3913" s="43" t="n"/>
      <c r="H3913" s="56" t="n"/>
      <c r="I3913" s="43" t="n"/>
      <c r="J3913" s="57">
        <f>IF(OR(A3913="",H3913=""),"",IF(COUNTIFS(exp_year,C3913,exp_month,D3913,exp_item,E3913,exp_status,"&lt;&gt;❌ Отменено")&gt;0,1,0))</f>
        <v/>
      </c>
    </row>
    <row r="3914">
      <c r="A3914" s="52" t="n"/>
      <c r="B3914" s="53">
        <f>IF(A3914="","",CHOOSE(WEEKDAY(A3914,2),"Пн","Вт","Ср","Чт","Пт","Сб","Вс"))</f>
        <v/>
      </c>
      <c r="C3914" s="53">
        <f>IF(A3914="","",YEAR(A3914))</f>
        <v/>
      </c>
      <c r="D3914" s="54">
        <f>IF(A3914="","",INDEX(lst_months,MONTH(A3914)))</f>
        <v/>
      </c>
      <c r="E3914" s="55" t="n"/>
      <c r="F3914" s="54">
        <f>IF(E3914="","",IFERROR(IF(INDEX(lst_exp_item_cat,MATCH(E3914,lst_exp_items,0))="","❔ Без категории",INDEX(lst_exp_item_cat,MATCH(E3914,lst_exp_items,0))),"❔ Без категории"))</f>
        <v/>
      </c>
      <c r="G3914" s="43" t="n"/>
      <c r="H3914" s="56" t="n"/>
      <c r="I3914" s="43" t="n"/>
      <c r="J3914" s="57">
        <f>IF(OR(A3914="",H3914=""),"",IF(COUNTIFS(exp_year,C3914,exp_month,D3914,exp_item,E3914,exp_status,"&lt;&gt;❌ Отменено")&gt;0,1,0))</f>
        <v/>
      </c>
    </row>
    <row r="3915">
      <c r="A3915" s="52" t="n"/>
      <c r="B3915" s="53">
        <f>IF(A3915="","",CHOOSE(WEEKDAY(A3915,2),"Пн","Вт","Ср","Чт","Пт","Сб","Вс"))</f>
        <v/>
      </c>
      <c r="C3915" s="53">
        <f>IF(A3915="","",YEAR(A3915))</f>
        <v/>
      </c>
      <c r="D3915" s="54">
        <f>IF(A3915="","",INDEX(lst_months,MONTH(A3915)))</f>
        <v/>
      </c>
      <c r="E3915" s="55" t="n"/>
      <c r="F3915" s="54">
        <f>IF(E3915="","",IFERROR(IF(INDEX(lst_exp_item_cat,MATCH(E3915,lst_exp_items,0))="","❔ Без категории",INDEX(lst_exp_item_cat,MATCH(E3915,lst_exp_items,0))),"❔ Без категории"))</f>
        <v/>
      </c>
      <c r="G3915" s="43" t="n"/>
      <c r="H3915" s="56" t="n"/>
      <c r="I3915" s="43" t="n"/>
      <c r="J3915" s="57">
        <f>IF(OR(A3915="",H3915=""),"",IF(COUNTIFS(exp_year,C3915,exp_month,D3915,exp_item,E3915,exp_status,"&lt;&gt;❌ Отменено")&gt;0,1,0))</f>
        <v/>
      </c>
    </row>
    <row r="3916">
      <c r="A3916" s="52" t="n"/>
      <c r="B3916" s="53">
        <f>IF(A3916="","",CHOOSE(WEEKDAY(A3916,2),"Пн","Вт","Ср","Чт","Пт","Сб","Вс"))</f>
        <v/>
      </c>
      <c r="C3916" s="53">
        <f>IF(A3916="","",YEAR(A3916))</f>
        <v/>
      </c>
      <c r="D3916" s="54">
        <f>IF(A3916="","",INDEX(lst_months,MONTH(A3916)))</f>
        <v/>
      </c>
      <c r="E3916" s="55" t="n"/>
      <c r="F3916" s="54">
        <f>IF(E3916="","",IFERROR(IF(INDEX(lst_exp_item_cat,MATCH(E3916,lst_exp_items,0))="","❔ Без категории",INDEX(lst_exp_item_cat,MATCH(E3916,lst_exp_items,0))),"❔ Без категории"))</f>
        <v/>
      </c>
      <c r="G3916" s="43" t="n"/>
      <c r="H3916" s="56" t="n"/>
      <c r="I3916" s="43" t="n"/>
      <c r="J3916" s="57">
        <f>IF(OR(A3916="",H3916=""),"",IF(COUNTIFS(exp_year,C3916,exp_month,D3916,exp_item,E3916,exp_status,"&lt;&gt;❌ Отменено")&gt;0,1,0))</f>
        <v/>
      </c>
    </row>
    <row r="3917">
      <c r="A3917" s="52" t="n"/>
      <c r="B3917" s="53">
        <f>IF(A3917="","",CHOOSE(WEEKDAY(A3917,2),"Пн","Вт","Ср","Чт","Пт","Сб","Вс"))</f>
        <v/>
      </c>
      <c r="C3917" s="53">
        <f>IF(A3917="","",YEAR(A3917))</f>
        <v/>
      </c>
      <c r="D3917" s="54">
        <f>IF(A3917="","",INDEX(lst_months,MONTH(A3917)))</f>
        <v/>
      </c>
      <c r="E3917" s="55" t="n"/>
      <c r="F3917" s="54">
        <f>IF(E3917="","",IFERROR(IF(INDEX(lst_exp_item_cat,MATCH(E3917,lst_exp_items,0))="","❔ Без категории",INDEX(lst_exp_item_cat,MATCH(E3917,lst_exp_items,0))),"❔ Без категории"))</f>
        <v/>
      </c>
      <c r="G3917" s="43" t="n"/>
      <c r="H3917" s="56" t="n"/>
      <c r="I3917" s="43" t="n"/>
      <c r="J3917" s="57">
        <f>IF(OR(A3917="",H3917=""),"",IF(COUNTIFS(exp_year,C3917,exp_month,D3917,exp_item,E3917,exp_status,"&lt;&gt;❌ Отменено")&gt;0,1,0))</f>
        <v/>
      </c>
    </row>
    <row r="3918">
      <c r="A3918" s="52" t="n"/>
      <c r="B3918" s="53">
        <f>IF(A3918="","",CHOOSE(WEEKDAY(A3918,2),"Пн","Вт","Ср","Чт","Пт","Сб","Вс"))</f>
        <v/>
      </c>
      <c r="C3918" s="53">
        <f>IF(A3918="","",YEAR(A3918))</f>
        <v/>
      </c>
      <c r="D3918" s="54">
        <f>IF(A3918="","",INDEX(lst_months,MONTH(A3918)))</f>
        <v/>
      </c>
      <c r="E3918" s="55" t="n"/>
      <c r="F3918" s="54">
        <f>IF(E3918="","",IFERROR(IF(INDEX(lst_exp_item_cat,MATCH(E3918,lst_exp_items,0))="","❔ Без категории",INDEX(lst_exp_item_cat,MATCH(E3918,lst_exp_items,0))),"❔ Без категории"))</f>
        <v/>
      </c>
      <c r="G3918" s="43" t="n"/>
      <c r="H3918" s="56" t="n"/>
      <c r="I3918" s="43" t="n"/>
      <c r="J3918" s="57">
        <f>IF(OR(A3918="",H3918=""),"",IF(COUNTIFS(exp_year,C3918,exp_month,D3918,exp_item,E3918,exp_status,"&lt;&gt;❌ Отменено")&gt;0,1,0))</f>
        <v/>
      </c>
    </row>
    <row r="3919">
      <c r="A3919" s="52" t="n"/>
      <c r="B3919" s="53">
        <f>IF(A3919="","",CHOOSE(WEEKDAY(A3919,2),"Пн","Вт","Ср","Чт","Пт","Сб","Вс"))</f>
        <v/>
      </c>
      <c r="C3919" s="53">
        <f>IF(A3919="","",YEAR(A3919))</f>
        <v/>
      </c>
      <c r="D3919" s="54">
        <f>IF(A3919="","",INDEX(lst_months,MONTH(A3919)))</f>
        <v/>
      </c>
      <c r="E3919" s="55" t="n"/>
      <c r="F3919" s="54">
        <f>IF(E3919="","",IFERROR(IF(INDEX(lst_exp_item_cat,MATCH(E3919,lst_exp_items,0))="","❔ Без категории",INDEX(lst_exp_item_cat,MATCH(E3919,lst_exp_items,0))),"❔ Без категории"))</f>
        <v/>
      </c>
      <c r="G3919" s="43" t="n"/>
      <c r="H3919" s="56" t="n"/>
      <c r="I3919" s="43" t="n"/>
      <c r="J3919" s="57">
        <f>IF(OR(A3919="",H3919=""),"",IF(COUNTIFS(exp_year,C3919,exp_month,D3919,exp_item,E3919,exp_status,"&lt;&gt;❌ Отменено")&gt;0,1,0))</f>
        <v/>
      </c>
    </row>
    <row r="3920">
      <c r="A3920" s="52" t="n"/>
      <c r="B3920" s="53">
        <f>IF(A3920="","",CHOOSE(WEEKDAY(A3920,2),"Пн","Вт","Ср","Чт","Пт","Сб","Вс"))</f>
        <v/>
      </c>
      <c r="C3920" s="53">
        <f>IF(A3920="","",YEAR(A3920))</f>
        <v/>
      </c>
      <c r="D3920" s="54">
        <f>IF(A3920="","",INDEX(lst_months,MONTH(A3920)))</f>
        <v/>
      </c>
      <c r="E3920" s="55" t="n"/>
      <c r="F3920" s="54">
        <f>IF(E3920="","",IFERROR(IF(INDEX(lst_exp_item_cat,MATCH(E3920,lst_exp_items,0))="","❔ Без категории",INDEX(lst_exp_item_cat,MATCH(E3920,lst_exp_items,0))),"❔ Без категории"))</f>
        <v/>
      </c>
      <c r="G3920" s="43" t="n"/>
      <c r="H3920" s="56" t="n"/>
      <c r="I3920" s="43" t="n"/>
      <c r="J3920" s="57">
        <f>IF(OR(A3920="",H3920=""),"",IF(COUNTIFS(exp_year,C3920,exp_month,D3920,exp_item,E3920,exp_status,"&lt;&gt;❌ Отменено")&gt;0,1,0))</f>
        <v/>
      </c>
    </row>
    <row r="3921">
      <c r="A3921" s="52" t="n"/>
      <c r="B3921" s="53">
        <f>IF(A3921="","",CHOOSE(WEEKDAY(A3921,2),"Пн","Вт","Ср","Чт","Пт","Сб","Вс"))</f>
        <v/>
      </c>
      <c r="C3921" s="53">
        <f>IF(A3921="","",YEAR(A3921))</f>
        <v/>
      </c>
      <c r="D3921" s="54">
        <f>IF(A3921="","",INDEX(lst_months,MONTH(A3921)))</f>
        <v/>
      </c>
      <c r="E3921" s="55" t="n"/>
      <c r="F3921" s="54">
        <f>IF(E3921="","",IFERROR(IF(INDEX(lst_exp_item_cat,MATCH(E3921,lst_exp_items,0))="","❔ Без категории",INDEX(lst_exp_item_cat,MATCH(E3921,lst_exp_items,0))),"❔ Без категории"))</f>
        <v/>
      </c>
      <c r="G3921" s="43" t="n"/>
      <c r="H3921" s="56" t="n"/>
      <c r="I3921" s="43" t="n"/>
      <c r="J3921" s="57">
        <f>IF(OR(A3921="",H3921=""),"",IF(COUNTIFS(exp_year,C3921,exp_month,D3921,exp_item,E3921,exp_status,"&lt;&gt;❌ Отменено")&gt;0,1,0))</f>
        <v/>
      </c>
    </row>
    <row r="3922">
      <c r="A3922" s="52" t="n"/>
      <c r="B3922" s="53">
        <f>IF(A3922="","",CHOOSE(WEEKDAY(A3922,2),"Пн","Вт","Ср","Чт","Пт","Сб","Вс"))</f>
        <v/>
      </c>
      <c r="C3922" s="53">
        <f>IF(A3922="","",YEAR(A3922))</f>
        <v/>
      </c>
      <c r="D3922" s="54">
        <f>IF(A3922="","",INDEX(lst_months,MONTH(A3922)))</f>
        <v/>
      </c>
      <c r="E3922" s="55" t="n"/>
      <c r="F3922" s="54">
        <f>IF(E3922="","",IFERROR(IF(INDEX(lst_exp_item_cat,MATCH(E3922,lst_exp_items,0))="","❔ Без категории",INDEX(lst_exp_item_cat,MATCH(E3922,lst_exp_items,0))),"❔ Без категории"))</f>
        <v/>
      </c>
      <c r="G3922" s="43" t="n"/>
      <c r="H3922" s="56" t="n"/>
      <c r="I3922" s="43" t="n"/>
      <c r="J3922" s="57">
        <f>IF(OR(A3922="",H3922=""),"",IF(COUNTIFS(exp_year,C3922,exp_month,D3922,exp_item,E3922,exp_status,"&lt;&gt;❌ Отменено")&gt;0,1,0))</f>
        <v/>
      </c>
    </row>
    <row r="3923">
      <c r="A3923" s="52" t="n"/>
      <c r="B3923" s="53">
        <f>IF(A3923="","",CHOOSE(WEEKDAY(A3923,2),"Пн","Вт","Ср","Чт","Пт","Сб","Вс"))</f>
        <v/>
      </c>
      <c r="C3923" s="53">
        <f>IF(A3923="","",YEAR(A3923))</f>
        <v/>
      </c>
      <c r="D3923" s="54">
        <f>IF(A3923="","",INDEX(lst_months,MONTH(A3923)))</f>
        <v/>
      </c>
      <c r="E3923" s="55" t="n"/>
      <c r="F3923" s="54">
        <f>IF(E3923="","",IFERROR(IF(INDEX(lst_exp_item_cat,MATCH(E3923,lst_exp_items,0))="","❔ Без категории",INDEX(lst_exp_item_cat,MATCH(E3923,lst_exp_items,0))),"❔ Без категории"))</f>
        <v/>
      </c>
      <c r="G3923" s="43" t="n"/>
      <c r="H3923" s="56" t="n"/>
      <c r="I3923" s="43" t="n"/>
      <c r="J3923" s="57">
        <f>IF(OR(A3923="",H3923=""),"",IF(COUNTIFS(exp_year,C3923,exp_month,D3923,exp_item,E3923,exp_status,"&lt;&gt;❌ Отменено")&gt;0,1,0))</f>
        <v/>
      </c>
    </row>
    <row r="3924">
      <c r="A3924" s="52" t="n"/>
      <c r="B3924" s="53">
        <f>IF(A3924="","",CHOOSE(WEEKDAY(A3924,2),"Пн","Вт","Ср","Чт","Пт","Сб","Вс"))</f>
        <v/>
      </c>
      <c r="C3924" s="53">
        <f>IF(A3924="","",YEAR(A3924))</f>
        <v/>
      </c>
      <c r="D3924" s="54">
        <f>IF(A3924="","",INDEX(lst_months,MONTH(A3924)))</f>
        <v/>
      </c>
      <c r="E3924" s="55" t="n"/>
      <c r="F3924" s="54">
        <f>IF(E3924="","",IFERROR(IF(INDEX(lst_exp_item_cat,MATCH(E3924,lst_exp_items,0))="","❔ Без категории",INDEX(lst_exp_item_cat,MATCH(E3924,lst_exp_items,0))),"❔ Без категории"))</f>
        <v/>
      </c>
      <c r="G3924" s="43" t="n"/>
      <c r="H3924" s="56" t="n"/>
      <c r="I3924" s="43" t="n"/>
      <c r="J3924" s="57">
        <f>IF(OR(A3924="",H3924=""),"",IF(COUNTIFS(exp_year,C3924,exp_month,D3924,exp_item,E3924,exp_status,"&lt;&gt;❌ Отменено")&gt;0,1,0))</f>
        <v/>
      </c>
    </row>
    <row r="3925">
      <c r="A3925" s="52" t="n"/>
      <c r="B3925" s="53">
        <f>IF(A3925="","",CHOOSE(WEEKDAY(A3925,2),"Пн","Вт","Ср","Чт","Пт","Сб","Вс"))</f>
        <v/>
      </c>
      <c r="C3925" s="53">
        <f>IF(A3925="","",YEAR(A3925))</f>
        <v/>
      </c>
      <c r="D3925" s="54">
        <f>IF(A3925="","",INDEX(lst_months,MONTH(A3925)))</f>
        <v/>
      </c>
      <c r="E3925" s="55" t="n"/>
      <c r="F3925" s="54">
        <f>IF(E3925="","",IFERROR(IF(INDEX(lst_exp_item_cat,MATCH(E3925,lst_exp_items,0))="","❔ Без категории",INDEX(lst_exp_item_cat,MATCH(E3925,lst_exp_items,0))),"❔ Без категории"))</f>
        <v/>
      </c>
      <c r="G3925" s="43" t="n"/>
      <c r="H3925" s="56" t="n"/>
      <c r="I3925" s="43" t="n"/>
      <c r="J3925" s="57">
        <f>IF(OR(A3925="",H3925=""),"",IF(COUNTIFS(exp_year,C3925,exp_month,D3925,exp_item,E3925,exp_status,"&lt;&gt;❌ Отменено")&gt;0,1,0))</f>
        <v/>
      </c>
    </row>
    <row r="3926">
      <c r="A3926" s="52" t="n"/>
      <c r="B3926" s="53">
        <f>IF(A3926="","",CHOOSE(WEEKDAY(A3926,2),"Пн","Вт","Ср","Чт","Пт","Сб","Вс"))</f>
        <v/>
      </c>
      <c r="C3926" s="53">
        <f>IF(A3926="","",YEAR(A3926))</f>
        <v/>
      </c>
      <c r="D3926" s="54">
        <f>IF(A3926="","",INDEX(lst_months,MONTH(A3926)))</f>
        <v/>
      </c>
      <c r="E3926" s="55" t="n"/>
      <c r="F3926" s="54">
        <f>IF(E3926="","",IFERROR(IF(INDEX(lst_exp_item_cat,MATCH(E3926,lst_exp_items,0))="","❔ Без категории",INDEX(lst_exp_item_cat,MATCH(E3926,lst_exp_items,0))),"❔ Без категории"))</f>
        <v/>
      </c>
      <c r="G3926" s="43" t="n"/>
      <c r="H3926" s="56" t="n"/>
      <c r="I3926" s="43" t="n"/>
      <c r="J3926" s="57">
        <f>IF(OR(A3926="",H3926=""),"",IF(COUNTIFS(exp_year,C3926,exp_month,D3926,exp_item,E3926,exp_status,"&lt;&gt;❌ Отменено")&gt;0,1,0))</f>
        <v/>
      </c>
    </row>
    <row r="3927">
      <c r="A3927" s="52" t="n"/>
      <c r="B3927" s="53">
        <f>IF(A3927="","",CHOOSE(WEEKDAY(A3927,2),"Пн","Вт","Ср","Чт","Пт","Сб","Вс"))</f>
        <v/>
      </c>
      <c r="C3927" s="53">
        <f>IF(A3927="","",YEAR(A3927))</f>
        <v/>
      </c>
      <c r="D3927" s="54">
        <f>IF(A3927="","",INDEX(lst_months,MONTH(A3927)))</f>
        <v/>
      </c>
      <c r="E3927" s="55" t="n"/>
      <c r="F3927" s="54">
        <f>IF(E3927="","",IFERROR(IF(INDEX(lst_exp_item_cat,MATCH(E3927,lst_exp_items,0))="","❔ Без категории",INDEX(lst_exp_item_cat,MATCH(E3927,lst_exp_items,0))),"❔ Без категории"))</f>
        <v/>
      </c>
      <c r="G3927" s="43" t="n"/>
      <c r="H3927" s="56" t="n"/>
      <c r="I3927" s="43" t="n"/>
      <c r="J3927" s="57">
        <f>IF(OR(A3927="",H3927=""),"",IF(COUNTIFS(exp_year,C3927,exp_month,D3927,exp_item,E3927,exp_status,"&lt;&gt;❌ Отменено")&gt;0,1,0))</f>
        <v/>
      </c>
    </row>
    <row r="3928">
      <c r="A3928" s="52" t="n"/>
      <c r="B3928" s="53">
        <f>IF(A3928="","",CHOOSE(WEEKDAY(A3928,2),"Пн","Вт","Ср","Чт","Пт","Сб","Вс"))</f>
        <v/>
      </c>
      <c r="C3928" s="53">
        <f>IF(A3928="","",YEAR(A3928))</f>
        <v/>
      </c>
      <c r="D3928" s="54">
        <f>IF(A3928="","",INDEX(lst_months,MONTH(A3928)))</f>
        <v/>
      </c>
      <c r="E3928" s="55" t="n"/>
      <c r="F3928" s="54">
        <f>IF(E3928="","",IFERROR(IF(INDEX(lst_exp_item_cat,MATCH(E3928,lst_exp_items,0))="","❔ Без категории",INDEX(lst_exp_item_cat,MATCH(E3928,lst_exp_items,0))),"❔ Без категории"))</f>
        <v/>
      </c>
      <c r="G3928" s="43" t="n"/>
      <c r="H3928" s="56" t="n"/>
      <c r="I3928" s="43" t="n"/>
      <c r="J3928" s="57">
        <f>IF(OR(A3928="",H3928=""),"",IF(COUNTIFS(exp_year,C3928,exp_month,D3928,exp_item,E3928,exp_status,"&lt;&gt;❌ Отменено")&gt;0,1,0))</f>
        <v/>
      </c>
    </row>
    <row r="3929">
      <c r="A3929" s="52" t="n"/>
      <c r="B3929" s="53">
        <f>IF(A3929="","",CHOOSE(WEEKDAY(A3929,2),"Пн","Вт","Ср","Чт","Пт","Сб","Вс"))</f>
        <v/>
      </c>
      <c r="C3929" s="53">
        <f>IF(A3929="","",YEAR(A3929))</f>
        <v/>
      </c>
      <c r="D3929" s="54">
        <f>IF(A3929="","",INDEX(lst_months,MONTH(A3929)))</f>
        <v/>
      </c>
      <c r="E3929" s="55" t="n"/>
      <c r="F3929" s="54">
        <f>IF(E3929="","",IFERROR(IF(INDEX(lst_exp_item_cat,MATCH(E3929,lst_exp_items,0))="","❔ Без категории",INDEX(lst_exp_item_cat,MATCH(E3929,lst_exp_items,0))),"❔ Без категории"))</f>
        <v/>
      </c>
      <c r="G3929" s="43" t="n"/>
      <c r="H3929" s="56" t="n"/>
      <c r="I3929" s="43" t="n"/>
      <c r="J3929" s="57">
        <f>IF(OR(A3929="",H3929=""),"",IF(COUNTIFS(exp_year,C3929,exp_month,D3929,exp_item,E3929,exp_status,"&lt;&gt;❌ Отменено")&gt;0,1,0))</f>
        <v/>
      </c>
    </row>
    <row r="3930">
      <c r="A3930" s="52" t="n"/>
      <c r="B3930" s="53">
        <f>IF(A3930="","",CHOOSE(WEEKDAY(A3930,2),"Пн","Вт","Ср","Чт","Пт","Сб","Вс"))</f>
        <v/>
      </c>
      <c r="C3930" s="53">
        <f>IF(A3930="","",YEAR(A3930))</f>
        <v/>
      </c>
      <c r="D3930" s="54">
        <f>IF(A3930="","",INDEX(lst_months,MONTH(A3930)))</f>
        <v/>
      </c>
      <c r="E3930" s="55" t="n"/>
      <c r="F3930" s="54">
        <f>IF(E3930="","",IFERROR(IF(INDEX(lst_exp_item_cat,MATCH(E3930,lst_exp_items,0))="","❔ Без категории",INDEX(lst_exp_item_cat,MATCH(E3930,lst_exp_items,0))),"❔ Без категории"))</f>
        <v/>
      </c>
      <c r="G3930" s="43" t="n"/>
      <c r="H3930" s="56" t="n"/>
      <c r="I3930" s="43" t="n"/>
      <c r="J3930" s="57">
        <f>IF(OR(A3930="",H3930=""),"",IF(COUNTIFS(exp_year,C3930,exp_month,D3930,exp_item,E3930,exp_status,"&lt;&gt;❌ Отменено")&gt;0,1,0))</f>
        <v/>
      </c>
    </row>
    <row r="3931">
      <c r="A3931" s="52" t="n"/>
      <c r="B3931" s="53">
        <f>IF(A3931="","",CHOOSE(WEEKDAY(A3931,2),"Пн","Вт","Ср","Чт","Пт","Сб","Вс"))</f>
        <v/>
      </c>
      <c r="C3931" s="53">
        <f>IF(A3931="","",YEAR(A3931))</f>
        <v/>
      </c>
      <c r="D3931" s="54">
        <f>IF(A3931="","",INDEX(lst_months,MONTH(A3931)))</f>
        <v/>
      </c>
      <c r="E3931" s="55" t="n"/>
      <c r="F3931" s="54">
        <f>IF(E3931="","",IFERROR(IF(INDEX(lst_exp_item_cat,MATCH(E3931,lst_exp_items,0))="","❔ Без категории",INDEX(lst_exp_item_cat,MATCH(E3931,lst_exp_items,0))),"❔ Без категории"))</f>
        <v/>
      </c>
      <c r="G3931" s="43" t="n"/>
      <c r="H3931" s="56" t="n"/>
      <c r="I3931" s="43" t="n"/>
      <c r="J3931" s="57">
        <f>IF(OR(A3931="",H3931=""),"",IF(COUNTIFS(exp_year,C3931,exp_month,D3931,exp_item,E3931,exp_status,"&lt;&gt;❌ Отменено")&gt;0,1,0))</f>
        <v/>
      </c>
    </row>
    <row r="3932">
      <c r="A3932" s="52" t="n"/>
      <c r="B3932" s="53">
        <f>IF(A3932="","",CHOOSE(WEEKDAY(A3932,2),"Пн","Вт","Ср","Чт","Пт","Сб","Вс"))</f>
        <v/>
      </c>
      <c r="C3932" s="53">
        <f>IF(A3932="","",YEAR(A3932))</f>
        <v/>
      </c>
      <c r="D3932" s="54">
        <f>IF(A3932="","",INDEX(lst_months,MONTH(A3932)))</f>
        <v/>
      </c>
      <c r="E3932" s="55" t="n"/>
      <c r="F3932" s="54">
        <f>IF(E3932="","",IFERROR(IF(INDEX(lst_exp_item_cat,MATCH(E3932,lst_exp_items,0))="","❔ Без категории",INDEX(lst_exp_item_cat,MATCH(E3932,lst_exp_items,0))),"❔ Без категории"))</f>
        <v/>
      </c>
      <c r="G3932" s="43" t="n"/>
      <c r="H3932" s="56" t="n"/>
      <c r="I3932" s="43" t="n"/>
      <c r="J3932" s="57">
        <f>IF(OR(A3932="",H3932=""),"",IF(COUNTIFS(exp_year,C3932,exp_month,D3932,exp_item,E3932,exp_status,"&lt;&gt;❌ Отменено")&gt;0,1,0))</f>
        <v/>
      </c>
    </row>
    <row r="3933">
      <c r="A3933" s="52" t="n"/>
      <c r="B3933" s="53">
        <f>IF(A3933="","",CHOOSE(WEEKDAY(A3933,2),"Пн","Вт","Ср","Чт","Пт","Сб","Вс"))</f>
        <v/>
      </c>
      <c r="C3933" s="53">
        <f>IF(A3933="","",YEAR(A3933))</f>
        <v/>
      </c>
      <c r="D3933" s="54">
        <f>IF(A3933="","",INDEX(lst_months,MONTH(A3933)))</f>
        <v/>
      </c>
      <c r="E3933" s="55" t="n"/>
      <c r="F3933" s="54">
        <f>IF(E3933="","",IFERROR(IF(INDEX(lst_exp_item_cat,MATCH(E3933,lst_exp_items,0))="","❔ Без категории",INDEX(lst_exp_item_cat,MATCH(E3933,lst_exp_items,0))),"❔ Без категории"))</f>
        <v/>
      </c>
      <c r="G3933" s="43" t="n"/>
      <c r="H3933" s="56" t="n"/>
      <c r="I3933" s="43" t="n"/>
      <c r="J3933" s="57">
        <f>IF(OR(A3933="",H3933=""),"",IF(COUNTIFS(exp_year,C3933,exp_month,D3933,exp_item,E3933,exp_status,"&lt;&gt;❌ Отменено")&gt;0,1,0))</f>
        <v/>
      </c>
    </row>
    <row r="3934">
      <c r="A3934" s="52" t="n"/>
      <c r="B3934" s="53">
        <f>IF(A3934="","",CHOOSE(WEEKDAY(A3934,2),"Пн","Вт","Ср","Чт","Пт","Сб","Вс"))</f>
        <v/>
      </c>
      <c r="C3934" s="53">
        <f>IF(A3934="","",YEAR(A3934))</f>
        <v/>
      </c>
      <c r="D3934" s="54">
        <f>IF(A3934="","",INDEX(lst_months,MONTH(A3934)))</f>
        <v/>
      </c>
      <c r="E3934" s="55" t="n"/>
      <c r="F3934" s="54">
        <f>IF(E3934="","",IFERROR(IF(INDEX(lst_exp_item_cat,MATCH(E3934,lst_exp_items,0))="","❔ Без категории",INDEX(lst_exp_item_cat,MATCH(E3934,lst_exp_items,0))),"❔ Без категории"))</f>
        <v/>
      </c>
      <c r="G3934" s="43" t="n"/>
      <c r="H3934" s="56" t="n"/>
      <c r="I3934" s="43" t="n"/>
      <c r="J3934" s="57">
        <f>IF(OR(A3934="",H3934=""),"",IF(COUNTIFS(exp_year,C3934,exp_month,D3934,exp_item,E3934,exp_status,"&lt;&gt;❌ Отменено")&gt;0,1,0))</f>
        <v/>
      </c>
    </row>
    <row r="3935">
      <c r="A3935" s="52" t="n"/>
      <c r="B3935" s="53">
        <f>IF(A3935="","",CHOOSE(WEEKDAY(A3935,2),"Пн","Вт","Ср","Чт","Пт","Сб","Вс"))</f>
        <v/>
      </c>
      <c r="C3935" s="53">
        <f>IF(A3935="","",YEAR(A3935))</f>
        <v/>
      </c>
      <c r="D3935" s="54">
        <f>IF(A3935="","",INDEX(lst_months,MONTH(A3935)))</f>
        <v/>
      </c>
      <c r="E3935" s="55" t="n"/>
      <c r="F3935" s="54">
        <f>IF(E3935="","",IFERROR(IF(INDEX(lst_exp_item_cat,MATCH(E3935,lst_exp_items,0))="","❔ Без категории",INDEX(lst_exp_item_cat,MATCH(E3935,lst_exp_items,0))),"❔ Без категории"))</f>
        <v/>
      </c>
      <c r="G3935" s="43" t="n"/>
      <c r="H3935" s="56" t="n"/>
      <c r="I3935" s="43" t="n"/>
      <c r="J3935" s="57">
        <f>IF(OR(A3935="",H3935=""),"",IF(COUNTIFS(exp_year,C3935,exp_month,D3935,exp_item,E3935,exp_status,"&lt;&gt;❌ Отменено")&gt;0,1,0))</f>
        <v/>
      </c>
    </row>
    <row r="3936">
      <c r="A3936" s="52" t="n"/>
      <c r="B3936" s="53">
        <f>IF(A3936="","",CHOOSE(WEEKDAY(A3936,2),"Пн","Вт","Ср","Чт","Пт","Сб","Вс"))</f>
        <v/>
      </c>
      <c r="C3936" s="53">
        <f>IF(A3936="","",YEAR(A3936))</f>
        <v/>
      </c>
      <c r="D3936" s="54">
        <f>IF(A3936="","",INDEX(lst_months,MONTH(A3936)))</f>
        <v/>
      </c>
      <c r="E3936" s="55" t="n"/>
      <c r="F3936" s="54">
        <f>IF(E3936="","",IFERROR(IF(INDEX(lst_exp_item_cat,MATCH(E3936,lst_exp_items,0))="","❔ Без категории",INDEX(lst_exp_item_cat,MATCH(E3936,lst_exp_items,0))),"❔ Без категории"))</f>
        <v/>
      </c>
      <c r="G3936" s="43" t="n"/>
      <c r="H3936" s="56" t="n"/>
      <c r="I3936" s="43" t="n"/>
      <c r="J3936" s="57">
        <f>IF(OR(A3936="",H3936=""),"",IF(COUNTIFS(exp_year,C3936,exp_month,D3936,exp_item,E3936,exp_status,"&lt;&gt;❌ Отменено")&gt;0,1,0))</f>
        <v/>
      </c>
    </row>
    <row r="3937">
      <c r="A3937" s="52" t="n"/>
      <c r="B3937" s="53">
        <f>IF(A3937="","",CHOOSE(WEEKDAY(A3937,2),"Пн","Вт","Ср","Чт","Пт","Сб","Вс"))</f>
        <v/>
      </c>
      <c r="C3937" s="53">
        <f>IF(A3937="","",YEAR(A3937))</f>
        <v/>
      </c>
      <c r="D3937" s="54">
        <f>IF(A3937="","",INDEX(lst_months,MONTH(A3937)))</f>
        <v/>
      </c>
      <c r="E3937" s="55" t="n"/>
      <c r="F3937" s="54">
        <f>IF(E3937="","",IFERROR(IF(INDEX(lst_exp_item_cat,MATCH(E3937,lst_exp_items,0))="","❔ Без категории",INDEX(lst_exp_item_cat,MATCH(E3937,lst_exp_items,0))),"❔ Без категории"))</f>
        <v/>
      </c>
      <c r="G3937" s="43" t="n"/>
      <c r="H3937" s="56" t="n"/>
      <c r="I3937" s="43" t="n"/>
      <c r="J3937" s="57">
        <f>IF(OR(A3937="",H3937=""),"",IF(COUNTIFS(exp_year,C3937,exp_month,D3937,exp_item,E3937,exp_status,"&lt;&gt;❌ Отменено")&gt;0,1,0))</f>
        <v/>
      </c>
    </row>
    <row r="3938">
      <c r="A3938" s="52" t="n"/>
      <c r="B3938" s="53">
        <f>IF(A3938="","",CHOOSE(WEEKDAY(A3938,2),"Пн","Вт","Ср","Чт","Пт","Сб","Вс"))</f>
        <v/>
      </c>
      <c r="C3938" s="53">
        <f>IF(A3938="","",YEAR(A3938))</f>
        <v/>
      </c>
      <c r="D3938" s="54">
        <f>IF(A3938="","",INDEX(lst_months,MONTH(A3938)))</f>
        <v/>
      </c>
      <c r="E3938" s="55" t="n"/>
      <c r="F3938" s="54">
        <f>IF(E3938="","",IFERROR(IF(INDEX(lst_exp_item_cat,MATCH(E3938,lst_exp_items,0))="","❔ Без категории",INDEX(lst_exp_item_cat,MATCH(E3938,lst_exp_items,0))),"❔ Без категории"))</f>
        <v/>
      </c>
      <c r="G3938" s="43" t="n"/>
      <c r="H3938" s="56" t="n"/>
      <c r="I3938" s="43" t="n"/>
      <c r="J3938" s="57">
        <f>IF(OR(A3938="",H3938=""),"",IF(COUNTIFS(exp_year,C3938,exp_month,D3938,exp_item,E3938,exp_status,"&lt;&gt;❌ Отменено")&gt;0,1,0))</f>
        <v/>
      </c>
    </row>
    <row r="3939">
      <c r="A3939" s="52" t="n"/>
      <c r="B3939" s="53">
        <f>IF(A3939="","",CHOOSE(WEEKDAY(A3939,2),"Пн","Вт","Ср","Чт","Пт","Сб","Вс"))</f>
        <v/>
      </c>
      <c r="C3939" s="53">
        <f>IF(A3939="","",YEAR(A3939))</f>
        <v/>
      </c>
      <c r="D3939" s="54">
        <f>IF(A3939="","",INDEX(lst_months,MONTH(A3939)))</f>
        <v/>
      </c>
      <c r="E3939" s="55" t="n"/>
      <c r="F3939" s="54">
        <f>IF(E3939="","",IFERROR(IF(INDEX(lst_exp_item_cat,MATCH(E3939,lst_exp_items,0))="","❔ Без категории",INDEX(lst_exp_item_cat,MATCH(E3939,lst_exp_items,0))),"❔ Без категории"))</f>
        <v/>
      </c>
      <c r="G3939" s="43" t="n"/>
      <c r="H3939" s="56" t="n"/>
      <c r="I3939" s="43" t="n"/>
      <c r="J3939" s="57">
        <f>IF(OR(A3939="",H3939=""),"",IF(COUNTIFS(exp_year,C3939,exp_month,D3939,exp_item,E3939,exp_status,"&lt;&gt;❌ Отменено")&gt;0,1,0))</f>
        <v/>
      </c>
    </row>
    <row r="3940">
      <c r="A3940" s="52" t="n"/>
      <c r="B3940" s="53">
        <f>IF(A3940="","",CHOOSE(WEEKDAY(A3940,2),"Пн","Вт","Ср","Чт","Пт","Сб","Вс"))</f>
        <v/>
      </c>
      <c r="C3940" s="53">
        <f>IF(A3940="","",YEAR(A3940))</f>
        <v/>
      </c>
      <c r="D3940" s="54">
        <f>IF(A3940="","",INDEX(lst_months,MONTH(A3940)))</f>
        <v/>
      </c>
      <c r="E3940" s="55" t="n"/>
      <c r="F3940" s="54">
        <f>IF(E3940="","",IFERROR(IF(INDEX(lst_exp_item_cat,MATCH(E3940,lst_exp_items,0))="","❔ Без категории",INDEX(lst_exp_item_cat,MATCH(E3940,lst_exp_items,0))),"❔ Без категории"))</f>
        <v/>
      </c>
      <c r="G3940" s="43" t="n"/>
      <c r="H3940" s="56" t="n"/>
      <c r="I3940" s="43" t="n"/>
      <c r="J3940" s="57">
        <f>IF(OR(A3940="",H3940=""),"",IF(COUNTIFS(exp_year,C3940,exp_month,D3940,exp_item,E3940,exp_status,"&lt;&gt;❌ Отменено")&gt;0,1,0))</f>
        <v/>
      </c>
    </row>
    <row r="3941">
      <c r="A3941" s="52" t="n"/>
      <c r="B3941" s="53">
        <f>IF(A3941="","",CHOOSE(WEEKDAY(A3941,2),"Пн","Вт","Ср","Чт","Пт","Сб","Вс"))</f>
        <v/>
      </c>
      <c r="C3941" s="53">
        <f>IF(A3941="","",YEAR(A3941))</f>
        <v/>
      </c>
      <c r="D3941" s="54">
        <f>IF(A3941="","",INDEX(lst_months,MONTH(A3941)))</f>
        <v/>
      </c>
      <c r="E3941" s="55" t="n"/>
      <c r="F3941" s="54">
        <f>IF(E3941="","",IFERROR(IF(INDEX(lst_exp_item_cat,MATCH(E3941,lst_exp_items,0))="","❔ Без категории",INDEX(lst_exp_item_cat,MATCH(E3941,lst_exp_items,0))),"❔ Без категории"))</f>
        <v/>
      </c>
      <c r="G3941" s="43" t="n"/>
      <c r="H3941" s="56" t="n"/>
      <c r="I3941" s="43" t="n"/>
      <c r="J3941" s="57">
        <f>IF(OR(A3941="",H3941=""),"",IF(COUNTIFS(exp_year,C3941,exp_month,D3941,exp_item,E3941,exp_status,"&lt;&gt;❌ Отменено")&gt;0,1,0))</f>
        <v/>
      </c>
    </row>
    <row r="3942">
      <c r="A3942" s="52" t="n"/>
      <c r="B3942" s="53">
        <f>IF(A3942="","",CHOOSE(WEEKDAY(A3942,2),"Пн","Вт","Ср","Чт","Пт","Сб","Вс"))</f>
        <v/>
      </c>
      <c r="C3942" s="53">
        <f>IF(A3942="","",YEAR(A3942))</f>
        <v/>
      </c>
      <c r="D3942" s="54">
        <f>IF(A3942="","",INDEX(lst_months,MONTH(A3942)))</f>
        <v/>
      </c>
      <c r="E3942" s="55" t="n"/>
      <c r="F3942" s="54">
        <f>IF(E3942="","",IFERROR(IF(INDEX(lst_exp_item_cat,MATCH(E3942,lst_exp_items,0))="","❔ Без категории",INDEX(lst_exp_item_cat,MATCH(E3942,lst_exp_items,0))),"❔ Без категории"))</f>
        <v/>
      </c>
      <c r="G3942" s="43" t="n"/>
      <c r="H3942" s="56" t="n"/>
      <c r="I3942" s="43" t="n"/>
      <c r="J3942" s="57">
        <f>IF(OR(A3942="",H3942=""),"",IF(COUNTIFS(exp_year,C3942,exp_month,D3942,exp_item,E3942,exp_status,"&lt;&gt;❌ Отменено")&gt;0,1,0))</f>
        <v/>
      </c>
    </row>
    <row r="3943">
      <c r="A3943" s="52" t="n"/>
      <c r="B3943" s="53">
        <f>IF(A3943="","",CHOOSE(WEEKDAY(A3943,2),"Пн","Вт","Ср","Чт","Пт","Сб","Вс"))</f>
        <v/>
      </c>
      <c r="C3943" s="53">
        <f>IF(A3943="","",YEAR(A3943))</f>
        <v/>
      </c>
      <c r="D3943" s="54">
        <f>IF(A3943="","",INDEX(lst_months,MONTH(A3943)))</f>
        <v/>
      </c>
      <c r="E3943" s="55" t="n"/>
      <c r="F3943" s="54">
        <f>IF(E3943="","",IFERROR(IF(INDEX(lst_exp_item_cat,MATCH(E3943,lst_exp_items,0))="","❔ Без категории",INDEX(lst_exp_item_cat,MATCH(E3943,lst_exp_items,0))),"❔ Без категории"))</f>
        <v/>
      </c>
      <c r="G3943" s="43" t="n"/>
      <c r="H3943" s="56" t="n"/>
      <c r="I3943" s="43" t="n"/>
      <c r="J3943" s="57">
        <f>IF(OR(A3943="",H3943=""),"",IF(COUNTIFS(exp_year,C3943,exp_month,D3943,exp_item,E3943,exp_status,"&lt;&gt;❌ Отменено")&gt;0,1,0))</f>
        <v/>
      </c>
    </row>
    <row r="3944">
      <c r="A3944" s="52" t="n"/>
      <c r="B3944" s="53">
        <f>IF(A3944="","",CHOOSE(WEEKDAY(A3944,2),"Пн","Вт","Ср","Чт","Пт","Сб","Вс"))</f>
        <v/>
      </c>
      <c r="C3944" s="53">
        <f>IF(A3944="","",YEAR(A3944))</f>
        <v/>
      </c>
      <c r="D3944" s="54">
        <f>IF(A3944="","",INDEX(lst_months,MONTH(A3944)))</f>
        <v/>
      </c>
      <c r="E3944" s="55" t="n"/>
      <c r="F3944" s="54">
        <f>IF(E3944="","",IFERROR(IF(INDEX(lst_exp_item_cat,MATCH(E3944,lst_exp_items,0))="","❔ Без категории",INDEX(lst_exp_item_cat,MATCH(E3944,lst_exp_items,0))),"❔ Без категории"))</f>
        <v/>
      </c>
      <c r="G3944" s="43" t="n"/>
      <c r="H3944" s="56" t="n"/>
      <c r="I3944" s="43" t="n"/>
      <c r="J3944" s="57">
        <f>IF(OR(A3944="",H3944=""),"",IF(COUNTIFS(exp_year,C3944,exp_month,D3944,exp_item,E3944,exp_status,"&lt;&gt;❌ Отменено")&gt;0,1,0))</f>
        <v/>
      </c>
    </row>
    <row r="3945">
      <c r="A3945" s="52" t="n"/>
      <c r="B3945" s="53">
        <f>IF(A3945="","",CHOOSE(WEEKDAY(A3945,2),"Пн","Вт","Ср","Чт","Пт","Сб","Вс"))</f>
        <v/>
      </c>
      <c r="C3945" s="53">
        <f>IF(A3945="","",YEAR(A3945))</f>
        <v/>
      </c>
      <c r="D3945" s="54">
        <f>IF(A3945="","",INDEX(lst_months,MONTH(A3945)))</f>
        <v/>
      </c>
      <c r="E3945" s="55" t="n"/>
      <c r="F3945" s="54">
        <f>IF(E3945="","",IFERROR(IF(INDEX(lst_exp_item_cat,MATCH(E3945,lst_exp_items,0))="","❔ Без категории",INDEX(lst_exp_item_cat,MATCH(E3945,lst_exp_items,0))),"❔ Без категории"))</f>
        <v/>
      </c>
      <c r="G3945" s="43" t="n"/>
      <c r="H3945" s="56" t="n"/>
      <c r="I3945" s="43" t="n"/>
      <c r="J3945" s="57">
        <f>IF(OR(A3945="",H3945=""),"",IF(COUNTIFS(exp_year,C3945,exp_month,D3945,exp_item,E3945,exp_status,"&lt;&gt;❌ Отменено")&gt;0,1,0))</f>
        <v/>
      </c>
    </row>
    <row r="3946">
      <c r="A3946" s="52" t="n"/>
      <c r="B3946" s="53">
        <f>IF(A3946="","",CHOOSE(WEEKDAY(A3946,2),"Пн","Вт","Ср","Чт","Пт","Сб","Вс"))</f>
        <v/>
      </c>
      <c r="C3946" s="53">
        <f>IF(A3946="","",YEAR(A3946))</f>
        <v/>
      </c>
      <c r="D3946" s="54">
        <f>IF(A3946="","",INDEX(lst_months,MONTH(A3946)))</f>
        <v/>
      </c>
      <c r="E3946" s="55" t="n"/>
      <c r="F3946" s="54">
        <f>IF(E3946="","",IFERROR(IF(INDEX(lst_exp_item_cat,MATCH(E3946,lst_exp_items,0))="","❔ Без категории",INDEX(lst_exp_item_cat,MATCH(E3946,lst_exp_items,0))),"❔ Без категории"))</f>
        <v/>
      </c>
      <c r="G3946" s="43" t="n"/>
      <c r="H3946" s="56" t="n"/>
      <c r="I3946" s="43" t="n"/>
      <c r="J3946" s="57">
        <f>IF(OR(A3946="",H3946=""),"",IF(COUNTIFS(exp_year,C3946,exp_month,D3946,exp_item,E3946,exp_status,"&lt;&gt;❌ Отменено")&gt;0,1,0))</f>
        <v/>
      </c>
    </row>
    <row r="3947">
      <c r="A3947" s="52" t="n"/>
      <c r="B3947" s="53">
        <f>IF(A3947="","",CHOOSE(WEEKDAY(A3947,2),"Пн","Вт","Ср","Чт","Пт","Сб","Вс"))</f>
        <v/>
      </c>
      <c r="C3947" s="53">
        <f>IF(A3947="","",YEAR(A3947))</f>
        <v/>
      </c>
      <c r="D3947" s="54">
        <f>IF(A3947="","",INDEX(lst_months,MONTH(A3947)))</f>
        <v/>
      </c>
      <c r="E3947" s="55" t="n"/>
      <c r="F3947" s="54">
        <f>IF(E3947="","",IFERROR(IF(INDEX(lst_exp_item_cat,MATCH(E3947,lst_exp_items,0))="","❔ Без категории",INDEX(lst_exp_item_cat,MATCH(E3947,lst_exp_items,0))),"❔ Без категории"))</f>
        <v/>
      </c>
      <c r="G3947" s="43" t="n"/>
      <c r="H3947" s="56" t="n"/>
      <c r="I3947" s="43" t="n"/>
      <c r="J3947" s="57">
        <f>IF(OR(A3947="",H3947=""),"",IF(COUNTIFS(exp_year,C3947,exp_month,D3947,exp_item,E3947,exp_status,"&lt;&gt;❌ Отменено")&gt;0,1,0))</f>
        <v/>
      </c>
    </row>
    <row r="3948">
      <c r="A3948" s="52" t="n"/>
      <c r="B3948" s="53">
        <f>IF(A3948="","",CHOOSE(WEEKDAY(A3948,2),"Пн","Вт","Ср","Чт","Пт","Сб","Вс"))</f>
        <v/>
      </c>
      <c r="C3948" s="53">
        <f>IF(A3948="","",YEAR(A3948))</f>
        <v/>
      </c>
      <c r="D3948" s="54">
        <f>IF(A3948="","",INDEX(lst_months,MONTH(A3948)))</f>
        <v/>
      </c>
      <c r="E3948" s="55" t="n"/>
      <c r="F3948" s="54">
        <f>IF(E3948="","",IFERROR(IF(INDEX(lst_exp_item_cat,MATCH(E3948,lst_exp_items,0))="","❔ Без категории",INDEX(lst_exp_item_cat,MATCH(E3948,lst_exp_items,0))),"❔ Без категории"))</f>
        <v/>
      </c>
      <c r="G3948" s="43" t="n"/>
      <c r="H3948" s="56" t="n"/>
      <c r="I3948" s="43" t="n"/>
      <c r="J3948" s="57">
        <f>IF(OR(A3948="",H3948=""),"",IF(COUNTIFS(exp_year,C3948,exp_month,D3948,exp_item,E3948,exp_status,"&lt;&gt;❌ Отменено")&gt;0,1,0))</f>
        <v/>
      </c>
    </row>
    <row r="3949">
      <c r="A3949" s="52" t="n"/>
      <c r="B3949" s="53">
        <f>IF(A3949="","",CHOOSE(WEEKDAY(A3949,2),"Пн","Вт","Ср","Чт","Пт","Сб","Вс"))</f>
        <v/>
      </c>
      <c r="C3949" s="53">
        <f>IF(A3949="","",YEAR(A3949))</f>
        <v/>
      </c>
      <c r="D3949" s="54">
        <f>IF(A3949="","",INDEX(lst_months,MONTH(A3949)))</f>
        <v/>
      </c>
      <c r="E3949" s="55" t="n"/>
      <c r="F3949" s="54">
        <f>IF(E3949="","",IFERROR(IF(INDEX(lst_exp_item_cat,MATCH(E3949,lst_exp_items,0))="","❔ Без категории",INDEX(lst_exp_item_cat,MATCH(E3949,lst_exp_items,0))),"❔ Без категории"))</f>
        <v/>
      </c>
      <c r="G3949" s="43" t="n"/>
      <c r="H3949" s="56" t="n"/>
      <c r="I3949" s="43" t="n"/>
      <c r="J3949" s="57">
        <f>IF(OR(A3949="",H3949=""),"",IF(COUNTIFS(exp_year,C3949,exp_month,D3949,exp_item,E3949,exp_status,"&lt;&gt;❌ Отменено")&gt;0,1,0))</f>
        <v/>
      </c>
    </row>
    <row r="3950">
      <c r="A3950" s="52" t="n"/>
      <c r="B3950" s="53">
        <f>IF(A3950="","",CHOOSE(WEEKDAY(A3950,2),"Пн","Вт","Ср","Чт","Пт","Сб","Вс"))</f>
        <v/>
      </c>
      <c r="C3950" s="53">
        <f>IF(A3950="","",YEAR(A3950))</f>
        <v/>
      </c>
      <c r="D3950" s="54">
        <f>IF(A3950="","",INDEX(lst_months,MONTH(A3950)))</f>
        <v/>
      </c>
      <c r="E3950" s="55" t="n"/>
      <c r="F3950" s="54">
        <f>IF(E3950="","",IFERROR(IF(INDEX(lst_exp_item_cat,MATCH(E3950,lst_exp_items,0))="","❔ Без категории",INDEX(lst_exp_item_cat,MATCH(E3950,lst_exp_items,0))),"❔ Без категории"))</f>
        <v/>
      </c>
      <c r="G3950" s="43" t="n"/>
      <c r="H3950" s="56" t="n"/>
      <c r="I3950" s="43" t="n"/>
      <c r="J3950" s="57">
        <f>IF(OR(A3950="",H3950=""),"",IF(COUNTIFS(exp_year,C3950,exp_month,D3950,exp_item,E3950,exp_status,"&lt;&gt;❌ Отменено")&gt;0,1,0))</f>
        <v/>
      </c>
    </row>
    <row r="3951">
      <c r="A3951" s="52" t="n"/>
      <c r="B3951" s="53">
        <f>IF(A3951="","",CHOOSE(WEEKDAY(A3951,2),"Пн","Вт","Ср","Чт","Пт","Сб","Вс"))</f>
        <v/>
      </c>
      <c r="C3951" s="53">
        <f>IF(A3951="","",YEAR(A3951))</f>
        <v/>
      </c>
      <c r="D3951" s="54">
        <f>IF(A3951="","",INDEX(lst_months,MONTH(A3951)))</f>
        <v/>
      </c>
      <c r="E3951" s="55" t="n"/>
      <c r="F3951" s="54">
        <f>IF(E3951="","",IFERROR(IF(INDEX(lst_exp_item_cat,MATCH(E3951,lst_exp_items,0))="","❔ Без категории",INDEX(lst_exp_item_cat,MATCH(E3951,lst_exp_items,0))),"❔ Без категории"))</f>
        <v/>
      </c>
      <c r="G3951" s="43" t="n"/>
      <c r="H3951" s="56" t="n"/>
      <c r="I3951" s="43" t="n"/>
      <c r="J3951" s="57">
        <f>IF(OR(A3951="",H3951=""),"",IF(COUNTIFS(exp_year,C3951,exp_month,D3951,exp_item,E3951,exp_status,"&lt;&gt;❌ Отменено")&gt;0,1,0))</f>
        <v/>
      </c>
    </row>
    <row r="3952">
      <c r="A3952" s="52" t="n"/>
      <c r="B3952" s="53">
        <f>IF(A3952="","",CHOOSE(WEEKDAY(A3952,2),"Пн","Вт","Ср","Чт","Пт","Сб","Вс"))</f>
        <v/>
      </c>
      <c r="C3952" s="53">
        <f>IF(A3952="","",YEAR(A3952))</f>
        <v/>
      </c>
      <c r="D3952" s="54">
        <f>IF(A3952="","",INDEX(lst_months,MONTH(A3952)))</f>
        <v/>
      </c>
      <c r="E3952" s="55" t="n"/>
      <c r="F3952" s="54">
        <f>IF(E3952="","",IFERROR(IF(INDEX(lst_exp_item_cat,MATCH(E3952,lst_exp_items,0))="","❔ Без категории",INDEX(lst_exp_item_cat,MATCH(E3952,lst_exp_items,0))),"❔ Без категории"))</f>
        <v/>
      </c>
      <c r="G3952" s="43" t="n"/>
      <c r="H3952" s="56" t="n"/>
      <c r="I3952" s="43" t="n"/>
      <c r="J3952" s="57">
        <f>IF(OR(A3952="",H3952=""),"",IF(COUNTIFS(exp_year,C3952,exp_month,D3952,exp_item,E3952,exp_status,"&lt;&gt;❌ Отменено")&gt;0,1,0))</f>
        <v/>
      </c>
    </row>
    <row r="3953">
      <c r="A3953" s="52" t="n"/>
      <c r="B3953" s="53">
        <f>IF(A3953="","",CHOOSE(WEEKDAY(A3953,2),"Пн","Вт","Ср","Чт","Пт","Сб","Вс"))</f>
        <v/>
      </c>
      <c r="C3953" s="53">
        <f>IF(A3953="","",YEAR(A3953))</f>
        <v/>
      </c>
      <c r="D3953" s="54">
        <f>IF(A3953="","",INDEX(lst_months,MONTH(A3953)))</f>
        <v/>
      </c>
      <c r="E3953" s="55" t="n"/>
      <c r="F3953" s="54">
        <f>IF(E3953="","",IFERROR(IF(INDEX(lst_exp_item_cat,MATCH(E3953,lst_exp_items,0))="","❔ Без категории",INDEX(lst_exp_item_cat,MATCH(E3953,lst_exp_items,0))),"❔ Без категории"))</f>
        <v/>
      </c>
      <c r="G3953" s="43" t="n"/>
      <c r="H3953" s="56" t="n"/>
      <c r="I3953" s="43" t="n"/>
      <c r="J3953" s="57">
        <f>IF(OR(A3953="",H3953=""),"",IF(COUNTIFS(exp_year,C3953,exp_month,D3953,exp_item,E3953,exp_status,"&lt;&gt;❌ Отменено")&gt;0,1,0))</f>
        <v/>
      </c>
    </row>
    <row r="3954">
      <c r="A3954" s="52" t="n"/>
      <c r="B3954" s="53">
        <f>IF(A3954="","",CHOOSE(WEEKDAY(A3954,2),"Пн","Вт","Ср","Чт","Пт","Сб","Вс"))</f>
        <v/>
      </c>
      <c r="C3954" s="53">
        <f>IF(A3954="","",YEAR(A3954))</f>
        <v/>
      </c>
      <c r="D3954" s="54">
        <f>IF(A3954="","",INDEX(lst_months,MONTH(A3954)))</f>
        <v/>
      </c>
      <c r="E3954" s="55" t="n"/>
      <c r="F3954" s="54">
        <f>IF(E3954="","",IFERROR(IF(INDEX(lst_exp_item_cat,MATCH(E3954,lst_exp_items,0))="","❔ Без категории",INDEX(lst_exp_item_cat,MATCH(E3954,lst_exp_items,0))),"❔ Без категории"))</f>
        <v/>
      </c>
      <c r="G3954" s="43" t="n"/>
      <c r="H3954" s="56" t="n"/>
      <c r="I3954" s="43" t="n"/>
      <c r="J3954" s="57">
        <f>IF(OR(A3954="",H3954=""),"",IF(COUNTIFS(exp_year,C3954,exp_month,D3954,exp_item,E3954,exp_status,"&lt;&gt;❌ Отменено")&gt;0,1,0))</f>
        <v/>
      </c>
    </row>
    <row r="3955">
      <c r="A3955" s="52" t="n"/>
      <c r="B3955" s="53">
        <f>IF(A3955="","",CHOOSE(WEEKDAY(A3955,2),"Пн","Вт","Ср","Чт","Пт","Сб","Вс"))</f>
        <v/>
      </c>
      <c r="C3955" s="53">
        <f>IF(A3955="","",YEAR(A3955))</f>
        <v/>
      </c>
      <c r="D3955" s="54">
        <f>IF(A3955="","",INDEX(lst_months,MONTH(A3955)))</f>
        <v/>
      </c>
      <c r="E3955" s="55" t="n"/>
      <c r="F3955" s="54">
        <f>IF(E3955="","",IFERROR(IF(INDEX(lst_exp_item_cat,MATCH(E3955,lst_exp_items,0))="","❔ Без категории",INDEX(lst_exp_item_cat,MATCH(E3955,lst_exp_items,0))),"❔ Без категории"))</f>
        <v/>
      </c>
      <c r="G3955" s="43" t="n"/>
      <c r="H3955" s="56" t="n"/>
      <c r="I3955" s="43" t="n"/>
      <c r="J3955" s="57">
        <f>IF(OR(A3955="",H3955=""),"",IF(COUNTIFS(exp_year,C3955,exp_month,D3955,exp_item,E3955,exp_status,"&lt;&gt;❌ Отменено")&gt;0,1,0))</f>
        <v/>
      </c>
    </row>
    <row r="3956">
      <c r="A3956" s="52" t="n"/>
      <c r="B3956" s="53">
        <f>IF(A3956="","",CHOOSE(WEEKDAY(A3956,2),"Пн","Вт","Ср","Чт","Пт","Сб","Вс"))</f>
        <v/>
      </c>
      <c r="C3956" s="53">
        <f>IF(A3956="","",YEAR(A3956))</f>
        <v/>
      </c>
      <c r="D3956" s="54">
        <f>IF(A3956="","",INDEX(lst_months,MONTH(A3956)))</f>
        <v/>
      </c>
      <c r="E3956" s="55" t="n"/>
      <c r="F3956" s="54">
        <f>IF(E3956="","",IFERROR(IF(INDEX(lst_exp_item_cat,MATCH(E3956,lst_exp_items,0))="","❔ Без категории",INDEX(lst_exp_item_cat,MATCH(E3956,lst_exp_items,0))),"❔ Без категории"))</f>
        <v/>
      </c>
      <c r="G3956" s="43" t="n"/>
      <c r="H3956" s="56" t="n"/>
      <c r="I3956" s="43" t="n"/>
      <c r="J3956" s="57">
        <f>IF(OR(A3956="",H3956=""),"",IF(COUNTIFS(exp_year,C3956,exp_month,D3956,exp_item,E3956,exp_status,"&lt;&gt;❌ Отменено")&gt;0,1,0))</f>
        <v/>
      </c>
    </row>
    <row r="3957">
      <c r="A3957" s="52" t="n"/>
      <c r="B3957" s="53">
        <f>IF(A3957="","",CHOOSE(WEEKDAY(A3957,2),"Пн","Вт","Ср","Чт","Пт","Сб","Вс"))</f>
        <v/>
      </c>
      <c r="C3957" s="53">
        <f>IF(A3957="","",YEAR(A3957))</f>
        <v/>
      </c>
      <c r="D3957" s="54">
        <f>IF(A3957="","",INDEX(lst_months,MONTH(A3957)))</f>
        <v/>
      </c>
      <c r="E3957" s="55" t="n"/>
      <c r="F3957" s="54">
        <f>IF(E3957="","",IFERROR(IF(INDEX(lst_exp_item_cat,MATCH(E3957,lst_exp_items,0))="","❔ Без категории",INDEX(lst_exp_item_cat,MATCH(E3957,lst_exp_items,0))),"❔ Без категории"))</f>
        <v/>
      </c>
      <c r="G3957" s="43" t="n"/>
      <c r="H3957" s="56" t="n"/>
      <c r="I3957" s="43" t="n"/>
      <c r="J3957" s="57">
        <f>IF(OR(A3957="",H3957=""),"",IF(COUNTIFS(exp_year,C3957,exp_month,D3957,exp_item,E3957,exp_status,"&lt;&gt;❌ Отменено")&gt;0,1,0))</f>
        <v/>
      </c>
    </row>
    <row r="3958">
      <c r="A3958" s="52" t="n"/>
      <c r="B3958" s="53">
        <f>IF(A3958="","",CHOOSE(WEEKDAY(A3958,2),"Пн","Вт","Ср","Чт","Пт","Сб","Вс"))</f>
        <v/>
      </c>
      <c r="C3958" s="53">
        <f>IF(A3958="","",YEAR(A3958))</f>
        <v/>
      </c>
      <c r="D3958" s="54">
        <f>IF(A3958="","",INDEX(lst_months,MONTH(A3958)))</f>
        <v/>
      </c>
      <c r="E3958" s="55" t="n"/>
      <c r="F3958" s="54">
        <f>IF(E3958="","",IFERROR(IF(INDEX(lst_exp_item_cat,MATCH(E3958,lst_exp_items,0))="","❔ Без категории",INDEX(lst_exp_item_cat,MATCH(E3958,lst_exp_items,0))),"❔ Без категории"))</f>
        <v/>
      </c>
      <c r="G3958" s="43" t="n"/>
      <c r="H3958" s="56" t="n"/>
      <c r="I3958" s="43" t="n"/>
      <c r="J3958" s="57">
        <f>IF(OR(A3958="",H3958=""),"",IF(COUNTIFS(exp_year,C3958,exp_month,D3958,exp_item,E3958,exp_status,"&lt;&gt;❌ Отменено")&gt;0,1,0))</f>
        <v/>
      </c>
    </row>
    <row r="3959">
      <c r="A3959" s="52" t="n"/>
      <c r="B3959" s="53">
        <f>IF(A3959="","",CHOOSE(WEEKDAY(A3959,2),"Пн","Вт","Ср","Чт","Пт","Сб","Вс"))</f>
        <v/>
      </c>
      <c r="C3959" s="53">
        <f>IF(A3959="","",YEAR(A3959))</f>
        <v/>
      </c>
      <c r="D3959" s="54">
        <f>IF(A3959="","",INDEX(lst_months,MONTH(A3959)))</f>
        <v/>
      </c>
      <c r="E3959" s="55" t="n"/>
      <c r="F3959" s="54">
        <f>IF(E3959="","",IFERROR(IF(INDEX(lst_exp_item_cat,MATCH(E3959,lst_exp_items,0))="","❔ Без категории",INDEX(lst_exp_item_cat,MATCH(E3959,lst_exp_items,0))),"❔ Без категории"))</f>
        <v/>
      </c>
      <c r="G3959" s="43" t="n"/>
      <c r="H3959" s="56" t="n"/>
      <c r="I3959" s="43" t="n"/>
      <c r="J3959" s="57">
        <f>IF(OR(A3959="",H3959=""),"",IF(COUNTIFS(exp_year,C3959,exp_month,D3959,exp_item,E3959,exp_status,"&lt;&gt;❌ Отменено")&gt;0,1,0))</f>
        <v/>
      </c>
    </row>
    <row r="3960">
      <c r="A3960" s="52" t="n"/>
      <c r="B3960" s="53">
        <f>IF(A3960="","",CHOOSE(WEEKDAY(A3960,2),"Пн","Вт","Ср","Чт","Пт","Сб","Вс"))</f>
        <v/>
      </c>
      <c r="C3960" s="53">
        <f>IF(A3960="","",YEAR(A3960))</f>
        <v/>
      </c>
      <c r="D3960" s="54">
        <f>IF(A3960="","",INDEX(lst_months,MONTH(A3960)))</f>
        <v/>
      </c>
      <c r="E3960" s="55" t="n"/>
      <c r="F3960" s="54">
        <f>IF(E3960="","",IFERROR(IF(INDEX(lst_exp_item_cat,MATCH(E3960,lst_exp_items,0))="","❔ Без категории",INDEX(lst_exp_item_cat,MATCH(E3960,lst_exp_items,0))),"❔ Без категории"))</f>
        <v/>
      </c>
      <c r="G3960" s="43" t="n"/>
      <c r="H3960" s="56" t="n"/>
      <c r="I3960" s="43" t="n"/>
      <c r="J3960" s="57">
        <f>IF(OR(A3960="",H3960=""),"",IF(COUNTIFS(exp_year,C3960,exp_month,D3960,exp_item,E3960,exp_status,"&lt;&gt;❌ Отменено")&gt;0,1,0))</f>
        <v/>
      </c>
    </row>
    <row r="3961">
      <c r="A3961" s="52" t="n"/>
      <c r="B3961" s="53">
        <f>IF(A3961="","",CHOOSE(WEEKDAY(A3961,2),"Пн","Вт","Ср","Чт","Пт","Сб","Вс"))</f>
        <v/>
      </c>
      <c r="C3961" s="53">
        <f>IF(A3961="","",YEAR(A3961))</f>
        <v/>
      </c>
      <c r="D3961" s="54">
        <f>IF(A3961="","",INDEX(lst_months,MONTH(A3961)))</f>
        <v/>
      </c>
      <c r="E3961" s="55" t="n"/>
      <c r="F3961" s="54">
        <f>IF(E3961="","",IFERROR(IF(INDEX(lst_exp_item_cat,MATCH(E3961,lst_exp_items,0))="","❔ Без категории",INDEX(lst_exp_item_cat,MATCH(E3961,lst_exp_items,0))),"❔ Без категории"))</f>
        <v/>
      </c>
      <c r="G3961" s="43" t="n"/>
      <c r="H3961" s="56" t="n"/>
      <c r="I3961" s="43" t="n"/>
      <c r="J3961" s="57">
        <f>IF(OR(A3961="",H3961=""),"",IF(COUNTIFS(exp_year,C3961,exp_month,D3961,exp_item,E3961,exp_status,"&lt;&gt;❌ Отменено")&gt;0,1,0))</f>
        <v/>
      </c>
    </row>
    <row r="3962">
      <c r="A3962" s="52" t="n"/>
      <c r="B3962" s="53">
        <f>IF(A3962="","",CHOOSE(WEEKDAY(A3962,2),"Пн","Вт","Ср","Чт","Пт","Сб","Вс"))</f>
        <v/>
      </c>
      <c r="C3962" s="53">
        <f>IF(A3962="","",YEAR(A3962))</f>
        <v/>
      </c>
      <c r="D3962" s="54">
        <f>IF(A3962="","",INDEX(lst_months,MONTH(A3962)))</f>
        <v/>
      </c>
      <c r="E3962" s="55" t="n"/>
      <c r="F3962" s="54">
        <f>IF(E3962="","",IFERROR(IF(INDEX(lst_exp_item_cat,MATCH(E3962,lst_exp_items,0))="","❔ Без категории",INDEX(lst_exp_item_cat,MATCH(E3962,lst_exp_items,0))),"❔ Без категории"))</f>
        <v/>
      </c>
      <c r="G3962" s="43" t="n"/>
      <c r="H3962" s="56" t="n"/>
      <c r="I3962" s="43" t="n"/>
      <c r="J3962" s="57">
        <f>IF(OR(A3962="",H3962=""),"",IF(COUNTIFS(exp_year,C3962,exp_month,D3962,exp_item,E3962,exp_status,"&lt;&gt;❌ Отменено")&gt;0,1,0))</f>
        <v/>
      </c>
    </row>
    <row r="3963">
      <c r="A3963" s="52" t="n"/>
      <c r="B3963" s="53">
        <f>IF(A3963="","",CHOOSE(WEEKDAY(A3963,2),"Пн","Вт","Ср","Чт","Пт","Сб","Вс"))</f>
        <v/>
      </c>
      <c r="C3963" s="53">
        <f>IF(A3963="","",YEAR(A3963))</f>
        <v/>
      </c>
      <c r="D3963" s="54">
        <f>IF(A3963="","",INDEX(lst_months,MONTH(A3963)))</f>
        <v/>
      </c>
      <c r="E3963" s="55" t="n"/>
      <c r="F3963" s="54">
        <f>IF(E3963="","",IFERROR(IF(INDEX(lst_exp_item_cat,MATCH(E3963,lst_exp_items,0))="","❔ Без категории",INDEX(lst_exp_item_cat,MATCH(E3963,lst_exp_items,0))),"❔ Без категории"))</f>
        <v/>
      </c>
      <c r="G3963" s="43" t="n"/>
      <c r="H3963" s="56" t="n"/>
      <c r="I3963" s="43" t="n"/>
      <c r="J3963" s="57">
        <f>IF(OR(A3963="",H3963=""),"",IF(COUNTIFS(exp_year,C3963,exp_month,D3963,exp_item,E3963,exp_status,"&lt;&gt;❌ Отменено")&gt;0,1,0))</f>
        <v/>
      </c>
    </row>
    <row r="3964">
      <c r="A3964" s="52" t="n"/>
      <c r="B3964" s="53">
        <f>IF(A3964="","",CHOOSE(WEEKDAY(A3964,2),"Пн","Вт","Ср","Чт","Пт","Сб","Вс"))</f>
        <v/>
      </c>
      <c r="C3964" s="53">
        <f>IF(A3964="","",YEAR(A3964))</f>
        <v/>
      </c>
      <c r="D3964" s="54">
        <f>IF(A3964="","",INDEX(lst_months,MONTH(A3964)))</f>
        <v/>
      </c>
      <c r="E3964" s="55" t="n"/>
      <c r="F3964" s="54">
        <f>IF(E3964="","",IFERROR(IF(INDEX(lst_exp_item_cat,MATCH(E3964,lst_exp_items,0))="","❔ Без категории",INDEX(lst_exp_item_cat,MATCH(E3964,lst_exp_items,0))),"❔ Без категории"))</f>
        <v/>
      </c>
      <c r="G3964" s="43" t="n"/>
      <c r="H3964" s="56" t="n"/>
      <c r="I3964" s="43" t="n"/>
      <c r="J3964" s="57">
        <f>IF(OR(A3964="",H3964=""),"",IF(COUNTIFS(exp_year,C3964,exp_month,D3964,exp_item,E3964,exp_status,"&lt;&gt;❌ Отменено")&gt;0,1,0))</f>
        <v/>
      </c>
    </row>
    <row r="3965">
      <c r="A3965" s="52" t="n"/>
      <c r="B3965" s="53">
        <f>IF(A3965="","",CHOOSE(WEEKDAY(A3965,2),"Пн","Вт","Ср","Чт","Пт","Сб","Вс"))</f>
        <v/>
      </c>
      <c r="C3965" s="53">
        <f>IF(A3965="","",YEAR(A3965))</f>
        <v/>
      </c>
      <c r="D3965" s="54">
        <f>IF(A3965="","",INDEX(lst_months,MONTH(A3965)))</f>
        <v/>
      </c>
      <c r="E3965" s="55" t="n"/>
      <c r="F3965" s="54">
        <f>IF(E3965="","",IFERROR(IF(INDEX(lst_exp_item_cat,MATCH(E3965,lst_exp_items,0))="","❔ Без категории",INDEX(lst_exp_item_cat,MATCH(E3965,lst_exp_items,0))),"❔ Без категории"))</f>
        <v/>
      </c>
      <c r="G3965" s="43" t="n"/>
      <c r="H3965" s="56" t="n"/>
      <c r="I3965" s="43" t="n"/>
      <c r="J3965" s="57">
        <f>IF(OR(A3965="",H3965=""),"",IF(COUNTIFS(exp_year,C3965,exp_month,D3965,exp_item,E3965,exp_status,"&lt;&gt;❌ Отменено")&gt;0,1,0))</f>
        <v/>
      </c>
    </row>
    <row r="3966">
      <c r="A3966" s="52" t="n"/>
      <c r="B3966" s="53">
        <f>IF(A3966="","",CHOOSE(WEEKDAY(A3966,2),"Пн","Вт","Ср","Чт","Пт","Сб","Вс"))</f>
        <v/>
      </c>
      <c r="C3966" s="53">
        <f>IF(A3966="","",YEAR(A3966))</f>
        <v/>
      </c>
      <c r="D3966" s="54">
        <f>IF(A3966="","",INDEX(lst_months,MONTH(A3966)))</f>
        <v/>
      </c>
      <c r="E3966" s="55" t="n"/>
      <c r="F3966" s="54">
        <f>IF(E3966="","",IFERROR(IF(INDEX(lst_exp_item_cat,MATCH(E3966,lst_exp_items,0))="","❔ Без категории",INDEX(lst_exp_item_cat,MATCH(E3966,lst_exp_items,0))),"❔ Без категории"))</f>
        <v/>
      </c>
      <c r="G3966" s="43" t="n"/>
      <c r="H3966" s="56" t="n"/>
      <c r="I3966" s="43" t="n"/>
      <c r="J3966" s="57">
        <f>IF(OR(A3966="",H3966=""),"",IF(COUNTIFS(exp_year,C3966,exp_month,D3966,exp_item,E3966,exp_status,"&lt;&gt;❌ Отменено")&gt;0,1,0))</f>
        <v/>
      </c>
    </row>
    <row r="3967">
      <c r="A3967" s="52" t="n"/>
      <c r="B3967" s="53">
        <f>IF(A3967="","",CHOOSE(WEEKDAY(A3967,2),"Пн","Вт","Ср","Чт","Пт","Сб","Вс"))</f>
        <v/>
      </c>
      <c r="C3967" s="53">
        <f>IF(A3967="","",YEAR(A3967))</f>
        <v/>
      </c>
      <c r="D3967" s="54">
        <f>IF(A3967="","",INDEX(lst_months,MONTH(A3967)))</f>
        <v/>
      </c>
      <c r="E3967" s="55" t="n"/>
      <c r="F3967" s="54">
        <f>IF(E3967="","",IFERROR(IF(INDEX(lst_exp_item_cat,MATCH(E3967,lst_exp_items,0))="","❔ Без категории",INDEX(lst_exp_item_cat,MATCH(E3967,lst_exp_items,0))),"❔ Без категории"))</f>
        <v/>
      </c>
      <c r="G3967" s="43" t="n"/>
      <c r="H3967" s="56" t="n"/>
      <c r="I3967" s="43" t="n"/>
      <c r="J3967" s="57">
        <f>IF(OR(A3967="",H3967=""),"",IF(COUNTIFS(exp_year,C3967,exp_month,D3967,exp_item,E3967,exp_status,"&lt;&gt;❌ Отменено")&gt;0,1,0))</f>
        <v/>
      </c>
    </row>
    <row r="3968">
      <c r="A3968" s="52" t="n"/>
      <c r="B3968" s="53">
        <f>IF(A3968="","",CHOOSE(WEEKDAY(A3968,2),"Пн","Вт","Ср","Чт","Пт","Сб","Вс"))</f>
        <v/>
      </c>
      <c r="C3968" s="53">
        <f>IF(A3968="","",YEAR(A3968))</f>
        <v/>
      </c>
      <c r="D3968" s="54">
        <f>IF(A3968="","",INDEX(lst_months,MONTH(A3968)))</f>
        <v/>
      </c>
      <c r="E3968" s="55" t="n"/>
      <c r="F3968" s="54">
        <f>IF(E3968="","",IFERROR(IF(INDEX(lst_exp_item_cat,MATCH(E3968,lst_exp_items,0))="","❔ Без категории",INDEX(lst_exp_item_cat,MATCH(E3968,lst_exp_items,0))),"❔ Без категории"))</f>
        <v/>
      </c>
      <c r="G3968" s="43" t="n"/>
      <c r="H3968" s="56" t="n"/>
      <c r="I3968" s="43" t="n"/>
      <c r="J3968" s="57">
        <f>IF(OR(A3968="",H3968=""),"",IF(COUNTIFS(exp_year,C3968,exp_month,D3968,exp_item,E3968,exp_status,"&lt;&gt;❌ Отменено")&gt;0,1,0))</f>
        <v/>
      </c>
    </row>
    <row r="3969">
      <c r="A3969" s="52" t="n"/>
      <c r="B3969" s="53">
        <f>IF(A3969="","",CHOOSE(WEEKDAY(A3969,2),"Пн","Вт","Ср","Чт","Пт","Сб","Вс"))</f>
        <v/>
      </c>
      <c r="C3969" s="53">
        <f>IF(A3969="","",YEAR(A3969))</f>
        <v/>
      </c>
      <c r="D3969" s="54">
        <f>IF(A3969="","",INDEX(lst_months,MONTH(A3969)))</f>
        <v/>
      </c>
      <c r="E3969" s="55" t="n"/>
      <c r="F3969" s="54">
        <f>IF(E3969="","",IFERROR(IF(INDEX(lst_exp_item_cat,MATCH(E3969,lst_exp_items,0))="","❔ Без категории",INDEX(lst_exp_item_cat,MATCH(E3969,lst_exp_items,0))),"❔ Без категории"))</f>
        <v/>
      </c>
      <c r="G3969" s="43" t="n"/>
      <c r="H3969" s="56" t="n"/>
      <c r="I3969" s="43" t="n"/>
      <c r="J3969" s="57">
        <f>IF(OR(A3969="",H3969=""),"",IF(COUNTIFS(exp_year,C3969,exp_month,D3969,exp_item,E3969,exp_status,"&lt;&gt;❌ Отменено")&gt;0,1,0))</f>
        <v/>
      </c>
    </row>
    <row r="3970">
      <c r="A3970" s="52" t="n"/>
      <c r="B3970" s="53">
        <f>IF(A3970="","",CHOOSE(WEEKDAY(A3970,2),"Пн","Вт","Ср","Чт","Пт","Сб","Вс"))</f>
        <v/>
      </c>
      <c r="C3970" s="53">
        <f>IF(A3970="","",YEAR(A3970))</f>
        <v/>
      </c>
      <c r="D3970" s="54">
        <f>IF(A3970="","",INDEX(lst_months,MONTH(A3970)))</f>
        <v/>
      </c>
      <c r="E3970" s="55" t="n"/>
      <c r="F3970" s="54">
        <f>IF(E3970="","",IFERROR(IF(INDEX(lst_exp_item_cat,MATCH(E3970,lst_exp_items,0))="","❔ Без категории",INDEX(lst_exp_item_cat,MATCH(E3970,lst_exp_items,0))),"❔ Без категории"))</f>
        <v/>
      </c>
      <c r="G3970" s="43" t="n"/>
      <c r="H3970" s="56" t="n"/>
      <c r="I3970" s="43" t="n"/>
      <c r="J3970" s="57">
        <f>IF(OR(A3970="",H3970=""),"",IF(COUNTIFS(exp_year,C3970,exp_month,D3970,exp_item,E3970,exp_status,"&lt;&gt;❌ Отменено")&gt;0,1,0))</f>
        <v/>
      </c>
    </row>
    <row r="3971">
      <c r="A3971" s="52" t="n"/>
      <c r="B3971" s="53">
        <f>IF(A3971="","",CHOOSE(WEEKDAY(A3971,2),"Пн","Вт","Ср","Чт","Пт","Сб","Вс"))</f>
        <v/>
      </c>
      <c r="C3971" s="53">
        <f>IF(A3971="","",YEAR(A3971))</f>
        <v/>
      </c>
      <c r="D3971" s="54">
        <f>IF(A3971="","",INDEX(lst_months,MONTH(A3971)))</f>
        <v/>
      </c>
      <c r="E3971" s="55" t="n"/>
      <c r="F3971" s="54">
        <f>IF(E3971="","",IFERROR(IF(INDEX(lst_exp_item_cat,MATCH(E3971,lst_exp_items,0))="","❔ Без категории",INDEX(lst_exp_item_cat,MATCH(E3971,lst_exp_items,0))),"❔ Без категории"))</f>
        <v/>
      </c>
      <c r="G3971" s="43" t="n"/>
      <c r="H3971" s="56" t="n"/>
      <c r="I3971" s="43" t="n"/>
      <c r="J3971" s="57">
        <f>IF(OR(A3971="",H3971=""),"",IF(COUNTIFS(exp_year,C3971,exp_month,D3971,exp_item,E3971,exp_status,"&lt;&gt;❌ Отменено")&gt;0,1,0))</f>
        <v/>
      </c>
    </row>
    <row r="3972">
      <c r="A3972" s="52" t="n"/>
      <c r="B3972" s="53">
        <f>IF(A3972="","",CHOOSE(WEEKDAY(A3972,2),"Пн","Вт","Ср","Чт","Пт","Сб","Вс"))</f>
        <v/>
      </c>
      <c r="C3972" s="53">
        <f>IF(A3972="","",YEAR(A3972))</f>
        <v/>
      </c>
      <c r="D3972" s="54">
        <f>IF(A3972="","",INDEX(lst_months,MONTH(A3972)))</f>
        <v/>
      </c>
      <c r="E3972" s="55" t="n"/>
      <c r="F3972" s="54">
        <f>IF(E3972="","",IFERROR(IF(INDEX(lst_exp_item_cat,MATCH(E3972,lst_exp_items,0))="","❔ Без категории",INDEX(lst_exp_item_cat,MATCH(E3972,lst_exp_items,0))),"❔ Без категории"))</f>
        <v/>
      </c>
      <c r="G3972" s="43" t="n"/>
      <c r="H3972" s="56" t="n"/>
      <c r="I3972" s="43" t="n"/>
      <c r="J3972" s="57">
        <f>IF(OR(A3972="",H3972=""),"",IF(COUNTIFS(exp_year,C3972,exp_month,D3972,exp_item,E3972,exp_status,"&lt;&gt;❌ Отменено")&gt;0,1,0))</f>
        <v/>
      </c>
    </row>
    <row r="3973">
      <c r="A3973" s="52" t="n"/>
      <c r="B3973" s="53">
        <f>IF(A3973="","",CHOOSE(WEEKDAY(A3973,2),"Пн","Вт","Ср","Чт","Пт","Сб","Вс"))</f>
        <v/>
      </c>
      <c r="C3973" s="53">
        <f>IF(A3973="","",YEAR(A3973))</f>
        <v/>
      </c>
      <c r="D3973" s="54">
        <f>IF(A3973="","",INDEX(lst_months,MONTH(A3973)))</f>
        <v/>
      </c>
      <c r="E3973" s="55" t="n"/>
      <c r="F3973" s="54">
        <f>IF(E3973="","",IFERROR(IF(INDEX(lst_exp_item_cat,MATCH(E3973,lst_exp_items,0))="","❔ Без категории",INDEX(lst_exp_item_cat,MATCH(E3973,lst_exp_items,0))),"❔ Без категории"))</f>
        <v/>
      </c>
      <c r="G3973" s="43" t="n"/>
      <c r="H3973" s="56" t="n"/>
      <c r="I3973" s="43" t="n"/>
      <c r="J3973" s="57">
        <f>IF(OR(A3973="",H3973=""),"",IF(COUNTIFS(exp_year,C3973,exp_month,D3973,exp_item,E3973,exp_status,"&lt;&gt;❌ Отменено")&gt;0,1,0))</f>
        <v/>
      </c>
    </row>
    <row r="3974">
      <c r="A3974" s="52" t="n"/>
      <c r="B3974" s="53">
        <f>IF(A3974="","",CHOOSE(WEEKDAY(A3974,2),"Пн","Вт","Ср","Чт","Пт","Сб","Вс"))</f>
        <v/>
      </c>
      <c r="C3974" s="53">
        <f>IF(A3974="","",YEAR(A3974))</f>
        <v/>
      </c>
      <c r="D3974" s="54">
        <f>IF(A3974="","",INDEX(lst_months,MONTH(A3974)))</f>
        <v/>
      </c>
      <c r="E3974" s="55" t="n"/>
      <c r="F3974" s="54">
        <f>IF(E3974="","",IFERROR(IF(INDEX(lst_exp_item_cat,MATCH(E3974,lst_exp_items,0))="","❔ Без категории",INDEX(lst_exp_item_cat,MATCH(E3974,lst_exp_items,0))),"❔ Без категории"))</f>
        <v/>
      </c>
      <c r="G3974" s="43" t="n"/>
      <c r="H3974" s="56" t="n"/>
      <c r="I3974" s="43" t="n"/>
      <c r="J3974" s="57">
        <f>IF(OR(A3974="",H3974=""),"",IF(COUNTIFS(exp_year,C3974,exp_month,D3974,exp_item,E3974,exp_status,"&lt;&gt;❌ Отменено")&gt;0,1,0))</f>
        <v/>
      </c>
    </row>
    <row r="3975">
      <c r="A3975" s="52" t="n"/>
      <c r="B3975" s="53">
        <f>IF(A3975="","",CHOOSE(WEEKDAY(A3975,2),"Пн","Вт","Ср","Чт","Пт","Сб","Вс"))</f>
        <v/>
      </c>
      <c r="C3975" s="53">
        <f>IF(A3975="","",YEAR(A3975))</f>
        <v/>
      </c>
      <c r="D3975" s="54">
        <f>IF(A3975="","",INDEX(lst_months,MONTH(A3975)))</f>
        <v/>
      </c>
      <c r="E3975" s="55" t="n"/>
      <c r="F3975" s="54">
        <f>IF(E3975="","",IFERROR(IF(INDEX(lst_exp_item_cat,MATCH(E3975,lst_exp_items,0))="","❔ Без категории",INDEX(lst_exp_item_cat,MATCH(E3975,lst_exp_items,0))),"❔ Без категории"))</f>
        <v/>
      </c>
      <c r="G3975" s="43" t="n"/>
      <c r="H3975" s="56" t="n"/>
      <c r="I3975" s="43" t="n"/>
      <c r="J3975" s="57">
        <f>IF(OR(A3975="",H3975=""),"",IF(COUNTIFS(exp_year,C3975,exp_month,D3975,exp_item,E3975,exp_status,"&lt;&gt;❌ Отменено")&gt;0,1,0))</f>
        <v/>
      </c>
    </row>
    <row r="3976">
      <c r="A3976" s="52" t="n"/>
      <c r="B3976" s="53">
        <f>IF(A3976="","",CHOOSE(WEEKDAY(A3976,2),"Пн","Вт","Ср","Чт","Пт","Сб","Вс"))</f>
        <v/>
      </c>
      <c r="C3976" s="53">
        <f>IF(A3976="","",YEAR(A3976))</f>
        <v/>
      </c>
      <c r="D3976" s="54">
        <f>IF(A3976="","",INDEX(lst_months,MONTH(A3976)))</f>
        <v/>
      </c>
      <c r="E3976" s="55" t="n"/>
      <c r="F3976" s="54">
        <f>IF(E3976="","",IFERROR(IF(INDEX(lst_exp_item_cat,MATCH(E3976,lst_exp_items,0))="","❔ Без категории",INDEX(lst_exp_item_cat,MATCH(E3976,lst_exp_items,0))),"❔ Без категории"))</f>
        <v/>
      </c>
      <c r="G3976" s="43" t="n"/>
      <c r="H3976" s="56" t="n"/>
      <c r="I3976" s="43" t="n"/>
      <c r="J3976" s="57">
        <f>IF(OR(A3976="",H3976=""),"",IF(COUNTIFS(exp_year,C3976,exp_month,D3976,exp_item,E3976,exp_status,"&lt;&gt;❌ Отменено")&gt;0,1,0))</f>
        <v/>
      </c>
    </row>
    <row r="3977">
      <c r="A3977" s="52" t="n"/>
      <c r="B3977" s="53">
        <f>IF(A3977="","",CHOOSE(WEEKDAY(A3977,2),"Пн","Вт","Ср","Чт","Пт","Сб","Вс"))</f>
        <v/>
      </c>
      <c r="C3977" s="53">
        <f>IF(A3977="","",YEAR(A3977))</f>
        <v/>
      </c>
      <c r="D3977" s="54">
        <f>IF(A3977="","",INDEX(lst_months,MONTH(A3977)))</f>
        <v/>
      </c>
      <c r="E3977" s="55" t="n"/>
      <c r="F3977" s="54">
        <f>IF(E3977="","",IFERROR(IF(INDEX(lst_exp_item_cat,MATCH(E3977,lst_exp_items,0))="","❔ Без категории",INDEX(lst_exp_item_cat,MATCH(E3977,lst_exp_items,0))),"❔ Без категории"))</f>
        <v/>
      </c>
      <c r="G3977" s="43" t="n"/>
      <c r="H3977" s="56" t="n"/>
      <c r="I3977" s="43" t="n"/>
      <c r="J3977" s="57">
        <f>IF(OR(A3977="",H3977=""),"",IF(COUNTIFS(exp_year,C3977,exp_month,D3977,exp_item,E3977,exp_status,"&lt;&gt;❌ Отменено")&gt;0,1,0))</f>
        <v/>
      </c>
    </row>
    <row r="3978">
      <c r="A3978" s="52" t="n"/>
      <c r="B3978" s="53">
        <f>IF(A3978="","",CHOOSE(WEEKDAY(A3978,2),"Пн","Вт","Ср","Чт","Пт","Сб","Вс"))</f>
        <v/>
      </c>
      <c r="C3978" s="53">
        <f>IF(A3978="","",YEAR(A3978))</f>
        <v/>
      </c>
      <c r="D3978" s="54">
        <f>IF(A3978="","",INDEX(lst_months,MONTH(A3978)))</f>
        <v/>
      </c>
      <c r="E3978" s="55" t="n"/>
      <c r="F3978" s="54">
        <f>IF(E3978="","",IFERROR(IF(INDEX(lst_exp_item_cat,MATCH(E3978,lst_exp_items,0))="","❔ Без категории",INDEX(lst_exp_item_cat,MATCH(E3978,lst_exp_items,0))),"❔ Без категории"))</f>
        <v/>
      </c>
      <c r="G3978" s="43" t="n"/>
      <c r="H3978" s="56" t="n"/>
      <c r="I3978" s="43" t="n"/>
      <c r="J3978" s="57">
        <f>IF(OR(A3978="",H3978=""),"",IF(COUNTIFS(exp_year,C3978,exp_month,D3978,exp_item,E3978,exp_status,"&lt;&gt;❌ Отменено")&gt;0,1,0))</f>
        <v/>
      </c>
    </row>
    <row r="3979">
      <c r="A3979" s="52" t="n"/>
      <c r="B3979" s="53">
        <f>IF(A3979="","",CHOOSE(WEEKDAY(A3979,2),"Пн","Вт","Ср","Чт","Пт","Сб","Вс"))</f>
        <v/>
      </c>
      <c r="C3979" s="53">
        <f>IF(A3979="","",YEAR(A3979))</f>
        <v/>
      </c>
      <c r="D3979" s="54">
        <f>IF(A3979="","",INDEX(lst_months,MONTH(A3979)))</f>
        <v/>
      </c>
      <c r="E3979" s="55" t="n"/>
      <c r="F3979" s="54">
        <f>IF(E3979="","",IFERROR(IF(INDEX(lst_exp_item_cat,MATCH(E3979,lst_exp_items,0))="","❔ Без категории",INDEX(lst_exp_item_cat,MATCH(E3979,lst_exp_items,0))),"❔ Без категории"))</f>
        <v/>
      </c>
      <c r="G3979" s="43" t="n"/>
      <c r="H3979" s="56" t="n"/>
      <c r="I3979" s="43" t="n"/>
      <c r="J3979" s="57">
        <f>IF(OR(A3979="",H3979=""),"",IF(COUNTIFS(exp_year,C3979,exp_month,D3979,exp_item,E3979,exp_status,"&lt;&gt;❌ Отменено")&gt;0,1,0))</f>
        <v/>
      </c>
    </row>
    <row r="3980">
      <c r="A3980" s="52" t="n"/>
      <c r="B3980" s="53">
        <f>IF(A3980="","",CHOOSE(WEEKDAY(A3980,2),"Пн","Вт","Ср","Чт","Пт","Сб","Вс"))</f>
        <v/>
      </c>
      <c r="C3980" s="53">
        <f>IF(A3980="","",YEAR(A3980))</f>
        <v/>
      </c>
      <c r="D3980" s="54">
        <f>IF(A3980="","",INDEX(lst_months,MONTH(A3980)))</f>
        <v/>
      </c>
      <c r="E3980" s="55" t="n"/>
      <c r="F3980" s="54">
        <f>IF(E3980="","",IFERROR(IF(INDEX(lst_exp_item_cat,MATCH(E3980,lst_exp_items,0))="","❔ Без категории",INDEX(lst_exp_item_cat,MATCH(E3980,lst_exp_items,0))),"❔ Без категории"))</f>
        <v/>
      </c>
      <c r="G3980" s="43" t="n"/>
      <c r="H3980" s="56" t="n"/>
      <c r="I3980" s="43" t="n"/>
      <c r="J3980" s="57">
        <f>IF(OR(A3980="",H3980=""),"",IF(COUNTIFS(exp_year,C3980,exp_month,D3980,exp_item,E3980,exp_status,"&lt;&gt;❌ Отменено")&gt;0,1,0))</f>
        <v/>
      </c>
    </row>
    <row r="3981">
      <c r="A3981" s="52" t="n"/>
      <c r="B3981" s="53">
        <f>IF(A3981="","",CHOOSE(WEEKDAY(A3981,2),"Пн","Вт","Ср","Чт","Пт","Сб","Вс"))</f>
        <v/>
      </c>
      <c r="C3981" s="53">
        <f>IF(A3981="","",YEAR(A3981))</f>
        <v/>
      </c>
      <c r="D3981" s="54">
        <f>IF(A3981="","",INDEX(lst_months,MONTH(A3981)))</f>
        <v/>
      </c>
      <c r="E3981" s="55" t="n"/>
      <c r="F3981" s="54">
        <f>IF(E3981="","",IFERROR(IF(INDEX(lst_exp_item_cat,MATCH(E3981,lst_exp_items,0))="","❔ Без категории",INDEX(lst_exp_item_cat,MATCH(E3981,lst_exp_items,0))),"❔ Без категории"))</f>
        <v/>
      </c>
      <c r="G3981" s="43" t="n"/>
      <c r="H3981" s="56" t="n"/>
      <c r="I3981" s="43" t="n"/>
      <c r="J3981" s="57">
        <f>IF(OR(A3981="",H3981=""),"",IF(COUNTIFS(exp_year,C3981,exp_month,D3981,exp_item,E3981,exp_status,"&lt;&gt;❌ Отменено")&gt;0,1,0))</f>
        <v/>
      </c>
    </row>
    <row r="3982">
      <c r="A3982" s="52" t="n"/>
      <c r="B3982" s="53">
        <f>IF(A3982="","",CHOOSE(WEEKDAY(A3982,2),"Пн","Вт","Ср","Чт","Пт","Сб","Вс"))</f>
        <v/>
      </c>
      <c r="C3982" s="53">
        <f>IF(A3982="","",YEAR(A3982))</f>
        <v/>
      </c>
      <c r="D3982" s="54">
        <f>IF(A3982="","",INDEX(lst_months,MONTH(A3982)))</f>
        <v/>
      </c>
      <c r="E3982" s="55" t="n"/>
      <c r="F3982" s="54">
        <f>IF(E3982="","",IFERROR(IF(INDEX(lst_exp_item_cat,MATCH(E3982,lst_exp_items,0))="","❔ Без категории",INDEX(lst_exp_item_cat,MATCH(E3982,lst_exp_items,0))),"❔ Без категории"))</f>
        <v/>
      </c>
      <c r="G3982" s="43" t="n"/>
      <c r="H3982" s="56" t="n"/>
      <c r="I3982" s="43" t="n"/>
      <c r="J3982" s="57">
        <f>IF(OR(A3982="",H3982=""),"",IF(COUNTIFS(exp_year,C3982,exp_month,D3982,exp_item,E3982,exp_status,"&lt;&gt;❌ Отменено")&gt;0,1,0))</f>
        <v/>
      </c>
    </row>
    <row r="3983">
      <c r="A3983" s="52" t="n"/>
      <c r="B3983" s="53">
        <f>IF(A3983="","",CHOOSE(WEEKDAY(A3983,2),"Пн","Вт","Ср","Чт","Пт","Сб","Вс"))</f>
        <v/>
      </c>
      <c r="C3983" s="53">
        <f>IF(A3983="","",YEAR(A3983))</f>
        <v/>
      </c>
      <c r="D3983" s="54">
        <f>IF(A3983="","",INDEX(lst_months,MONTH(A3983)))</f>
        <v/>
      </c>
      <c r="E3983" s="55" t="n"/>
      <c r="F3983" s="54">
        <f>IF(E3983="","",IFERROR(IF(INDEX(lst_exp_item_cat,MATCH(E3983,lst_exp_items,0))="","❔ Без категории",INDEX(lst_exp_item_cat,MATCH(E3983,lst_exp_items,0))),"❔ Без категории"))</f>
        <v/>
      </c>
      <c r="G3983" s="43" t="n"/>
      <c r="H3983" s="56" t="n"/>
      <c r="I3983" s="43" t="n"/>
      <c r="J3983" s="57">
        <f>IF(OR(A3983="",H3983=""),"",IF(COUNTIFS(exp_year,C3983,exp_month,D3983,exp_item,E3983,exp_status,"&lt;&gt;❌ Отменено")&gt;0,1,0))</f>
        <v/>
      </c>
    </row>
    <row r="3984">
      <c r="A3984" s="52" t="n"/>
      <c r="B3984" s="53">
        <f>IF(A3984="","",CHOOSE(WEEKDAY(A3984,2),"Пн","Вт","Ср","Чт","Пт","Сб","Вс"))</f>
        <v/>
      </c>
      <c r="C3984" s="53">
        <f>IF(A3984="","",YEAR(A3984))</f>
        <v/>
      </c>
      <c r="D3984" s="54">
        <f>IF(A3984="","",INDEX(lst_months,MONTH(A3984)))</f>
        <v/>
      </c>
      <c r="E3984" s="55" t="n"/>
      <c r="F3984" s="54">
        <f>IF(E3984="","",IFERROR(IF(INDEX(lst_exp_item_cat,MATCH(E3984,lst_exp_items,0))="","❔ Без категории",INDEX(lst_exp_item_cat,MATCH(E3984,lst_exp_items,0))),"❔ Без категории"))</f>
        <v/>
      </c>
      <c r="G3984" s="43" t="n"/>
      <c r="H3984" s="56" t="n"/>
      <c r="I3984" s="43" t="n"/>
      <c r="J3984" s="57">
        <f>IF(OR(A3984="",H3984=""),"",IF(COUNTIFS(exp_year,C3984,exp_month,D3984,exp_item,E3984,exp_status,"&lt;&gt;❌ Отменено")&gt;0,1,0))</f>
        <v/>
      </c>
    </row>
    <row r="3985">
      <c r="A3985" s="52" t="n"/>
      <c r="B3985" s="53">
        <f>IF(A3985="","",CHOOSE(WEEKDAY(A3985,2),"Пн","Вт","Ср","Чт","Пт","Сб","Вс"))</f>
        <v/>
      </c>
      <c r="C3985" s="53">
        <f>IF(A3985="","",YEAR(A3985))</f>
        <v/>
      </c>
      <c r="D3985" s="54">
        <f>IF(A3985="","",INDEX(lst_months,MONTH(A3985)))</f>
        <v/>
      </c>
      <c r="E3985" s="55" t="n"/>
      <c r="F3985" s="54">
        <f>IF(E3985="","",IFERROR(IF(INDEX(lst_exp_item_cat,MATCH(E3985,lst_exp_items,0))="","❔ Без категории",INDEX(lst_exp_item_cat,MATCH(E3985,lst_exp_items,0))),"❔ Без категории"))</f>
        <v/>
      </c>
      <c r="G3985" s="43" t="n"/>
      <c r="H3985" s="56" t="n"/>
      <c r="I3985" s="43" t="n"/>
      <c r="J3985" s="57">
        <f>IF(OR(A3985="",H3985=""),"",IF(COUNTIFS(exp_year,C3985,exp_month,D3985,exp_item,E3985,exp_status,"&lt;&gt;❌ Отменено")&gt;0,1,0))</f>
        <v/>
      </c>
    </row>
    <row r="3986">
      <c r="A3986" s="52" t="n"/>
      <c r="B3986" s="53">
        <f>IF(A3986="","",CHOOSE(WEEKDAY(A3986,2),"Пн","Вт","Ср","Чт","Пт","Сб","Вс"))</f>
        <v/>
      </c>
      <c r="C3986" s="53">
        <f>IF(A3986="","",YEAR(A3986))</f>
        <v/>
      </c>
      <c r="D3986" s="54">
        <f>IF(A3986="","",INDEX(lst_months,MONTH(A3986)))</f>
        <v/>
      </c>
      <c r="E3986" s="55" t="n"/>
      <c r="F3986" s="54">
        <f>IF(E3986="","",IFERROR(IF(INDEX(lst_exp_item_cat,MATCH(E3986,lst_exp_items,0))="","❔ Без категории",INDEX(lst_exp_item_cat,MATCH(E3986,lst_exp_items,0))),"❔ Без категории"))</f>
        <v/>
      </c>
      <c r="G3986" s="43" t="n"/>
      <c r="H3986" s="56" t="n"/>
      <c r="I3986" s="43" t="n"/>
      <c r="J3986" s="57">
        <f>IF(OR(A3986="",H3986=""),"",IF(COUNTIFS(exp_year,C3986,exp_month,D3986,exp_item,E3986,exp_status,"&lt;&gt;❌ Отменено")&gt;0,1,0))</f>
        <v/>
      </c>
    </row>
    <row r="3987">
      <c r="A3987" s="52" t="n"/>
      <c r="B3987" s="53">
        <f>IF(A3987="","",CHOOSE(WEEKDAY(A3987,2),"Пн","Вт","Ср","Чт","Пт","Сб","Вс"))</f>
        <v/>
      </c>
      <c r="C3987" s="53">
        <f>IF(A3987="","",YEAR(A3987))</f>
        <v/>
      </c>
      <c r="D3987" s="54">
        <f>IF(A3987="","",INDEX(lst_months,MONTH(A3987)))</f>
        <v/>
      </c>
      <c r="E3987" s="55" t="n"/>
      <c r="F3987" s="54">
        <f>IF(E3987="","",IFERROR(IF(INDEX(lst_exp_item_cat,MATCH(E3987,lst_exp_items,0))="","❔ Без категории",INDEX(lst_exp_item_cat,MATCH(E3987,lst_exp_items,0))),"❔ Без категории"))</f>
        <v/>
      </c>
      <c r="G3987" s="43" t="n"/>
      <c r="H3987" s="56" t="n"/>
      <c r="I3987" s="43" t="n"/>
      <c r="J3987" s="57">
        <f>IF(OR(A3987="",H3987=""),"",IF(COUNTIFS(exp_year,C3987,exp_month,D3987,exp_item,E3987,exp_status,"&lt;&gt;❌ Отменено")&gt;0,1,0))</f>
        <v/>
      </c>
    </row>
    <row r="3988">
      <c r="A3988" s="52" t="n"/>
      <c r="B3988" s="53">
        <f>IF(A3988="","",CHOOSE(WEEKDAY(A3988,2),"Пн","Вт","Ср","Чт","Пт","Сб","Вс"))</f>
        <v/>
      </c>
      <c r="C3988" s="53">
        <f>IF(A3988="","",YEAR(A3988))</f>
        <v/>
      </c>
      <c r="D3988" s="54">
        <f>IF(A3988="","",INDEX(lst_months,MONTH(A3988)))</f>
        <v/>
      </c>
      <c r="E3988" s="55" t="n"/>
      <c r="F3988" s="54">
        <f>IF(E3988="","",IFERROR(IF(INDEX(lst_exp_item_cat,MATCH(E3988,lst_exp_items,0))="","❔ Без категории",INDEX(lst_exp_item_cat,MATCH(E3988,lst_exp_items,0))),"❔ Без категории"))</f>
        <v/>
      </c>
      <c r="G3988" s="43" t="n"/>
      <c r="H3988" s="56" t="n"/>
      <c r="I3988" s="43" t="n"/>
      <c r="J3988" s="57">
        <f>IF(OR(A3988="",H3988=""),"",IF(COUNTIFS(exp_year,C3988,exp_month,D3988,exp_item,E3988,exp_status,"&lt;&gt;❌ Отменено")&gt;0,1,0))</f>
        <v/>
      </c>
    </row>
    <row r="3989">
      <c r="A3989" s="52" t="n"/>
      <c r="B3989" s="53">
        <f>IF(A3989="","",CHOOSE(WEEKDAY(A3989,2),"Пн","Вт","Ср","Чт","Пт","Сб","Вс"))</f>
        <v/>
      </c>
      <c r="C3989" s="53">
        <f>IF(A3989="","",YEAR(A3989))</f>
        <v/>
      </c>
      <c r="D3989" s="54">
        <f>IF(A3989="","",INDEX(lst_months,MONTH(A3989)))</f>
        <v/>
      </c>
      <c r="E3989" s="55" t="n"/>
      <c r="F3989" s="54">
        <f>IF(E3989="","",IFERROR(IF(INDEX(lst_exp_item_cat,MATCH(E3989,lst_exp_items,0))="","❔ Без категории",INDEX(lst_exp_item_cat,MATCH(E3989,lst_exp_items,0))),"❔ Без категории"))</f>
        <v/>
      </c>
      <c r="G3989" s="43" t="n"/>
      <c r="H3989" s="56" t="n"/>
      <c r="I3989" s="43" t="n"/>
      <c r="J3989" s="57">
        <f>IF(OR(A3989="",H3989=""),"",IF(COUNTIFS(exp_year,C3989,exp_month,D3989,exp_item,E3989,exp_status,"&lt;&gt;❌ Отменено")&gt;0,1,0))</f>
        <v/>
      </c>
    </row>
    <row r="3990">
      <c r="A3990" s="52" t="n"/>
      <c r="B3990" s="53">
        <f>IF(A3990="","",CHOOSE(WEEKDAY(A3990,2),"Пн","Вт","Ср","Чт","Пт","Сб","Вс"))</f>
        <v/>
      </c>
      <c r="C3990" s="53">
        <f>IF(A3990="","",YEAR(A3990))</f>
        <v/>
      </c>
      <c r="D3990" s="54">
        <f>IF(A3990="","",INDEX(lst_months,MONTH(A3990)))</f>
        <v/>
      </c>
      <c r="E3990" s="55" t="n"/>
      <c r="F3990" s="54">
        <f>IF(E3990="","",IFERROR(IF(INDEX(lst_exp_item_cat,MATCH(E3990,lst_exp_items,0))="","❔ Без категории",INDEX(lst_exp_item_cat,MATCH(E3990,lst_exp_items,0))),"❔ Без категории"))</f>
        <v/>
      </c>
      <c r="G3990" s="43" t="n"/>
      <c r="H3990" s="56" t="n"/>
      <c r="I3990" s="43" t="n"/>
      <c r="J3990" s="57">
        <f>IF(OR(A3990="",H3990=""),"",IF(COUNTIFS(exp_year,C3990,exp_month,D3990,exp_item,E3990,exp_status,"&lt;&gt;❌ Отменено")&gt;0,1,0))</f>
        <v/>
      </c>
    </row>
    <row r="3991">
      <c r="A3991" s="52" t="n"/>
      <c r="B3991" s="53">
        <f>IF(A3991="","",CHOOSE(WEEKDAY(A3991,2),"Пн","Вт","Ср","Чт","Пт","Сб","Вс"))</f>
        <v/>
      </c>
      <c r="C3991" s="53">
        <f>IF(A3991="","",YEAR(A3991))</f>
        <v/>
      </c>
      <c r="D3991" s="54">
        <f>IF(A3991="","",INDEX(lst_months,MONTH(A3991)))</f>
        <v/>
      </c>
      <c r="E3991" s="55" t="n"/>
      <c r="F3991" s="54">
        <f>IF(E3991="","",IFERROR(IF(INDEX(lst_exp_item_cat,MATCH(E3991,lst_exp_items,0))="","❔ Без категории",INDEX(lst_exp_item_cat,MATCH(E3991,lst_exp_items,0))),"❔ Без категории"))</f>
        <v/>
      </c>
      <c r="G3991" s="43" t="n"/>
      <c r="H3991" s="56" t="n"/>
      <c r="I3991" s="43" t="n"/>
      <c r="J3991" s="57">
        <f>IF(OR(A3991="",H3991=""),"",IF(COUNTIFS(exp_year,C3991,exp_month,D3991,exp_item,E3991,exp_status,"&lt;&gt;❌ Отменено")&gt;0,1,0))</f>
        <v/>
      </c>
    </row>
    <row r="3992">
      <c r="A3992" s="52" t="n"/>
      <c r="B3992" s="53">
        <f>IF(A3992="","",CHOOSE(WEEKDAY(A3992,2),"Пн","Вт","Ср","Чт","Пт","Сб","Вс"))</f>
        <v/>
      </c>
      <c r="C3992" s="53">
        <f>IF(A3992="","",YEAR(A3992))</f>
        <v/>
      </c>
      <c r="D3992" s="54">
        <f>IF(A3992="","",INDEX(lst_months,MONTH(A3992)))</f>
        <v/>
      </c>
      <c r="E3992" s="55" t="n"/>
      <c r="F3992" s="54">
        <f>IF(E3992="","",IFERROR(IF(INDEX(lst_exp_item_cat,MATCH(E3992,lst_exp_items,0))="","❔ Без категории",INDEX(lst_exp_item_cat,MATCH(E3992,lst_exp_items,0))),"❔ Без категории"))</f>
        <v/>
      </c>
      <c r="G3992" s="43" t="n"/>
      <c r="H3992" s="56" t="n"/>
      <c r="I3992" s="43" t="n"/>
      <c r="J3992" s="57">
        <f>IF(OR(A3992="",H3992=""),"",IF(COUNTIFS(exp_year,C3992,exp_month,D3992,exp_item,E3992,exp_status,"&lt;&gt;❌ Отменено")&gt;0,1,0))</f>
        <v/>
      </c>
    </row>
    <row r="3993">
      <c r="A3993" s="52" t="n"/>
      <c r="B3993" s="53">
        <f>IF(A3993="","",CHOOSE(WEEKDAY(A3993,2),"Пн","Вт","Ср","Чт","Пт","Сб","Вс"))</f>
        <v/>
      </c>
      <c r="C3993" s="53">
        <f>IF(A3993="","",YEAR(A3993))</f>
        <v/>
      </c>
      <c r="D3993" s="54">
        <f>IF(A3993="","",INDEX(lst_months,MONTH(A3993)))</f>
        <v/>
      </c>
      <c r="E3993" s="55" t="n"/>
      <c r="F3993" s="54">
        <f>IF(E3993="","",IFERROR(IF(INDEX(lst_exp_item_cat,MATCH(E3993,lst_exp_items,0))="","❔ Без категории",INDEX(lst_exp_item_cat,MATCH(E3993,lst_exp_items,0))),"❔ Без категории"))</f>
        <v/>
      </c>
      <c r="G3993" s="43" t="n"/>
      <c r="H3993" s="56" t="n"/>
      <c r="I3993" s="43" t="n"/>
      <c r="J3993" s="57">
        <f>IF(OR(A3993="",H3993=""),"",IF(COUNTIFS(exp_year,C3993,exp_month,D3993,exp_item,E3993,exp_status,"&lt;&gt;❌ Отменено")&gt;0,1,0))</f>
        <v/>
      </c>
    </row>
    <row r="3994">
      <c r="A3994" s="52" t="n"/>
      <c r="B3994" s="53">
        <f>IF(A3994="","",CHOOSE(WEEKDAY(A3994,2),"Пн","Вт","Ср","Чт","Пт","Сб","Вс"))</f>
        <v/>
      </c>
      <c r="C3994" s="53">
        <f>IF(A3994="","",YEAR(A3994))</f>
        <v/>
      </c>
      <c r="D3994" s="54">
        <f>IF(A3994="","",INDEX(lst_months,MONTH(A3994)))</f>
        <v/>
      </c>
      <c r="E3994" s="55" t="n"/>
      <c r="F3994" s="54">
        <f>IF(E3994="","",IFERROR(IF(INDEX(lst_exp_item_cat,MATCH(E3994,lst_exp_items,0))="","❔ Без категории",INDEX(lst_exp_item_cat,MATCH(E3994,lst_exp_items,0))),"❔ Без категории"))</f>
        <v/>
      </c>
      <c r="G3994" s="43" t="n"/>
      <c r="H3994" s="56" t="n"/>
      <c r="I3994" s="43" t="n"/>
      <c r="J3994" s="57">
        <f>IF(OR(A3994="",H3994=""),"",IF(COUNTIFS(exp_year,C3994,exp_month,D3994,exp_item,E3994,exp_status,"&lt;&gt;❌ Отменено")&gt;0,1,0))</f>
        <v/>
      </c>
    </row>
    <row r="3995">
      <c r="A3995" s="52" t="n"/>
      <c r="B3995" s="53">
        <f>IF(A3995="","",CHOOSE(WEEKDAY(A3995,2),"Пн","Вт","Ср","Чт","Пт","Сб","Вс"))</f>
        <v/>
      </c>
      <c r="C3995" s="53">
        <f>IF(A3995="","",YEAR(A3995))</f>
        <v/>
      </c>
      <c r="D3995" s="54">
        <f>IF(A3995="","",INDEX(lst_months,MONTH(A3995)))</f>
        <v/>
      </c>
      <c r="E3995" s="55" t="n"/>
      <c r="F3995" s="54">
        <f>IF(E3995="","",IFERROR(IF(INDEX(lst_exp_item_cat,MATCH(E3995,lst_exp_items,0))="","❔ Без категории",INDEX(lst_exp_item_cat,MATCH(E3995,lst_exp_items,0))),"❔ Без категории"))</f>
        <v/>
      </c>
      <c r="G3995" s="43" t="n"/>
      <c r="H3995" s="56" t="n"/>
      <c r="I3995" s="43" t="n"/>
      <c r="J3995" s="57">
        <f>IF(OR(A3995="",H3995=""),"",IF(COUNTIFS(exp_year,C3995,exp_month,D3995,exp_item,E3995,exp_status,"&lt;&gt;❌ Отменено")&gt;0,1,0))</f>
        <v/>
      </c>
    </row>
    <row r="3996">
      <c r="A3996" s="52" t="n"/>
      <c r="B3996" s="53">
        <f>IF(A3996="","",CHOOSE(WEEKDAY(A3996,2),"Пн","Вт","Ср","Чт","Пт","Сб","Вс"))</f>
        <v/>
      </c>
      <c r="C3996" s="53">
        <f>IF(A3996="","",YEAR(A3996))</f>
        <v/>
      </c>
      <c r="D3996" s="54">
        <f>IF(A3996="","",INDEX(lst_months,MONTH(A3996)))</f>
        <v/>
      </c>
      <c r="E3996" s="55" t="n"/>
      <c r="F3996" s="54">
        <f>IF(E3996="","",IFERROR(IF(INDEX(lst_exp_item_cat,MATCH(E3996,lst_exp_items,0))="","❔ Без категории",INDEX(lst_exp_item_cat,MATCH(E3996,lst_exp_items,0))),"❔ Без категории"))</f>
        <v/>
      </c>
      <c r="G3996" s="43" t="n"/>
      <c r="H3996" s="56" t="n"/>
      <c r="I3996" s="43" t="n"/>
      <c r="J3996" s="57">
        <f>IF(OR(A3996="",H3996=""),"",IF(COUNTIFS(exp_year,C3996,exp_month,D3996,exp_item,E3996,exp_status,"&lt;&gt;❌ Отменено")&gt;0,1,0))</f>
        <v/>
      </c>
    </row>
    <row r="3997">
      <c r="A3997" s="52" t="n"/>
      <c r="B3997" s="53">
        <f>IF(A3997="","",CHOOSE(WEEKDAY(A3997,2),"Пн","Вт","Ср","Чт","Пт","Сб","Вс"))</f>
        <v/>
      </c>
      <c r="C3997" s="53">
        <f>IF(A3997="","",YEAR(A3997))</f>
        <v/>
      </c>
      <c r="D3997" s="54">
        <f>IF(A3997="","",INDEX(lst_months,MONTH(A3997)))</f>
        <v/>
      </c>
      <c r="E3997" s="55" t="n"/>
      <c r="F3997" s="54">
        <f>IF(E3997="","",IFERROR(IF(INDEX(lst_exp_item_cat,MATCH(E3997,lst_exp_items,0))="","❔ Без категории",INDEX(lst_exp_item_cat,MATCH(E3997,lst_exp_items,0))),"❔ Без категории"))</f>
        <v/>
      </c>
      <c r="G3997" s="43" t="n"/>
      <c r="H3997" s="56" t="n"/>
      <c r="I3997" s="43" t="n"/>
      <c r="J3997" s="57">
        <f>IF(OR(A3997="",H3997=""),"",IF(COUNTIFS(exp_year,C3997,exp_month,D3997,exp_item,E3997,exp_status,"&lt;&gt;❌ Отменено")&gt;0,1,0))</f>
        <v/>
      </c>
    </row>
    <row r="3998">
      <c r="A3998" s="52" t="n"/>
      <c r="B3998" s="53">
        <f>IF(A3998="","",CHOOSE(WEEKDAY(A3998,2),"Пн","Вт","Ср","Чт","Пт","Сб","Вс"))</f>
        <v/>
      </c>
      <c r="C3998" s="53">
        <f>IF(A3998="","",YEAR(A3998))</f>
        <v/>
      </c>
      <c r="D3998" s="54">
        <f>IF(A3998="","",INDEX(lst_months,MONTH(A3998)))</f>
        <v/>
      </c>
      <c r="E3998" s="55" t="n"/>
      <c r="F3998" s="54">
        <f>IF(E3998="","",IFERROR(IF(INDEX(lst_exp_item_cat,MATCH(E3998,lst_exp_items,0))="","❔ Без категории",INDEX(lst_exp_item_cat,MATCH(E3998,lst_exp_items,0))),"❔ Без категории"))</f>
        <v/>
      </c>
      <c r="G3998" s="43" t="n"/>
      <c r="H3998" s="56" t="n"/>
      <c r="I3998" s="43" t="n"/>
      <c r="J3998" s="57">
        <f>IF(OR(A3998="",H3998=""),"",IF(COUNTIFS(exp_year,C3998,exp_month,D3998,exp_item,E3998,exp_status,"&lt;&gt;❌ Отменено")&gt;0,1,0))</f>
        <v/>
      </c>
    </row>
    <row r="3999">
      <c r="A3999" s="52" t="n"/>
      <c r="B3999" s="53">
        <f>IF(A3999="","",CHOOSE(WEEKDAY(A3999,2),"Пн","Вт","Ср","Чт","Пт","Сб","Вс"))</f>
        <v/>
      </c>
      <c r="C3999" s="53">
        <f>IF(A3999="","",YEAR(A3999))</f>
        <v/>
      </c>
      <c r="D3999" s="54">
        <f>IF(A3999="","",INDEX(lst_months,MONTH(A3999)))</f>
        <v/>
      </c>
      <c r="E3999" s="55" t="n"/>
      <c r="F3999" s="54">
        <f>IF(E3999="","",IFERROR(IF(INDEX(lst_exp_item_cat,MATCH(E3999,lst_exp_items,0))="","❔ Без категории",INDEX(lst_exp_item_cat,MATCH(E3999,lst_exp_items,0))),"❔ Без категории"))</f>
        <v/>
      </c>
      <c r="G3999" s="43" t="n"/>
      <c r="H3999" s="56" t="n"/>
      <c r="I3999" s="43" t="n"/>
      <c r="J3999" s="57">
        <f>IF(OR(A3999="",H3999=""),"",IF(COUNTIFS(exp_year,C3999,exp_month,D3999,exp_item,E3999,exp_status,"&lt;&gt;❌ Отменено")&gt;0,1,0))</f>
        <v/>
      </c>
    </row>
    <row r="4000">
      <c r="A4000" s="52" t="n"/>
      <c r="B4000" s="53">
        <f>IF(A4000="","",CHOOSE(WEEKDAY(A4000,2),"Пн","Вт","Ср","Чт","Пт","Сб","Вс"))</f>
        <v/>
      </c>
      <c r="C4000" s="53">
        <f>IF(A4000="","",YEAR(A4000))</f>
        <v/>
      </c>
      <c r="D4000" s="54">
        <f>IF(A4000="","",INDEX(lst_months,MONTH(A4000)))</f>
        <v/>
      </c>
      <c r="E4000" s="55" t="n"/>
      <c r="F4000" s="54">
        <f>IF(E4000="","",IFERROR(IF(INDEX(lst_exp_item_cat,MATCH(E4000,lst_exp_items,0))="","❔ Без категории",INDEX(lst_exp_item_cat,MATCH(E4000,lst_exp_items,0))),"❔ Без категории"))</f>
        <v/>
      </c>
      <c r="G4000" s="43" t="n"/>
      <c r="H4000" s="56" t="n"/>
      <c r="I4000" s="43" t="n"/>
      <c r="J4000" s="57">
        <f>IF(OR(A4000="",H4000=""),"",IF(COUNTIFS(exp_year,C4000,exp_month,D4000,exp_item,E4000,exp_status,"&lt;&gt;❌ Отменено")&gt;0,1,0))</f>
        <v/>
      </c>
    </row>
    <row r="4001">
      <c r="A4001" s="52" t="n"/>
      <c r="B4001" s="53">
        <f>IF(A4001="","",CHOOSE(WEEKDAY(A4001,2),"Пн","Вт","Ср","Чт","Пт","Сб","Вс"))</f>
        <v/>
      </c>
      <c r="C4001" s="53">
        <f>IF(A4001="","",YEAR(A4001))</f>
        <v/>
      </c>
      <c r="D4001" s="54">
        <f>IF(A4001="","",INDEX(lst_months,MONTH(A4001)))</f>
        <v/>
      </c>
      <c r="E4001" s="55" t="n"/>
      <c r="F4001" s="54">
        <f>IF(E4001="","",IFERROR(IF(INDEX(lst_exp_item_cat,MATCH(E4001,lst_exp_items,0))="","❔ Без категории",INDEX(lst_exp_item_cat,MATCH(E4001,lst_exp_items,0))),"❔ Без категории"))</f>
        <v/>
      </c>
      <c r="G4001" s="43" t="n"/>
      <c r="H4001" s="56" t="n"/>
      <c r="I4001" s="43" t="n"/>
      <c r="J4001" s="57">
        <f>IF(OR(A4001="",H4001=""),"",IF(COUNTIFS(exp_year,C4001,exp_month,D4001,exp_item,E4001,exp_status,"&lt;&gt;❌ Отменено")&gt;0,1,0))</f>
        <v/>
      </c>
    </row>
    <row r="4002">
      <c r="A4002" s="52" t="n"/>
      <c r="B4002" s="53">
        <f>IF(A4002="","",CHOOSE(WEEKDAY(A4002,2),"Пн","Вт","Ср","Чт","Пт","Сб","Вс"))</f>
        <v/>
      </c>
      <c r="C4002" s="53">
        <f>IF(A4002="","",YEAR(A4002))</f>
        <v/>
      </c>
      <c r="D4002" s="54">
        <f>IF(A4002="","",INDEX(lst_months,MONTH(A4002)))</f>
        <v/>
      </c>
      <c r="E4002" s="55" t="n"/>
      <c r="F4002" s="54">
        <f>IF(E4002="","",IFERROR(IF(INDEX(lst_exp_item_cat,MATCH(E4002,lst_exp_items,0))="","❔ Без категории",INDEX(lst_exp_item_cat,MATCH(E4002,lst_exp_items,0))),"❔ Без категории"))</f>
        <v/>
      </c>
      <c r="G4002" s="43" t="n"/>
      <c r="H4002" s="56" t="n"/>
      <c r="I4002" s="43" t="n"/>
      <c r="J4002" s="57">
        <f>IF(OR(A4002="",H4002=""),"",IF(COUNTIFS(exp_year,C4002,exp_month,D4002,exp_item,E4002,exp_status,"&lt;&gt;❌ Отменено")&gt;0,1,0))</f>
        <v/>
      </c>
    </row>
    <row r="4003">
      <c r="A4003" s="52" t="n"/>
      <c r="B4003" s="53">
        <f>IF(A4003="","",CHOOSE(WEEKDAY(A4003,2),"Пн","Вт","Ср","Чт","Пт","Сб","Вс"))</f>
        <v/>
      </c>
      <c r="C4003" s="53">
        <f>IF(A4003="","",YEAR(A4003))</f>
        <v/>
      </c>
      <c r="D4003" s="54">
        <f>IF(A4003="","",INDEX(lst_months,MONTH(A4003)))</f>
        <v/>
      </c>
      <c r="E4003" s="55" t="n"/>
      <c r="F4003" s="54">
        <f>IF(E4003="","",IFERROR(IF(INDEX(lst_exp_item_cat,MATCH(E4003,lst_exp_items,0))="","❔ Без категории",INDEX(lst_exp_item_cat,MATCH(E4003,lst_exp_items,0))),"❔ Без категории"))</f>
        <v/>
      </c>
      <c r="G4003" s="43" t="n"/>
      <c r="H4003" s="56" t="n"/>
      <c r="I4003" s="43" t="n"/>
      <c r="J4003" s="57">
        <f>IF(OR(A4003="",H4003=""),"",IF(COUNTIFS(exp_year,C4003,exp_month,D4003,exp_item,E4003,exp_status,"&lt;&gt;❌ Отменено")&gt;0,1,0))</f>
        <v/>
      </c>
    </row>
    <row r="4004">
      <c r="A4004" s="52" t="n"/>
      <c r="B4004" s="53">
        <f>IF(A4004="","",CHOOSE(WEEKDAY(A4004,2),"Пн","Вт","Ср","Чт","Пт","Сб","Вс"))</f>
        <v/>
      </c>
      <c r="C4004" s="53">
        <f>IF(A4004="","",YEAR(A4004))</f>
        <v/>
      </c>
      <c r="D4004" s="54">
        <f>IF(A4004="","",INDEX(lst_months,MONTH(A4004)))</f>
        <v/>
      </c>
      <c r="E4004" s="55" t="n"/>
      <c r="F4004" s="54">
        <f>IF(E4004="","",IFERROR(IF(INDEX(lst_exp_item_cat,MATCH(E4004,lst_exp_items,0))="","❔ Без категории",INDEX(lst_exp_item_cat,MATCH(E4004,lst_exp_items,0))),"❔ Без категории"))</f>
        <v/>
      </c>
      <c r="G4004" s="43" t="n"/>
      <c r="H4004" s="56" t="n"/>
      <c r="I4004" s="43" t="n"/>
      <c r="J4004" s="57">
        <f>IF(OR(A4004="",H4004=""),"",IF(COUNTIFS(exp_year,C4004,exp_month,D4004,exp_item,E4004,exp_status,"&lt;&gt;❌ Отменено")&gt;0,1,0))</f>
        <v/>
      </c>
    </row>
    <row r="4005">
      <c r="A4005" s="52" t="n"/>
      <c r="B4005" s="53">
        <f>IF(A4005="","",CHOOSE(WEEKDAY(A4005,2),"Пн","Вт","Ср","Чт","Пт","Сб","Вс"))</f>
        <v/>
      </c>
      <c r="C4005" s="53">
        <f>IF(A4005="","",YEAR(A4005))</f>
        <v/>
      </c>
      <c r="D4005" s="54">
        <f>IF(A4005="","",INDEX(lst_months,MONTH(A4005)))</f>
        <v/>
      </c>
      <c r="E4005" s="55" t="n"/>
      <c r="F4005" s="54">
        <f>IF(E4005="","",IFERROR(IF(INDEX(lst_exp_item_cat,MATCH(E4005,lst_exp_items,0))="","❔ Без категории",INDEX(lst_exp_item_cat,MATCH(E4005,lst_exp_items,0))),"❔ Без категории"))</f>
        <v/>
      </c>
      <c r="G4005" s="43" t="n"/>
      <c r="H4005" s="56" t="n"/>
      <c r="I4005" s="43" t="n"/>
      <c r="J4005" s="57">
        <f>IF(OR(A4005="",H4005=""),"",IF(COUNTIFS(exp_year,C4005,exp_month,D4005,exp_item,E4005,exp_status,"&lt;&gt;❌ Отменено")&gt;0,1,0))</f>
        <v/>
      </c>
    </row>
    <row r="4006">
      <c r="A4006" s="52" t="n"/>
      <c r="B4006" s="53">
        <f>IF(A4006="","",CHOOSE(WEEKDAY(A4006,2),"Пн","Вт","Ср","Чт","Пт","Сб","Вс"))</f>
        <v/>
      </c>
      <c r="C4006" s="53">
        <f>IF(A4006="","",YEAR(A4006))</f>
        <v/>
      </c>
      <c r="D4006" s="54">
        <f>IF(A4006="","",INDEX(lst_months,MONTH(A4006)))</f>
        <v/>
      </c>
      <c r="E4006" s="55" t="n"/>
      <c r="F4006" s="54">
        <f>IF(E4006="","",IFERROR(IF(INDEX(lst_exp_item_cat,MATCH(E4006,lst_exp_items,0))="","❔ Без категории",INDEX(lst_exp_item_cat,MATCH(E4006,lst_exp_items,0))),"❔ Без категории"))</f>
        <v/>
      </c>
      <c r="G4006" s="43" t="n"/>
      <c r="H4006" s="56" t="n"/>
      <c r="I4006" s="43" t="n"/>
      <c r="J4006" s="57">
        <f>IF(OR(A4006="",H4006=""),"",IF(COUNTIFS(exp_year,C4006,exp_month,D4006,exp_item,E4006,exp_status,"&lt;&gt;❌ Отменено")&gt;0,1,0))</f>
        <v/>
      </c>
    </row>
    <row r="4007">
      <c r="A4007" s="52" t="n"/>
      <c r="B4007" s="53">
        <f>IF(A4007="","",CHOOSE(WEEKDAY(A4007,2),"Пн","Вт","Ср","Чт","Пт","Сб","Вс"))</f>
        <v/>
      </c>
      <c r="C4007" s="53">
        <f>IF(A4007="","",YEAR(A4007))</f>
        <v/>
      </c>
      <c r="D4007" s="54">
        <f>IF(A4007="","",INDEX(lst_months,MONTH(A4007)))</f>
        <v/>
      </c>
      <c r="E4007" s="55" t="n"/>
      <c r="F4007" s="54">
        <f>IF(E4007="","",IFERROR(IF(INDEX(lst_exp_item_cat,MATCH(E4007,lst_exp_items,0))="","❔ Без категории",INDEX(lst_exp_item_cat,MATCH(E4007,lst_exp_items,0))),"❔ Без категории"))</f>
        <v/>
      </c>
      <c r="G4007" s="43" t="n"/>
      <c r="H4007" s="56" t="n"/>
      <c r="I4007" s="43" t="n"/>
      <c r="J4007" s="57">
        <f>IF(OR(A4007="",H4007=""),"",IF(COUNTIFS(exp_year,C4007,exp_month,D4007,exp_item,E4007,exp_status,"&lt;&gt;❌ Отменено")&gt;0,1,0))</f>
        <v/>
      </c>
    </row>
    <row r="4008">
      <c r="A4008" s="52" t="n"/>
      <c r="B4008" s="53">
        <f>IF(A4008="","",CHOOSE(WEEKDAY(A4008,2),"Пн","Вт","Ср","Чт","Пт","Сб","Вс"))</f>
        <v/>
      </c>
      <c r="C4008" s="53">
        <f>IF(A4008="","",YEAR(A4008))</f>
        <v/>
      </c>
      <c r="D4008" s="54">
        <f>IF(A4008="","",INDEX(lst_months,MONTH(A4008)))</f>
        <v/>
      </c>
      <c r="E4008" s="55" t="n"/>
      <c r="F4008" s="54">
        <f>IF(E4008="","",IFERROR(IF(INDEX(lst_exp_item_cat,MATCH(E4008,lst_exp_items,0))="","❔ Без категории",INDEX(lst_exp_item_cat,MATCH(E4008,lst_exp_items,0))),"❔ Без категории"))</f>
        <v/>
      </c>
      <c r="G4008" s="43" t="n"/>
      <c r="H4008" s="56" t="n"/>
      <c r="I4008" s="43" t="n"/>
      <c r="J4008" s="57">
        <f>IF(OR(A4008="",H4008=""),"",IF(COUNTIFS(exp_year,C4008,exp_month,D4008,exp_item,E4008,exp_status,"&lt;&gt;❌ Отменено")&gt;0,1,0))</f>
        <v/>
      </c>
    </row>
    <row r="4009">
      <c r="A4009" s="52" t="n"/>
      <c r="B4009" s="53">
        <f>IF(A4009="","",CHOOSE(WEEKDAY(A4009,2),"Пн","Вт","Ср","Чт","Пт","Сб","Вс"))</f>
        <v/>
      </c>
      <c r="C4009" s="53">
        <f>IF(A4009="","",YEAR(A4009))</f>
        <v/>
      </c>
      <c r="D4009" s="54">
        <f>IF(A4009="","",INDEX(lst_months,MONTH(A4009)))</f>
        <v/>
      </c>
      <c r="E4009" s="55" t="n"/>
      <c r="F4009" s="54">
        <f>IF(E4009="","",IFERROR(IF(INDEX(lst_exp_item_cat,MATCH(E4009,lst_exp_items,0))="","❔ Без категории",INDEX(lst_exp_item_cat,MATCH(E4009,lst_exp_items,0))),"❔ Без категории"))</f>
        <v/>
      </c>
      <c r="G4009" s="43" t="n"/>
      <c r="H4009" s="56" t="n"/>
      <c r="I4009" s="43" t="n"/>
      <c r="J4009" s="57">
        <f>IF(OR(A4009="",H4009=""),"",IF(COUNTIFS(exp_year,C4009,exp_month,D4009,exp_item,E4009,exp_status,"&lt;&gt;❌ Отменено")&gt;0,1,0))</f>
        <v/>
      </c>
    </row>
    <row r="4010">
      <c r="A4010" s="52" t="n"/>
      <c r="B4010" s="53">
        <f>IF(A4010="","",CHOOSE(WEEKDAY(A4010,2),"Пн","Вт","Ср","Чт","Пт","Сб","Вс"))</f>
        <v/>
      </c>
      <c r="C4010" s="53">
        <f>IF(A4010="","",YEAR(A4010))</f>
        <v/>
      </c>
      <c r="D4010" s="54">
        <f>IF(A4010="","",INDEX(lst_months,MONTH(A4010)))</f>
        <v/>
      </c>
      <c r="E4010" s="55" t="n"/>
      <c r="F4010" s="54">
        <f>IF(E4010="","",IFERROR(IF(INDEX(lst_exp_item_cat,MATCH(E4010,lst_exp_items,0))="","❔ Без категории",INDEX(lst_exp_item_cat,MATCH(E4010,lst_exp_items,0))),"❔ Без категории"))</f>
        <v/>
      </c>
      <c r="G4010" s="43" t="n"/>
      <c r="H4010" s="56" t="n"/>
      <c r="I4010" s="43" t="n"/>
      <c r="J4010" s="57">
        <f>IF(OR(A4010="",H4010=""),"",IF(COUNTIFS(exp_year,C4010,exp_month,D4010,exp_item,E4010,exp_status,"&lt;&gt;❌ Отменено")&gt;0,1,0))</f>
        <v/>
      </c>
    </row>
    <row r="4011">
      <c r="A4011" s="52" t="n"/>
      <c r="B4011" s="53">
        <f>IF(A4011="","",CHOOSE(WEEKDAY(A4011,2),"Пн","Вт","Ср","Чт","Пт","Сб","Вс"))</f>
        <v/>
      </c>
      <c r="C4011" s="53">
        <f>IF(A4011="","",YEAR(A4011))</f>
        <v/>
      </c>
      <c r="D4011" s="54">
        <f>IF(A4011="","",INDEX(lst_months,MONTH(A4011)))</f>
        <v/>
      </c>
      <c r="E4011" s="55" t="n"/>
      <c r="F4011" s="54">
        <f>IF(E4011="","",IFERROR(IF(INDEX(lst_exp_item_cat,MATCH(E4011,lst_exp_items,0))="","❔ Без категории",INDEX(lst_exp_item_cat,MATCH(E4011,lst_exp_items,0))),"❔ Без категории"))</f>
        <v/>
      </c>
      <c r="G4011" s="43" t="n"/>
      <c r="H4011" s="56" t="n"/>
      <c r="I4011" s="43" t="n"/>
      <c r="J4011" s="57">
        <f>IF(OR(A4011="",H4011=""),"",IF(COUNTIFS(exp_year,C4011,exp_month,D4011,exp_item,E4011,exp_status,"&lt;&gt;❌ Отменено")&gt;0,1,0))</f>
        <v/>
      </c>
    </row>
    <row r="4012">
      <c r="A4012" s="52" t="n"/>
      <c r="B4012" s="53">
        <f>IF(A4012="","",CHOOSE(WEEKDAY(A4012,2),"Пн","Вт","Ср","Чт","Пт","Сб","Вс"))</f>
        <v/>
      </c>
      <c r="C4012" s="53">
        <f>IF(A4012="","",YEAR(A4012))</f>
        <v/>
      </c>
      <c r="D4012" s="54">
        <f>IF(A4012="","",INDEX(lst_months,MONTH(A4012)))</f>
        <v/>
      </c>
      <c r="E4012" s="55" t="n"/>
      <c r="F4012" s="54">
        <f>IF(E4012="","",IFERROR(IF(INDEX(lst_exp_item_cat,MATCH(E4012,lst_exp_items,0))="","❔ Без категории",INDEX(lst_exp_item_cat,MATCH(E4012,lst_exp_items,0))),"❔ Без категории"))</f>
        <v/>
      </c>
      <c r="G4012" s="43" t="n"/>
      <c r="H4012" s="56" t="n"/>
      <c r="I4012" s="43" t="n"/>
      <c r="J4012" s="57">
        <f>IF(OR(A4012="",H4012=""),"",IF(COUNTIFS(exp_year,C4012,exp_month,D4012,exp_item,E4012,exp_status,"&lt;&gt;❌ Отменено")&gt;0,1,0))</f>
        <v/>
      </c>
    </row>
    <row r="4013">
      <c r="A4013" s="52" t="n"/>
      <c r="B4013" s="53">
        <f>IF(A4013="","",CHOOSE(WEEKDAY(A4013,2),"Пн","Вт","Ср","Чт","Пт","Сб","Вс"))</f>
        <v/>
      </c>
      <c r="C4013" s="53">
        <f>IF(A4013="","",YEAR(A4013))</f>
        <v/>
      </c>
      <c r="D4013" s="54">
        <f>IF(A4013="","",INDEX(lst_months,MONTH(A4013)))</f>
        <v/>
      </c>
      <c r="E4013" s="55" t="n"/>
      <c r="F4013" s="54">
        <f>IF(E4013="","",IFERROR(IF(INDEX(lst_exp_item_cat,MATCH(E4013,lst_exp_items,0))="","❔ Без категории",INDEX(lst_exp_item_cat,MATCH(E4013,lst_exp_items,0))),"❔ Без категории"))</f>
        <v/>
      </c>
      <c r="G4013" s="43" t="n"/>
      <c r="H4013" s="56" t="n"/>
      <c r="I4013" s="43" t="n"/>
      <c r="J4013" s="57">
        <f>IF(OR(A4013="",H4013=""),"",IF(COUNTIFS(exp_year,C4013,exp_month,D4013,exp_item,E4013,exp_status,"&lt;&gt;❌ Отменено")&gt;0,1,0))</f>
        <v/>
      </c>
    </row>
    <row r="4014">
      <c r="A4014" s="52" t="n"/>
      <c r="B4014" s="53">
        <f>IF(A4014="","",CHOOSE(WEEKDAY(A4014,2),"Пн","Вт","Ср","Чт","Пт","Сб","Вс"))</f>
        <v/>
      </c>
      <c r="C4014" s="53">
        <f>IF(A4014="","",YEAR(A4014))</f>
        <v/>
      </c>
      <c r="D4014" s="54">
        <f>IF(A4014="","",INDEX(lst_months,MONTH(A4014)))</f>
        <v/>
      </c>
      <c r="E4014" s="55" t="n"/>
      <c r="F4014" s="54">
        <f>IF(E4014="","",IFERROR(IF(INDEX(lst_exp_item_cat,MATCH(E4014,lst_exp_items,0))="","❔ Без категории",INDEX(lst_exp_item_cat,MATCH(E4014,lst_exp_items,0))),"❔ Без категории"))</f>
        <v/>
      </c>
      <c r="G4014" s="43" t="n"/>
      <c r="H4014" s="56" t="n"/>
      <c r="I4014" s="43" t="n"/>
      <c r="J4014" s="57">
        <f>IF(OR(A4014="",H4014=""),"",IF(COUNTIFS(exp_year,C4014,exp_month,D4014,exp_item,E4014,exp_status,"&lt;&gt;❌ Отменено")&gt;0,1,0))</f>
        <v/>
      </c>
    </row>
    <row r="4015">
      <c r="A4015" s="52" t="n"/>
      <c r="B4015" s="53">
        <f>IF(A4015="","",CHOOSE(WEEKDAY(A4015,2),"Пн","Вт","Ср","Чт","Пт","Сб","Вс"))</f>
        <v/>
      </c>
      <c r="C4015" s="53">
        <f>IF(A4015="","",YEAR(A4015))</f>
        <v/>
      </c>
      <c r="D4015" s="54">
        <f>IF(A4015="","",INDEX(lst_months,MONTH(A4015)))</f>
        <v/>
      </c>
      <c r="E4015" s="55" t="n"/>
      <c r="F4015" s="54">
        <f>IF(E4015="","",IFERROR(IF(INDEX(lst_exp_item_cat,MATCH(E4015,lst_exp_items,0))="","❔ Без категории",INDEX(lst_exp_item_cat,MATCH(E4015,lst_exp_items,0))),"❔ Без категории"))</f>
        <v/>
      </c>
      <c r="G4015" s="43" t="n"/>
      <c r="H4015" s="56" t="n"/>
      <c r="I4015" s="43" t="n"/>
      <c r="J4015" s="57">
        <f>IF(OR(A4015="",H4015=""),"",IF(COUNTIFS(exp_year,C4015,exp_month,D4015,exp_item,E4015,exp_status,"&lt;&gt;❌ Отменено")&gt;0,1,0))</f>
        <v/>
      </c>
    </row>
    <row r="4016">
      <c r="A4016" s="52" t="n"/>
      <c r="B4016" s="53">
        <f>IF(A4016="","",CHOOSE(WEEKDAY(A4016,2),"Пн","Вт","Ср","Чт","Пт","Сб","Вс"))</f>
        <v/>
      </c>
      <c r="C4016" s="53">
        <f>IF(A4016="","",YEAR(A4016))</f>
        <v/>
      </c>
      <c r="D4016" s="54">
        <f>IF(A4016="","",INDEX(lst_months,MONTH(A4016)))</f>
        <v/>
      </c>
      <c r="E4016" s="55" t="n"/>
      <c r="F4016" s="54">
        <f>IF(E4016="","",IFERROR(IF(INDEX(lst_exp_item_cat,MATCH(E4016,lst_exp_items,0))="","❔ Без категории",INDEX(lst_exp_item_cat,MATCH(E4016,lst_exp_items,0))),"❔ Без категории"))</f>
        <v/>
      </c>
      <c r="G4016" s="43" t="n"/>
      <c r="H4016" s="56" t="n"/>
      <c r="I4016" s="43" t="n"/>
      <c r="J4016" s="57">
        <f>IF(OR(A4016="",H4016=""),"",IF(COUNTIFS(exp_year,C4016,exp_month,D4016,exp_item,E4016,exp_status,"&lt;&gt;❌ Отменено")&gt;0,1,0))</f>
        <v/>
      </c>
    </row>
    <row r="4017">
      <c r="A4017" s="52" t="n"/>
      <c r="B4017" s="53">
        <f>IF(A4017="","",CHOOSE(WEEKDAY(A4017,2),"Пн","Вт","Ср","Чт","Пт","Сб","Вс"))</f>
        <v/>
      </c>
      <c r="C4017" s="53">
        <f>IF(A4017="","",YEAR(A4017))</f>
        <v/>
      </c>
      <c r="D4017" s="54">
        <f>IF(A4017="","",INDEX(lst_months,MONTH(A4017)))</f>
        <v/>
      </c>
      <c r="E4017" s="55" t="n"/>
      <c r="F4017" s="54">
        <f>IF(E4017="","",IFERROR(IF(INDEX(lst_exp_item_cat,MATCH(E4017,lst_exp_items,0))="","❔ Без категории",INDEX(lst_exp_item_cat,MATCH(E4017,lst_exp_items,0))),"❔ Без категории"))</f>
        <v/>
      </c>
      <c r="G4017" s="43" t="n"/>
      <c r="H4017" s="56" t="n"/>
      <c r="I4017" s="43" t="n"/>
      <c r="J4017" s="57">
        <f>IF(OR(A4017="",H4017=""),"",IF(COUNTIFS(exp_year,C4017,exp_month,D4017,exp_item,E4017,exp_status,"&lt;&gt;❌ Отменено")&gt;0,1,0))</f>
        <v/>
      </c>
    </row>
    <row r="4018">
      <c r="A4018" s="52" t="n"/>
      <c r="B4018" s="53">
        <f>IF(A4018="","",CHOOSE(WEEKDAY(A4018,2),"Пн","Вт","Ср","Чт","Пт","Сб","Вс"))</f>
        <v/>
      </c>
      <c r="C4018" s="53">
        <f>IF(A4018="","",YEAR(A4018))</f>
        <v/>
      </c>
      <c r="D4018" s="54">
        <f>IF(A4018="","",INDEX(lst_months,MONTH(A4018)))</f>
        <v/>
      </c>
      <c r="E4018" s="55" t="n"/>
      <c r="F4018" s="54">
        <f>IF(E4018="","",IFERROR(IF(INDEX(lst_exp_item_cat,MATCH(E4018,lst_exp_items,0))="","❔ Без категории",INDEX(lst_exp_item_cat,MATCH(E4018,lst_exp_items,0))),"❔ Без категории"))</f>
        <v/>
      </c>
      <c r="G4018" s="43" t="n"/>
      <c r="H4018" s="56" t="n"/>
      <c r="I4018" s="43" t="n"/>
      <c r="J4018" s="57">
        <f>IF(OR(A4018="",H4018=""),"",IF(COUNTIFS(exp_year,C4018,exp_month,D4018,exp_item,E4018,exp_status,"&lt;&gt;❌ Отменено")&gt;0,1,0))</f>
        <v/>
      </c>
    </row>
    <row r="4019">
      <c r="A4019" s="52" t="n"/>
      <c r="B4019" s="53">
        <f>IF(A4019="","",CHOOSE(WEEKDAY(A4019,2),"Пн","Вт","Ср","Чт","Пт","Сб","Вс"))</f>
        <v/>
      </c>
      <c r="C4019" s="53">
        <f>IF(A4019="","",YEAR(A4019))</f>
        <v/>
      </c>
      <c r="D4019" s="54">
        <f>IF(A4019="","",INDEX(lst_months,MONTH(A4019)))</f>
        <v/>
      </c>
      <c r="E4019" s="55" t="n"/>
      <c r="F4019" s="54">
        <f>IF(E4019="","",IFERROR(IF(INDEX(lst_exp_item_cat,MATCH(E4019,lst_exp_items,0))="","❔ Без категории",INDEX(lst_exp_item_cat,MATCH(E4019,lst_exp_items,0))),"❔ Без категории"))</f>
        <v/>
      </c>
      <c r="G4019" s="43" t="n"/>
      <c r="H4019" s="56" t="n"/>
      <c r="I4019" s="43" t="n"/>
      <c r="J4019" s="57">
        <f>IF(OR(A4019="",H4019=""),"",IF(COUNTIFS(exp_year,C4019,exp_month,D4019,exp_item,E4019,exp_status,"&lt;&gt;❌ Отменено")&gt;0,1,0))</f>
        <v/>
      </c>
    </row>
    <row r="4020">
      <c r="A4020" s="52" t="n"/>
      <c r="B4020" s="53">
        <f>IF(A4020="","",CHOOSE(WEEKDAY(A4020,2),"Пн","Вт","Ср","Чт","Пт","Сб","Вс"))</f>
        <v/>
      </c>
      <c r="C4020" s="53">
        <f>IF(A4020="","",YEAR(A4020))</f>
        <v/>
      </c>
      <c r="D4020" s="54">
        <f>IF(A4020="","",INDEX(lst_months,MONTH(A4020)))</f>
        <v/>
      </c>
      <c r="E4020" s="55" t="n"/>
      <c r="F4020" s="54">
        <f>IF(E4020="","",IFERROR(IF(INDEX(lst_exp_item_cat,MATCH(E4020,lst_exp_items,0))="","❔ Без категории",INDEX(lst_exp_item_cat,MATCH(E4020,lst_exp_items,0))),"❔ Без категории"))</f>
        <v/>
      </c>
      <c r="G4020" s="43" t="n"/>
      <c r="H4020" s="56" t="n"/>
      <c r="I4020" s="43" t="n"/>
      <c r="J4020" s="57">
        <f>IF(OR(A4020="",H4020=""),"",IF(COUNTIFS(exp_year,C4020,exp_month,D4020,exp_item,E4020,exp_status,"&lt;&gt;❌ Отменено")&gt;0,1,0))</f>
        <v/>
      </c>
    </row>
    <row r="4021">
      <c r="A4021" s="52" t="n"/>
      <c r="B4021" s="53">
        <f>IF(A4021="","",CHOOSE(WEEKDAY(A4021,2),"Пн","Вт","Ср","Чт","Пт","Сб","Вс"))</f>
        <v/>
      </c>
      <c r="C4021" s="53">
        <f>IF(A4021="","",YEAR(A4021))</f>
        <v/>
      </c>
      <c r="D4021" s="54">
        <f>IF(A4021="","",INDEX(lst_months,MONTH(A4021)))</f>
        <v/>
      </c>
      <c r="E4021" s="55" t="n"/>
      <c r="F4021" s="54">
        <f>IF(E4021="","",IFERROR(IF(INDEX(lst_exp_item_cat,MATCH(E4021,lst_exp_items,0))="","❔ Без категории",INDEX(lst_exp_item_cat,MATCH(E4021,lst_exp_items,0))),"❔ Без категории"))</f>
        <v/>
      </c>
      <c r="G4021" s="43" t="n"/>
      <c r="H4021" s="56" t="n"/>
      <c r="I4021" s="43" t="n"/>
      <c r="J4021" s="57">
        <f>IF(OR(A4021="",H4021=""),"",IF(COUNTIFS(exp_year,C4021,exp_month,D4021,exp_item,E4021,exp_status,"&lt;&gt;❌ Отменено")&gt;0,1,0))</f>
        <v/>
      </c>
    </row>
    <row r="4022">
      <c r="A4022" s="52" t="n"/>
      <c r="B4022" s="53">
        <f>IF(A4022="","",CHOOSE(WEEKDAY(A4022,2),"Пн","Вт","Ср","Чт","Пт","Сб","Вс"))</f>
        <v/>
      </c>
      <c r="C4022" s="53">
        <f>IF(A4022="","",YEAR(A4022))</f>
        <v/>
      </c>
      <c r="D4022" s="54">
        <f>IF(A4022="","",INDEX(lst_months,MONTH(A4022)))</f>
        <v/>
      </c>
      <c r="E4022" s="55" t="n"/>
      <c r="F4022" s="54">
        <f>IF(E4022="","",IFERROR(IF(INDEX(lst_exp_item_cat,MATCH(E4022,lst_exp_items,0))="","❔ Без категории",INDEX(lst_exp_item_cat,MATCH(E4022,lst_exp_items,0))),"❔ Без категории"))</f>
        <v/>
      </c>
      <c r="G4022" s="43" t="n"/>
      <c r="H4022" s="56" t="n"/>
      <c r="I4022" s="43" t="n"/>
      <c r="J4022" s="57">
        <f>IF(OR(A4022="",H4022=""),"",IF(COUNTIFS(exp_year,C4022,exp_month,D4022,exp_item,E4022,exp_status,"&lt;&gt;❌ Отменено")&gt;0,1,0))</f>
        <v/>
      </c>
    </row>
    <row r="4023">
      <c r="A4023" s="52" t="n"/>
      <c r="B4023" s="53">
        <f>IF(A4023="","",CHOOSE(WEEKDAY(A4023,2),"Пн","Вт","Ср","Чт","Пт","Сб","Вс"))</f>
        <v/>
      </c>
      <c r="C4023" s="53">
        <f>IF(A4023="","",YEAR(A4023))</f>
        <v/>
      </c>
      <c r="D4023" s="54">
        <f>IF(A4023="","",INDEX(lst_months,MONTH(A4023)))</f>
        <v/>
      </c>
      <c r="E4023" s="55" t="n"/>
      <c r="F4023" s="54">
        <f>IF(E4023="","",IFERROR(IF(INDEX(lst_exp_item_cat,MATCH(E4023,lst_exp_items,0))="","❔ Без категории",INDEX(lst_exp_item_cat,MATCH(E4023,lst_exp_items,0))),"❔ Без категории"))</f>
        <v/>
      </c>
      <c r="G4023" s="43" t="n"/>
      <c r="H4023" s="56" t="n"/>
      <c r="I4023" s="43" t="n"/>
      <c r="J4023" s="57">
        <f>IF(OR(A4023="",H4023=""),"",IF(COUNTIFS(exp_year,C4023,exp_month,D4023,exp_item,E4023,exp_status,"&lt;&gt;❌ Отменено")&gt;0,1,0))</f>
        <v/>
      </c>
    </row>
    <row r="4024">
      <c r="A4024" s="52" t="n"/>
      <c r="B4024" s="53">
        <f>IF(A4024="","",CHOOSE(WEEKDAY(A4024,2),"Пн","Вт","Ср","Чт","Пт","Сб","Вс"))</f>
        <v/>
      </c>
      <c r="C4024" s="53">
        <f>IF(A4024="","",YEAR(A4024))</f>
        <v/>
      </c>
      <c r="D4024" s="54">
        <f>IF(A4024="","",INDEX(lst_months,MONTH(A4024)))</f>
        <v/>
      </c>
      <c r="E4024" s="55" t="n"/>
      <c r="F4024" s="54">
        <f>IF(E4024="","",IFERROR(IF(INDEX(lst_exp_item_cat,MATCH(E4024,lst_exp_items,0))="","❔ Без категории",INDEX(lst_exp_item_cat,MATCH(E4024,lst_exp_items,0))),"❔ Без категории"))</f>
        <v/>
      </c>
      <c r="G4024" s="43" t="n"/>
      <c r="H4024" s="56" t="n"/>
      <c r="I4024" s="43" t="n"/>
      <c r="J4024" s="57">
        <f>IF(OR(A4024="",H4024=""),"",IF(COUNTIFS(exp_year,C4024,exp_month,D4024,exp_item,E4024,exp_status,"&lt;&gt;❌ Отменено")&gt;0,1,0))</f>
        <v/>
      </c>
    </row>
    <row r="4025">
      <c r="A4025" s="52" t="n"/>
      <c r="B4025" s="53">
        <f>IF(A4025="","",CHOOSE(WEEKDAY(A4025,2),"Пн","Вт","Ср","Чт","Пт","Сб","Вс"))</f>
        <v/>
      </c>
      <c r="C4025" s="53">
        <f>IF(A4025="","",YEAR(A4025))</f>
        <v/>
      </c>
      <c r="D4025" s="54">
        <f>IF(A4025="","",INDEX(lst_months,MONTH(A4025)))</f>
        <v/>
      </c>
      <c r="E4025" s="55" t="n"/>
      <c r="F4025" s="54">
        <f>IF(E4025="","",IFERROR(IF(INDEX(lst_exp_item_cat,MATCH(E4025,lst_exp_items,0))="","❔ Без категории",INDEX(lst_exp_item_cat,MATCH(E4025,lst_exp_items,0))),"❔ Без категории"))</f>
        <v/>
      </c>
      <c r="G4025" s="43" t="n"/>
      <c r="H4025" s="56" t="n"/>
      <c r="I4025" s="43" t="n"/>
      <c r="J4025" s="57">
        <f>IF(OR(A4025="",H4025=""),"",IF(COUNTIFS(exp_year,C4025,exp_month,D4025,exp_item,E4025,exp_status,"&lt;&gt;❌ Отменено")&gt;0,1,0))</f>
        <v/>
      </c>
    </row>
    <row r="4026">
      <c r="A4026" s="52" t="n"/>
      <c r="B4026" s="53">
        <f>IF(A4026="","",CHOOSE(WEEKDAY(A4026,2),"Пн","Вт","Ср","Чт","Пт","Сб","Вс"))</f>
        <v/>
      </c>
      <c r="C4026" s="53">
        <f>IF(A4026="","",YEAR(A4026))</f>
        <v/>
      </c>
      <c r="D4026" s="54">
        <f>IF(A4026="","",INDEX(lst_months,MONTH(A4026)))</f>
        <v/>
      </c>
      <c r="E4026" s="55" t="n"/>
      <c r="F4026" s="54">
        <f>IF(E4026="","",IFERROR(IF(INDEX(lst_exp_item_cat,MATCH(E4026,lst_exp_items,0))="","❔ Без категории",INDEX(lst_exp_item_cat,MATCH(E4026,lst_exp_items,0))),"❔ Без категории"))</f>
        <v/>
      </c>
      <c r="G4026" s="43" t="n"/>
      <c r="H4026" s="56" t="n"/>
      <c r="I4026" s="43" t="n"/>
      <c r="J4026" s="57">
        <f>IF(OR(A4026="",H4026=""),"",IF(COUNTIFS(exp_year,C4026,exp_month,D4026,exp_item,E4026,exp_status,"&lt;&gt;❌ Отменено")&gt;0,1,0))</f>
        <v/>
      </c>
    </row>
    <row r="4027">
      <c r="A4027" s="52" t="n"/>
      <c r="B4027" s="53">
        <f>IF(A4027="","",CHOOSE(WEEKDAY(A4027,2),"Пн","Вт","Ср","Чт","Пт","Сб","Вс"))</f>
        <v/>
      </c>
      <c r="C4027" s="53">
        <f>IF(A4027="","",YEAR(A4027))</f>
        <v/>
      </c>
      <c r="D4027" s="54">
        <f>IF(A4027="","",INDEX(lst_months,MONTH(A4027)))</f>
        <v/>
      </c>
      <c r="E4027" s="55" t="n"/>
      <c r="F4027" s="54">
        <f>IF(E4027="","",IFERROR(IF(INDEX(lst_exp_item_cat,MATCH(E4027,lst_exp_items,0))="","❔ Без категории",INDEX(lst_exp_item_cat,MATCH(E4027,lst_exp_items,0))),"❔ Без категории"))</f>
        <v/>
      </c>
      <c r="G4027" s="43" t="n"/>
      <c r="H4027" s="56" t="n"/>
      <c r="I4027" s="43" t="n"/>
      <c r="J4027" s="57">
        <f>IF(OR(A4027="",H4027=""),"",IF(COUNTIFS(exp_year,C4027,exp_month,D4027,exp_item,E4027,exp_status,"&lt;&gt;❌ Отменено")&gt;0,1,0))</f>
        <v/>
      </c>
    </row>
    <row r="4028">
      <c r="A4028" s="52" t="n"/>
      <c r="B4028" s="53">
        <f>IF(A4028="","",CHOOSE(WEEKDAY(A4028,2),"Пн","Вт","Ср","Чт","Пт","Сб","Вс"))</f>
        <v/>
      </c>
      <c r="C4028" s="53">
        <f>IF(A4028="","",YEAR(A4028))</f>
        <v/>
      </c>
      <c r="D4028" s="54">
        <f>IF(A4028="","",INDEX(lst_months,MONTH(A4028)))</f>
        <v/>
      </c>
      <c r="E4028" s="55" t="n"/>
      <c r="F4028" s="54">
        <f>IF(E4028="","",IFERROR(IF(INDEX(lst_exp_item_cat,MATCH(E4028,lst_exp_items,0))="","❔ Без категории",INDEX(lst_exp_item_cat,MATCH(E4028,lst_exp_items,0))),"❔ Без категории"))</f>
        <v/>
      </c>
      <c r="G4028" s="43" t="n"/>
      <c r="H4028" s="56" t="n"/>
      <c r="I4028" s="43" t="n"/>
      <c r="J4028" s="57">
        <f>IF(OR(A4028="",H4028=""),"",IF(COUNTIFS(exp_year,C4028,exp_month,D4028,exp_item,E4028,exp_status,"&lt;&gt;❌ Отменено")&gt;0,1,0))</f>
        <v/>
      </c>
    </row>
    <row r="4029">
      <c r="A4029" s="52" t="n"/>
      <c r="B4029" s="53">
        <f>IF(A4029="","",CHOOSE(WEEKDAY(A4029,2),"Пн","Вт","Ср","Чт","Пт","Сб","Вс"))</f>
        <v/>
      </c>
      <c r="C4029" s="53">
        <f>IF(A4029="","",YEAR(A4029))</f>
        <v/>
      </c>
      <c r="D4029" s="54">
        <f>IF(A4029="","",INDEX(lst_months,MONTH(A4029)))</f>
        <v/>
      </c>
      <c r="E4029" s="55" t="n"/>
      <c r="F4029" s="54">
        <f>IF(E4029="","",IFERROR(IF(INDEX(lst_exp_item_cat,MATCH(E4029,lst_exp_items,0))="","❔ Без категории",INDEX(lst_exp_item_cat,MATCH(E4029,lst_exp_items,0))),"❔ Без категории"))</f>
        <v/>
      </c>
      <c r="G4029" s="43" t="n"/>
      <c r="H4029" s="56" t="n"/>
      <c r="I4029" s="43" t="n"/>
      <c r="J4029" s="57">
        <f>IF(OR(A4029="",H4029=""),"",IF(COUNTIFS(exp_year,C4029,exp_month,D4029,exp_item,E4029,exp_status,"&lt;&gt;❌ Отменено")&gt;0,1,0))</f>
        <v/>
      </c>
    </row>
    <row r="4030">
      <c r="A4030" s="52" t="n"/>
      <c r="B4030" s="53">
        <f>IF(A4030="","",CHOOSE(WEEKDAY(A4030,2),"Пн","Вт","Ср","Чт","Пт","Сб","Вс"))</f>
        <v/>
      </c>
      <c r="C4030" s="53">
        <f>IF(A4030="","",YEAR(A4030))</f>
        <v/>
      </c>
      <c r="D4030" s="54">
        <f>IF(A4030="","",INDEX(lst_months,MONTH(A4030)))</f>
        <v/>
      </c>
      <c r="E4030" s="55" t="n"/>
      <c r="F4030" s="54">
        <f>IF(E4030="","",IFERROR(IF(INDEX(lst_exp_item_cat,MATCH(E4030,lst_exp_items,0))="","❔ Без категории",INDEX(lst_exp_item_cat,MATCH(E4030,lst_exp_items,0))),"❔ Без категории"))</f>
        <v/>
      </c>
      <c r="G4030" s="43" t="n"/>
      <c r="H4030" s="56" t="n"/>
      <c r="I4030" s="43" t="n"/>
      <c r="J4030" s="57">
        <f>IF(OR(A4030="",H4030=""),"",IF(COUNTIFS(exp_year,C4030,exp_month,D4030,exp_item,E4030,exp_status,"&lt;&gt;❌ Отменено")&gt;0,1,0))</f>
        <v/>
      </c>
    </row>
    <row r="4031">
      <c r="A4031" s="52" t="n"/>
      <c r="B4031" s="53">
        <f>IF(A4031="","",CHOOSE(WEEKDAY(A4031,2),"Пн","Вт","Ср","Чт","Пт","Сб","Вс"))</f>
        <v/>
      </c>
      <c r="C4031" s="53">
        <f>IF(A4031="","",YEAR(A4031))</f>
        <v/>
      </c>
      <c r="D4031" s="54">
        <f>IF(A4031="","",INDEX(lst_months,MONTH(A4031)))</f>
        <v/>
      </c>
      <c r="E4031" s="55" t="n"/>
      <c r="F4031" s="54">
        <f>IF(E4031="","",IFERROR(IF(INDEX(lst_exp_item_cat,MATCH(E4031,lst_exp_items,0))="","❔ Без категории",INDEX(lst_exp_item_cat,MATCH(E4031,lst_exp_items,0))),"❔ Без категории"))</f>
        <v/>
      </c>
      <c r="G4031" s="43" t="n"/>
      <c r="H4031" s="56" t="n"/>
      <c r="I4031" s="43" t="n"/>
      <c r="J4031" s="57">
        <f>IF(OR(A4031="",H4031=""),"",IF(COUNTIFS(exp_year,C4031,exp_month,D4031,exp_item,E4031,exp_status,"&lt;&gt;❌ Отменено")&gt;0,1,0))</f>
        <v/>
      </c>
    </row>
    <row r="4032">
      <c r="A4032" s="52" t="n"/>
      <c r="B4032" s="53">
        <f>IF(A4032="","",CHOOSE(WEEKDAY(A4032,2),"Пн","Вт","Ср","Чт","Пт","Сб","Вс"))</f>
        <v/>
      </c>
      <c r="C4032" s="53">
        <f>IF(A4032="","",YEAR(A4032))</f>
        <v/>
      </c>
      <c r="D4032" s="54">
        <f>IF(A4032="","",INDEX(lst_months,MONTH(A4032)))</f>
        <v/>
      </c>
      <c r="E4032" s="55" t="n"/>
      <c r="F4032" s="54">
        <f>IF(E4032="","",IFERROR(IF(INDEX(lst_exp_item_cat,MATCH(E4032,lst_exp_items,0))="","❔ Без категории",INDEX(lst_exp_item_cat,MATCH(E4032,lst_exp_items,0))),"❔ Без категории"))</f>
        <v/>
      </c>
      <c r="G4032" s="43" t="n"/>
      <c r="H4032" s="56" t="n"/>
      <c r="I4032" s="43" t="n"/>
      <c r="J4032" s="57">
        <f>IF(OR(A4032="",H4032=""),"",IF(COUNTIFS(exp_year,C4032,exp_month,D4032,exp_item,E4032,exp_status,"&lt;&gt;❌ Отменено")&gt;0,1,0))</f>
        <v/>
      </c>
    </row>
    <row r="4033">
      <c r="A4033" s="52" t="n"/>
      <c r="B4033" s="53">
        <f>IF(A4033="","",CHOOSE(WEEKDAY(A4033,2),"Пн","Вт","Ср","Чт","Пт","Сб","Вс"))</f>
        <v/>
      </c>
      <c r="C4033" s="53">
        <f>IF(A4033="","",YEAR(A4033))</f>
        <v/>
      </c>
      <c r="D4033" s="54">
        <f>IF(A4033="","",INDEX(lst_months,MONTH(A4033)))</f>
        <v/>
      </c>
      <c r="E4033" s="55" t="n"/>
      <c r="F4033" s="54">
        <f>IF(E4033="","",IFERROR(IF(INDEX(lst_exp_item_cat,MATCH(E4033,lst_exp_items,0))="","❔ Без категории",INDEX(lst_exp_item_cat,MATCH(E4033,lst_exp_items,0))),"❔ Без категории"))</f>
        <v/>
      </c>
      <c r="G4033" s="43" t="n"/>
      <c r="H4033" s="56" t="n"/>
      <c r="I4033" s="43" t="n"/>
      <c r="J4033" s="57">
        <f>IF(OR(A4033="",H4033=""),"",IF(COUNTIFS(exp_year,C4033,exp_month,D4033,exp_item,E4033,exp_status,"&lt;&gt;❌ Отменено")&gt;0,1,0))</f>
        <v/>
      </c>
    </row>
    <row r="4034">
      <c r="A4034" s="52" t="n"/>
      <c r="B4034" s="53">
        <f>IF(A4034="","",CHOOSE(WEEKDAY(A4034,2),"Пн","Вт","Ср","Чт","Пт","Сб","Вс"))</f>
        <v/>
      </c>
      <c r="C4034" s="53">
        <f>IF(A4034="","",YEAR(A4034))</f>
        <v/>
      </c>
      <c r="D4034" s="54">
        <f>IF(A4034="","",INDEX(lst_months,MONTH(A4034)))</f>
        <v/>
      </c>
      <c r="E4034" s="55" t="n"/>
      <c r="F4034" s="54">
        <f>IF(E4034="","",IFERROR(IF(INDEX(lst_exp_item_cat,MATCH(E4034,lst_exp_items,0))="","❔ Без категории",INDEX(lst_exp_item_cat,MATCH(E4034,lst_exp_items,0))),"❔ Без категории"))</f>
        <v/>
      </c>
      <c r="G4034" s="43" t="n"/>
      <c r="H4034" s="56" t="n"/>
      <c r="I4034" s="43" t="n"/>
      <c r="J4034" s="57">
        <f>IF(OR(A4034="",H4034=""),"",IF(COUNTIFS(exp_year,C4034,exp_month,D4034,exp_item,E4034,exp_status,"&lt;&gt;❌ Отменено")&gt;0,1,0))</f>
        <v/>
      </c>
    </row>
    <row r="4035">
      <c r="A4035" s="52" t="n"/>
      <c r="B4035" s="53">
        <f>IF(A4035="","",CHOOSE(WEEKDAY(A4035,2),"Пн","Вт","Ср","Чт","Пт","Сб","Вс"))</f>
        <v/>
      </c>
      <c r="C4035" s="53">
        <f>IF(A4035="","",YEAR(A4035))</f>
        <v/>
      </c>
      <c r="D4035" s="54">
        <f>IF(A4035="","",INDEX(lst_months,MONTH(A4035)))</f>
        <v/>
      </c>
      <c r="E4035" s="55" t="n"/>
      <c r="F4035" s="54">
        <f>IF(E4035="","",IFERROR(IF(INDEX(lst_exp_item_cat,MATCH(E4035,lst_exp_items,0))="","❔ Без категории",INDEX(lst_exp_item_cat,MATCH(E4035,lst_exp_items,0))),"❔ Без категории"))</f>
        <v/>
      </c>
      <c r="G4035" s="43" t="n"/>
      <c r="H4035" s="56" t="n"/>
      <c r="I4035" s="43" t="n"/>
      <c r="J4035" s="57">
        <f>IF(OR(A4035="",H4035=""),"",IF(COUNTIFS(exp_year,C4035,exp_month,D4035,exp_item,E4035,exp_status,"&lt;&gt;❌ Отменено")&gt;0,1,0))</f>
        <v/>
      </c>
    </row>
    <row r="4036">
      <c r="A4036" s="52" t="n"/>
      <c r="B4036" s="53">
        <f>IF(A4036="","",CHOOSE(WEEKDAY(A4036,2),"Пн","Вт","Ср","Чт","Пт","Сб","Вс"))</f>
        <v/>
      </c>
      <c r="C4036" s="53">
        <f>IF(A4036="","",YEAR(A4036))</f>
        <v/>
      </c>
      <c r="D4036" s="54">
        <f>IF(A4036="","",INDEX(lst_months,MONTH(A4036)))</f>
        <v/>
      </c>
      <c r="E4036" s="55" t="n"/>
      <c r="F4036" s="54">
        <f>IF(E4036="","",IFERROR(IF(INDEX(lst_exp_item_cat,MATCH(E4036,lst_exp_items,0))="","❔ Без категории",INDEX(lst_exp_item_cat,MATCH(E4036,lst_exp_items,0))),"❔ Без категории"))</f>
        <v/>
      </c>
      <c r="G4036" s="43" t="n"/>
      <c r="H4036" s="56" t="n"/>
      <c r="I4036" s="43" t="n"/>
      <c r="J4036" s="57">
        <f>IF(OR(A4036="",H4036=""),"",IF(COUNTIFS(exp_year,C4036,exp_month,D4036,exp_item,E4036,exp_status,"&lt;&gt;❌ Отменено")&gt;0,1,0))</f>
        <v/>
      </c>
    </row>
    <row r="4037">
      <c r="A4037" s="52" t="n"/>
      <c r="B4037" s="53">
        <f>IF(A4037="","",CHOOSE(WEEKDAY(A4037,2),"Пн","Вт","Ср","Чт","Пт","Сб","Вс"))</f>
        <v/>
      </c>
      <c r="C4037" s="53">
        <f>IF(A4037="","",YEAR(A4037))</f>
        <v/>
      </c>
      <c r="D4037" s="54">
        <f>IF(A4037="","",INDEX(lst_months,MONTH(A4037)))</f>
        <v/>
      </c>
      <c r="E4037" s="55" t="n"/>
      <c r="F4037" s="54">
        <f>IF(E4037="","",IFERROR(IF(INDEX(lst_exp_item_cat,MATCH(E4037,lst_exp_items,0))="","❔ Без категории",INDEX(lst_exp_item_cat,MATCH(E4037,lst_exp_items,0))),"❔ Без категории"))</f>
        <v/>
      </c>
      <c r="G4037" s="43" t="n"/>
      <c r="H4037" s="56" t="n"/>
      <c r="I4037" s="43" t="n"/>
      <c r="J4037" s="57">
        <f>IF(OR(A4037="",H4037=""),"",IF(COUNTIFS(exp_year,C4037,exp_month,D4037,exp_item,E4037,exp_status,"&lt;&gt;❌ Отменено")&gt;0,1,0))</f>
        <v/>
      </c>
    </row>
    <row r="4038">
      <c r="A4038" s="52" t="n"/>
      <c r="B4038" s="53">
        <f>IF(A4038="","",CHOOSE(WEEKDAY(A4038,2),"Пн","Вт","Ср","Чт","Пт","Сб","Вс"))</f>
        <v/>
      </c>
      <c r="C4038" s="53">
        <f>IF(A4038="","",YEAR(A4038))</f>
        <v/>
      </c>
      <c r="D4038" s="54">
        <f>IF(A4038="","",INDEX(lst_months,MONTH(A4038)))</f>
        <v/>
      </c>
      <c r="E4038" s="55" t="n"/>
      <c r="F4038" s="54">
        <f>IF(E4038="","",IFERROR(IF(INDEX(lst_exp_item_cat,MATCH(E4038,lst_exp_items,0))="","❔ Без категории",INDEX(lst_exp_item_cat,MATCH(E4038,lst_exp_items,0))),"❔ Без категории"))</f>
        <v/>
      </c>
      <c r="G4038" s="43" t="n"/>
      <c r="H4038" s="56" t="n"/>
      <c r="I4038" s="43" t="n"/>
      <c r="J4038" s="57">
        <f>IF(OR(A4038="",H4038=""),"",IF(COUNTIFS(exp_year,C4038,exp_month,D4038,exp_item,E4038,exp_status,"&lt;&gt;❌ Отменено")&gt;0,1,0))</f>
        <v/>
      </c>
    </row>
    <row r="4039">
      <c r="A4039" s="52" t="n"/>
      <c r="B4039" s="53">
        <f>IF(A4039="","",CHOOSE(WEEKDAY(A4039,2),"Пн","Вт","Ср","Чт","Пт","Сб","Вс"))</f>
        <v/>
      </c>
      <c r="C4039" s="53">
        <f>IF(A4039="","",YEAR(A4039))</f>
        <v/>
      </c>
      <c r="D4039" s="54">
        <f>IF(A4039="","",INDEX(lst_months,MONTH(A4039)))</f>
        <v/>
      </c>
      <c r="E4039" s="55" t="n"/>
      <c r="F4039" s="54">
        <f>IF(E4039="","",IFERROR(IF(INDEX(lst_exp_item_cat,MATCH(E4039,lst_exp_items,0))="","❔ Без категории",INDEX(lst_exp_item_cat,MATCH(E4039,lst_exp_items,0))),"❔ Без категории"))</f>
        <v/>
      </c>
      <c r="G4039" s="43" t="n"/>
      <c r="H4039" s="56" t="n"/>
      <c r="I4039" s="43" t="n"/>
      <c r="J4039" s="57">
        <f>IF(OR(A4039="",H4039=""),"",IF(COUNTIFS(exp_year,C4039,exp_month,D4039,exp_item,E4039,exp_status,"&lt;&gt;❌ Отменено")&gt;0,1,0))</f>
        <v/>
      </c>
    </row>
    <row r="4040">
      <c r="A4040" s="52" t="n"/>
      <c r="B4040" s="53">
        <f>IF(A4040="","",CHOOSE(WEEKDAY(A4040,2),"Пн","Вт","Ср","Чт","Пт","Сб","Вс"))</f>
        <v/>
      </c>
      <c r="C4040" s="53">
        <f>IF(A4040="","",YEAR(A4040))</f>
        <v/>
      </c>
      <c r="D4040" s="54">
        <f>IF(A4040="","",INDEX(lst_months,MONTH(A4040)))</f>
        <v/>
      </c>
      <c r="E4040" s="55" t="n"/>
      <c r="F4040" s="54">
        <f>IF(E4040="","",IFERROR(IF(INDEX(lst_exp_item_cat,MATCH(E4040,lst_exp_items,0))="","❔ Без категории",INDEX(lst_exp_item_cat,MATCH(E4040,lst_exp_items,0))),"❔ Без категории"))</f>
        <v/>
      </c>
      <c r="G4040" s="43" t="n"/>
      <c r="H4040" s="56" t="n"/>
      <c r="I4040" s="43" t="n"/>
      <c r="J4040" s="57">
        <f>IF(OR(A4040="",H4040=""),"",IF(COUNTIFS(exp_year,C4040,exp_month,D4040,exp_item,E4040,exp_status,"&lt;&gt;❌ Отменено")&gt;0,1,0))</f>
        <v/>
      </c>
    </row>
    <row r="4041">
      <c r="A4041" s="52" t="n"/>
      <c r="B4041" s="53">
        <f>IF(A4041="","",CHOOSE(WEEKDAY(A4041,2),"Пн","Вт","Ср","Чт","Пт","Сб","Вс"))</f>
        <v/>
      </c>
      <c r="C4041" s="53">
        <f>IF(A4041="","",YEAR(A4041))</f>
        <v/>
      </c>
      <c r="D4041" s="54">
        <f>IF(A4041="","",INDEX(lst_months,MONTH(A4041)))</f>
        <v/>
      </c>
      <c r="E4041" s="55" t="n"/>
      <c r="F4041" s="54">
        <f>IF(E4041="","",IFERROR(IF(INDEX(lst_exp_item_cat,MATCH(E4041,lst_exp_items,0))="","❔ Без категории",INDEX(lst_exp_item_cat,MATCH(E4041,lst_exp_items,0))),"❔ Без категории"))</f>
        <v/>
      </c>
      <c r="G4041" s="43" t="n"/>
      <c r="H4041" s="56" t="n"/>
      <c r="I4041" s="43" t="n"/>
      <c r="J4041" s="57">
        <f>IF(OR(A4041="",H4041=""),"",IF(COUNTIFS(exp_year,C4041,exp_month,D4041,exp_item,E4041,exp_status,"&lt;&gt;❌ Отменено")&gt;0,1,0))</f>
        <v/>
      </c>
    </row>
    <row r="4042">
      <c r="A4042" s="52" t="n"/>
      <c r="B4042" s="53">
        <f>IF(A4042="","",CHOOSE(WEEKDAY(A4042,2),"Пн","Вт","Ср","Чт","Пт","Сб","Вс"))</f>
        <v/>
      </c>
      <c r="C4042" s="53">
        <f>IF(A4042="","",YEAR(A4042))</f>
        <v/>
      </c>
      <c r="D4042" s="54">
        <f>IF(A4042="","",INDEX(lst_months,MONTH(A4042)))</f>
        <v/>
      </c>
      <c r="E4042" s="55" t="n"/>
      <c r="F4042" s="54">
        <f>IF(E4042="","",IFERROR(IF(INDEX(lst_exp_item_cat,MATCH(E4042,lst_exp_items,0))="","❔ Без категории",INDEX(lst_exp_item_cat,MATCH(E4042,lst_exp_items,0))),"❔ Без категории"))</f>
        <v/>
      </c>
      <c r="G4042" s="43" t="n"/>
      <c r="H4042" s="56" t="n"/>
      <c r="I4042" s="43" t="n"/>
      <c r="J4042" s="57">
        <f>IF(OR(A4042="",H4042=""),"",IF(COUNTIFS(exp_year,C4042,exp_month,D4042,exp_item,E4042,exp_status,"&lt;&gt;❌ Отменено")&gt;0,1,0))</f>
        <v/>
      </c>
    </row>
    <row r="4043">
      <c r="A4043" s="52" t="n"/>
      <c r="B4043" s="53">
        <f>IF(A4043="","",CHOOSE(WEEKDAY(A4043,2),"Пн","Вт","Ср","Чт","Пт","Сб","Вс"))</f>
        <v/>
      </c>
      <c r="C4043" s="53">
        <f>IF(A4043="","",YEAR(A4043))</f>
        <v/>
      </c>
      <c r="D4043" s="54">
        <f>IF(A4043="","",INDEX(lst_months,MONTH(A4043)))</f>
        <v/>
      </c>
      <c r="E4043" s="55" t="n"/>
      <c r="F4043" s="54">
        <f>IF(E4043="","",IFERROR(IF(INDEX(lst_exp_item_cat,MATCH(E4043,lst_exp_items,0))="","❔ Без категории",INDEX(lst_exp_item_cat,MATCH(E4043,lst_exp_items,0))),"❔ Без категории"))</f>
        <v/>
      </c>
      <c r="G4043" s="43" t="n"/>
      <c r="H4043" s="56" t="n"/>
      <c r="I4043" s="43" t="n"/>
      <c r="J4043" s="57">
        <f>IF(OR(A4043="",H4043=""),"",IF(COUNTIFS(exp_year,C4043,exp_month,D4043,exp_item,E4043,exp_status,"&lt;&gt;❌ Отменено")&gt;0,1,0))</f>
        <v/>
      </c>
    </row>
    <row r="4044">
      <c r="A4044" s="52" t="n"/>
      <c r="B4044" s="53">
        <f>IF(A4044="","",CHOOSE(WEEKDAY(A4044,2),"Пн","Вт","Ср","Чт","Пт","Сб","Вс"))</f>
        <v/>
      </c>
      <c r="C4044" s="53">
        <f>IF(A4044="","",YEAR(A4044))</f>
        <v/>
      </c>
      <c r="D4044" s="54">
        <f>IF(A4044="","",INDEX(lst_months,MONTH(A4044)))</f>
        <v/>
      </c>
      <c r="E4044" s="55" t="n"/>
      <c r="F4044" s="54">
        <f>IF(E4044="","",IFERROR(IF(INDEX(lst_exp_item_cat,MATCH(E4044,lst_exp_items,0))="","❔ Без категории",INDEX(lst_exp_item_cat,MATCH(E4044,lst_exp_items,0))),"❔ Без категории"))</f>
        <v/>
      </c>
      <c r="G4044" s="43" t="n"/>
      <c r="H4044" s="56" t="n"/>
      <c r="I4044" s="43" t="n"/>
      <c r="J4044" s="57">
        <f>IF(OR(A4044="",H4044=""),"",IF(COUNTIFS(exp_year,C4044,exp_month,D4044,exp_item,E4044,exp_status,"&lt;&gt;❌ Отменено")&gt;0,1,0))</f>
        <v/>
      </c>
    </row>
    <row r="4045">
      <c r="A4045" s="52" t="n"/>
      <c r="B4045" s="53">
        <f>IF(A4045="","",CHOOSE(WEEKDAY(A4045,2),"Пн","Вт","Ср","Чт","Пт","Сб","Вс"))</f>
        <v/>
      </c>
      <c r="C4045" s="53">
        <f>IF(A4045="","",YEAR(A4045))</f>
        <v/>
      </c>
      <c r="D4045" s="54">
        <f>IF(A4045="","",INDEX(lst_months,MONTH(A4045)))</f>
        <v/>
      </c>
      <c r="E4045" s="55" t="n"/>
      <c r="F4045" s="54">
        <f>IF(E4045="","",IFERROR(IF(INDEX(lst_exp_item_cat,MATCH(E4045,lst_exp_items,0))="","❔ Без категории",INDEX(lst_exp_item_cat,MATCH(E4045,lst_exp_items,0))),"❔ Без категории"))</f>
        <v/>
      </c>
      <c r="G4045" s="43" t="n"/>
      <c r="H4045" s="56" t="n"/>
      <c r="I4045" s="43" t="n"/>
      <c r="J4045" s="57">
        <f>IF(OR(A4045="",H4045=""),"",IF(COUNTIFS(exp_year,C4045,exp_month,D4045,exp_item,E4045,exp_status,"&lt;&gt;❌ Отменено")&gt;0,1,0))</f>
        <v/>
      </c>
    </row>
    <row r="4046">
      <c r="A4046" s="52" t="n"/>
      <c r="B4046" s="53">
        <f>IF(A4046="","",CHOOSE(WEEKDAY(A4046,2),"Пн","Вт","Ср","Чт","Пт","Сб","Вс"))</f>
        <v/>
      </c>
      <c r="C4046" s="53">
        <f>IF(A4046="","",YEAR(A4046))</f>
        <v/>
      </c>
      <c r="D4046" s="54">
        <f>IF(A4046="","",INDEX(lst_months,MONTH(A4046)))</f>
        <v/>
      </c>
      <c r="E4046" s="55" t="n"/>
      <c r="F4046" s="54">
        <f>IF(E4046="","",IFERROR(IF(INDEX(lst_exp_item_cat,MATCH(E4046,lst_exp_items,0))="","❔ Без категории",INDEX(lst_exp_item_cat,MATCH(E4046,lst_exp_items,0))),"❔ Без категории"))</f>
        <v/>
      </c>
      <c r="G4046" s="43" t="n"/>
      <c r="H4046" s="56" t="n"/>
      <c r="I4046" s="43" t="n"/>
      <c r="J4046" s="57">
        <f>IF(OR(A4046="",H4046=""),"",IF(COUNTIFS(exp_year,C4046,exp_month,D4046,exp_item,E4046,exp_status,"&lt;&gt;❌ Отменено")&gt;0,1,0))</f>
        <v/>
      </c>
    </row>
    <row r="4047">
      <c r="A4047" s="52" t="n"/>
      <c r="B4047" s="53">
        <f>IF(A4047="","",CHOOSE(WEEKDAY(A4047,2),"Пн","Вт","Ср","Чт","Пт","Сб","Вс"))</f>
        <v/>
      </c>
      <c r="C4047" s="53">
        <f>IF(A4047="","",YEAR(A4047))</f>
        <v/>
      </c>
      <c r="D4047" s="54">
        <f>IF(A4047="","",INDEX(lst_months,MONTH(A4047)))</f>
        <v/>
      </c>
      <c r="E4047" s="55" t="n"/>
      <c r="F4047" s="54">
        <f>IF(E4047="","",IFERROR(IF(INDEX(lst_exp_item_cat,MATCH(E4047,lst_exp_items,0))="","❔ Без категории",INDEX(lst_exp_item_cat,MATCH(E4047,lst_exp_items,0))),"❔ Без категории"))</f>
        <v/>
      </c>
      <c r="G4047" s="43" t="n"/>
      <c r="H4047" s="56" t="n"/>
      <c r="I4047" s="43" t="n"/>
      <c r="J4047" s="57">
        <f>IF(OR(A4047="",H4047=""),"",IF(COUNTIFS(exp_year,C4047,exp_month,D4047,exp_item,E4047,exp_status,"&lt;&gt;❌ Отменено")&gt;0,1,0))</f>
        <v/>
      </c>
    </row>
    <row r="4048">
      <c r="A4048" s="52" t="n"/>
      <c r="B4048" s="53">
        <f>IF(A4048="","",CHOOSE(WEEKDAY(A4048,2),"Пн","Вт","Ср","Чт","Пт","Сб","Вс"))</f>
        <v/>
      </c>
      <c r="C4048" s="53">
        <f>IF(A4048="","",YEAR(A4048))</f>
        <v/>
      </c>
      <c r="D4048" s="54">
        <f>IF(A4048="","",INDEX(lst_months,MONTH(A4048)))</f>
        <v/>
      </c>
      <c r="E4048" s="55" t="n"/>
      <c r="F4048" s="54">
        <f>IF(E4048="","",IFERROR(IF(INDEX(lst_exp_item_cat,MATCH(E4048,lst_exp_items,0))="","❔ Без категории",INDEX(lst_exp_item_cat,MATCH(E4048,lst_exp_items,0))),"❔ Без категории"))</f>
        <v/>
      </c>
      <c r="G4048" s="43" t="n"/>
      <c r="H4048" s="56" t="n"/>
      <c r="I4048" s="43" t="n"/>
      <c r="J4048" s="57">
        <f>IF(OR(A4048="",H4048=""),"",IF(COUNTIFS(exp_year,C4048,exp_month,D4048,exp_item,E4048,exp_status,"&lt;&gt;❌ Отменено")&gt;0,1,0))</f>
        <v/>
      </c>
    </row>
    <row r="4049">
      <c r="A4049" s="52" t="n"/>
      <c r="B4049" s="53">
        <f>IF(A4049="","",CHOOSE(WEEKDAY(A4049,2),"Пн","Вт","Ср","Чт","Пт","Сб","Вс"))</f>
        <v/>
      </c>
      <c r="C4049" s="53">
        <f>IF(A4049="","",YEAR(A4049))</f>
        <v/>
      </c>
      <c r="D4049" s="54">
        <f>IF(A4049="","",INDEX(lst_months,MONTH(A4049)))</f>
        <v/>
      </c>
      <c r="E4049" s="55" t="n"/>
      <c r="F4049" s="54">
        <f>IF(E4049="","",IFERROR(IF(INDEX(lst_exp_item_cat,MATCH(E4049,lst_exp_items,0))="","❔ Без категории",INDEX(lst_exp_item_cat,MATCH(E4049,lst_exp_items,0))),"❔ Без категории"))</f>
        <v/>
      </c>
      <c r="G4049" s="43" t="n"/>
      <c r="H4049" s="56" t="n"/>
      <c r="I4049" s="43" t="n"/>
      <c r="J4049" s="57">
        <f>IF(OR(A4049="",H4049=""),"",IF(COUNTIFS(exp_year,C4049,exp_month,D4049,exp_item,E4049,exp_status,"&lt;&gt;❌ Отменено")&gt;0,1,0))</f>
        <v/>
      </c>
    </row>
    <row r="4050">
      <c r="A4050" s="52" t="n"/>
      <c r="B4050" s="53">
        <f>IF(A4050="","",CHOOSE(WEEKDAY(A4050,2),"Пн","Вт","Ср","Чт","Пт","Сб","Вс"))</f>
        <v/>
      </c>
      <c r="C4050" s="53">
        <f>IF(A4050="","",YEAR(A4050))</f>
        <v/>
      </c>
      <c r="D4050" s="54">
        <f>IF(A4050="","",INDEX(lst_months,MONTH(A4050)))</f>
        <v/>
      </c>
      <c r="E4050" s="55" t="n"/>
      <c r="F4050" s="54">
        <f>IF(E4050="","",IFERROR(IF(INDEX(lst_exp_item_cat,MATCH(E4050,lst_exp_items,0))="","❔ Без категории",INDEX(lst_exp_item_cat,MATCH(E4050,lst_exp_items,0))),"❔ Без категории"))</f>
        <v/>
      </c>
      <c r="G4050" s="43" t="n"/>
      <c r="H4050" s="56" t="n"/>
      <c r="I4050" s="43" t="n"/>
      <c r="J4050" s="57">
        <f>IF(OR(A4050="",H4050=""),"",IF(COUNTIFS(exp_year,C4050,exp_month,D4050,exp_item,E4050,exp_status,"&lt;&gt;❌ Отменено")&gt;0,1,0))</f>
        <v/>
      </c>
    </row>
    <row r="4051">
      <c r="A4051" s="52" t="n"/>
      <c r="B4051" s="53">
        <f>IF(A4051="","",CHOOSE(WEEKDAY(A4051,2),"Пн","Вт","Ср","Чт","Пт","Сб","Вс"))</f>
        <v/>
      </c>
      <c r="C4051" s="53">
        <f>IF(A4051="","",YEAR(A4051))</f>
        <v/>
      </c>
      <c r="D4051" s="54">
        <f>IF(A4051="","",INDEX(lst_months,MONTH(A4051)))</f>
        <v/>
      </c>
      <c r="E4051" s="55" t="n"/>
      <c r="F4051" s="54">
        <f>IF(E4051="","",IFERROR(IF(INDEX(lst_exp_item_cat,MATCH(E4051,lst_exp_items,0))="","❔ Без категории",INDEX(lst_exp_item_cat,MATCH(E4051,lst_exp_items,0))),"❔ Без категории"))</f>
        <v/>
      </c>
      <c r="G4051" s="43" t="n"/>
      <c r="H4051" s="56" t="n"/>
      <c r="I4051" s="43" t="n"/>
      <c r="J4051" s="57">
        <f>IF(OR(A4051="",H4051=""),"",IF(COUNTIFS(exp_year,C4051,exp_month,D4051,exp_item,E4051,exp_status,"&lt;&gt;❌ Отменено")&gt;0,1,0))</f>
        <v/>
      </c>
    </row>
    <row r="4052">
      <c r="A4052" s="52" t="n"/>
      <c r="B4052" s="53">
        <f>IF(A4052="","",CHOOSE(WEEKDAY(A4052,2),"Пн","Вт","Ср","Чт","Пт","Сб","Вс"))</f>
        <v/>
      </c>
      <c r="C4052" s="53">
        <f>IF(A4052="","",YEAR(A4052))</f>
        <v/>
      </c>
      <c r="D4052" s="54">
        <f>IF(A4052="","",INDEX(lst_months,MONTH(A4052)))</f>
        <v/>
      </c>
      <c r="E4052" s="55" t="n"/>
      <c r="F4052" s="54">
        <f>IF(E4052="","",IFERROR(IF(INDEX(lst_exp_item_cat,MATCH(E4052,lst_exp_items,0))="","❔ Без категории",INDEX(lst_exp_item_cat,MATCH(E4052,lst_exp_items,0))),"❔ Без категории"))</f>
        <v/>
      </c>
      <c r="G4052" s="43" t="n"/>
      <c r="H4052" s="56" t="n"/>
      <c r="I4052" s="43" t="n"/>
      <c r="J4052" s="57">
        <f>IF(OR(A4052="",H4052=""),"",IF(COUNTIFS(exp_year,C4052,exp_month,D4052,exp_item,E4052,exp_status,"&lt;&gt;❌ Отменено")&gt;0,1,0))</f>
        <v/>
      </c>
    </row>
    <row r="4053">
      <c r="A4053" s="52" t="n"/>
      <c r="B4053" s="53">
        <f>IF(A4053="","",CHOOSE(WEEKDAY(A4053,2),"Пн","Вт","Ср","Чт","Пт","Сб","Вс"))</f>
        <v/>
      </c>
      <c r="C4053" s="53">
        <f>IF(A4053="","",YEAR(A4053))</f>
        <v/>
      </c>
      <c r="D4053" s="54">
        <f>IF(A4053="","",INDEX(lst_months,MONTH(A4053)))</f>
        <v/>
      </c>
      <c r="E4053" s="55" t="n"/>
      <c r="F4053" s="54">
        <f>IF(E4053="","",IFERROR(IF(INDEX(lst_exp_item_cat,MATCH(E4053,lst_exp_items,0))="","❔ Без категории",INDEX(lst_exp_item_cat,MATCH(E4053,lst_exp_items,0))),"❔ Без категории"))</f>
        <v/>
      </c>
      <c r="G4053" s="43" t="n"/>
      <c r="H4053" s="56" t="n"/>
      <c r="I4053" s="43" t="n"/>
      <c r="J4053" s="57">
        <f>IF(OR(A4053="",H4053=""),"",IF(COUNTIFS(exp_year,C4053,exp_month,D4053,exp_item,E4053,exp_status,"&lt;&gt;❌ Отменено")&gt;0,1,0))</f>
        <v/>
      </c>
    </row>
    <row r="4054">
      <c r="A4054" s="52" t="n"/>
      <c r="B4054" s="53">
        <f>IF(A4054="","",CHOOSE(WEEKDAY(A4054,2),"Пн","Вт","Ср","Чт","Пт","Сб","Вс"))</f>
        <v/>
      </c>
      <c r="C4054" s="53">
        <f>IF(A4054="","",YEAR(A4054))</f>
        <v/>
      </c>
      <c r="D4054" s="54">
        <f>IF(A4054="","",INDEX(lst_months,MONTH(A4054)))</f>
        <v/>
      </c>
      <c r="E4054" s="55" t="n"/>
      <c r="F4054" s="54">
        <f>IF(E4054="","",IFERROR(IF(INDEX(lst_exp_item_cat,MATCH(E4054,lst_exp_items,0))="","❔ Без категории",INDEX(lst_exp_item_cat,MATCH(E4054,lst_exp_items,0))),"❔ Без категории"))</f>
        <v/>
      </c>
      <c r="G4054" s="43" t="n"/>
      <c r="H4054" s="56" t="n"/>
      <c r="I4054" s="43" t="n"/>
      <c r="J4054" s="57">
        <f>IF(OR(A4054="",H4054=""),"",IF(COUNTIFS(exp_year,C4054,exp_month,D4054,exp_item,E4054,exp_status,"&lt;&gt;❌ Отменено")&gt;0,1,0))</f>
        <v/>
      </c>
    </row>
    <row r="4055">
      <c r="A4055" s="52" t="n"/>
      <c r="B4055" s="53">
        <f>IF(A4055="","",CHOOSE(WEEKDAY(A4055,2),"Пн","Вт","Ср","Чт","Пт","Сб","Вс"))</f>
        <v/>
      </c>
      <c r="C4055" s="53">
        <f>IF(A4055="","",YEAR(A4055))</f>
        <v/>
      </c>
      <c r="D4055" s="54">
        <f>IF(A4055="","",INDEX(lst_months,MONTH(A4055)))</f>
        <v/>
      </c>
      <c r="E4055" s="55" t="n"/>
      <c r="F4055" s="54">
        <f>IF(E4055="","",IFERROR(IF(INDEX(lst_exp_item_cat,MATCH(E4055,lst_exp_items,0))="","❔ Без категории",INDEX(lst_exp_item_cat,MATCH(E4055,lst_exp_items,0))),"❔ Без категории"))</f>
        <v/>
      </c>
      <c r="G4055" s="43" t="n"/>
      <c r="H4055" s="56" t="n"/>
      <c r="I4055" s="43" t="n"/>
      <c r="J4055" s="57">
        <f>IF(OR(A4055="",H4055=""),"",IF(COUNTIFS(exp_year,C4055,exp_month,D4055,exp_item,E4055,exp_status,"&lt;&gt;❌ Отменено")&gt;0,1,0))</f>
        <v/>
      </c>
    </row>
    <row r="4056">
      <c r="A4056" s="52" t="n"/>
      <c r="B4056" s="53">
        <f>IF(A4056="","",CHOOSE(WEEKDAY(A4056,2),"Пн","Вт","Ср","Чт","Пт","Сб","Вс"))</f>
        <v/>
      </c>
      <c r="C4056" s="53">
        <f>IF(A4056="","",YEAR(A4056))</f>
        <v/>
      </c>
      <c r="D4056" s="54">
        <f>IF(A4056="","",INDEX(lst_months,MONTH(A4056)))</f>
        <v/>
      </c>
      <c r="E4056" s="55" t="n"/>
      <c r="F4056" s="54">
        <f>IF(E4056="","",IFERROR(IF(INDEX(lst_exp_item_cat,MATCH(E4056,lst_exp_items,0))="","❔ Без категории",INDEX(lst_exp_item_cat,MATCH(E4056,lst_exp_items,0))),"❔ Без категории"))</f>
        <v/>
      </c>
      <c r="G4056" s="43" t="n"/>
      <c r="H4056" s="56" t="n"/>
      <c r="I4056" s="43" t="n"/>
      <c r="J4056" s="57">
        <f>IF(OR(A4056="",H4056=""),"",IF(COUNTIFS(exp_year,C4056,exp_month,D4056,exp_item,E4056,exp_status,"&lt;&gt;❌ Отменено")&gt;0,1,0))</f>
        <v/>
      </c>
    </row>
    <row r="4057">
      <c r="A4057" s="52" t="n"/>
      <c r="B4057" s="53">
        <f>IF(A4057="","",CHOOSE(WEEKDAY(A4057,2),"Пн","Вт","Ср","Чт","Пт","Сб","Вс"))</f>
        <v/>
      </c>
      <c r="C4057" s="53">
        <f>IF(A4057="","",YEAR(A4057))</f>
        <v/>
      </c>
      <c r="D4057" s="54">
        <f>IF(A4057="","",INDEX(lst_months,MONTH(A4057)))</f>
        <v/>
      </c>
      <c r="E4057" s="55" t="n"/>
      <c r="F4057" s="54">
        <f>IF(E4057="","",IFERROR(IF(INDEX(lst_exp_item_cat,MATCH(E4057,lst_exp_items,0))="","❔ Без категории",INDEX(lst_exp_item_cat,MATCH(E4057,lst_exp_items,0))),"❔ Без категории"))</f>
        <v/>
      </c>
      <c r="G4057" s="43" t="n"/>
      <c r="H4057" s="56" t="n"/>
      <c r="I4057" s="43" t="n"/>
      <c r="J4057" s="57">
        <f>IF(OR(A4057="",H4057=""),"",IF(COUNTIFS(exp_year,C4057,exp_month,D4057,exp_item,E4057,exp_status,"&lt;&gt;❌ Отменено")&gt;0,1,0))</f>
        <v/>
      </c>
    </row>
    <row r="4058">
      <c r="A4058" s="52" t="n"/>
      <c r="B4058" s="53">
        <f>IF(A4058="","",CHOOSE(WEEKDAY(A4058,2),"Пн","Вт","Ср","Чт","Пт","Сб","Вс"))</f>
        <v/>
      </c>
      <c r="C4058" s="53">
        <f>IF(A4058="","",YEAR(A4058))</f>
        <v/>
      </c>
      <c r="D4058" s="54">
        <f>IF(A4058="","",INDEX(lst_months,MONTH(A4058)))</f>
        <v/>
      </c>
      <c r="E4058" s="55" t="n"/>
      <c r="F4058" s="54">
        <f>IF(E4058="","",IFERROR(IF(INDEX(lst_exp_item_cat,MATCH(E4058,lst_exp_items,0))="","❔ Без категории",INDEX(lst_exp_item_cat,MATCH(E4058,lst_exp_items,0))),"❔ Без категории"))</f>
        <v/>
      </c>
      <c r="G4058" s="43" t="n"/>
      <c r="H4058" s="56" t="n"/>
      <c r="I4058" s="43" t="n"/>
      <c r="J4058" s="57">
        <f>IF(OR(A4058="",H4058=""),"",IF(COUNTIFS(exp_year,C4058,exp_month,D4058,exp_item,E4058,exp_status,"&lt;&gt;❌ Отменено")&gt;0,1,0))</f>
        <v/>
      </c>
    </row>
    <row r="4059">
      <c r="A4059" s="52" t="n"/>
      <c r="B4059" s="53">
        <f>IF(A4059="","",CHOOSE(WEEKDAY(A4059,2),"Пн","Вт","Ср","Чт","Пт","Сб","Вс"))</f>
        <v/>
      </c>
      <c r="C4059" s="53">
        <f>IF(A4059="","",YEAR(A4059))</f>
        <v/>
      </c>
      <c r="D4059" s="54">
        <f>IF(A4059="","",INDEX(lst_months,MONTH(A4059)))</f>
        <v/>
      </c>
      <c r="E4059" s="55" t="n"/>
      <c r="F4059" s="54">
        <f>IF(E4059="","",IFERROR(IF(INDEX(lst_exp_item_cat,MATCH(E4059,lst_exp_items,0))="","❔ Без категории",INDEX(lst_exp_item_cat,MATCH(E4059,lst_exp_items,0))),"❔ Без категории"))</f>
        <v/>
      </c>
      <c r="G4059" s="43" t="n"/>
      <c r="H4059" s="56" t="n"/>
      <c r="I4059" s="43" t="n"/>
      <c r="J4059" s="57">
        <f>IF(OR(A4059="",H4059=""),"",IF(COUNTIFS(exp_year,C4059,exp_month,D4059,exp_item,E4059,exp_status,"&lt;&gt;❌ Отменено")&gt;0,1,0))</f>
        <v/>
      </c>
    </row>
    <row r="4060">
      <c r="A4060" s="52" t="n"/>
      <c r="B4060" s="53">
        <f>IF(A4060="","",CHOOSE(WEEKDAY(A4060,2),"Пн","Вт","Ср","Чт","Пт","Сб","Вс"))</f>
        <v/>
      </c>
      <c r="C4060" s="53">
        <f>IF(A4060="","",YEAR(A4060))</f>
        <v/>
      </c>
      <c r="D4060" s="54">
        <f>IF(A4060="","",INDEX(lst_months,MONTH(A4060)))</f>
        <v/>
      </c>
      <c r="E4060" s="55" t="n"/>
      <c r="F4060" s="54">
        <f>IF(E4060="","",IFERROR(IF(INDEX(lst_exp_item_cat,MATCH(E4060,lst_exp_items,0))="","❔ Без категории",INDEX(lst_exp_item_cat,MATCH(E4060,lst_exp_items,0))),"❔ Без категории"))</f>
        <v/>
      </c>
      <c r="G4060" s="43" t="n"/>
      <c r="H4060" s="56" t="n"/>
      <c r="I4060" s="43" t="n"/>
      <c r="J4060" s="57">
        <f>IF(OR(A4060="",H4060=""),"",IF(COUNTIFS(exp_year,C4060,exp_month,D4060,exp_item,E4060,exp_status,"&lt;&gt;❌ Отменено")&gt;0,1,0))</f>
        <v/>
      </c>
    </row>
    <row r="4061">
      <c r="A4061" s="52" t="n"/>
      <c r="B4061" s="53">
        <f>IF(A4061="","",CHOOSE(WEEKDAY(A4061,2),"Пн","Вт","Ср","Чт","Пт","Сб","Вс"))</f>
        <v/>
      </c>
      <c r="C4061" s="53">
        <f>IF(A4061="","",YEAR(A4061))</f>
        <v/>
      </c>
      <c r="D4061" s="54">
        <f>IF(A4061="","",INDEX(lst_months,MONTH(A4061)))</f>
        <v/>
      </c>
      <c r="E4061" s="55" t="n"/>
      <c r="F4061" s="54">
        <f>IF(E4061="","",IFERROR(IF(INDEX(lst_exp_item_cat,MATCH(E4061,lst_exp_items,0))="","❔ Без категории",INDEX(lst_exp_item_cat,MATCH(E4061,lst_exp_items,0))),"❔ Без категории"))</f>
        <v/>
      </c>
      <c r="G4061" s="43" t="n"/>
      <c r="H4061" s="56" t="n"/>
      <c r="I4061" s="43" t="n"/>
      <c r="J4061" s="57">
        <f>IF(OR(A4061="",H4061=""),"",IF(COUNTIFS(exp_year,C4061,exp_month,D4061,exp_item,E4061,exp_status,"&lt;&gt;❌ Отменено")&gt;0,1,0))</f>
        <v/>
      </c>
    </row>
    <row r="4062">
      <c r="A4062" s="52" t="n"/>
      <c r="B4062" s="53">
        <f>IF(A4062="","",CHOOSE(WEEKDAY(A4062,2),"Пн","Вт","Ср","Чт","Пт","Сб","Вс"))</f>
        <v/>
      </c>
      <c r="C4062" s="53">
        <f>IF(A4062="","",YEAR(A4062))</f>
        <v/>
      </c>
      <c r="D4062" s="54">
        <f>IF(A4062="","",INDEX(lst_months,MONTH(A4062)))</f>
        <v/>
      </c>
      <c r="E4062" s="55" t="n"/>
      <c r="F4062" s="54">
        <f>IF(E4062="","",IFERROR(IF(INDEX(lst_exp_item_cat,MATCH(E4062,lst_exp_items,0))="","❔ Без категории",INDEX(lst_exp_item_cat,MATCH(E4062,lst_exp_items,0))),"❔ Без категории"))</f>
        <v/>
      </c>
      <c r="G4062" s="43" t="n"/>
      <c r="H4062" s="56" t="n"/>
      <c r="I4062" s="43" t="n"/>
      <c r="J4062" s="57">
        <f>IF(OR(A4062="",H4062=""),"",IF(COUNTIFS(exp_year,C4062,exp_month,D4062,exp_item,E4062,exp_status,"&lt;&gt;❌ Отменено")&gt;0,1,0))</f>
        <v/>
      </c>
    </row>
    <row r="4063">
      <c r="A4063" s="52" t="n"/>
      <c r="B4063" s="53">
        <f>IF(A4063="","",CHOOSE(WEEKDAY(A4063,2),"Пн","Вт","Ср","Чт","Пт","Сб","Вс"))</f>
        <v/>
      </c>
      <c r="C4063" s="53">
        <f>IF(A4063="","",YEAR(A4063))</f>
        <v/>
      </c>
      <c r="D4063" s="54">
        <f>IF(A4063="","",INDEX(lst_months,MONTH(A4063)))</f>
        <v/>
      </c>
      <c r="E4063" s="55" t="n"/>
      <c r="F4063" s="54">
        <f>IF(E4063="","",IFERROR(IF(INDEX(lst_exp_item_cat,MATCH(E4063,lst_exp_items,0))="","❔ Без категории",INDEX(lst_exp_item_cat,MATCH(E4063,lst_exp_items,0))),"❔ Без категории"))</f>
        <v/>
      </c>
      <c r="G4063" s="43" t="n"/>
      <c r="H4063" s="56" t="n"/>
      <c r="I4063" s="43" t="n"/>
      <c r="J4063" s="57">
        <f>IF(OR(A4063="",H4063=""),"",IF(COUNTIFS(exp_year,C4063,exp_month,D4063,exp_item,E4063,exp_status,"&lt;&gt;❌ Отменено")&gt;0,1,0))</f>
        <v/>
      </c>
    </row>
    <row r="4064">
      <c r="A4064" s="52" t="n"/>
      <c r="B4064" s="53">
        <f>IF(A4064="","",CHOOSE(WEEKDAY(A4064,2),"Пн","Вт","Ср","Чт","Пт","Сб","Вс"))</f>
        <v/>
      </c>
      <c r="C4064" s="53">
        <f>IF(A4064="","",YEAR(A4064))</f>
        <v/>
      </c>
      <c r="D4064" s="54">
        <f>IF(A4064="","",INDEX(lst_months,MONTH(A4064)))</f>
        <v/>
      </c>
      <c r="E4064" s="55" t="n"/>
      <c r="F4064" s="54">
        <f>IF(E4064="","",IFERROR(IF(INDEX(lst_exp_item_cat,MATCH(E4064,lst_exp_items,0))="","❔ Без категории",INDEX(lst_exp_item_cat,MATCH(E4064,lst_exp_items,0))),"❔ Без категории"))</f>
        <v/>
      </c>
      <c r="G4064" s="43" t="n"/>
      <c r="H4064" s="56" t="n"/>
      <c r="I4064" s="43" t="n"/>
      <c r="J4064" s="57">
        <f>IF(OR(A4064="",H4064=""),"",IF(COUNTIFS(exp_year,C4064,exp_month,D4064,exp_item,E4064,exp_status,"&lt;&gt;❌ Отменено")&gt;0,1,0))</f>
        <v/>
      </c>
    </row>
    <row r="4065">
      <c r="A4065" s="52" t="n"/>
      <c r="B4065" s="53">
        <f>IF(A4065="","",CHOOSE(WEEKDAY(A4065,2),"Пн","Вт","Ср","Чт","Пт","Сб","Вс"))</f>
        <v/>
      </c>
      <c r="C4065" s="53">
        <f>IF(A4065="","",YEAR(A4065))</f>
        <v/>
      </c>
      <c r="D4065" s="54">
        <f>IF(A4065="","",INDEX(lst_months,MONTH(A4065)))</f>
        <v/>
      </c>
      <c r="E4065" s="55" t="n"/>
      <c r="F4065" s="54">
        <f>IF(E4065="","",IFERROR(IF(INDEX(lst_exp_item_cat,MATCH(E4065,lst_exp_items,0))="","❔ Без категории",INDEX(lst_exp_item_cat,MATCH(E4065,lst_exp_items,0))),"❔ Без категории"))</f>
        <v/>
      </c>
      <c r="G4065" s="43" t="n"/>
      <c r="H4065" s="56" t="n"/>
      <c r="I4065" s="43" t="n"/>
      <c r="J4065" s="57">
        <f>IF(OR(A4065="",H4065=""),"",IF(COUNTIFS(exp_year,C4065,exp_month,D4065,exp_item,E4065,exp_status,"&lt;&gt;❌ Отменено")&gt;0,1,0))</f>
        <v/>
      </c>
    </row>
    <row r="4066">
      <c r="A4066" s="52" t="n"/>
      <c r="B4066" s="53">
        <f>IF(A4066="","",CHOOSE(WEEKDAY(A4066,2),"Пн","Вт","Ср","Чт","Пт","Сб","Вс"))</f>
        <v/>
      </c>
      <c r="C4066" s="53">
        <f>IF(A4066="","",YEAR(A4066))</f>
        <v/>
      </c>
      <c r="D4066" s="54">
        <f>IF(A4066="","",INDEX(lst_months,MONTH(A4066)))</f>
        <v/>
      </c>
      <c r="E4066" s="55" t="n"/>
      <c r="F4066" s="54">
        <f>IF(E4066="","",IFERROR(IF(INDEX(lst_exp_item_cat,MATCH(E4066,lst_exp_items,0))="","❔ Без категории",INDEX(lst_exp_item_cat,MATCH(E4066,lst_exp_items,0))),"❔ Без категории"))</f>
        <v/>
      </c>
      <c r="G4066" s="43" t="n"/>
      <c r="H4066" s="56" t="n"/>
      <c r="I4066" s="43" t="n"/>
      <c r="J4066" s="57">
        <f>IF(OR(A4066="",H4066=""),"",IF(COUNTIFS(exp_year,C4066,exp_month,D4066,exp_item,E4066,exp_status,"&lt;&gt;❌ Отменено")&gt;0,1,0))</f>
        <v/>
      </c>
    </row>
    <row r="4067">
      <c r="A4067" s="52" t="n"/>
      <c r="B4067" s="53">
        <f>IF(A4067="","",CHOOSE(WEEKDAY(A4067,2),"Пн","Вт","Ср","Чт","Пт","Сб","Вс"))</f>
        <v/>
      </c>
      <c r="C4067" s="53">
        <f>IF(A4067="","",YEAR(A4067))</f>
        <v/>
      </c>
      <c r="D4067" s="54">
        <f>IF(A4067="","",INDEX(lst_months,MONTH(A4067)))</f>
        <v/>
      </c>
      <c r="E4067" s="55" t="n"/>
      <c r="F4067" s="54">
        <f>IF(E4067="","",IFERROR(IF(INDEX(lst_exp_item_cat,MATCH(E4067,lst_exp_items,0))="","❔ Без категории",INDEX(lst_exp_item_cat,MATCH(E4067,lst_exp_items,0))),"❔ Без категории"))</f>
        <v/>
      </c>
      <c r="G4067" s="43" t="n"/>
      <c r="H4067" s="56" t="n"/>
      <c r="I4067" s="43" t="n"/>
      <c r="J4067" s="57">
        <f>IF(OR(A4067="",H4067=""),"",IF(COUNTIFS(exp_year,C4067,exp_month,D4067,exp_item,E4067,exp_status,"&lt;&gt;❌ Отменено")&gt;0,1,0))</f>
        <v/>
      </c>
    </row>
    <row r="4068">
      <c r="A4068" s="52" t="n"/>
      <c r="B4068" s="53">
        <f>IF(A4068="","",CHOOSE(WEEKDAY(A4068,2),"Пн","Вт","Ср","Чт","Пт","Сб","Вс"))</f>
        <v/>
      </c>
      <c r="C4068" s="53">
        <f>IF(A4068="","",YEAR(A4068))</f>
        <v/>
      </c>
      <c r="D4068" s="54">
        <f>IF(A4068="","",INDEX(lst_months,MONTH(A4068)))</f>
        <v/>
      </c>
      <c r="E4068" s="55" t="n"/>
      <c r="F4068" s="54">
        <f>IF(E4068="","",IFERROR(IF(INDEX(lst_exp_item_cat,MATCH(E4068,lst_exp_items,0))="","❔ Без категории",INDEX(lst_exp_item_cat,MATCH(E4068,lst_exp_items,0))),"❔ Без категории"))</f>
        <v/>
      </c>
      <c r="G4068" s="43" t="n"/>
      <c r="H4068" s="56" t="n"/>
      <c r="I4068" s="43" t="n"/>
      <c r="J4068" s="57">
        <f>IF(OR(A4068="",H4068=""),"",IF(COUNTIFS(exp_year,C4068,exp_month,D4068,exp_item,E4068,exp_status,"&lt;&gt;❌ Отменено")&gt;0,1,0))</f>
        <v/>
      </c>
    </row>
    <row r="4069">
      <c r="A4069" s="52" t="n"/>
      <c r="B4069" s="53">
        <f>IF(A4069="","",CHOOSE(WEEKDAY(A4069,2),"Пн","Вт","Ср","Чт","Пт","Сб","Вс"))</f>
        <v/>
      </c>
      <c r="C4069" s="53">
        <f>IF(A4069="","",YEAR(A4069))</f>
        <v/>
      </c>
      <c r="D4069" s="54">
        <f>IF(A4069="","",INDEX(lst_months,MONTH(A4069)))</f>
        <v/>
      </c>
      <c r="E4069" s="55" t="n"/>
      <c r="F4069" s="54">
        <f>IF(E4069="","",IFERROR(IF(INDEX(lst_exp_item_cat,MATCH(E4069,lst_exp_items,0))="","❔ Без категории",INDEX(lst_exp_item_cat,MATCH(E4069,lst_exp_items,0))),"❔ Без категории"))</f>
        <v/>
      </c>
      <c r="G4069" s="43" t="n"/>
      <c r="H4069" s="56" t="n"/>
      <c r="I4069" s="43" t="n"/>
      <c r="J4069" s="57">
        <f>IF(OR(A4069="",H4069=""),"",IF(COUNTIFS(exp_year,C4069,exp_month,D4069,exp_item,E4069,exp_status,"&lt;&gt;❌ Отменено")&gt;0,1,0))</f>
        <v/>
      </c>
    </row>
    <row r="4070">
      <c r="A4070" s="52" t="n"/>
      <c r="B4070" s="53">
        <f>IF(A4070="","",CHOOSE(WEEKDAY(A4070,2),"Пн","Вт","Ср","Чт","Пт","Сб","Вс"))</f>
        <v/>
      </c>
      <c r="C4070" s="53">
        <f>IF(A4070="","",YEAR(A4070))</f>
        <v/>
      </c>
      <c r="D4070" s="54">
        <f>IF(A4070="","",INDEX(lst_months,MONTH(A4070)))</f>
        <v/>
      </c>
      <c r="E4070" s="55" t="n"/>
      <c r="F4070" s="54">
        <f>IF(E4070="","",IFERROR(IF(INDEX(lst_exp_item_cat,MATCH(E4070,lst_exp_items,0))="","❔ Без категории",INDEX(lst_exp_item_cat,MATCH(E4070,lst_exp_items,0))),"❔ Без категории"))</f>
        <v/>
      </c>
      <c r="G4070" s="43" t="n"/>
      <c r="H4070" s="56" t="n"/>
      <c r="I4070" s="43" t="n"/>
      <c r="J4070" s="57">
        <f>IF(OR(A4070="",H4070=""),"",IF(COUNTIFS(exp_year,C4070,exp_month,D4070,exp_item,E4070,exp_status,"&lt;&gt;❌ Отменено")&gt;0,1,0))</f>
        <v/>
      </c>
    </row>
    <row r="4071">
      <c r="A4071" s="52" t="n"/>
      <c r="B4071" s="53">
        <f>IF(A4071="","",CHOOSE(WEEKDAY(A4071,2),"Пн","Вт","Ср","Чт","Пт","Сб","Вс"))</f>
        <v/>
      </c>
      <c r="C4071" s="53">
        <f>IF(A4071="","",YEAR(A4071))</f>
        <v/>
      </c>
      <c r="D4071" s="54">
        <f>IF(A4071="","",INDEX(lst_months,MONTH(A4071)))</f>
        <v/>
      </c>
      <c r="E4071" s="55" t="n"/>
      <c r="F4071" s="54">
        <f>IF(E4071="","",IFERROR(IF(INDEX(lst_exp_item_cat,MATCH(E4071,lst_exp_items,0))="","❔ Без категории",INDEX(lst_exp_item_cat,MATCH(E4071,lst_exp_items,0))),"❔ Без категории"))</f>
        <v/>
      </c>
      <c r="G4071" s="43" t="n"/>
      <c r="H4071" s="56" t="n"/>
      <c r="I4071" s="43" t="n"/>
      <c r="J4071" s="57">
        <f>IF(OR(A4071="",H4071=""),"",IF(COUNTIFS(exp_year,C4071,exp_month,D4071,exp_item,E4071,exp_status,"&lt;&gt;❌ Отменено")&gt;0,1,0))</f>
        <v/>
      </c>
    </row>
    <row r="4072">
      <c r="A4072" s="52" t="n"/>
      <c r="B4072" s="53">
        <f>IF(A4072="","",CHOOSE(WEEKDAY(A4072,2),"Пн","Вт","Ср","Чт","Пт","Сб","Вс"))</f>
        <v/>
      </c>
      <c r="C4072" s="53">
        <f>IF(A4072="","",YEAR(A4072))</f>
        <v/>
      </c>
      <c r="D4072" s="54">
        <f>IF(A4072="","",INDEX(lst_months,MONTH(A4072)))</f>
        <v/>
      </c>
      <c r="E4072" s="55" t="n"/>
      <c r="F4072" s="54">
        <f>IF(E4072="","",IFERROR(IF(INDEX(lst_exp_item_cat,MATCH(E4072,lst_exp_items,0))="","❔ Без категории",INDEX(lst_exp_item_cat,MATCH(E4072,lst_exp_items,0))),"❔ Без категории"))</f>
        <v/>
      </c>
      <c r="G4072" s="43" t="n"/>
      <c r="H4072" s="56" t="n"/>
      <c r="I4072" s="43" t="n"/>
      <c r="J4072" s="57">
        <f>IF(OR(A4072="",H4072=""),"",IF(COUNTIFS(exp_year,C4072,exp_month,D4072,exp_item,E4072,exp_status,"&lt;&gt;❌ Отменено")&gt;0,1,0))</f>
        <v/>
      </c>
    </row>
    <row r="4073">
      <c r="A4073" s="52" t="n"/>
      <c r="B4073" s="53">
        <f>IF(A4073="","",CHOOSE(WEEKDAY(A4073,2),"Пн","Вт","Ср","Чт","Пт","Сб","Вс"))</f>
        <v/>
      </c>
      <c r="C4073" s="53">
        <f>IF(A4073="","",YEAR(A4073))</f>
        <v/>
      </c>
      <c r="D4073" s="54">
        <f>IF(A4073="","",INDEX(lst_months,MONTH(A4073)))</f>
        <v/>
      </c>
      <c r="E4073" s="55" t="n"/>
      <c r="F4073" s="54">
        <f>IF(E4073="","",IFERROR(IF(INDEX(lst_exp_item_cat,MATCH(E4073,lst_exp_items,0))="","❔ Без категории",INDEX(lst_exp_item_cat,MATCH(E4073,lst_exp_items,0))),"❔ Без категории"))</f>
        <v/>
      </c>
      <c r="G4073" s="43" t="n"/>
      <c r="H4073" s="56" t="n"/>
      <c r="I4073" s="43" t="n"/>
      <c r="J4073" s="57">
        <f>IF(OR(A4073="",H4073=""),"",IF(COUNTIFS(exp_year,C4073,exp_month,D4073,exp_item,E4073,exp_status,"&lt;&gt;❌ Отменено")&gt;0,1,0))</f>
        <v/>
      </c>
    </row>
    <row r="4074">
      <c r="A4074" s="52" t="n"/>
      <c r="B4074" s="53">
        <f>IF(A4074="","",CHOOSE(WEEKDAY(A4074,2),"Пн","Вт","Ср","Чт","Пт","Сб","Вс"))</f>
        <v/>
      </c>
      <c r="C4074" s="53">
        <f>IF(A4074="","",YEAR(A4074))</f>
        <v/>
      </c>
      <c r="D4074" s="54">
        <f>IF(A4074="","",INDEX(lst_months,MONTH(A4074)))</f>
        <v/>
      </c>
      <c r="E4074" s="55" t="n"/>
      <c r="F4074" s="54">
        <f>IF(E4074="","",IFERROR(IF(INDEX(lst_exp_item_cat,MATCH(E4074,lst_exp_items,0))="","❔ Без категории",INDEX(lst_exp_item_cat,MATCH(E4074,lst_exp_items,0))),"❔ Без категории"))</f>
        <v/>
      </c>
      <c r="G4074" s="43" t="n"/>
      <c r="H4074" s="56" t="n"/>
      <c r="I4074" s="43" t="n"/>
      <c r="J4074" s="57">
        <f>IF(OR(A4074="",H4074=""),"",IF(COUNTIFS(exp_year,C4074,exp_month,D4074,exp_item,E4074,exp_status,"&lt;&gt;❌ Отменено")&gt;0,1,0))</f>
        <v/>
      </c>
    </row>
    <row r="4075">
      <c r="A4075" s="52" t="n"/>
      <c r="B4075" s="53">
        <f>IF(A4075="","",CHOOSE(WEEKDAY(A4075,2),"Пн","Вт","Ср","Чт","Пт","Сб","Вс"))</f>
        <v/>
      </c>
      <c r="C4075" s="53">
        <f>IF(A4075="","",YEAR(A4075))</f>
        <v/>
      </c>
      <c r="D4075" s="54">
        <f>IF(A4075="","",INDEX(lst_months,MONTH(A4075)))</f>
        <v/>
      </c>
      <c r="E4075" s="55" t="n"/>
      <c r="F4075" s="54">
        <f>IF(E4075="","",IFERROR(IF(INDEX(lst_exp_item_cat,MATCH(E4075,lst_exp_items,0))="","❔ Без категории",INDEX(lst_exp_item_cat,MATCH(E4075,lst_exp_items,0))),"❔ Без категории"))</f>
        <v/>
      </c>
      <c r="G4075" s="43" t="n"/>
      <c r="H4075" s="56" t="n"/>
      <c r="I4075" s="43" t="n"/>
      <c r="J4075" s="57">
        <f>IF(OR(A4075="",H4075=""),"",IF(COUNTIFS(exp_year,C4075,exp_month,D4075,exp_item,E4075,exp_status,"&lt;&gt;❌ Отменено")&gt;0,1,0))</f>
        <v/>
      </c>
    </row>
    <row r="4076">
      <c r="A4076" s="52" t="n"/>
      <c r="B4076" s="53">
        <f>IF(A4076="","",CHOOSE(WEEKDAY(A4076,2),"Пн","Вт","Ср","Чт","Пт","Сб","Вс"))</f>
        <v/>
      </c>
      <c r="C4076" s="53">
        <f>IF(A4076="","",YEAR(A4076))</f>
        <v/>
      </c>
      <c r="D4076" s="54">
        <f>IF(A4076="","",INDEX(lst_months,MONTH(A4076)))</f>
        <v/>
      </c>
      <c r="E4076" s="55" t="n"/>
      <c r="F4076" s="54">
        <f>IF(E4076="","",IFERROR(IF(INDEX(lst_exp_item_cat,MATCH(E4076,lst_exp_items,0))="","❔ Без категории",INDEX(lst_exp_item_cat,MATCH(E4076,lst_exp_items,0))),"❔ Без категории"))</f>
        <v/>
      </c>
      <c r="G4076" s="43" t="n"/>
      <c r="H4076" s="56" t="n"/>
      <c r="I4076" s="43" t="n"/>
      <c r="J4076" s="57">
        <f>IF(OR(A4076="",H4076=""),"",IF(COUNTIFS(exp_year,C4076,exp_month,D4076,exp_item,E4076,exp_status,"&lt;&gt;❌ Отменено")&gt;0,1,0))</f>
        <v/>
      </c>
    </row>
    <row r="4077">
      <c r="A4077" s="52" t="n"/>
      <c r="B4077" s="53">
        <f>IF(A4077="","",CHOOSE(WEEKDAY(A4077,2),"Пн","Вт","Ср","Чт","Пт","Сб","Вс"))</f>
        <v/>
      </c>
      <c r="C4077" s="53">
        <f>IF(A4077="","",YEAR(A4077))</f>
        <v/>
      </c>
      <c r="D4077" s="54">
        <f>IF(A4077="","",INDEX(lst_months,MONTH(A4077)))</f>
        <v/>
      </c>
      <c r="E4077" s="55" t="n"/>
      <c r="F4077" s="54">
        <f>IF(E4077="","",IFERROR(IF(INDEX(lst_exp_item_cat,MATCH(E4077,lst_exp_items,0))="","❔ Без категории",INDEX(lst_exp_item_cat,MATCH(E4077,lst_exp_items,0))),"❔ Без категории"))</f>
        <v/>
      </c>
      <c r="G4077" s="43" t="n"/>
      <c r="H4077" s="56" t="n"/>
      <c r="I4077" s="43" t="n"/>
      <c r="J4077" s="57">
        <f>IF(OR(A4077="",H4077=""),"",IF(COUNTIFS(exp_year,C4077,exp_month,D4077,exp_item,E4077,exp_status,"&lt;&gt;❌ Отменено")&gt;0,1,0))</f>
        <v/>
      </c>
    </row>
    <row r="4078">
      <c r="A4078" s="52" t="n"/>
      <c r="B4078" s="53">
        <f>IF(A4078="","",CHOOSE(WEEKDAY(A4078,2),"Пн","Вт","Ср","Чт","Пт","Сб","Вс"))</f>
        <v/>
      </c>
      <c r="C4078" s="53">
        <f>IF(A4078="","",YEAR(A4078))</f>
        <v/>
      </c>
      <c r="D4078" s="54">
        <f>IF(A4078="","",INDEX(lst_months,MONTH(A4078)))</f>
        <v/>
      </c>
      <c r="E4078" s="55" t="n"/>
      <c r="F4078" s="54">
        <f>IF(E4078="","",IFERROR(IF(INDEX(lst_exp_item_cat,MATCH(E4078,lst_exp_items,0))="","❔ Без категории",INDEX(lst_exp_item_cat,MATCH(E4078,lst_exp_items,0))),"❔ Без категории"))</f>
        <v/>
      </c>
      <c r="G4078" s="43" t="n"/>
      <c r="H4078" s="56" t="n"/>
      <c r="I4078" s="43" t="n"/>
      <c r="J4078" s="57">
        <f>IF(OR(A4078="",H4078=""),"",IF(COUNTIFS(exp_year,C4078,exp_month,D4078,exp_item,E4078,exp_status,"&lt;&gt;❌ Отменено")&gt;0,1,0))</f>
        <v/>
      </c>
    </row>
    <row r="4079">
      <c r="A4079" s="52" t="n"/>
      <c r="B4079" s="53">
        <f>IF(A4079="","",CHOOSE(WEEKDAY(A4079,2),"Пн","Вт","Ср","Чт","Пт","Сб","Вс"))</f>
        <v/>
      </c>
      <c r="C4079" s="53">
        <f>IF(A4079="","",YEAR(A4079))</f>
        <v/>
      </c>
      <c r="D4079" s="54">
        <f>IF(A4079="","",INDEX(lst_months,MONTH(A4079)))</f>
        <v/>
      </c>
      <c r="E4079" s="55" t="n"/>
      <c r="F4079" s="54">
        <f>IF(E4079="","",IFERROR(IF(INDEX(lst_exp_item_cat,MATCH(E4079,lst_exp_items,0))="","❔ Без категории",INDEX(lst_exp_item_cat,MATCH(E4079,lst_exp_items,0))),"❔ Без категории"))</f>
        <v/>
      </c>
      <c r="G4079" s="43" t="n"/>
      <c r="H4079" s="56" t="n"/>
      <c r="I4079" s="43" t="n"/>
      <c r="J4079" s="57">
        <f>IF(OR(A4079="",H4079=""),"",IF(COUNTIFS(exp_year,C4079,exp_month,D4079,exp_item,E4079,exp_status,"&lt;&gt;❌ Отменено")&gt;0,1,0))</f>
        <v/>
      </c>
    </row>
    <row r="4080">
      <c r="A4080" s="52" t="n"/>
      <c r="B4080" s="53">
        <f>IF(A4080="","",CHOOSE(WEEKDAY(A4080,2),"Пн","Вт","Ср","Чт","Пт","Сб","Вс"))</f>
        <v/>
      </c>
      <c r="C4080" s="53">
        <f>IF(A4080="","",YEAR(A4080))</f>
        <v/>
      </c>
      <c r="D4080" s="54">
        <f>IF(A4080="","",INDEX(lst_months,MONTH(A4080)))</f>
        <v/>
      </c>
      <c r="E4080" s="55" t="n"/>
      <c r="F4080" s="54">
        <f>IF(E4080="","",IFERROR(IF(INDEX(lst_exp_item_cat,MATCH(E4080,lst_exp_items,0))="","❔ Без категории",INDEX(lst_exp_item_cat,MATCH(E4080,lst_exp_items,0))),"❔ Без категории"))</f>
        <v/>
      </c>
      <c r="G4080" s="43" t="n"/>
      <c r="H4080" s="56" t="n"/>
      <c r="I4080" s="43" t="n"/>
      <c r="J4080" s="57">
        <f>IF(OR(A4080="",H4080=""),"",IF(COUNTIFS(exp_year,C4080,exp_month,D4080,exp_item,E4080,exp_status,"&lt;&gt;❌ Отменено")&gt;0,1,0))</f>
        <v/>
      </c>
    </row>
    <row r="4081">
      <c r="A4081" s="52" t="n"/>
      <c r="B4081" s="53">
        <f>IF(A4081="","",CHOOSE(WEEKDAY(A4081,2),"Пн","Вт","Ср","Чт","Пт","Сб","Вс"))</f>
        <v/>
      </c>
      <c r="C4081" s="53">
        <f>IF(A4081="","",YEAR(A4081))</f>
        <v/>
      </c>
      <c r="D4081" s="54">
        <f>IF(A4081="","",INDEX(lst_months,MONTH(A4081)))</f>
        <v/>
      </c>
      <c r="E4081" s="55" t="n"/>
      <c r="F4081" s="54">
        <f>IF(E4081="","",IFERROR(IF(INDEX(lst_exp_item_cat,MATCH(E4081,lst_exp_items,0))="","❔ Без категории",INDEX(lst_exp_item_cat,MATCH(E4081,lst_exp_items,0))),"❔ Без категории"))</f>
        <v/>
      </c>
      <c r="G4081" s="43" t="n"/>
      <c r="H4081" s="56" t="n"/>
      <c r="I4081" s="43" t="n"/>
      <c r="J4081" s="57">
        <f>IF(OR(A4081="",H4081=""),"",IF(COUNTIFS(exp_year,C4081,exp_month,D4081,exp_item,E4081,exp_status,"&lt;&gt;❌ Отменено")&gt;0,1,0))</f>
        <v/>
      </c>
    </row>
    <row r="4082">
      <c r="A4082" s="52" t="n"/>
      <c r="B4082" s="53">
        <f>IF(A4082="","",CHOOSE(WEEKDAY(A4082,2),"Пн","Вт","Ср","Чт","Пт","Сб","Вс"))</f>
        <v/>
      </c>
      <c r="C4082" s="53">
        <f>IF(A4082="","",YEAR(A4082))</f>
        <v/>
      </c>
      <c r="D4082" s="54">
        <f>IF(A4082="","",INDEX(lst_months,MONTH(A4082)))</f>
        <v/>
      </c>
      <c r="E4082" s="55" t="n"/>
      <c r="F4082" s="54">
        <f>IF(E4082="","",IFERROR(IF(INDEX(lst_exp_item_cat,MATCH(E4082,lst_exp_items,0))="","❔ Без категории",INDEX(lst_exp_item_cat,MATCH(E4082,lst_exp_items,0))),"❔ Без категории"))</f>
        <v/>
      </c>
      <c r="G4082" s="43" t="n"/>
      <c r="H4082" s="56" t="n"/>
      <c r="I4082" s="43" t="n"/>
      <c r="J4082" s="57">
        <f>IF(OR(A4082="",H4082=""),"",IF(COUNTIFS(exp_year,C4082,exp_month,D4082,exp_item,E4082,exp_status,"&lt;&gt;❌ Отменено")&gt;0,1,0))</f>
        <v/>
      </c>
    </row>
    <row r="4083">
      <c r="A4083" s="52" t="n"/>
      <c r="B4083" s="53">
        <f>IF(A4083="","",CHOOSE(WEEKDAY(A4083,2),"Пн","Вт","Ср","Чт","Пт","Сб","Вс"))</f>
        <v/>
      </c>
      <c r="C4083" s="53">
        <f>IF(A4083="","",YEAR(A4083))</f>
        <v/>
      </c>
      <c r="D4083" s="54">
        <f>IF(A4083="","",INDEX(lst_months,MONTH(A4083)))</f>
        <v/>
      </c>
      <c r="E4083" s="55" t="n"/>
      <c r="F4083" s="54">
        <f>IF(E4083="","",IFERROR(IF(INDEX(lst_exp_item_cat,MATCH(E4083,lst_exp_items,0))="","❔ Без категории",INDEX(lst_exp_item_cat,MATCH(E4083,lst_exp_items,0))),"❔ Без категории"))</f>
        <v/>
      </c>
      <c r="G4083" s="43" t="n"/>
      <c r="H4083" s="56" t="n"/>
      <c r="I4083" s="43" t="n"/>
      <c r="J4083" s="57">
        <f>IF(OR(A4083="",H4083=""),"",IF(COUNTIFS(exp_year,C4083,exp_month,D4083,exp_item,E4083,exp_status,"&lt;&gt;❌ Отменено")&gt;0,1,0))</f>
        <v/>
      </c>
    </row>
    <row r="4084">
      <c r="A4084" s="52" t="n"/>
      <c r="B4084" s="53">
        <f>IF(A4084="","",CHOOSE(WEEKDAY(A4084,2),"Пн","Вт","Ср","Чт","Пт","Сб","Вс"))</f>
        <v/>
      </c>
      <c r="C4084" s="53">
        <f>IF(A4084="","",YEAR(A4084))</f>
        <v/>
      </c>
      <c r="D4084" s="54">
        <f>IF(A4084="","",INDEX(lst_months,MONTH(A4084)))</f>
        <v/>
      </c>
      <c r="E4084" s="55" t="n"/>
      <c r="F4084" s="54">
        <f>IF(E4084="","",IFERROR(IF(INDEX(lst_exp_item_cat,MATCH(E4084,lst_exp_items,0))="","❔ Без категории",INDEX(lst_exp_item_cat,MATCH(E4084,lst_exp_items,0))),"❔ Без категории"))</f>
        <v/>
      </c>
      <c r="G4084" s="43" t="n"/>
      <c r="H4084" s="56" t="n"/>
      <c r="I4084" s="43" t="n"/>
      <c r="J4084" s="57">
        <f>IF(OR(A4084="",H4084=""),"",IF(COUNTIFS(exp_year,C4084,exp_month,D4084,exp_item,E4084,exp_status,"&lt;&gt;❌ Отменено")&gt;0,1,0))</f>
        <v/>
      </c>
    </row>
    <row r="4085">
      <c r="A4085" s="52" t="n"/>
      <c r="B4085" s="53">
        <f>IF(A4085="","",CHOOSE(WEEKDAY(A4085,2),"Пн","Вт","Ср","Чт","Пт","Сб","Вс"))</f>
        <v/>
      </c>
      <c r="C4085" s="53">
        <f>IF(A4085="","",YEAR(A4085))</f>
        <v/>
      </c>
      <c r="D4085" s="54">
        <f>IF(A4085="","",INDEX(lst_months,MONTH(A4085)))</f>
        <v/>
      </c>
      <c r="E4085" s="55" t="n"/>
      <c r="F4085" s="54">
        <f>IF(E4085="","",IFERROR(IF(INDEX(lst_exp_item_cat,MATCH(E4085,lst_exp_items,0))="","❔ Без категории",INDEX(lst_exp_item_cat,MATCH(E4085,lst_exp_items,0))),"❔ Без категории"))</f>
        <v/>
      </c>
      <c r="G4085" s="43" t="n"/>
      <c r="H4085" s="56" t="n"/>
      <c r="I4085" s="43" t="n"/>
      <c r="J4085" s="57">
        <f>IF(OR(A4085="",H4085=""),"",IF(COUNTIFS(exp_year,C4085,exp_month,D4085,exp_item,E4085,exp_status,"&lt;&gt;❌ Отменено")&gt;0,1,0))</f>
        <v/>
      </c>
    </row>
    <row r="4086">
      <c r="A4086" s="52" t="n"/>
      <c r="B4086" s="53">
        <f>IF(A4086="","",CHOOSE(WEEKDAY(A4086,2),"Пн","Вт","Ср","Чт","Пт","Сб","Вс"))</f>
        <v/>
      </c>
      <c r="C4086" s="53">
        <f>IF(A4086="","",YEAR(A4086))</f>
        <v/>
      </c>
      <c r="D4086" s="54">
        <f>IF(A4086="","",INDEX(lst_months,MONTH(A4086)))</f>
        <v/>
      </c>
      <c r="E4086" s="55" t="n"/>
      <c r="F4086" s="54">
        <f>IF(E4086="","",IFERROR(IF(INDEX(lst_exp_item_cat,MATCH(E4086,lst_exp_items,0))="","❔ Без категории",INDEX(lst_exp_item_cat,MATCH(E4086,lst_exp_items,0))),"❔ Без категории"))</f>
        <v/>
      </c>
      <c r="G4086" s="43" t="n"/>
      <c r="H4086" s="56" t="n"/>
      <c r="I4086" s="43" t="n"/>
      <c r="J4086" s="57">
        <f>IF(OR(A4086="",H4086=""),"",IF(COUNTIFS(exp_year,C4086,exp_month,D4086,exp_item,E4086,exp_status,"&lt;&gt;❌ Отменено")&gt;0,1,0))</f>
        <v/>
      </c>
    </row>
    <row r="4087">
      <c r="A4087" s="52" t="n"/>
      <c r="B4087" s="53">
        <f>IF(A4087="","",CHOOSE(WEEKDAY(A4087,2),"Пн","Вт","Ср","Чт","Пт","Сб","Вс"))</f>
        <v/>
      </c>
      <c r="C4087" s="53">
        <f>IF(A4087="","",YEAR(A4087))</f>
        <v/>
      </c>
      <c r="D4087" s="54">
        <f>IF(A4087="","",INDEX(lst_months,MONTH(A4087)))</f>
        <v/>
      </c>
      <c r="E4087" s="55" t="n"/>
      <c r="F4087" s="54">
        <f>IF(E4087="","",IFERROR(IF(INDEX(lst_exp_item_cat,MATCH(E4087,lst_exp_items,0))="","❔ Без категории",INDEX(lst_exp_item_cat,MATCH(E4087,lst_exp_items,0))),"❔ Без категории"))</f>
        <v/>
      </c>
      <c r="G4087" s="43" t="n"/>
      <c r="H4087" s="56" t="n"/>
      <c r="I4087" s="43" t="n"/>
      <c r="J4087" s="57">
        <f>IF(OR(A4087="",H4087=""),"",IF(COUNTIFS(exp_year,C4087,exp_month,D4087,exp_item,E4087,exp_status,"&lt;&gt;❌ Отменено")&gt;0,1,0))</f>
        <v/>
      </c>
    </row>
    <row r="4088">
      <c r="A4088" s="52" t="n"/>
      <c r="B4088" s="53">
        <f>IF(A4088="","",CHOOSE(WEEKDAY(A4088,2),"Пн","Вт","Ср","Чт","Пт","Сб","Вс"))</f>
        <v/>
      </c>
      <c r="C4088" s="53">
        <f>IF(A4088="","",YEAR(A4088))</f>
        <v/>
      </c>
      <c r="D4088" s="54">
        <f>IF(A4088="","",INDEX(lst_months,MONTH(A4088)))</f>
        <v/>
      </c>
      <c r="E4088" s="55" t="n"/>
      <c r="F4088" s="54">
        <f>IF(E4088="","",IFERROR(IF(INDEX(lst_exp_item_cat,MATCH(E4088,lst_exp_items,0))="","❔ Без категории",INDEX(lst_exp_item_cat,MATCH(E4088,lst_exp_items,0))),"❔ Без категории"))</f>
        <v/>
      </c>
      <c r="G4088" s="43" t="n"/>
      <c r="H4088" s="56" t="n"/>
      <c r="I4088" s="43" t="n"/>
      <c r="J4088" s="57">
        <f>IF(OR(A4088="",H4088=""),"",IF(COUNTIFS(exp_year,C4088,exp_month,D4088,exp_item,E4088,exp_status,"&lt;&gt;❌ Отменено")&gt;0,1,0))</f>
        <v/>
      </c>
    </row>
    <row r="4089">
      <c r="A4089" s="52" t="n"/>
      <c r="B4089" s="53">
        <f>IF(A4089="","",CHOOSE(WEEKDAY(A4089,2),"Пн","Вт","Ср","Чт","Пт","Сб","Вс"))</f>
        <v/>
      </c>
      <c r="C4089" s="53">
        <f>IF(A4089="","",YEAR(A4089))</f>
        <v/>
      </c>
      <c r="D4089" s="54">
        <f>IF(A4089="","",INDEX(lst_months,MONTH(A4089)))</f>
        <v/>
      </c>
      <c r="E4089" s="55" t="n"/>
      <c r="F4089" s="54">
        <f>IF(E4089="","",IFERROR(IF(INDEX(lst_exp_item_cat,MATCH(E4089,lst_exp_items,0))="","❔ Без категории",INDEX(lst_exp_item_cat,MATCH(E4089,lst_exp_items,0))),"❔ Без категории"))</f>
        <v/>
      </c>
      <c r="G4089" s="43" t="n"/>
      <c r="H4089" s="56" t="n"/>
      <c r="I4089" s="43" t="n"/>
      <c r="J4089" s="57">
        <f>IF(OR(A4089="",H4089=""),"",IF(COUNTIFS(exp_year,C4089,exp_month,D4089,exp_item,E4089,exp_status,"&lt;&gt;❌ Отменено")&gt;0,1,0))</f>
        <v/>
      </c>
    </row>
    <row r="4090">
      <c r="A4090" s="52" t="n"/>
      <c r="B4090" s="53">
        <f>IF(A4090="","",CHOOSE(WEEKDAY(A4090,2),"Пн","Вт","Ср","Чт","Пт","Сб","Вс"))</f>
        <v/>
      </c>
      <c r="C4090" s="53">
        <f>IF(A4090="","",YEAR(A4090))</f>
        <v/>
      </c>
      <c r="D4090" s="54">
        <f>IF(A4090="","",INDEX(lst_months,MONTH(A4090)))</f>
        <v/>
      </c>
      <c r="E4090" s="55" t="n"/>
      <c r="F4090" s="54">
        <f>IF(E4090="","",IFERROR(IF(INDEX(lst_exp_item_cat,MATCH(E4090,lst_exp_items,0))="","❔ Без категории",INDEX(lst_exp_item_cat,MATCH(E4090,lst_exp_items,0))),"❔ Без категории"))</f>
        <v/>
      </c>
      <c r="G4090" s="43" t="n"/>
      <c r="H4090" s="56" t="n"/>
      <c r="I4090" s="43" t="n"/>
      <c r="J4090" s="57">
        <f>IF(OR(A4090="",H4090=""),"",IF(COUNTIFS(exp_year,C4090,exp_month,D4090,exp_item,E4090,exp_status,"&lt;&gt;❌ Отменено")&gt;0,1,0))</f>
        <v/>
      </c>
    </row>
    <row r="4091">
      <c r="A4091" s="52" t="n"/>
      <c r="B4091" s="53">
        <f>IF(A4091="","",CHOOSE(WEEKDAY(A4091,2),"Пн","Вт","Ср","Чт","Пт","Сб","Вс"))</f>
        <v/>
      </c>
      <c r="C4091" s="53">
        <f>IF(A4091="","",YEAR(A4091))</f>
        <v/>
      </c>
      <c r="D4091" s="54">
        <f>IF(A4091="","",INDEX(lst_months,MONTH(A4091)))</f>
        <v/>
      </c>
      <c r="E4091" s="55" t="n"/>
      <c r="F4091" s="54">
        <f>IF(E4091="","",IFERROR(IF(INDEX(lst_exp_item_cat,MATCH(E4091,lst_exp_items,0))="","❔ Без категории",INDEX(lst_exp_item_cat,MATCH(E4091,lst_exp_items,0))),"❔ Без категории"))</f>
        <v/>
      </c>
      <c r="G4091" s="43" t="n"/>
      <c r="H4091" s="56" t="n"/>
      <c r="I4091" s="43" t="n"/>
      <c r="J4091" s="57">
        <f>IF(OR(A4091="",H4091=""),"",IF(COUNTIFS(exp_year,C4091,exp_month,D4091,exp_item,E4091,exp_status,"&lt;&gt;❌ Отменено")&gt;0,1,0))</f>
        <v/>
      </c>
    </row>
    <row r="4092">
      <c r="A4092" s="52" t="n"/>
      <c r="B4092" s="53">
        <f>IF(A4092="","",CHOOSE(WEEKDAY(A4092,2),"Пн","Вт","Ср","Чт","Пт","Сб","Вс"))</f>
        <v/>
      </c>
      <c r="C4092" s="53">
        <f>IF(A4092="","",YEAR(A4092))</f>
        <v/>
      </c>
      <c r="D4092" s="54">
        <f>IF(A4092="","",INDEX(lst_months,MONTH(A4092)))</f>
        <v/>
      </c>
      <c r="E4092" s="55" t="n"/>
      <c r="F4092" s="54">
        <f>IF(E4092="","",IFERROR(IF(INDEX(lst_exp_item_cat,MATCH(E4092,lst_exp_items,0))="","❔ Без категории",INDEX(lst_exp_item_cat,MATCH(E4092,lst_exp_items,0))),"❔ Без категории"))</f>
        <v/>
      </c>
      <c r="G4092" s="43" t="n"/>
      <c r="H4092" s="56" t="n"/>
      <c r="I4092" s="43" t="n"/>
      <c r="J4092" s="57">
        <f>IF(OR(A4092="",H4092=""),"",IF(COUNTIFS(exp_year,C4092,exp_month,D4092,exp_item,E4092,exp_status,"&lt;&gt;❌ Отменено")&gt;0,1,0))</f>
        <v/>
      </c>
    </row>
    <row r="4093">
      <c r="A4093" s="52" t="n"/>
      <c r="B4093" s="53">
        <f>IF(A4093="","",CHOOSE(WEEKDAY(A4093,2),"Пн","Вт","Ср","Чт","Пт","Сб","Вс"))</f>
        <v/>
      </c>
      <c r="C4093" s="53">
        <f>IF(A4093="","",YEAR(A4093))</f>
        <v/>
      </c>
      <c r="D4093" s="54">
        <f>IF(A4093="","",INDEX(lst_months,MONTH(A4093)))</f>
        <v/>
      </c>
      <c r="E4093" s="55" t="n"/>
      <c r="F4093" s="54">
        <f>IF(E4093="","",IFERROR(IF(INDEX(lst_exp_item_cat,MATCH(E4093,lst_exp_items,0))="","❔ Без категории",INDEX(lst_exp_item_cat,MATCH(E4093,lst_exp_items,0))),"❔ Без категории"))</f>
        <v/>
      </c>
      <c r="G4093" s="43" t="n"/>
      <c r="H4093" s="56" t="n"/>
      <c r="I4093" s="43" t="n"/>
      <c r="J4093" s="57">
        <f>IF(OR(A4093="",H4093=""),"",IF(COUNTIFS(exp_year,C4093,exp_month,D4093,exp_item,E4093,exp_status,"&lt;&gt;❌ Отменено")&gt;0,1,0))</f>
        <v/>
      </c>
    </row>
    <row r="4094">
      <c r="A4094" s="52" t="n"/>
      <c r="B4094" s="53">
        <f>IF(A4094="","",CHOOSE(WEEKDAY(A4094,2),"Пн","Вт","Ср","Чт","Пт","Сб","Вс"))</f>
        <v/>
      </c>
      <c r="C4094" s="53">
        <f>IF(A4094="","",YEAR(A4094))</f>
        <v/>
      </c>
      <c r="D4094" s="54">
        <f>IF(A4094="","",INDEX(lst_months,MONTH(A4094)))</f>
        <v/>
      </c>
      <c r="E4094" s="55" t="n"/>
      <c r="F4094" s="54">
        <f>IF(E4094="","",IFERROR(IF(INDEX(lst_exp_item_cat,MATCH(E4094,lst_exp_items,0))="","❔ Без категории",INDEX(lst_exp_item_cat,MATCH(E4094,lst_exp_items,0))),"❔ Без категории"))</f>
        <v/>
      </c>
      <c r="G4094" s="43" t="n"/>
      <c r="H4094" s="56" t="n"/>
      <c r="I4094" s="43" t="n"/>
      <c r="J4094" s="57">
        <f>IF(OR(A4094="",H4094=""),"",IF(COUNTIFS(exp_year,C4094,exp_month,D4094,exp_item,E4094,exp_status,"&lt;&gt;❌ Отменено")&gt;0,1,0))</f>
        <v/>
      </c>
    </row>
    <row r="4095">
      <c r="A4095" s="52" t="n"/>
      <c r="B4095" s="53">
        <f>IF(A4095="","",CHOOSE(WEEKDAY(A4095,2),"Пн","Вт","Ср","Чт","Пт","Сб","Вс"))</f>
        <v/>
      </c>
      <c r="C4095" s="53">
        <f>IF(A4095="","",YEAR(A4095))</f>
        <v/>
      </c>
      <c r="D4095" s="54">
        <f>IF(A4095="","",INDEX(lst_months,MONTH(A4095)))</f>
        <v/>
      </c>
      <c r="E4095" s="55" t="n"/>
      <c r="F4095" s="54">
        <f>IF(E4095="","",IFERROR(IF(INDEX(lst_exp_item_cat,MATCH(E4095,lst_exp_items,0))="","❔ Без категории",INDEX(lst_exp_item_cat,MATCH(E4095,lst_exp_items,0))),"❔ Без категории"))</f>
        <v/>
      </c>
      <c r="G4095" s="43" t="n"/>
      <c r="H4095" s="56" t="n"/>
      <c r="I4095" s="43" t="n"/>
      <c r="J4095" s="57">
        <f>IF(OR(A4095="",H4095=""),"",IF(COUNTIFS(exp_year,C4095,exp_month,D4095,exp_item,E4095,exp_status,"&lt;&gt;❌ Отменено")&gt;0,1,0))</f>
        <v/>
      </c>
    </row>
    <row r="4096">
      <c r="A4096" s="52" t="n"/>
      <c r="B4096" s="53">
        <f>IF(A4096="","",CHOOSE(WEEKDAY(A4096,2),"Пн","Вт","Ср","Чт","Пт","Сб","Вс"))</f>
        <v/>
      </c>
      <c r="C4096" s="53">
        <f>IF(A4096="","",YEAR(A4096))</f>
        <v/>
      </c>
      <c r="D4096" s="54">
        <f>IF(A4096="","",INDEX(lst_months,MONTH(A4096)))</f>
        <v/>
      </c>
      <c r="E4096" s="55" t="n"/>
      <c r="F4096" s="54">
        <f>IF(E4096="","",IFERROR(IF(INDEX(lst_exp_item_cat,MATCH(E4096,lst_exp_items,0))="","❔ Без категории",INDEX(lst_exp_item_cat,MATCH(E4096,lst_exp_items,0))),"❔ Без категории"))</f>
        <v/>
      </c>
      <c r="G4096" s="43" t="n"/>
      <c r="H4096" s="56" t="n"/>
      <c r="I4096" s="43" t="n"/>
      <c r="J4096" s="57">
        <f>IF(OR(A4096="",H4096=""),"",IF(COUNTIFS(exp_year,C4096,exp_month,D4096,exp_item,E4096,exp_status,"&lt;&gt;❌ Отменено")&gt;0,1,0))</f>
        <v/>
      </c>
    </row>
    <row r="4097">
      <c r="A4097" s="52" t="n"/>
      <c r="B4097" s="53">
        <f>IF(A4097="","",CHOOSE(WEEKDAY(A4097,2),"Пн","Вт","Ср","Чт","Пт","Сб","Вс"))</f>
        <v/>
      </c>
      <c r="C4097" s="53">
        <f>IF(A4097="","",YEAR(A4097))</f>
        <v/>
      </c>
      <c r="D4097" s="54">
        <f>IF(A4097="","",INDEX(lst_months,MONTH(A4097)))</f>
        <v/>
      </c>
      <c r="E4097" s="55" t="n"/>
      <c r="F4097" s="54">
        <f>IF(E4097="","",IFERROR(IF(INDEX(lst_exp_item_cat,MATCH(E4097,lst_exp_items,0))="","❔ Без категории",INDEX(lst_exp_item_cat,MATCH(E4097,lst_exp_items,0))),"❔ Без категории"))</f>
        <v/>
      </c>
      <c r="G4097" s="43" t="n"/>
      <c r="H4097" s="56" t="n"/>
      <c r="I4097" s="43" t="n"/>
      <c r="J4097" s="57">
        <f>IF(OR(A4097="",H4097=""),"",IF(COUNTIFS(exp_year,C4097,exp_month,D4097,exp_item,E4097,exp_status,"&lt;&gt;❌ Отменено")&gt;0,1,0))</f>
        <v/>
      </c>
    </row>
    <row r="4098">
      <c r="A4098" s="52" t="n"/>
      <c r="B4098" s="53">
        <f>IF(A4098="","",CHOOSE(WEEKDAY(A4098,2),"Пн","Вт","Ср","Чт","Пт","Сб","Вс"))</f>
        <v/>
      </c>
      <c r="C4098" s="53">
        <f>IF(A4098="","",YEAR(A4098))</f>
        <v/>
      </c>
      <c r="D4098" s="54">
        <f>IF(A4098="","",INDEX(lst_months,MONTH(A4098)))</f>
        <v/>
      </c>
      <c r="E4098" s="55" t="n"/>
      <c r="F4098" s="54">
        <f>IF(E4098="","",IFERROR(IF(INDEX(lst_exp_item_cat,MATCH(E4098,lst_exp_items,0))="","❔ Без категории",INDEX(lst_exp_item_cat,MATCH(E4098,lst_exp_items,0))),"❔ Без категории"))</f>
        <v/>
      </c>
      <c r="G4098" s="43" t="n"/>
      <c r="H4098" s="56" t="n"/>
      <c r="I4098" s="43" t="n"/>
      <c r="J4098" s="57">
        <f>IF(OR(A4098="",H4098=""),"",IF(COUNTIFS(exp_year,C4098,exp_month,D4098,exp_item,E4098,exp_status,"&lt;&gt;❌ Отменено")&gt;0,1,0))</f>
        <v/>
      </c>
    </row>
    <row r="4099">
      <c r="A4099" s="52" t="n"/>
      <c r="B4099" s="53">
        <f>IF(A4099="","",CHOOSE(WEEKDAY(A4099,2),"Пн","Вт","Ср","Чт","Пт","Сб","Вс"))</f>
        <v/>
      </c>
      <c r="C4099" s="53">
        <f>IF(A4099="","",YEAR(A4099))</f>
        <v/>
      </c>
      <c r="D4099" s="54">
        <f>IF(A4099="","",INDEX(lst_months,MONTH(A4099)))</f>
        <v/>
      </c>
      <c r="E4099" s="55" t="n"/>
      <c r="F4099" s="54">
        <f>IF(E4099="","",IFERROR(IF(INDEX(lst_exp_item_cat,MATCH(E4099,lst_exp_items,0))="","❔ Без категории",INDEX(lst_exp_item_cat,MATCH(E4099,lst_exp_items,0))),"❔ Без категории"))</f>
        <v/>
      </c>
      <c r="G4099" s="43" t="n"/>
      <c r="H4099" s="56" t="n"/>
      <c r="I4099" s="43" t="n"/>
      <c r="J4099" s="57">
        <f>IF(OR(A4099="",H4099=""),"",IF(COUNTIFS(exp_year,C4099,exp_month,D4099,exp_item,E4099,exp_status,"&lt;&gt;❌ Отменено")&gt;0,1,0))</f>
        <v/>
      </c>
    </row>
    <row r="4100">
      <c r="A4100" s="52" t="n"/>
      <c r="B4100" s="53">
        <f>IF(A4100="","",CHOOSE(WEEKDAY(A4100,2),"Пн","Вт","Ср","Чт","Пт","Сб","Вс"))</f>
        <v/>
      </c>
      <c r="C4100" s="53">
        <f>IF(A4100="","",YEAR(A4100))</f>
        <v/>
      </c>
      <c r="D4100" s="54">
        <f>IF(A4100="","",INDEX(lst_months,MONTH(A4100)))</f>
        <v/>
      </c>
      <c r="E4100" s="55" t="n"/>
      <c r="F4100" s="54">
        <f>IF(E4100="","",IFERROR(IF(INDEX(lst_exp_item_cat,MATCH(E4100,lst_exp_items,0))="","❔ Без категории",INDEX(lst_exp_item_cat,MATCH(E4100,lst_exp_items,0))),"❔ Без категории"))</f>
        <v/>
      </c>
      <c r="G4100" s="43" t="n"/>
      <c r="H4100" s="56" t="n"/>
      <c r="I4100" s="43" t="n"/>
      <c r="J4100" s="57">
        <f>IF(OR(A4100="",H4100=""),"",IF(COUNTIFS(exp_year,C4100,exp_month,D4100,exp_item,E4100,exp_status,"&lt;&gt;❌ Отменено")&gt;0,1,0))</f>
        <v/>
      </c>
    </row>
    <row r="4101">
      <c r="A4101" s="52" t="n"/>
      <c r="B4101" s="53">
        <f>IF(A4101="","",CHOOSE(WEEKDAY(A4101,2),"Пн","Вт","Ср","Чт","Пт","Сб","Вс"))</f>
        <v/>
      </c>
      <c r="C4101" s="53">
        <f>IF(A4101="","",YEAR(A4101))</f>
        <v/>
      </c>
      <c r="D4101" s="54">
        <f>IF(A4101="","",INDEX(lst_months,MONTH(A4101)))</f>
        <v/>
      </c>
      <c r="E4101" s="55" t="n"/>
      <c r="F4101" s="54">
        <f>IF(E4101="","",IFERROR(IF(INDEX(lst_exp_item_cat,MATCH(E4101,lst_exp_items,0))="","❔ Без категории",INDEX(lst_exp_item_cat,MATCH(E4101,lst_exp_items,0))),"❔ Без категории"))</f>
        <v/>
      </c>
      <c r="G4101" s="43" t="n"/>
      <c r="H4101" s="56" t="n"/>
      <c r="I4101" s="43" t="n"/>
      <c r="J4101" s="57">
        <f>IF(OR(A4101="",H4101=""),"",IF(COUNTIFS(exp_year,C4101,exp_month,D4101,exp_item,E4101,exp_status,"&lt;&gt;❌ Отменено")&gt;0,1,0))</f>
        <v/>
      </c>
    </row>
    <row r="4102">
      <c r="A4102" s="52" t="n"/>
      <c r="B4102" s="53">
        <f>IF(A4102="","",CHOOSE(WEEKDAY(A4102,2),"Пн","Вт","Ср","Чт","Пт","Сб","Вс"))</f>
        <v/>
      </c>
      <c r="C4102" s="53">
        <f>IF(A4102="","",YEAR(A4102))</f>
        <v/>
      </c>
      <c r="D4102" s="54">
        <f>IF(A4102="","",INDEX(lst_months,MONTH(A4102)))</f>
        <v/>
      </c>
      <c r="E4102" s="55" t="n"/>
      <c r="F4102" s="54">
        <f>IF(E4102="","",IFERROR(IF(INDEX(lst_exp_item_cat,MATCH(E4102,lst_exp_items,0))="","❔ Без категории",INDEX(lst_exp_item_cat,MATCH(E4102,lst_exp_items,0))),"❔ Без категории"))</f>
        <v/>
      </c>
      <c r="G4102" s="43" t="n"/>
      <c r="H4102" s="56" t="n"/>
      <c r="I4102" s="43" t="n"/>
      <c r="J4102" s="57">
        <f>IF(OR(A4102="",H4102=""),"",IF(COUNTIFS(exp_year,C4102,exp_month,D4102,exp_item,E4102,exp_status,"&lt;&gt;❌ Отменено")&gt;0,1,0))</f>
        <v/>
      </c>
    </row>
    <row r="4103">
      <c r="A4103" s="52" t="n"/>
      <c r="B4103" s="53">
        <f>IF(A4103="","",CHOOSE(WEEKDAY(A4103,2),"Пн","Вт","Ср","Чт","Пт","Сб","Вс"))</f>
        <v/>
      </c>
      <c r="C4103" s="53">
        <f>IF(A4103="","",YEAR(A4103))</f>
        <v/>
      </c>
      <c r="D4103" s="54">
        <f>IF(A4103="","",INDEX(lst_months,MONTH(A4103)))</f>
        <v/>
      </c>
      <c r="E4103" s="55" t="n"/>
      <c r="F4103" s="54">
        <f>IF(E4103="","",IFERROR(IF(INDEX(lst_exp_item_cat,MATCH(E4103,lst_exp_items,0))="","❔ Без категории",INDEX(lst_exp_item_cat,MATCH(E4103,lst_exp_items,0))),"❔ Без категории"))</f>
        <v/>
      </c>
      <c r="G4103" s="43" t="n"/>
      <c r="H4103" s="56" t="n"/>
      <c r="I4103" s="43" t="n"/>
      <c r="J4103" s="57">
        <f>IF(OR(A4103="",H4103=""),"",IF(COUNTIFS(exp_year,C4103,exp_month,D4103,exp_item,E4103,exp_status,"&lt;&gt;❌ Отменено")&gt;0,1,0))</f>
        <v/>
      </c>
    </row>
    <row r="4104">
      <c r="A4104" s="52" t="n"/>
      <c r="B4104" s="53">
        <f>IF(A4104="","",CHOOSE(WEEKDAY(A4104,2),"Пн","Вт","Ср","Чт","Пт","Сб","Вс"))</f>
        <v/>
      </c>
      <c r="C4104" s="53">
        <f>IF(A4104="","",YEAR(A4104))</f>
        <v/>
      </c>
      <c r="D4104" s="54">
        <f>IF(A4104="","",INDEX(lst_months,MONTH(A4104)))</f>
        <v/>
      </c>
      <c r="E4104" s="55" t="n"/>
      <c r="F4104" s="54">
        <f>IF(E4104="","",IFERROR(IF(INDEX(lst_exp_item_cat,MATCH(E4104,lst_exp_items,0))="","❔ Без категории",INDEX(lst_exp_item_cat,MATCH(E4104,lst_exp_items,0))),"❔ Без категории"))</f>
        <v/>
      </c>
      <c r="G4104" s="43" t="n"/>
      <c r="H4104" s="56" t="n"/>
      <c r="I4104" s="43" t="n"/>
      <c r="J4104" s="57">
        <f>IF(OR(A4104="",H4104=""),"",IF(COUNTIFS(exp_year,C4104,exp_month,D4104,exp_item,E4104,exp_status,"&lt;&gt;❌ Отменено")&gt;0,1,0))</f>
        <v/>
      </c>
    </row>
    <row r="4105">
      <c r="A4105" s="52" t="n"/>
      <c r="B4105" s="53">
        <f>IF(A4105="","",CHOOSE(WEEKDAY(A4105,2),"Пн","Вт","Ср","Чт","Пт","Сб","Вс"))</f>
        <v/>
      </c>
      <c r="C4105" s="53">
        <f>IF(A4105="","",YEAR(A4105))</f>
        <v/>
      </c>
      <c r="D4105" s="54">
        <f>IF(A4105="","",INDEX(lst_months,MONTH(A4105)))</f>
        <v/>
      </c>
      <c r="E4105" s="55" t="n"/>
      <c r="F4105" s="54">
        <f>IF(E4105="","",IFERROR(IF(INDEX(lst_exp_item_cat,MATCH(E4105,lst_exp_items,0))="","❔ Без категории",INDEX(lst_exp_item_cat,MATCH(E4105,lst_exp_items,0))),"❔ Без категории"))</f>
        <v/>
      </c>
      <c r="G4105" s="43" t="n"/>
      <c r="H4105" s="56" t="n"/>
      <c r="I4105" s="43" t="n"/>
      <c r="J4105" s="57">
        <f>IF(OR(A4105="",H4105=""),"",IF(COUNTIFS(exp_year,C4105,exp_month,D4105,exp_item,E4105,exp_status,"&lt;&gt;❌ Отменено")&gt;0,1,0))</f>
        <v/>
      </c>
    </row>
    <row r="4106">
      <c r="A4106" s="52" t="n"/>
      <c r="B4106" s="53">
        <f>IF(A4106="","",CHOOSE(WEEKDAY(A4106,2),"Пн","Вт","Ср","Чт","Пт","Сб","Вс"))</f>
        <v/>
      </c>
      <c r="C4106" s="53">
        <f>IF(A4106="","",YEAR(A4106))</f>
        <v/>
      </c>
      <c r="D4106" s="54">
        <f>IF(A4106="","",INDEX(lst_months,MONTH(A4106)))</f>
        <v/>
      </c>
      <c r="E4106" s="55" t="n"/>
      <c r="F4106" s="54">
        <f>IF(E4106="","",IFERROR(IF(INDEX(lst_exp_item_cat,MATCH(E4106,lst_exp_items,0))="","❔ Без категории",INDEX(lst_exp_item_cat,MATCH(E4106,lst_exp_items,0))),"❔ Без категории"))</f>
        <v/>
      </c>
      <c r="G4106" s="43" t="n"/>
      <c r="H4106" s="56" t="n"/>
      <c r="I4106" s="43" t="n"/>
      <c r="J4106" s="57">
        <f>IF(OR(A4106="",H4106=""),"",IF(COUNTIFS(exp_year,C4106,exp_month,D4106,exp_item,E4106,exp_status,"&lt;&gt;❌ Отменено")&gt;0,1,0))</f>
        <v/>
      </c>
    </row>
    <row r="4107">
      <c r="A4107" s="52" t="n"/>
      <c r="B4107" s="53">
        <f>IF(A4107="","",CHOOSE(WEEKDAY(A4107,2),"Пн","Вт","Ср","Чт","Пт","Сб","Вс"))</f>
        <v/>
      </c>
      <c r="C4107" s="53">
        <f>IF(A4107="","",YEAR(A4107))</f>
        <v/>
      </c>
      <c r="D4107" s="54">
        <f>IF(A4107="","",INDEX(lst_months,MONTH(A4107)))</f>
        <v/>
      </c>
      <c r="E4107" s="55" t="n"/>
      <c r="F4107" s="54">
        <f>IF(E4107="","",IFERROR(IF(INDEX(lst_exp_item_cat,MATCH(E4107,lst_exp_items,0))="","❔ Без категории",INDEX(lst_exp_item_cat,MATCH(E4107,lst_exp_items,0))),"❔ Без категории"))</f>
        <v/>
      </c>
      <c r="G4107" s="43" t="n"/>
      <c r="H4107" s="56" t="n"/>
      <c r="I4107" s="43" t="n"/>
      <c r="J4107" s="57">
        <f>IF(OR(A4107="",H4107=""),"",IF(COUNTIFS(exp_year,C4107,exp_month,D4107,exp_item,E4107,exp_status,"&lt;&gt;❌ Отменено")&gt;0,1,0))</f>
        <v/>
      </c>
    </row>
    <row r="4108">
      <c r="A4108" s="52" t="n"/>
      <c r="B4108" s="53">
        <f>IF(A4108="","",CHOOSE(WEEKDAY(A4108,2),"Пн","Вт","Ср","Чт","Пт","Сб","Вс"))</f>
        <v/>
      </c>
      <c r="C4108" s="53">
        <f>IF(A4108="","",YEAR(A4108))</f>
        <v/>
      </c>
      <c r="D4108" s="54">
        <f>IF(A4108="","",INDEX(lst_months,MONTH(A4108)))</f>
        <v/>
      </c>
      <c r="E4108" s="55" t="n"/>
      <c r="F4108" s="54">
        <f>IF(E4108="","",IFERROR(IF(INDEX(lst_exp_item_cat,MATCH(E4108,lst_exp_items,0))="","❔ Без категории",INDEX(lst_exp_item_cat,MATCH(E4108,lst_exp_items,0))),"❔ Без категории"))</f>
        <v/>
      </c>
      <c r="G4108" s="43" t="n"/>
      <c r="H4108" s="56" t="n"/>
      <c r="I4108" s="43" t="n"/>
      <c r="J4108" s="57">
        <f>IF(OR(A4108="",H4108=""),"",IF(COUNTIFS(exp_year,C4108,exp_month,D4108,exp_item,E4108,exp_status,"&lt;&gt;❌ Отменено")&gt;0,1,0))</f>
        <v/>
      </c>
    </row>
    <row r="4109">
      <c r="A4109" s="52" t="n"/>
      <c r="B4109" s="53">
        <f>IF(A4109="","",CHOOSE(WEEKDAY(A4109,2),"Пн","Вт","Ср","Чт","Пт","Сб","Вс"))</f>
        <v/>
      </c>
      <c r="C4109" s="53">
        <f>IF(A4109="","",YEAR(A4109))</f>
        <v/>
      </c>
      <c r="D4109" s="54">
        <f>IF(A4109="","",INDEX(lst_months,MONTH(A4109)))</f>
        <v/>
      </c>
      <c r="E4109" s="55" t="n"/>
      <c r="F4109" s="54">
        <f>IF(E4109="","",IFERROR(IF(INDEX(lst_exp_item_cat,MATCH(E4109,lst_exp_items,0))="","❔ Без категории",INDEX(lst_exp_item_cat,MATCH(E4109,lst_exp_items,0))),"❔ Без категории"))</f>
        <v/>
      </c>
      <c r="G4109" s="43" t="n"/>
      <c r="H4109" s="56" t="n"/>
      <c r="I4109" s="43" t="n"/>
      <c r="J4109" s="57">
        <f>IF(OR(A4109="",H4109=""),"",IF(COUNTIFS(exp_year,C4109,exp_month,D4109,exp_item,E4109,exp_status,"&lt;&gt;❌ Отменено")&gt;0,1,0))</f>
        <v/>
      </c>
    </row>
    <row r="4110">
      <c r="A4110" s="52" t="n"/>
      <c r="B4110" s="53">
        <f>IF(A4110="","",CHOOSE(WEEKDAY(A4110,2),"Пн","Вт","Ср","Чт","Пт","Сб","Вс"))</f>
        <v/>
      </c>
      <c r="C4110" s="53">
        <f>IF(A4110="","",YEAR(A4110))</f>
        <v/>
      </c>
      <c r="D4110" s="54">
        <f>IF(A4110="","",INDEX(lst_months,MONTH(A4110)))</f>
        <v/>
      </c>
      <c r="E4110" s="55" t="n"/>
      <c r="F4110" s="54">
        <f>IF(E4110="","",IFERROR(IF(INDEX(lst_exp_item_cat,MATCH(E4110,lst_exp_items,0))="","❔ Без категории",INDEX(lst_exp_item_cat,MATCH(E4110,lst_exp_items,0))),"❔ Без категории"))</f>
        <v/>
      </c>
      <c r="G4110" s="43" t="n"/>
      <c r="H4110" s="56" t="n"/>
      <c r="I4110" s="43" t="n"/>
      <c r="J4110" s="57">
        <f>IF(OR(A4110="",H4110=""),"",IF(COUNTIFS(exp_year,C4110,exp_month,D4110,exp_item,E4110,exp_status,"&lt;&gt;❌ Отменено")&gt;0,1,0))</f>
        <v/>
      </c>
    </row>
    <row r="4111">
      <c r="A4111" s="52" t="n"/>
      <c r="B4111" s="53">
        <f>IF(A4111="","",CHOOSE(WEEKDAY(A4111,2),"Пн","Вт","Ср","Чт","Пт","Сб","Вс"))</f>
        <v/>
      </c>
      <c r="C4111" s="53">
        <f>IF(A4111="","",YEAR(A4111))</f>
        <v/>
      </c>
      <c r="D4111" s="54">
        <f>IF(A4111="","",INDEX(lst_months,MONTH(A4111)))</f>
        <v/>
      </c>
      <c r="E4111" s="55" t="n"/>
      <c r="F4111" s="54">
        <f>IF(E4111="","",IFERROR(IF(INDEX(lst_exp_item_cat,MATCH(E4111,lst_exp_items,0))="","❔ Без категории",INDEX(lst_exp_item_cat,MATCH(E4111,lst_exp_items,0))),"❔ Без категории"))</f>
        <v/>
      </c>
      <c r="G4111" s="43" t="n"/>
      <c r="H4111" s="56" t="n"/>
      <c r="I4111" s="43" t="n"/>
      <c r="J4111" s="57">
        <f>IF(OR(A4111="",H4111=""),"",IF(COUNTIFS(exp_year,C4111,exp_month,D4111,exp_item,E4111,exp_status,"&lt;&gt;❌ Отменено")&gt;0,1,0))</f>
        <v/>
      </c>
    </row>
    <row r="4112">
      <c r="A4112" s="52" t="n"/>
      <c r="B4112" s="53">
        <f>IF(A4112="","",CHOOSE(WEEKDAY(A4112,2),"Пн","Вт","Ср","Чт","Пт","Сб","Вс"))</f>
        <v/>
      </c>
      <c r="C4112" s="53">
        <f>IF(A4112="","",YEAR(A4112))</f>
        <v/>
      </c>
      <c r="D4112" s="54">
        <f>IF(A4112="","",INDEX(lst_months,MONTH(A4112)))</f>
        <v/>
      </c>
      <c r="E4112" s="55" t="n"/>
      <c r="F4112" s="54">
        <f>IF(E4112="","",IFERROR(IF(INDEX(lst_exp_item_cat,MATCH(E4112,lst_exp_items,0))="","❔ Без категории",INDEX(lst_exp_item_cat,MATCH(E4112,lst_exp_items,0))),"❔ Без категории"))</f>
        <v/>
      </c>
      <c r="G4112" s="43" t="n"/>
      <c r="H4112" s="56" t="n"/>
      <c r="I4112" s="43" t="n"/>
      <c r="J4112" s="57">
        <f>IF(OR(A4112="",H4112=""),"",IF(COUNTIFS(exp_year,C4112,exp_month,D4112,exp_item,E4112,exp_status,"&lt;&gt;❌ Отменено")&gt;0,1,0))</f>
        <v/>
      </c>
    </row>
    <row r="4113">
      <c r="A4113" s="52" t="n"/>
      <c r="B4113" s="53">
        <f>IF(A4113="","",CHOOSE(WEEKDAY(A4113,2),"Пн","Вт","Ср","Чт","Пт","Сб","Вс"))</f>
        <v/>
      </c>
      <c r="C4113" s="53">
        <f>IF(A4113="","",YEAR(A4113))</f>
        <v/>
      </c>
      <c r="D4113" s="54">
        <f>IF(A4113="","",INDEX(lst_months,MONTH(A4113)))</f>
        <v/>
      </c>
      <c r="E4113" s="55" t="n"/>
      <c r="F4113" s="54">
        <f>IF(E4113="","",IFERROR(IF(INDEX(lst_exp_item_cat,MATCH(E4113,lst_exp_items,0))="","❔ Без категории",INDEX(lst_exp_item_cat,MATCH(E4113,lst_exp_items,0))),"❔ Без категории"))</f>
        <v/>
      </c>
      <c r="G4113" s="43" t="n"/>
      <c r="H4113" s="56" t="n"/>
      <c r="I4113" s="43" t="n"/>
      <c r="J4113" s="57">
        <f>IF(OR(A4113="",H4113=""),"",IF(COUNTIFS(exp_year,C4113,exp_month,D4113,exp_item,E4113,exp_status,"&lt;&gt;❌ Отменено")&gt;0,1,0))</f>
        <v/>
      </c>
    </row>
    <row r="4114">
      <c r="A4114" s="52" t="n"/>
      <c r="B4114" s="53">
        <f>IF(A4114="","",CHOOSE(WEEKDAY(A4114,2),"Пн","Вт","Ср","Чт","Пт","Сб","Вс"))</f>
        <v/>
      </c>
      <c r="C4114" s="53">
        <f>IF(A4114="","",YEAR(A4114))</f>
        <v/>
      </c>
      <c r="D4114" s="54">
        <f>IF(A4114="","",INDEX(lst_months,MONTH(A4114)))</f>
        <v/>
      </c>
      <c r="E4114" s="55" t="n"/>
      <c r="F4114" s="54">
        <f>IF(E4114="","",IFERROR(IF(INDEX(lst_exp_item_cat,MATCH(E4114,lst_exp_items,0))="","❔ Без категории",INDEX(lst_exp_item_cat,MATCH(E4114,lst_exp_items,0))),"❔ Без категории"))</f>
        <v/>
      </c>
      <c r="G4114" s="43" t="n"/>
      <c r="H4114" s="56" t="n"/>
      <c r="I4114" s="43" t="n"/>
      <c r="J4114" s="57">
        <f>IF(OR(A4114="",H4114=""),"",IF(COUNTIFS(exp_year,C4114,exp_month,D4114,exp_item,E4114,exp_status,"&lt;&gt;❌ Отменено")&gt;0,1,0))</f>
        <v/>
      </c>
    </row>
    <row r="4115">
      <c r="A4115" s="52" t="n"/>
      <c r="B4115" s="53">
        <f>IF(A4115="","",CHOOSE(WEEKDAY(A4115,2),"Пн","Вт","Ср","Чт","Пт","Сб","Вс"))</f>
        <v/>
      </c>
      <c r="C4115" s="53">
        <f>IF(A4115="","",YEAR(A4115))</f>
        <v/>
      </c>
      <c r="D4115" s="54">
        <f>IF(A4115="","",INDEX(lst_months,MONTH(A4115)))</f>
        <v/>
      </c>
      <c r="E4115" s="55" t="n"/>
      <c r="F4115" s="54">
        <f>IF(E4115="","",IFERROR(IF(INDEX(lst_exp_item_cat,MATCH(E4115,lst_exp_items,0))="","❔ Без категории",INDEX(lst_exp_item_cat,MATCH(E4115,lst_exp_items,0))),"❔ Без категории"))</f>
        <v/>
      </c>
      <c r="G4115" s="43" t="n"/>
      <c r="H4115" s="56" t="n"/>
      <c r="I4115" s="43" t="n"/>
      <c r="J4115" s="57">
        <f>IF(OR(A4115="",H4115=""),"",IF(COUNTIFS(exp_year,C4115,exp_month,D4115,exp_item,E4115,exp_status,"&lt;&gt;❌ Отменено")&gt;0,1,0))</f>
        <v/>
      </c>
    </row>
    <row r="4116">
      <c r="A4116" s="52" t="n"/>
      <c r="B4116" s="53">
        <f>IF(A4116="","",CHOOSE(WEEKDAY(A4116,2),"Пн","Вт","Ср","Чт","Пт","Сб","Вс"))</f>
        <v/>
      </c>
      <c r="C4116" s="53">
        <f>IF(A4116="","",YEAR(A4116))</f>
        <v/>
      </c>
      <c r="D4116" s="54">
        <f>IF(A4116="","",INDEX(lst_months,MONTH(A4116)))</f>
        <v/>
      </c>
      <c r="E4116" s="55" t="n"/>
      <c r="F4116" s="54">
        <f>IF(E4116="","",IFERROR(IF(INDEX(lst_exp_item_cat,MATCH(E4116,lst_exp_items,0))="","❔ Без категории",INDEX(lst_exp_item_cat,MATCH(E4116,lst_exp_items,0))),"❔ Без категории"))</f>
        <v/>
      </c>
      <c r="G4116" s="43" t="n"/>
      <c r="H4116" s="56" t="n"/>
      <c r="I4116" s="43" t="n"/>
      <c r="J4116" s="57">
        <f>IF(OR(A4116="",H4116=""),"",IF(COUNTIFS(exp_year,C4116,exp_month,D4116,exp_item,E4116,exp_status,"&lt;&gt;❌ Отменено")&gt;0,1,0))</f>
        <v/>
      </c>
    </row>
    <row r="4117">
      <c r="A4117" s="52" t="n"/>
      <c r="B4117" s="53">
        <f>IF(A4117="","",CHOOSE(WEEKDAY(A4117,2),"Пн","Вт","Ср","Чт","Пт","Сб","Вс"))</f>
        <v/>
      </c>
      <c r="C4117" s="53">
        <f>IF(A4117="","",YEAR(A4117))</f>
        <v/>
      </c>
      <c r="D4117" s="54">
        <f>IF(A4117="","",INDEX(lst_months,MONTH(A4117)))</f>
        <v/>
      </c>
      <c r="E4117" s="55" t="n"/>
      <c r="F4117" s="54">
        <f>IF(E4117="","",IFERROR(IF(INDEX(lst_exp_item_cat,MATCH(E4117,lst_exp_items,0))="","❔ Без категории",INDEX(lst_exp_item_cat,MATCH(E4117,lst_exp_items,0))),"❔ Без категории"))</f>
        <v/>
      </c>
      <c r="G4117" s="43" t="n"/>
      <c r="H4117" s="56" t="n"/>
      <c r="I4117" s="43" t="n"/>
      <c r="J4117" s="57">
        <f>IF(OR(A4117="",H4117=""),"",IF(COUNTIFS(exp_year,C4117,exp_month,D4117,exp_item,E4117,exp_status,"&lt;&gt;❌ Отменено")&gt;0,1,0))</f>
        <v/>
      </c>
    </row>
    <row r="4118">
      <c r="A4118" s="52" t="n"/>
      <c r="B4118" s="53">
        <f>IF(A4118="","",CHOOSE(WEEKDAY(A4118,2),"Пн","Вт","Ср","Чт","Пт","Сб","Вс"))</f>
        <v/>
      </c>
      <c r="C4118" s="53">
        <f>IF(A4118="","",YEAR(A4118))</f>
        <v/>
      </c>
      <c r="D4118" s="54">
        <f>IF(A4118="","",INDEX(lst_months,MONTH(A4118)))</f>
        <v/>
      </c>
      <c r="E4118" s="55" t="n"/>
      <c r="F4118" s="54">
        <f>IF(E4118="","",IFERROR(IF(INDEX(lst_exp_item_cat,MATCH(E4118,lst_exp_items,0))="","❔ Без категории",INDEX(lst_exp_item_cat,MATCH(E4118,lst_exp_items,0))),"❔ Без категории"))</f>
        <v/>
      </c>
      <c r="G4118" s="43" t="n"/>
      <c r="H4118" s="56" t="n"/>
      <c r="I4118" s="43" t="n"/>
      <c r="J4118" s="57">
        <f>IF(OR(A4118="",H4118=""),"",IF(COUNTIFS(exp_year,C4118,exp_month,D4118,exp_item,E4118,exp_status,"&lt;&gt;❌ Отменено")&gt;0,1,0))</f>
        <v/>
      </c>
    </row>
    <row r="4119">
      <c r="A4119" s="52" t="n"/>
      <c r="B4119" s="53">
        <f>IF(A4119="","",CHOOSE(WEEKDAY(A4119,2),"Пн","Вт","Ср","Чт","Пт","Сб","Вс"))</f>
        <v/>
      </c>
      <c r="C4119" s="53">
        <f>IF(A4119="","",YEAR(A4119))</f>
        <v/>
      </c>
      <c r="D4119" s="54">
        <f>IF(A4119="","",INDEX(lst_months,MONTH(A4119)))</f>
        <v/>
      </c>
      <c r="E4119" s="55" t="n"/>
      <c r="F4119" s="54">
        <f>IF(E4119="","",IFERROR(IF(INDEX(lst_exp_item_cat,MATCH(E4119,lst_exp_items,0))="","❔ Без категории",INDEX(lst_exp_item_cat,MATCH(E4119,lst_exp_items,0))),"❔ Без категории"))</f>
        <v/>
      </c>
      <c r="G4119" s="43" t="n"/>
      <c r="H4119" s="56" t="n"/>
      <c r="I4119" s="43" t="n"/>
      <c r="J4119" s="57">
        <f>IF(OR(A4119="",H4119=""),"",IF(COUNTIFS(exp_year,C4119,exp_month,D4119,exp_item,E4119,exp_status,"&lt;&gt;❌ Отменено")&gt;0,1,0))</f>
        <v/>
      </c>
    </row>
    <row r="4120">
      <c r="A4120" s="52" t="n"/>
      <c r="B4120" s="53">
        <f>IF(A4120="","",CHOOSE(WEEKDAY(A4120,2),"Пн","Вт","Ср","Чт","Пт","Сб","Вс"))</f>
        <v/>
      </c>
      <c r="C4120" s="53">
        <f>IF(A4120="","",YEAR(A4120))</f>
        <v/>
      </c>
      <c r="D4120" s="54">
        <f>IF(A4120="","",INDEX(lst_months,MONTH(A4120)))</f>
        <v/>
      </c>
      <c r="E4120" s="55" t="n"/>
      <c r="F4120" s="54">
        <f>IF(E4120="","",IFERROR(IF(INDEX(lst_exp_item_cat,MATCH(E4120,lst_exp_items,0))="","❔ Без категории",INDEX(lst_exp_item_cat,MATCH(E4120,lst_exp_items,0))),"❔ Без категории"))</f>
        <v/>
      </c>
      <c r="G4120" s="43" t="n"/>
      <c r="H4120" s="56" t="n"/>
      <c r="I4120" s="43" t="n"/>
      <c r="J4120" s="57">
        <f>IF(OR(A4120="",H4120=""),"",IF(COUNTIFS(exp_year,C4120,exp_month,D4120,exp_item,E4120,exp_status,"&lt;&gt;❌ Отменено")&gt;0,1,0))</f>
        <v/>
      </c>
    </row>
    <row r="4121">
      <c r="A4121" s="52" t="n"/>
      <c r="B4121" s="53">
        <f>IF(A4121="","",CHOOSE(WEEKDAY(A4121,2),"Пн","Вт","Ср","Чт","Пт","Сб","Вс"))</f>
        <v/>
      </c>
      <c r="C4121" s="53">
        <f>IF(A4121="","",YEAR(A4121))</f>
        <v/>
      </c>
      <c r="D4121" s="54">
        <f>IF(A4121="","",INDEX(lst_months,MONTH(A4121)))</f>
        <v/>
      </c>
      <c r="E4121" s="55" t="n"/>
      <c r="F4121" s="54">
        <f>IF(E4121="","",IFERROR(IF(INDEX(lst_exp_item_cat,MATCH(E4121,lst_exp_items,0))="","❔ Без категории",INDEX(lst_exp_item_cat,MATCH(E4121,lst_exp_items,0))),"❔ Без категории"))</f>
        <v/>
      </c>
      <c r="G4121" s="43" t="n"/>
      <c r="H4121" s="56" t="n"/>
      <c r="I4121" s="43" t="n"/>
      <c r="J4121" s="57">
        <f>IF(OR(A4121="",H4121=""),"",IF(COUNTIFS(exp_year,C4121,exp_month,D4121,exp_item,E4121,exp_status,"&lt;&gt;❌ Отменено")&gt;0,1,0))</f>
        <v/>
      </c>
    </row>
    <row r="4122">
      <c r="A4122" s="52" t="n"/>
      <c r="B4122" s="53">
        <f>IF(A4122="","",CHOOSE(WEEKDAY(A4122,2),"Пн","Вт","Ср","Чт","Пт","Сб","Вс"))</f>
        <v/>
      </c>
      <c r="C4122" s="53">
        <f>IF(A4122="","",YEAR(A4122))</f>
        <v/>
      </c>
      <c r="D4122" s="54">
        <f>IF(A4122="","",INDEX(lst_months,MONTH(A4122)))</f>
        <v/>
      </c>
      <c r="E4122" s="55" t="n"/>
      <c r="F4122" s="54">
        <f>IF(E4122="","",IFERROR(IF(INDEX(lst_exp_item_cat,MATCH(E4122,lst_exp_items,0))="","❔ Без категории",INDEX(lst_exp_item_cat,MATCH(E4122,lst_exp_items,0))),"❔ Без категории"))</f>
        <v/>
      </c>
      <c r="G4122" s="43" t="n"/>
      <c r="H4122" s="56" t="n"/>
      <c r="I4122" s="43" t="n"/>
      <c r="J4122" s="57">
        <f>IF(OR(A4122="",H4122=""),"",IF(COUNTIFS(exp_year,C4122,exp_month,D4122,exp_item,E4122,exp_status,"&lt;&gt;❌ Отменено")&gt;0,1,0))</f>
        <v/>
      </c>
    </row>
    <row r="4123">
      <c r="A4123" s="52" t="n"/>
      <c r="B4123" s="53">
        <f>IF(A4123="","",CHOOSE(WEEKDAY(A4123,2),"Пн","Вт","Ср","Чт","Пт","Сб","Вс"))</f>
        <v/>
      </c>
      <c r="C4123" s="53">
        <f>IF(A4123="","",YEAR(A4123))</f>
        <v/>
      </c>
      <c r="D4123" s="54">
        <f>IF(A4123="","",INDEX(lst_months,MONTH(A4123)))</f>
        <v/>
      </c>
      <c r="E4123" s="55" t="n"/>
      <c r="F4123" s="54">
        <f>IF(E4123="","",IFERROR(IF(INDEX(lst_exp_item_cat,MATCH(E4123,lst_exp_items,0))="","❔ Без категории",INDEX(lst_exp_item_cat,MATCH(E4123,lst_exp_items,0))),"❔ Без категории"))</f>
        <v/>
      </c>
      <c r="G4123" s="43" t="n"/>
      <c r="H4123" s="56" t="n"/>
      <c r="I4123" s="43" t="n"/>
      <c r="J4123" s="57">
        <f>IF(OR(A4123="",H4123=""),"",IF(COUNTIFS(exp_year,C4123,exp_month,D4123,exp_item,E4123,exp_status,"&lt;&gt;❌ Отменено")&gt;0,1,0))</f>
        <v/>
      </c>
    </row>
    <row r="4124">
      <c r="A4124" s="52" t="n"/>
      <c r="B4124" s="53">
        <f>IF(A4124="","",CHOOSE(WEEKDAY(A4124,2),"Пн","Вт","Ср","Чт","Пт","Сб","Вс"))</f>
        <v/>
      </c>
      <c r="C4124" s="53">
        <f>IF(A4124="","",YEAR(A4124))</f>
        <v/>
      </c>
      <c r="D4124" s="54">
        <f>IF(A4124="","",INDEX(lst_months,MONTH(A4124)))</f>
        <v/>
      </c>
      <c r="E4124" s="55" t="n"/>
      <c r="F4124" s="54">
        <f>IF(E4124="","",IFERROR(IF(INDEX(lst_exp_item_cat,MATCH(E4124,lst_exp_items,0))="","❔ Без категории",INDEX(lst_exp_item_cat,MATCH(E4124,lst_exp_items,0))),"❔ Без категории"))</f>
        <v/>
      </c>
      <c r="G4124" s="43" t="n"/>
      <c r="H4124" s="56" t="n"/>
      <c r="I4124" s="43" t="n"/>
      <c r="J4124" s="57">
        <f>IF(OR(A4124="",H4124=""),"",IF(COUNTIFS(exp_year,C4124,exp_month,D4124,exp_item,E4124,exp_status,"&lt;&gt;❌ Отменено")&gt;0,1,0))</f>
        <v/>
      </c>
    </row>
    <row r="4125">
      <c r="A4125" s="52" t="n"/>
      <c r="B4125" s="53">
        <f>IF(A4125="","",CHOOSE(WEEKDAY(A4125,2),"Пн","Вт","Ср","Чт","Пт","Сб","Вс"))</f>
        <v/>
      </c>
      <c r="C4125" s="53">
        <f>IF(A4125="","",YEAR(A4125))</f>
        <v/>
      </c>
      <c r="D4125" s="54">
        <f>IF(A4125="","",INDEX(lst_months,MONTH(A4125)))</f>
        <v/>
      </c>
      <c r="E4125" s="55" t="n"/>
      <c r="F4125" s="54">
        <f>IF(E4125="","",IFERROR(IF(INDEX(lst_exp_item_cat,MATCH(E4125,lst_exp_items,0))="","❔ Без категории",INDEX(lst_exp_item_cat,MATCH(E4125,lst_exp_items,0))),"❔ Без категории"))</f>
        <v/>
      </c>
      <c r="G4125" s="43" t="n"/>
      <c r="H4125" s="56" t="n"/>
      <c r="I4125" s="43" t="n"/>
      <c r="J4125" s="57">
        <f>IF(OR(A4125="",H4125=""),"",IF(COUNTIFS(exp_year,C4125,exp_month,D4125,exp_item,E4125,exp_status,"&lt;&gt;❌ Отменено")&gt;0,1,0))</f>
        <v/>
      </c>
    </row>
    <row r="4126">
      <c r="A4126" s="52" t="n"/>
      <c r="B4126" s="53">
        <f>IF(A4126="","",CHOOSE(WEEKDAY(A4126,2),"Пн","Вт","Ср","Чт","Пт","Сб","Вс"))</f>
        <v/>
      </c>
      <c r="C4126" s="53">
        <f>IF(A4126="","",YEAR(A4126))</f>
        <v/>
      </c>
      <c r="D4126" s="54">
        <f>IF(A4126="","",INDEX(lst_months,MONTH(A4126)))</f>
        <v/>
      </c>
      <c r="E4126" s="55" t="n"/>
      <c r="F4126" s="54">
        <f>IF(E4126="","",IFERROR(IF(INDEX(lst_exp_item_cat,MATCH(E4126,lst_exp_items,0))="","❔ Без категории",INDEX(lst_exp_item_cat,MATCH(E4126,lst_exp_items,0))),"❔ Без категории"))</f>
        <v/>
      </c>
      <c r="G4126" s="43" t="n"/>
      <c r="H4126" s="56" t="n"/>
      <c r="I4126" s="43" t="n"/>
      <c r="J4126" s="57">
        <f>IF(OR(A4126="",H4126=""),"",IF(COUNTIFS(exp_year,C4126,exp_month,D4126,exp_item,E4126,exp_status,"&lt;&gt;❌ Отменено")&gt;0,1,0))</f>
        <v/>
      </c>
    </row>
    <row r="4127">
      <c r="A4127" s="52" t="n"/>
      <c r="B4127" s="53">
        <f>IF(A4127="","",CHOOSE(WEEKDAY(A4127,2),"Пн","Вт","Ср","Чт","Пт","Сб","Вс"))</f>
        <v/>
      </c>
      <c r="C4127" s="53">
        <f>IF(A4127="","",YEAR(A4127))</f>
        <v/>
      </c>
      <c r="D4127" s="54">
        <f>IF(A4127="","",INDEX(lst_months,MONTH(A4127)))</f>
        <v/>
      </c>
      <c r="E4127" s="55" t="n"/>
      <c r="F4127" s="54">
        <f>IF(E4127="","",IFERROR(IF(INDEX(lst_exp_item_cat,MATCH(E4127,lst_exp_items,0))="","❔ Без категории",INDEX(lst_exp_item_cat,MATCH(E4127,lst_exp_items,0))),"❔ Без категории"))</f>
        <v/>
      </c>
      <c r="G4127" s="43" t="n"/>
      <c r="H4127" s="56" t="n"/>
      <c r="I4127" s="43" t="n"/>
      <c r="J4127" s="57">
        <f>IF(OR(A4127="",H4127=""),"",IF(COUNTIFS(exp_year,C4127,exp_month,D4127,exp_item,E4127,exp_status,"&lt;&gt;❌ Отменено")&gt;0,1,0))</f>
        <v/>
      </c>
    </row>
    <row r="4128">
      <c r="A4128" s="52" t="n"/>
      <c r="B4128" s="53">
        <f>IF(A4128="","",CHOOSE(WEEKDAY(A4128,2),"Пн","Вт","Ср","Чт","Пт","Сб","Вс"))</f>
        <v/>
      </c>
      <c r="C4128" s="53">
        <f>IF(A4128="","",YEAR(A4128))</f>
        <v/>
      </c>
      <c r="D4128" s="54">
        <f>IF(A4128="","",INDEX(lst_months,MONTH(A4128)))</f>
        <v/>
      </c>
      <c r="E4128" s="55" t="n"/>
      <c r="F4128" s="54">
        <f>IF(E4128="","",IFERROR(IF(INDEX(lst_exp_item_cat,MATCH(E4128,lst_exp_items,0))="","❔ Без категории",INDEX(lst_exp_item_cat,MATCH(E4128,lst_exp_items,0))),"❔ Без категории"))</f>
        <v/>
      </c>
      <c r="G4128" s="43" t="n"/>
      <c r="H4128" s="56" t="n"/>
      <c r="I4128" s="43" t="n"/>
      <c r="J4128" s="57">
        <f>IF(OR(A4128="",H4128=""),"",IF(COUNTIFS(exp_year,C4128,exp_month,D4128,exp_item,E4128,exp_status,"&lt;&gt;❌ Отменено")&gt;0,1,0))</f>
        <v/>
      </c>
    </row>
    <row r="4129">
      <c r="A4129" s="52" t="n"/>
      <c r="B4129" s="53">
        <f>IF(A4129="","",CHOOSE(WEEKDAY(A4129,2),"Пн","Вт","Ср","Чт","Пт","Сб","Вс"))</f>
        <v/>
      </c>
      <c r="C4129" s="53">
        <f>IF(A4129="","",YEAR(A4129))</f>
        <v/>
      </c>
      <c r="D4129" s="54">
        <f>IF(A4129="","",INDEX(lst_months,MONTH(A4129)))</f>
        <v/>
      </c>
      <c r="E4129" s="55" t="n"/>
      <c r="F4129" s="54">
        <f>IF(E4129="","",IFERROR(IF(INDEX(lst_exp_item_cat,MATCH(E4129,lst_exp_items,0))="","❔ Без категории",INDEX(lst_exp_item_cat,MATCH(E4129,lst_exp_items,0))),"❔ Без категории"))</f>
        <v/>
      </c>
      <c r="G4129" s="43" t="n"/>
      <c r="H4129" s="56" t="n"/>
      <c r="I4129" s="43" t="n"/>
      <c r="J4129" s="57">
        <f>IF(OR(A4129="",H4129=""),"",IF(COUNTIFS(exp_year,C4129,exp_month,D4129,exp_item,E4129,exp_status,"&lt;&gt;❌ Отменено")&gt;0,1,0))</f>
        <v/>
      </c>
    </row>
    <row r="4130">
      <c r="A4130" s="52" t="n"/>
      <c r="B4130" s="53">
        <f>IF(A4130="","",CHOOSE(WEEKDAY(A4130,2),"Пн","Вт","Ср","Чт","Пт","Сб","Вс"))</f>
        <v/>
      </c>
      <c r="C4130" s="53">
        <f>IF(A4130="","",YEAR(A4130))</f>
        <v/>
      </c>
      <c r="D4130" s="54">
        <f>IF(A4130="","",INDEX(lst_months,MONTH(A4130)))</f>
        <v/>
      </c>
      <c r="E4130" s="55" t="n"/>
      <c r="F4130" s="54">
        <f>IF(E4130="","",IFERROR(IF(INDEX(lst_exp_item_cat,MATCH(E4130,lst_exp_items,0))="","❔ Без категории",INDEX(lst_exp_item_cat,MATCH(E4130,lst_exp_items,0))),"❔ Без категории"))</f>
        <v/>
      </c>
      <c r="G4130" s="43" t="n"/>
      <c r="H4130" s="56" t="n"/>
      <c r="I4130" s="43" t="n"/>
      <c r="J4130" s="57">
        <f>IF(OR(A4130="",H4130=""),"",IF(COUNTIFS(exp_year,C4130,exp_month,D4130,exp_item,E4130,exp_status,"&lt;&gt;❌ Отменено")&gt;0,1,0))</f>
        <v/>
      </c>
    </row>
    <row r="4131">
      <c r="A4131" s="52" t="n"/>
      <c r="B4131" s="53">
        <f>IF(A4131="","",CHOOSE(WEEKDAY(A4131,2),"Пн","Вт","Ср","Чт","Пт","Сб","Вс"))</f>
        <v/>
      </c>
      <c r="C4131" s="53">
        <f>IF(A4131="","",YEAR(A4131))</f>
        <v/>
      </c>
      <c r="D4131" s="54">
        <f>IF(A4131="","",INDEX(lst_months,MONTH(A4131)))</f>
        <v/>
      </c>
      <c r="E4131" s="55" t="n"/>
      <c r="F4131" s="54">
        <f>IF(E4131="","",IFERROR(IF(INDEX(lst_exp_item_cat,MATCH(E4131,lst_exp_items,0))="","❔ Без категории",INDEX(lst_exp_item_cat,MATCH(E4131,lst_exp_items,0))),"❔ Без категории"))</f>
        <v/>
      </c>
      <c r="G4131" s="43" t="n"/>
      <c r="H4131" s="56" t="n"/>
      <c r="I4131" s="43" t="n"/>
      <c r="J4131" s="57">
        <f>IF(OR(A4131="",H4131=""),"",IF(COUNTIFS(exp_year,C4131,exp_month,D4131,exp_item,E4131,exp_status,"&lt;&gt;❌ Отменено")&gt;0,1,0))</f>
        <v/>
      </c>
    </row>
    <row r="4132">
      <c r="A4132" s="52" t="n"/>
      <c r="B4132" s="53">
        <f>IF(A4132="","",CHOOSE(WEEKDAY(A4132,2),"Пн","Вт","Ср","Чт","Пт","Сб","Вс"))</f>
        <v/>
      </c>
      <c r="C4132" s="53">
        <f>IF(A4132="","",YEAR(A4132))</f>
        <v/>
      </c>
      <c r="D4132" s="54">
        <f>IF(A4132="","",INDEX(lst_months,MONTH(A4132)))</f>
        <v/>
      </c>
      <c r="E4132" s="55" t="n"/>
      <c r="F4132" s="54">
        <f>IF(E4132="","",IFERROR(IF(INDEX(lst_exp_item_cat,MATCH(E4132,lst_exp_items,0))="","❔ Без категории",INDEX(lst_exp_item_cat,MATCH(E4132,lst_exp_items,0))),"❔ Без категории"))</f>
        <v/>
      </c>
      <c r="G4132" s="43" t="n"/>
      <c r="H4132" s="56" t="n"/>
      <c r="I4132" s="43" t="n"/>
      <c r="J4132" s="57">
        <f>IF(OR(A4132="",H4132=""),"",IF(COUNTIFS(exp_year,C4132,exp_month,D4132,exp_item,E4132,exp_status,"&lt;&gt;❌ Отменено")&gt;0,1,0))</f>
        <v/>
      </c>
    </row>
    <row r="4133">
      <c r="A4133" s="52" t="n"/>
      <c r="B4133" s="53">
        <f>IF(A4133="","",CHOOSE(WEEKDAY(A4133,2),"Пн","Вт","Ср","Чт","Пт","Сб","Вс"))</f>
        <v/>
      </c>
      <c r="C4133" s="53">
        <f>IF(A4133="","",YEAR(A4133))</f>
        <v/>
      </c>
      <c r="D4133" s="54">
        <f>IF(A4133="","",INDEX(lst_months,MONTH(A4133)))</f>
        <v/>
      </c>
      <c r="E4133" s="55" t="n"/>
      <c r="F4133" s="54">
        <f>IF(E4133="","",IFERROR(IF(INDEX(lst_exp_item_cat,MATCH(E4133,lst_exp_items,0))="","❔ Без категории",INDEX(lst_exp_item_cat,MATCH(E4133,lst_exp_items,0))),"❔ Без категории"))</f>
        <v/>
      </c>
      <c r="G4133" s="43" t="n"/>
      <c r="H4133" s="56" t="n"/>
      <c r="I4133" s="43" t="n"/>
      <c r="J4133" s="57">
        <f>IF(OR(A4133="",H4133=""),"",IF(COUNTIFS(exp_year,C4133,exp_month,D4133,exp_item,E4133,exp_status,"&lt;&gt;❌ Отменено")&gt;0,1,0))</f>
        <v/>
      </c>
    </row>
    <row r="4134">
      <c r="A4134" s="52" t="n"/>
      <c r="B4134" s="53">
        <f>IF(A4134="","",CHOOSE(WEEKDAY(A4134,2),"Пн","Вт","Ср","Чт","Пт","Сб","Вс"))</f>
        <v/>
      </c>
      <c r="C4134" s="53">
        <f>IF(A4134="","",YEAR(A4134))</f>
        <v/>
      </c>
      <c r="D4134" s="54">
        <f>IF(A4134="","",INDEX(lst_months,MONTH(A4134)))</f>
        <v/>
      </c>
      <c r="E4134" s="55" t="n"/>
      <c r="F4134" s="54">
        <f>IF(E4134="","",IFERROR(IF(INDEX(lst_exp_item_cat,MATCH(E4134,lst_exp_items,0))="","❔ Без категории",INDEX(lst_exp_item_cat,MATCH(E4134,lst_exp_items,0))),"❔ Без категории"))</f>
        <v/>
      </c>
      <c r="G4134" s="43" t="n"/>
      <c r="H4134" s="56" t="n"/>
      <c r="I4134" s="43" t="n"/>
      <c r="J4134" s="57">
        <f>IF(OR(A4134="",H4134=""),"",IF(COUNTIFS(exp_year,C4134,exp_month,D4134,exp_item,E4134,exp_status,"&lt;&gt;❌ Отменено")&gt;0,1,0))</f>
        <v/>
      </c>
    </row>
    <row r="4135">
      <c r="A4135" s="52" t="n"/>
      <c r="B4135" s="53">
        <f>IF(A4135="","",CHOOSE(WEEKDAY(A4135,2),"Пн","Вт","Ср","Чт","Пт","Сб","Вс"))</f>
        <v/>
      </c>
      <c r="C4135" s="53">
        <f>IF(A4135="","",YEAR(A4135))</f>
        <v/>
      </c>
      <c r="D4135" s="54">
        <f>IF(A4135="","",INDEX(lst_months,MONTH(A4135)))</f>
        <v/>
      </c>
      <c r="E4135" s="55" t="n"/>
      <c r="F4135" s="54">
        <f>IF(E4135="","",IFERROR(IF(INDEX(lst_exp_item_cat,MATCH(E4135,lst_exp_items,0))="","❔ Без категории",INDEX(lst_exp_item_cat,MATCH(E4135,lst_exp_items,0))),"❔ Без категории"))</f>
        <v/>
      </c>
      <c r="G4135" s="43" t="n"/>
      <c r="H4135" s="56" t="n"/>
      <c r="I4135" s="43" t="n"/>
      <c r="J4135" s="57">
        <f>IF(OR(A4135="",H4135=""),"",IF(COUNTIFS(exp_year,C4135,exp_month,D4135,exp_item,E4135,exp_status,"&lt;&gt;❌ Отменено")&gt;0,1,0))</f>
        <v/>
      </c>
    </row>
    <row r="4136">
      <c r="A4136" s="52" t="n"/>
      <c r="B4136" s="53">
        <f>IF(A4136="","",CHOOSE(WEEKDAY(A4136,2),"Пн","Вт","Ср","Чт","Пт","Сб","Вс"))</f>
        <v/>
      </c>
      <c r="C4136" s="53">
        <f>IF(A4136="","",YEAR(A4136))</f>
        <v/>
      </c>
      <c r="D4136" s="54">
        <f>IF(A4136="","",INDEX(lst_months,MONTH(A4136)))</f>
        <v/>
      </c>
      <c r="E4136" s="55" t="n"/>
      <c r="F4136" s="54">
        <f>IF(E4136="","",IFERROR(IF(INDEX(lst_exp_item_cat,MATCH(E4136,lst_exp_items,0))="","❔ Без категории",INDEX(lst_exp_item_cat,MATCH(E4136,lst_exp_items,0))),"❔ Без категории"))</f>
        <v/>
      </c>
      <c r="G4136" s="43" t="n"/>
      <c r="H4136" s="56" t="n"/>
      <c r="I4136" s="43" t="n"/>
      <c r="J4136" s="57">
        <f>IF(OR(A4136="",H4136=""),"",IF(COUNTIFS(exp_year,C4136,exp_month,D4136,exp_item,E4136,exp_status,"&lt;&gt;❌ Отменено")&gt;0,1,0))</f>
        <v/>
      </c>
    </row>
    <row r="4137">
      <c r="A4137" s="52" t="n"/>
      <c r="B4137" s="53">
        <f>IF(A4137="","",CHOOSE(WEEKDAY(A4137,2),"Пн","Вт","Ср","Чт","Пт","Сб","Вс"))</f>
        <v/>
      </c>
      <c r="C4137" s="53">
        <f>IF(A4137="","",YEAR(A4137))</f>
        <v/>
      </c>
      <c r="D4137" s="54">
        <f>IF(A4137="","",INDEX(lst_months,MONTH(A4137)))</f>
        <v/>
      </c>
      <c r="E4137" s="55" t="n"/>
      <c r="F4137" s="54">
        <f>IF(E4137="","",IFERROR(IF(INDEX(lst_exp_item_cat,MATCH(E4137,lst_exp_items,0))="","❔ Без категории",INDEX(lst_exp_item_cat,MATCH(E4137,lst_exp_items,0))),"❔ Без категории"))</f>
        <v/>
      </c>
      <c r="G4137" s="43" t="n"/>
      <c r="H4137" s="56" t="n"/>
      <c r="I4137" s="43" t="n"/>
      <c r="J4137" s="57">
        <f>IF(OR(A4137="",H4137=""),"",IF(COUNTIFS(exp_year,C4137,exp_month,D4137,exp_item,E4137,exp_status,"&lt;&gt;❌ Отменено")&gt;0,1,0))</f>
        <v/>
      </c>
    </row>
    <row r="4138">
      <c r="A4138" s="52" t="n"/>
      <c r="B4138" s="53">
        <f>IF(A4138="","",CHOOSE(WEEKDAY(A4138,2),"Пн","Вт","Ср","Чт","Пт","Сб","Вс"))</f>
        <v/>
      </c>
      <c r="C4138" s="53">
        <f>IF(A4138="","",YEAR(A4138))</f>
        <v/>
      </c>
      <c r="D4138" s="54">
        <f>IF(A4138="","",INDEX(lst_months,MONTH(A4138)))</f>
        <v/>
      </c>
      <c r="E4138" s="55" t="n"/>
      <c r="F4138" s="54">
        <f>IF(E4138="","",IFERROR(IF(INDEX(lst_exp_item_cat,MATCH(E4138,lst_exp_items,0))="","❔ Без категории",INDEX(lst_exp_item_cat,MATCH(E4138,lst_exp_items,0))),"❔ Без категории"))</f>
        <v/>
      </c>
      <c r="G4138" s="43" t="n"/>
      <c r="H4138" s="56" t="n"/>
      <c r="I4138" s="43" t="n"/>
      <c r="J4138" s="57">
        <f>IF(OR(A4138="",H4138=""),"",IF(COUNTIFS(exp_year,C4138,exp_month,D4138,exp_item,E4138,exp_status,"&lt;&gt;❌ Отменено")&gt;0,1,0))</f>
        <v/>
      </c>
    </row>
    <row r="4139">
      <c r="A4139" s="52" t="n"/>
      <c r="B4139" s="53">
        <f>IF(A4139="","",CHOOSE(WEEKDAY(A4139,2),"Пн","Вт","Ср","Чт","Пт","Сб","Вс"))</f>
        <v/>
      </c>
      <c r="C4139" s="53">
        <f>IF(A4139="","",YEAR(A4139))</f>
        <v/>
      </c>
      <c r="D4139" s="54">
        <f>IF(A4139="","",INDEX(lst_months,MONTH(A4139)))</f>
        <v/>
      </c>
      <c r="E4139" s="55" t="n"/>
      <c r="F4139" s="54">
        <f>IF(E4139="","",IFERROR(IF(INDEX(lst_exp_item_cat,MATCH(E4139,lst_exp_items,0))="","❔ Без категории",INDEX(lst_exp_item_cat,MATCH(E4139,lst_exp_items,0))),"❔ Без категории"))</f>
        <v/>
      </c>
      <c r="G4139" s="43" t="n"/>
      <c r="H4139" s="56" t="n"/>
      <c r="I4139" s="43" t="n"/>
      <c r="J4139" s="57">
        <f>IF(OR(A4139="",H4139=""),"",IF(COUNTIFS(exp_year,C4139,exp_month,D4139,exp_item,E4139,exp_status,"&lt;&gt;❌ Отменено")&gt;0,1,0))</f>
        <v/>
      </c>
    </row>
    <row r="4140">
      <c r="A4140" s="52" t="n"/>
      <c r="B4140" s="53">
        <f>IF(A4140="","",CHOOSE(WEEKDAY(A4140,2),"Пн","Вт","Ср","Чт","Пт","Сб","Вс"))</f>
        <v/>
      </c>
      <c r="C4140" s="53">
        <f>IF(A4140="","",YEAR(A4140))</f>
        <v/>
      </c>
      <c r="D4140" s="54">
        <f>IF(A4140="","",INDEX(lst_months,MONTH(A4140)))</f>
        <v/>
      </c>
      <c r="E4140" s="55" t="n"/>
      <c r="F4140" s="54">
        <f>IF(E4140="","",IFERROR(IF(INDEX(lst_exp_item_cat,MATCH(E4140,lst_exp_items,0))="","❔ Без категории",INDEX(lst_exp_item_cat,MATCH(E4140,lst_exp_items,0))),"❔ Без категории"))</f>
        <v/>
      </c>
      <c r="G4140" s="43" t="n"/>
      <c r="H4140" s="56" t="n"/>
      <c r="I4140" s="43" t="n"/>
      <c r="J4140" s="57">
        <f>IF(OR(A4140="",H4140=""),"",IF(COUNTIFS(exp_year,C4140,exp_month,D4140,exp_item,E4140,exp_status,"&lt;&gt;❌ Отменено")&gt;0,1,0))</f>
        <v/>
      </c>
    </row>
    <row r="4141">
      <c r="A4141" s="52" t="n"/>
      <c r="B4141" s="53">
        <f>IF(A4141="","",CHOOSE(WEEKDAY(A4141,2),"Пн","Вт","Ср","Чт","Пт","Сб","Вс"))</f>
        <v/>
      </c>
      <c r="C4141" s="53">
        <f>IF(A4141="","",YEAR(A4141))</f>
        <v/>
      </c>
      <c r="D4141" s="54">
        <f>IF(A4141="","",INDEX(lst_months,MONTH(A4141)))</f>
        <v/>
      </c>
      <c r="E4141" s="55" t="n"/>
      <c r="F4141" s="54">
        <f>IF(E4141="","",IFERROR(IF(INDEX(lst_exp_item_cat,MATCH(E4141,lst_exp_items,0))="","❔ Без категории",INDEX(lst_exp_item_cat,MATCH(E4141,lst_exp_items,0))),"❔ Без категории"))</f>
        <v/>
      </c>
      <c r="G4141" s="43" t="n"/>
      <c r="H4141" s="56" t="n"/>
      <c r="I4141" s="43" t="n"/>
      <c r="J4141" s="57">
        <f>IF(OR(A4141="",H4141=""),"",IF(COUNTIFS(exp_year,C4141,exp_month,D4141,exp_item,E4141,exp_status,"&lt;&gt;❌ Отменено")&gt;0,1,0))</f>
        <v/>
      </c>
    </row>
    <row r="4142">
      <c r="A4142" s="52" t="n"/>
      <c r="B4142" s="53">
        <f>IF(A4142="","",CHOOSE(WEEKDAY(A4142,2),"Пн","Вт","Ср","Чт","Пт","Сб","Вс"))</f>
        <v/>
      </c>
      <c r="C4142" s="53">
        <f>IF(A4142="","",YEAR(A4142))</f>
        <v/>
      </c>
      <c r="D4142" s="54">
        <f>IF(A4142="","",INDEX(lst_months,MONTH(A4142)))</f>
        <v/>
      </c>
      <c r="E4142" s="55" t="n"/>
      <c r="F4142" s="54">
        <f>IF(E4142="","",IFERROR(IF(INDEX(lst_exp_item_cat,MATCH(E4142,lst_exp_items,0))="","❔ Без категории",INDEX(lst_exp_item_cat,MATCH(E4142,lst_exp_items,0))),"❔ Без категории"))</f>
        <v/>
      </c>
      <c r="G4142" s="43" t="n"/>
      <c r="H4142" s="56" t="n"/>
      <c r="I4142" s="43" t="n"/>
      <c r="J4142" s="57">
        <f>IF(OR(A4142="",H4142=""),"",IF(COUNTIFS(exp_year,C4142,exp_month,D4142,exp_item,E4142,exp_status,"&lt;&gt;❌ Отменено")&gt;0,1,0))</f>
        <v/>
      </c>
    </row>
    <row r="4143">
      <c r="A4143" s="52" t="n"/>
      <c r="B4143" s="53">
        <f>IF(A4143="","",CHOOSE(WEEKDAY(A4143,2),"Пн","Вт","Ср","Чт","Пт","Сб","Вс"))</f>
        <v/>
      </c>
      <c r="C4143" s="53">
        <f>IF(A4143="","",YEAR(A4143))</f>
        <v/>
      </c>
      <c r="D4143" s="54">
        <f>IF(A4143="","",INDEX(lst_months,MONTH(A4143)))</f>
        <v/>
      </c>
      <c r="E4143" s="55" t="n"/>
      <c r="F4143" s="54">
        <f>IF(E4143="","",IFERROR(IF(INDEX(lst_exp_item_cat,MATCH(E4143,lst_exp_items,0))="","❔ Без категории",INDEX(lst_exp_item_cat,MATCH(E4143,lst_exp_items,0))),"❔ Без категории"))</f>
        <v/>
      </c>
      <c r="G4143" s="43" t="n"/>
      <c r="H4143" s="56" t="n"/>
      <c r="I4143" s="43" t="n"/>
      <c r="J4143" s="57">
        <f>IF(OR(A4143="",H4143=""),"",IF(COUNTIFS(exp_year,C4143,exp_month,D4143,exp_item,E4143,exp_status,"&lt;&gt;❌ Отменено")&gt;0,1,0))</f>
        <v/>
      </c>
    </row>
    <row r="4144">
      <c r="A4144" s="52" t="n"/>
      <c r="B4144" s="53">
        <f>IF(A4144="","",CHOOSE(WEEKDAY(A4144,2),"Пн","Вт","Ср","Чт","Пт","Сб","Вс"))</f>
        <v/>
      </c>
      <c r="C4144" s="53">
        <f>IF(A4144="","",YEAR(A4144))</f>
        <v/>
      </c>
      <c r="D4144" s="54">
        <f>IF(A4144="","",INDEX(lst_months,MONTH(A4144)))</f>
        <v/>
      </c>
      <c r="E4144" s="55" t="n"/>
      <c r="F4144" s="54">
        <f>IF(E4144="","",IFERROR(IF(INDEX(lst_exp_item_cat,MATCH(E4144,lst_exp_items,0))="","❔ Без категории",INDEX(lst_exp_item_cat,MATCH(E4144,lst_exp_items,0))),"❔ Без категории"))</f>
        <v/>
      </c>
      <c r="G4144" s="43" t="n"/>
      <c r="H4144" s="56" t="n"/>
      <c r="I4144" s="43" t="n"/>
      <c r="J4144" s="57">
        <f>IF(OR(A4144="",H4144=""),"",IF(COUNTIFS(exp_year,C4144,exp_month,D4144,exp_item,E4144,exp_status,"&lt;&gt;❌ Отменено")&gt;0,1,0))</f>
        <v/>
      </c>
    </row>
    <row r="4145">
      <c r="A4145" s="52" t="n"/>
      <c r="B4145" s="53">
        <f>IF(A4145="","",CHOOSE(WEEKDAY(A4145,2),"Пн","Вт","Ср","Чт","Пт","Сб","Вс"))</f>
        <v/>
      </c>
      <c r="C4145" s="53">
        <f>IF(A4145="","",YEAR(A4145))</f>
        <v/>
      </c>
      <c r="D4145" s="54">
        <f>IF(A4145="","",INDEX(lst_months,MONTH(A4145)))</f>
        <v/>
      </c>
      <c r="E4145" s="55" t="n"/>
      <c r="F4145" s="54">
        <f>IF(E4145="","",IFERROR(IF(INDEX(lst_exp_item_cat,MATCH(E4145,lst_exp_items,0))="","❔ Без категории",INDEX(lst_exp_item_cat,MATCH(E4145,lst_exp_items,0))),"❔ Без категории"))</f>
        <v/>
      </c>
      <c r="G4145" s="43" t="n"/>
      <c r="H4145" s="56" t="n"/>
      <c r="I4145" s="43" t="n"/>
      <c r="J4145" s="57">
        <f>IF(OR(A4145="",H4145=""),"",IF(COUNTIFS(exp_year,C4145,exp_month,D4145,exp_item,E4145,exp_status,"&lt;&gt;❌ Отменено")&gt;0,1,0))</f>
        <v/>
      </c>
    </row>
    <row r="4146">
      <c r="A4146" s="52" t="n"/>
      <c r="B4146" s="53">
        <f>IF(A4146="","",CHOOSE(WEEKDAY(A4146,2),"Пн","Вт","Ср","Чт","Пт","Сб","Вс"))</f>
        <v/>
      </c>
      <c r="C4146" s="53">
        <f>IF(A4146="","",YEAR(A4146))</f>
        <v/>
      </c>
      <c r="D4146" s="54">
        <f>IF(A4146="","",INDEX(lst_months,MONTH(A4146)))</f>
        <v/>
      </c>
      <c r="E4146" s="55" t="n"/>
      <c r="F4146" s="54">
        <f>IF(E4146="","",IFERROR(IF(INDEX(lst_exp_item_cat,MATCH(E4146,lst_exp_items,0))="","❔ Без категории",INDEX(lst_exp_item_cat,MATCH(E4146,lst_exp_items,0))),"❔ Без категории"))</f>
        <v/>
      </c>
      <c r="G4146" s="43" t="n"/>
      <c r="H4146" s="56" t="n"/>
      <c r="I4146" s="43" t="n"/>
      <c r="J4146" s="57">
        <f>IF(OR(A4146="",H4146=""),"",IF(COUNTIFS(exp_year,C4146,exp_month,D4146,exp_item,E4146,exp_status,"&lt;&gt;❌ Отменено")&gt;0,1,0))</f>
        <v/>
      </c>
    </row>
    <row r="4147">
      <c r="A4147" s="52" t="n"/>
      <c r="B4147" s="53">
        <f>IF(A4147="","",CHOOSE(WEEKDAY(A4147,2),"Пн","Вт","Ср","Чт","Пт","Сб","Вс"))</f>
        <v/>
      </c>
      <c r="C4147" s="53">
        <f>IF(A4147="","",YEAR(A4147))</f>
        <v/>
      </c>
      <c r="D4147" s="54">
        <f>IF(A4147="","",INDEX(lst_months,MONTH(A4147)))</f>
        <v/>
      </c>
      <c r="E4147" s="55" t="n"/>
      <c r="F4147" s="54">
        <f>IF(E4147="","",IFERROR(IF(INDEX(lst_exp_item_cat,MATCH(E4147,lst_exp_items,0))="","❔ Без категории",INDEX(lst_exp_item_cat,MATCH(E4147,lst_exp_items,0))),"❔ Без категории"))</f>
        <v/>
      </c>
      <c r="G4147" s="43" t="n"/>
      <c r="H4147" s="56" t="n"/>
      <c r="I4147" s="43" t="n"/>
      <c r="J4147" s="57">
        <f>IF(OR(A4147="",H4147=""),"",IF(COUNTIFS(exp_year,C4147,exp_month,D4147,exp_item,E4147,exp_status,"&lt;&gt;❌ Отменено")&gt;0,1,0))</f>
        <v/>
      </c>
    </row>
    <row r="4148">
      <c r="A4148" s="52" t="n"/>
      <c r="B4148" s="53">
        <f>IF(A4148="","",CHOOSE(WEEKDAY(A4148,2),"Пн","Вт","Ср","Чт","Пт","Сб","Вс"))</f>
        <v/>
      </c>
      <c r="C4148" s="53">
        <f>IF(A4148="","",YEAR(A4148))</f>
        <v/>
      </c>
      <c r="D4148" s="54">
        <f>IF(A4148="","",INDEX(lst_months,MONTH(A4148)))</f>
        <v/>
      </c>
      <c r="E4148" s="55" t="n"/>
      <c r="F4148" s="54">
        <f>IF(E4148="","",IFERROR(IF(INDEX(lst_exp_item_cat,MATCH(E4148,lst_exp_items,0))="","❔ Без категории",INDEX(lst_exp_item_cat,MATCH(E4148,lst_exp_items,0))),"❔ Без категории"))</f>
        <v/>
      </c>
      <c r="G4148" s="43" t="n"/>
      <c r="H4148" s="56" t="n"/>
      <c r="I4148" s="43" t="n"/>
      <c r="J4148" s="57">
        <f>IF(OR(A4148="",H4148=""),"",IF(COUNTIFS(exp_year,C4148,exp_month,D4148,exp_item,E4148,exp_status,"&lt;&gt;❌ Отменено")&gt;0,1,0))</f>
        <v/>
      </c>
    </row>
    <row r="4149">
      <c r="A4149" s="52" t="n"/>
      <c r="B4149" s="53">
        <f>IF(A4149="","",CHOOSE(WEEKDAY(A4149,2),"Пн","Вт","Ср","Чт","Пт","Сб","Вс"))</f>
        <v/>
      </c>
      <c r="C4149" s="53">
        <f>IF(A4149="","",YEAR(A4149))</f>
        <v/>
      </c>
      <c r="D4149" s="54">
        <f>IF(A4149="","",INDEX(lst_months,MONTH(A4149)))</f>
        <v/>
      </c>
      <c r="E4149" s="55" t="n"/>
      <c r="F4149" s="54">
        <f>IF(E4149="","",IFERROR(IF(INDEX(lst_exp_item_cat,MATCH(E4149,lst_exp_items,0))="","❔ Без категории",INDEX(lst_exp_item_cat,MATCH(E4149,lst_exp_items,0))),"❔ Без категории"))</f>
        <v/>
      </c>
      <c r="G4149" s="43" t="n"/>
      <c r="H4149" s="56" t="n"/>
      <c r="I4149" s="43" t="n"/>
      <c r="J4149" s="57">
        <f>IF(OR(A4149="",H4149=""),"",IF(COUNTIFS(exp_year,C4149,exp_month,D4149,exp_item,E4149,exp_status,"&lt;&gt;❌ Отменено")&gt;0,1,0))</f>
        <v/>
      </c>
    </row>
    <row r="4150">
      <c r="A4150" s="52" t="n"/>
      <c r="B4150" s="53">
        <f>IF(A4150="","",CHOOSE(WEEKDAY(A4150,2),"Пн","Вт","Ср","Чт","Пт","Сб","Вс"))</f>
        <v/>
      </c>
      <c r="C4150" s="53">
        <f>IF(A4150="","",YEAR(A4150))</f>
        <v/>
      </c>
      <c r="D4150" s="54">
        <f>IF(A4150="","",INDEX(lst_months,MONTH(A4150)))</f>
        <v/>
      </c>
      <c r="E4150" s="55" t="n"/>
      <c r="F4150" s="54">
        <f>IF(E4150="","",IFERROR(IF(INDEX(lst_exp_item_cat,MATCH(E4150,lst_exp_items,0))="","❔ Без категории",INDEX(lst_exp_item_cat,MATCH(E4150,lst_exp_items,0))),"❔ Без категории"))</f>
        <v/>
      </c>
      <c r="G4150" s="43" t="n"/>
      <c r="H4150" s="56" t="n"/>
      <c r="I4150" s="43" t="n"/>
      <c r="J4150" s="57">
        <f>IF(OR(A4150="",H4150=""),"",IF(COUNTIFS(exp_year,C4150,exp_month,D4150,exp_item,E4150,exp_status,"&lt;&gt;❌ Отменено")&gt;0,1,0))</f>
        <v/>
      </c>
    </row>
    <row r="4151">
      <c r="A4151" s="52" t="n"/>
      <c r="B4151" s="53">
        <f>IF(A4151="","",CHOOSE(WEEKDAY(A4151,2),"Пн","Вт","Ср","Чт","Пт","Сб","Вс"))</f>
        <v/>
      </c>
      <c r="C4151" s="53">
        <f>IF(A4151="","",YEAR(A4151))</f>
        <v/>
      </c>
      <c r="D4151" s="54">
        <f>IF(A4151="","",INDEX(lst_months,MONTH(A4151)))</f>
        <v/>
      </c>
      <c r="E4151" s="55" t="n"/>
      <c r="F4151" s="54">
        <f>IF(E4151="","",IFERROR(IF(INDEX(lst_exp_item_cat,MATCH(E4151,lst_exp_items,0))="","❔ Без категории",INDEX(lst_exp_item_cat,MATCH(E4151,lst_exp_items,0))),"❔ Без категории"))</f>
        <v/>
      </c>
      <c r="G4151" s="43" t="n"/>
      <c r="H4151" s="56" t="n"/>
      <c r="I4151" s="43" t="n"/>
      <c r="J4151" s="57">
        <f>IF(OR(A4151="",H4151=""),"",IF(COUNTIFS(exp_year,C4151,exp_month,D4151,exp_item,E4151,exp_status,"&lt;&gt;❌ Отменено")&gt;0,1,0))</f>
        <v/>
      </c>
    </row>
    <row r="4152">
      <c r="A4152" s="52" t="n"/>
      <c r="B4152" s="53">
        <f>IF(A4152="","",CHOOSE(WEEKDAY(A4152,2),"Пн","Вт","Ср","Чт","Пт","Сб","Вс"))</f>
        <v/>
      </c>
      <c r="C4152" s="53">
        <f>IF(A4152="","",YEAR(A4152))</f>
        <v/>
      </c>
      <c r="D4152" s="54">
        <f>IF(A4152="","",INDEX(lst_months,MONTH(A4152)))</f>
        <v/>
      </c>
      <c r="E4152" s="55" t="n"/>
      <c r="F4152" s="54">
        <f>IF(E4152="","",IFERROR(IF(INDEX(lst_exp_item_cat,MATCH(E4152,lst_exp_items,0))="","❔ Без категории",INDEX(lst_exp_item_cat,MATCH(E4152,lst_exp_items,0))),"❔ Без категории"))</f>
        <v/>
      </c>
      <c r="G4152" s="43" t="n"/>
      <c r="H4152" s="56" t="n"/>
      <c r="I4152" s="43" t="n"/>
      <c r="J4152" s="57">
        <f>IF(OR(A4152="",H4152=""),"",IF(COUNTIFS(exp_year,C4152,exp_month,D4152,exp_item,E4152,exp_status,"&lt;&gt;❌ Отменено")&gt;0,1,0))</f>
        <v/>
      </c>
    </row>
    <row r="4153">
      <c r="A4153" s="52" t="n"/>
      <c r="B4153" s="53">
        <f>IF(A4153="","",CHOOSE(WEEKDAY(A4153,2),"Пн","Вт","Ср","Чт","Пт","Сб","Вс"))</f>
        <v/>
      </c>
      <c r="C4153" s="53">
        <f>IF(A4153="","",YEAR(A4153))</f>
        <v/>
      </c>
      <c r="D4153" s="54">
        <f>IF(A4153="","",INDEX(lst_months,MONTH(A4153)))</f>
        <v/>
      </c>
      <c r="E4153" s="55" t="n"/>
      <c r="F4153" s="54">
        <f>IF(E4153="","",IFERROR(IF(INDEX(lst_exp_item_cat,MATCH(E4153,lst_exp_items,0))="","❔ Без категории",INDEX(lst_exp_item_cat,MATCH(E4153,lst_exp_items,0))),"❔ Без категории"))</f>
        <v/>
      </c>
      <c r="G4153" s="43" t="n"/>
      <c r="H4153" s="56" t="n"/>
      <c r="I4153" s="43" t="n"/>
      <c r="J4153" s="57">
        <f>IF(OR(A4153="",H4153=""),"",IF(COUNTIFS(exp_year,C4153,exp_month,D4153,exp_item,E4153,exp_status,"&lt;&gt;❌ Отменено")&gt;0,1,0))</f>
        <v/>
      </c>
    </row>
    <row r="4154">
      <c r="A4154" s="52" t="n"/>
      <c r="B4154" s="53">
        <f>IF(A4154="","",CHOOSE(WEEKDAY(A4154,2),"Пн","Вт","Ср","Чт","Пт","Сб","Вс"))</f>
        <v/>
      </c>
      <c r="C4154" s="53">
        <f>IF(A4154="","",YEAR(A4154))</f>
        <v/>
      </c>
      <c r="D4154" s="54">
        <f>IF(A4154="","",INDEX(lst_months,MONTH(A4154)))</f>
        <v/>
      </c>
      <c r="E4154" s="55" t="n"/>
      <c r="F4154" s="54">
        <f>IF(E4154="","",IFERROR(IF(INDEX(lst_exp_item_cat,MATCH(E4154,lst_exp_items,0))="","❔ Без категории",INDEX(lst_exp_item_cat,MATCH(E4154,lst_exp_items,0))),"❔ Без категории"))</f>
        <v/>
      </c>
      <c r="G4154" s="43" t="n"/>
      <c r="H4154" s="56" t="n"/>
      <c r="I4154" s="43" t="n"/>
      <c r="J4154" s="57">
        <f>IF(OR(A4154="",H4154=""),"",IF(COUNTIFS(exp_year,C4154,exp_month,D4154,exp_item,E4154,exp_status,"&lt;&gt;❌ Отменено")&gt;0,1,0))</f>
        <v/>
      </c>
    </row>
    <row r="4155">
      <c r="A4155" s="52" t="n"/>
      <c r="B4155" s="53">
        <f>IF(A4155="","",CHOOSE(WEEKDAY(A4155,2),"Пн","Вт","Ср","Чт","Пт","Сб","Вс"))</f>
        <v/>
      </c>
      <c r="C4155" s="53">
        <f>IF(A4155="","",YEAR(A4155))</f>
        <v/>
      </c>
      <c r="D4155" s="54">
        <f>IF(A4155="","",INDEX(lst_months,MONTH(A4155)))</f>
        <v/>
      </c>
      <c r="E4155" s="55" t="n"/>
      <c r="F4155" s="54">
        <f>IF(E4155="","",IFERROR(IF(INDEX(lst_exp_item_cat,MATCH(E4155,lst_exp_items,0))="","❔ Без категории",INDEX(lst_exp_item_cat,MATCH(E4155,lst_exp_items,0))),"❔ Без категории"))</f>
        <v/>
      </c>
      <c r="G4155" s="43" t="n"/>
      <c r="H4155" s="56" t="n"/>
      <c r="I4155" s="43" t="n"/>
      <c r="J4155" s="57">
        <f>IF(OR(A4155="",H4155=""),"",IF(COUNTIFS(exp_year,C4155,exp_month,D4155,exp_item,E4155,exp_status,"&lt;&gt;❌ Отменено")&gt;0,1,0))</f>
        <v/>
      </c>
    </row>
    <row r="4156">
      <c r="A4156" s="52" t="n"/>
      <c r="B4156" s="53">
        <f>IF(A4156="","",CHOOSE(WEEKDAY(A4156,2),"Пн","Вт","Ср","Чт","Пт","Сб","Вс"))</f>
        <v/>
      </c>
      <c r="C4156" s="53">
        <f>IF(A4156="","",YEAR(A4156))</f>
        <v/>
      </c>
      <c r="D4156" s="54">
        <f>IF(A4156="","",INDEX(lst_months,MONTH(A4156)))</f>
        <v/>
      </c>
      <c r="E4156" s="55" t="n"/>
      <c r="F4156" s="54">
        <f>IF(E4156="","",IFERROR(IF(INDEX(lst_exp_item_cat,MATCH(E4156,lst_exp_items,0))="","❔ Без категории",INDEX(lst_exp_item_cat,MATCH(E4156,lst_exp_items,0))),"❔ Без категории"))</f>
        <v/>
      </c>
      <c r="G4156" s="43" t="n"/>
      <c r="H4156" s="56" t="n"/>
      <c r="I4156" s="43" t="n"/>
      <c r="J4156" s="57">
        <f>IF(OR(A4156="",H4156=""),"",IF(COUNTIFS(exp_year,C4156,exp_month,D4156,exp_item,E4156,exp_status,"&lt;&gt;❌ Отменено")&gt;0,1,0))</f>
        <v/>
      </c>
    </row>
    <row r="4157">
      <c r="A4157" s="52" t="n"/>
      <c r="B4157" s="53">
        <f>IF(A4157="","",CHOOSE(WEEKDAY(A4157,2),"Пн","Вт","Ср","Чт","Пт","Сб","Вс"))</f>
        <v/>
      </c>
      <c r="C4157" s="53">
        <f>IF(A4157="","",YEAR(A4157))</f>
        <v/>
      </c>
      <c r="D4157" s="54">
        <f>IF(A4157="","",INDEX(lst_months,MONTH(A4157)))</f>
        <v/>
      </c>
      <c r="E4157" s="55" t="n"/>
      <c r="F4157" s="54">
        <f>IF(E4157="","",IFERROR(IF(INDEX(lst_exp_item_cat,MATCH(E4157,lst_exp_items,0))="","❔ Без категории",INDEX(lst_exp_item_cat,MATCH(E4157,lst_exp_items,0))),"❔ Без категории"))</f>
        <v/>
      </c>
      <c r="G4157" s="43" t="n"/>
      <c r="H4157" s="56" t="n"/>
      <c r="I4157" s="43" t="n"/>
      <c r="J4157" s="57">
        <f>IF(OR(A4157="",H4157=""),"",IF(COUNTIFS(exp_year,C4157,exp_month,D4157,exp_item,E4157,exp_status,"&lt;&gt;❌ Отменено")&gt;0,1,0))</f>
        <v/>
      </c>
    </row>
    <row r="4158">
      <c r="A4158" s="52" t="n"/>
      <c r="B4158" s="53">
        <f>IF(A4158="","",CHOOSE(WEEKDAY(A4158,2),"Пн","Вт","Ср","Чт","Пт","Сб","Вс"))</f>
        <v/>
      </c>
      <c r="C4158" s="53">
        <f>IF(A4158="","",YEAR(A4158))</f>
        <v/>
      </c>
      <c r="D4158" s="54">
        <f>IF(A4158="","",INDEX(lst_months,MONTH(A4158)))</f>
        <v/>
      </c>
      <c r="E4158" s="55" t="n"/>
      <c r="F4158" s="54">
        <f>IF(E4158="","",IFERROR(IF(INDEX(lst_exp_item_cat,MATCH(E4158,lst_exp_items,0))="","❔ Без категории",INDEX(lst_exp_item_cat,MATCH(E4158,lst_exp_items,0))),"❔ Без категории"))</f>
        <v/>
      </c>
      <c r="G4158" s="43" t="n"/>
      <c r="H4158" s="56" t="n"/>
      <c r="I4158" s="43" t="n"/>
      <c r="J4158" s="57">
        <f>IF(OR(A4158="",H4158=""),"",IF(COUNTIFS(exp_year,C4158,exp_month,D4158,exp_item,E4158,exp_status,"&lt;&gt;❌ Отменено")&gt;0,1,0))</f>
        <v/>
      </c>
    </row>
    <row r="4159">
      <c r="A4159" s="52" t="n"/>
      <c r="B4159" s="53">
        <f>IF(A4159="","",CHOOSE(WEEKDAY(A4159,2),"Пн","Вт","Ср","Чт","Пт","Сб","Вс"))</f>
        <v/>
      </c>
      <c r="C4159" s="53">
        <f>IF(A4159="","",YEAR(A4159))</f>
        <v/>
      </c>
      <c r="D4159" s="54">
        <f>IF(A4159="","",INDEX(lst_months,MONTH(A4159)))</f>
        <v/>
      </c>
      <c r="E4159" s="55" t="n"/>
      <c r="F4159" s="54">
        <f>IF(E4159="","",IFERROR(IF(INDEX(lst_exp_item_cat,MATCH(E4159,lst_exp_items,0))="","❔ Без категории",INDEX(lst_exp_item_cat,MATCH(E4159,lst_exp_items,0))),"❔ Без категории"))</f>
        <v/>
      </c>
      <c r="G4159" s="43" t="n"/>
      <c r="H4159" s="56" t="n"/>
      <c r="I4159" s="43" t="n"/>
      <c r="J4159" s="57">
        <f>IF(OR(A4159="",H4159=""),"",IF(COUNTIFS(exp_year,C4159,exp_month,D4159,exp_item,E4159,exp_status,"&lt;&gt;❌ Отменено")&gt;0,1,0))</f>
        <v/>
      </c>
    </row>
    <row r="4160">
      <c r="A4160" s="52" t="n"/>
      <c r="B4160" s="53">
        <f>IF(A4160="","",CHOOSE(WEEKDAY(A4160,2),"Пн","Вт","Ср","Чт","Пт","Сб","Вс"))</f>
        <v/>
      </c>
      <c r="C4160" s="53">
        <f>IF(A4160="","",YEAR(A4160))</f>
        <v/>
      </c>
      <c r="D4160" s="54">
        <f>IF(A4160="","",INDEX(lst_months,MONTH(A4160)))</f>
        <v/>
      </c>
      <c r="E4160" s="55" t="n"/>
      <c r="F4160" s="54">
        <f>IF(E4160="","",IFERROR(IF(INDEX(lst_exp_item_cat,MATCH(E4160,lst_exp_items,0))="","❔ Без категории",INDEX(lst_exp_item_cat,MATCH(E4160,lst_exp_items,0))),"❔ Без категории"))</f>
        <v/>
      </c>
      <c r="G4160" s="43" t="n"/>
      <c r="H4160" s="56" t="n"/>
      <c r="I4160" s="43" t="n"/>
      <c r="J4160" s="57">
        <f>IF(OR(A4160="",H4160=""),"",IF(COUNTIFS(exp_year,C4160,exp_month,D4160,exp_item,E4160,exp_status,"&lt;&gt;❌ Отменено")&gt;0,1,0))</f>
        <v/>
      </c>
    </row>
    <row r="4161">
      <c r="A4161" s="52" t="n"/>
      <c r="B4161" s="53">
        <f>IF(A4161="","",CHOOSE(WEEKDAY(A4161,2),"Пн","Вт","Ср","Чт","Пт","Сб","Вс"))</f>
        <v/>
      </c>
      <c r="C4161" s="53">
        <f>IF(A4161="","",YEAR(A4161))</f>
        <v/>
      </c>
      <c r="D4161" s="54">
        <f>IF(A4161="","",INDEX(lst_months,MONTH(A4161)))</f>
        <v/>
      </c>
      <c r="E4161" s="55" t="n"/>
      <c r="F4161" s="54">
        <f>IF(E4161="","",IFERROR(IF(INDEX(lst_exp_item_cat,MATCH(E4161,lst_exp_items,0))="","❔ Без категории",INDEX(lst_exp_item_cat,MATCH(E4161,lst_exp_items,0))),"❔ Без категории"))</f>
        <v/>
      </c>
      <c r="G4161" s="43" t="n"/>
      <c r="H4161" s="56" t="n"/>
      <c r="I4161" s="43" t="n"/>
      <c r="J4161" s="57">
        <f>IF(OR(A4161="",H4161=""),"",IF(COUNTIFS(exp_year,C4161,exp_month,D4161,exp_item,E4161,exp_status,"&lt;&gt;❌ Отменено")&gt;0,1,0))</f>
        <v/>
      </c>
    </row>
    <row r="4162">
      <c r="A4162" s="52" t="n"/>
      <c r="B4162" s="53">
        <f>IF(A4162="","",CHOOSE(WEEKDAY(A4162,2),"Пн","Вт","Ср","Чт","Пт","Сб","Вс"))</f>
        <v/>
      </c>
      <c r="C4162" s="53">
        <f>IF(A4162="","",YEAR(A4162))</f>
        <v/>
      </c>
      <c r="D4162" s="54">
        <f>IF(A4162="","",INDEX(lst_months,MONTH(A4162)))</f>
        <v/>
      </c>
      <c r="E4162" s="55" t="n"/>
      <c r="F4162" s="54">
        <f>IF(E4162="","",IFERROR(IF(INDEX(lst_exp_item_cat,MATCH(E4162,lst_exp_items,0))="","❔ Без категории",INDEX(lst_exp_item_cat,MATCH(E4162,lst_exp_items,0))),"❔ Без категории"))</f>
        <v/>
      </c>
      <c r="G4162" s="43" t="n"/>
      <c r="H4162" s="56" t="n"/>
      <c r="I4162" s="43" t="n"/>
      <c r="J4162" s="57">
        <f>IF(OR(A4162="",H4162=""),"",IF(COUNTIFS(exp_year,C4162,exp_month,D4162,exp_item,E4162,exp_status,"&lt;&gt;❌ Отменено")&gt;0,1,0))</f>
        <v/>
      </c>
    </row>
    <row r="4163">
      <c r="A4163" s="52" t="n"/>
      <c r="B4163" s="53">
        <f>IF(A4163="","",CHOOSE(WEEKDAY(A4163,2),"Пн","Вт","Ср","Чт","Пт","Сб","Вс"))</f>
        <v/>
      </c>
      <c r="C4163" s="53">
        <f>IF(A4163="","",YEAR(A4163))</f>
        <v/>
      </c>
      <c r="D4163" s="54">
        <f>IF(A4163="","",INDEX(lst_months,MONTH(A4163)))</f>
        <v/>
      </c>
      <c r="E4163" s="55" t="n"/>
      <c r="F4163" s="54">
        <f>IF(E4163="","",IFERROR(IF(INDEX(lst_exp_item_cat,MATCH(E4163,lst_exp_items,0))="","❔ Без категории",INDEX(lst_exp_item_cat,MATCH(E4163,lst_exp_items,0))),"❔ Без категории"))</f>
        <v/>
      </c>
      <c r="G4163" s="43" t="n"/>
      <c r="H4163" s="56" t="n"/>
      <c r="I4163" s="43" t="n"/>
      <c r="J4163" s="57">
        <f>IF(OR(A4163="",H4163=""),"",IF(COUNTIFS(exp_year,C4163,exp_month,D4163,exp_item,E4163,exp_status,"&lt;&gt;❌ Отменено")&gt;0,1,0))</f>
        <v/>
      </c>
    </row>
    <row r="4164">
      <c r="A4164" s="52" t="n"/>
      <c r="B4164" s="53">
        <f>IF(A4164="","",CHOOSE(WEEKDAY(A4164,2),"Пн","Вт","Ср","Чт","Пт","Сб","Вс"))</f>
        <v/>
      </c>
      <c r="C4164" s="53">
        <f>IF(A4164="","",YEAR(A4164))</f>
        <v/>
      </c>
      <c r="D4164" s="54">
        <f>IF(A4164="","",INDEX(lst_months,MONTH(A4164)))</f>
        <v/>
      </c>
      <c r="E4164" s="55" t="n"/>
      <c r="F4164" s="54">
        <f>IF(E4164="","",IFERROR(IF(INDEX(lst_exp_item_cat,MATCH(E4164,lst_exp_items,0))="","❔ Без категории",INDEX(lst_exp_item_cat,MATCH(E4164,lst_exp_items,0))),"❔ Без категории"))</f>
        <v/>
      </c>
      <c r="G4164" s="43" t="n"/>
      <c r="H4164" s="56" t="n"/>
      <c r="I4164" s="43" t="n"/>
      <c r="J4164" s="57">
        <f>IF(OR(A4164="",H4164=""),"",IF(COUNTIFS(exp_year,C4164,exp_month,D4164,exp_item,E4164,exp_status,"&lt;&gt;❌ Отменено")&gt;0,1,0))</f>
        <v/>
      </c>
    </row>
    <row r="4165">
      <c r="A4165" s="52" t="n"/>
      <c r="B4165" s="53">
        <f>IF(A4165="","",CHOOSE(WEEKDAY(A4165,2),"Пн","Вт","Ср","Чт","Пт","Сб","Вс"))</f>
        <v/>
      </c>
      <c r="C4165" s="53">
        <f>IF(A4165="","",YEAR(A4165))</f>
        <v/>
      </c>
      <c r="D4165" s="54">
        <f>IF(A4165="","",INDEX(lst_months,MONTH(A4165)))</f>
        <v/>
      </c>
      <c r="E4165" s="55" t="n"/>
      <c r="F4165" s="54">
        <f>IF(E4165="","",IFERROR(IF(INDEX(lst_exp_item_cat,MATCH(E4165,lst_exp_items,0))="","❔ Без категории",INDEX(lst_exp_item_cat,MATCH(E4165,lst_exp_items,0))),"❔ Без категории"))</f>
        <v/>
      </c>
      <c r="G4165" s="43" t="n"/>
      <c r="H4165" s="56" t="n"/>
      <c r="I4165" s="43" t="n"/>
      <c r="J4165" s="57">
        <f>IF(OR(A4165="",H4165=""),"",IF(COUNTIFS(exp_year,C4165,exp_month,D4165,exp_item,E4165,exp_status,"&lt;&gt;❌ Отменено")&gt;0,1,0))</f>
        <v/>
      </c>
    </row>
    <row r="4166">
      <c r="A4166" s="52" t="n"/>
      <c r="B4166" s="53">
        <f>IF(A4166="","",CHOOSE(WEEKDAY(A4166,2),"Пн","Вт","Ср","Чт","Пт","Сб","Вс"))</f>
        <v/>
      </c>
      <c r="C4166" s="53">
        <f>IF(A4166="","",YEAR(A4166))</f>
        <v/>
      </c>
      <c r="D4166" s="54">
        <f>IF(A4166="","",INDEX(lst_months,MONTH(A4166)))</f>
        <v/>
      </c>
      <c r="E4166" s="55" t="n"/>
      <c r="F4166" s="54">
        <f>IF(E4166="","",IFERROR(IF(INDEX(lst_exp_item_cat,MATCH(E4166,lst_exp_items,0))="","❔ Без категории",INDEX(lst_exp_item_cat,MATCH(E4166,lst_exp_items,0))),"❔ Без категории"))</f>
        <v/>
      </c>
      <c r="G4166" s="43" t="n"/>
      <c r="H4166" s="56" t="n"/>
      <c r="I4166" s="43" t="n"/>
      <c r="J4166" s="57">
        <f>IF(OR(A4166="",H4166=""),"",IF(COUNTIFS(exp_year,C4166,exp_month,D4166,exp_item,E4166,exp_status,"&lt;&gt;❌ Отменено")&gt;0,1,0))</f>
        <v/>
      </c>
    </row>
    <row r="4167">
      <c r="A4167" s="52" t="n"/>
      <c r="B4167" s="53">
        <f>IF(A4167="","",CHOOSE(WEEKDAY(A4167,2),"Пн","Вт","Ср","Чт","Пт","Сб","Вс"))</f>
        <v/>
      </c>
      <c r="C4167" s="53">
        <f>IF(A4167="","",YEAR(A4167))</f>
        <v/>
      </c>
      <c r="D4167" s="54">
        <f>IF(A4167="","",INDEX(lst_months,MONTH(A4167)))</f>
        <v/>
      </c>
      <c r="E4167" s="55" t="n"/>
      <c r="F4167" s="54">
        <f>IF(E4167="","",IFERROR(IF(INDEX(lst_exp_item_cat,MATCH(E4167,lst_exp_items,0))="","❔ Без категории",INDEX(lst_exp_item_cat,MATCH(E4167,lst_exp_items,0))),"❔ Без категории"))</f>
        <v/>
      </c>
      <c r="G4167" s="43" t="n"/>
      <c r="H4167" s="56" t="n"/>
      <c r="I4167" s="43" t="n"/>
      <c r="J4167" s="57">
        <f>IF(OR(A4167="",H4167=""),"",IF(COUNTIFS(exp_year,C4167,exp_month,D4167,exp_item,E4167,exp_status,"&lt;&gt;❌ Отменено")&gt;0,1,0))</f>
        <v/>
      </c>
    </row>
    <row r="4168">
      <c r="A4168" s="52" t="n"/>
      <c r="B4168" s="53">
        <f>IF(A4168="","",CHOOSE(WEEKDAY(A4168,2),"Пн","Вт","Ср","Чт","Пт","Сб","Вс"))</f>
        <v/>
      </c>
      <c r="C4168" s="53">
        <f>IF(A4168="","",YEAR(A4168))</f>
        <v/>
      </c>
      <c r="D4168" s="54">
        <f>IF(A4168="","",INDEX(lst_months,MONTH(A4168)))</f>
        <v/>
      </c>
      <c r="E4168" s="55" t="n"/>
      <c r="F4168" s="54">
        <f>IF(E4168="","",IFERROR(IF(INDEX(lst_exp_item_cat,MATCH(E4168,lst_exp_items,0))="","❔ Без категории",INDEX(lst_exp_item_cat,MATCH(E4168,lst_exp_items,0))),"❔ Без категории"))</f>
        <v/>
      </c>
      <c r="G4168" s="43" t="n"/>
      <c r="H4168" s="56" t="n"/>
      <c r="I4168" s="43" t="n"/>
      <c r="J4168" s="57">
        <f>IF(OR(A4168="",H4168=""),"",IF(COUNTIFS(exp_year,C4168,exp_month,D4168,exp_item,E4168,exp_status,"&lt;&gt;❌ Отменено")&gt;0,1,0))</f>
        <v/>
      </c>
    </row>
    <row r="4169">
      <c r="A4169" s="52" t="n"/>
      <c r="B4169" s="53">
        <f>IF(A4169="","",CHOOSE(WEEKDAY(A4169,2),"Пн","Вт","Ср","Чт","Пт","Сб","Вс"))</f>
        <v/>
      </c>
      <c r="C4169" s="53">
        <f>IF(A4169="","",YEAR(A4169))</f>
        <v/>
      </c>
      <c r="D4169" s="54">
        <f>IF(A4169="","",INDEX(lst_months,MONTH(A4169)))</f>
        <v/>
      </c>
      <c r="E4169" s="55" t="n"/>
      <c r="F4169" s="54">
        <f>IF(E4169="","",IFERROR(IF(INDEX(lst_exp_item_cat,MATCH(E4169,lst_exp_items,0))="","❔ Без категории",INDEX(lst_exp_item_cat,MATCH(E4169,lst_exp_items,0))),"❔ Без категории"))</f>
        <v/>
      </c>
      <c r="G4169" s="43" t="n"/>
      <c r="H4169" s="56" t="n"/>
      <c r="I4169" s="43" t="n"/>
      <c r="J4169" s="57">
        <f>IF(OR(A4169="",H4169=""),"",IF(COUNTIFS(exp_year,C4169,exp_month,D4169,exp_item,E4169,exp_status,"&lt;&gt;❌ Отменено")&gt;0,1,0))</f>
        <v/>
      </c>
    </row>
    <row r="4170">
      <c r="A4170" s="52" t="n"/>
      <c r="B4170" s="53">
        <f>IF(A4170="","",CHOOSE(WEEKDAY(A4170,2),"Пн","Вт","Ср","Чт","Пт","Сб","Вс"))</f>
        <v/>
      </c>
      <c r="C4170" s="53">
        <f>IF(A4170="","",YEAR(A4170))</f>
        <v/>
      </c>
      <c r="D4170" s="54">
        <f>IF(A4170="","",INDEX(lst_months,MONTH(A4170)))</f>
        <v/>
      </c>
      <c r="E4170" s="55" t="n"/>
      <c r="F4170" s="54">
        <f>IF(E4170="","",IFERROR(IF(INDEX(lst_exp_item_cat,MATCH(E4170,lst_exp_items,0))="","❔ Без категории",INDEX(lst_exp_item_cat,MATCH(E4170,lst_exp_items,0))),"❔ Без категории"))</f>
        <v/>
      </c>
      <c r="G4170" s="43" t="n"/>
      <c r="H4170" s="56" t="n"/>
      <c r="I4170" s="43" t="n"/>
      <c r="J4170" s="57">
        <f>IF(OR(A4170="",H4170=""),"",IF(COUNTIFS(exp_year,C4170,exp_month,D4170,exp_item,E4170,exp_status,"&lt;&gt;❌ Отменено")&gt;0,1,0))</f>
        <v/>
      </c>
    </row>
    <row r="4171">
      <c r="A4171" s="52" t="n"/>
      <c r="B4171" s="53">
        <f>IF(A4171="","",CHOOSE(WEEKDAY(A4171,2),"Пн","Вт","Ср","Чт","Пт","Сб","Вс"))</f>
        <v/>
      </c>
      <c r="C4171" s="53">
        <f>IF(A4171="","",YEAR(A4171))</f>
        <v/>
      </c>
      <c r="D4171" s="54">
        <f>IF(A4171="","",INDEX(lst_months,MONTH(A4171)))</f>
        <v/>
      </c>
      <c r="E4171" s="55" t="n"/>
      <c r="F4171" s="54">
        <f>IF(E4171="","",IFERROR(IF(INDEX(lst_exp_item_cat,MATCH(E4171,lst_exp_items,0))="","❔ Без категории",INDEX(lst_exp_item_cat,MATCH(E4171,lst_exp_items,0))),"❔ Без категории"))</f>
        <v/>
      </c>
      <c r="G4171" s="43" t="n"/>
      <c r="H4171" s="56" t="n"/>
      <c r="I4171" s="43" t="n"/>
      <c r="J4171" s="57">
        <f>IF(OR(A4171="",H4171=""),"",IF(COUNTIFS(exp_year,C4171,exp_month,D4171,exp_item,E4171,exp_status,"&lt;&gt;❌ Отменено")&gt;0,1,0))</f>
        <v/>
      </c>
    </row>
    <row r="4172">
      <c r="A4172" s="52" t="n"/>
      <c r="B4172" s="53">
        <f>IF(A4172="","",CHOOSE(WEEKDAY(A4172,2),"Пн","Вт","Ср","Чт","Пт","Сб","Вс"))</f>
        <v/>
      </c>
      <c r="C4172" s="53">
        <f>IF(A4172="","",YEAR(A4172))</f>
        <v/>
      </c>
      <c r="D4172" s="54">
        <f>IF(A4172="","",INDEX(lst_months,MONTH(A4172)))</f>
        <v/>
      </c>
      <c r="E4172" s="55" t="n"/>
      <c r="F4172" s="54">
        <f>IF(E4172="","",IFERROR(IF(INDEX(lst_exp_item_cat,MATCH(E4172,lst_exp_items,0))="","❔ Без категории",INDEX(lst_exp_item_cat,MATCH(E4172,lst_exp_items,0))),"❔ Без категории"))</f>
        <v/>
      </c>
      <c r="G4172" s="43" t="n"/>
      <c r="H4172" s="56" t="n"/>
      <c r="I4172" s="43" t="n"/>
      <c r="J4172" s="57">
        <f>IF(OR(A4172="",H4172=""),"",IF(COUNTIFS(exp_year,C4172,exp_month,D4172,exp_item,E4172,exp_status,"&lt;&gt;❌ Отменено")&gt;0,1,0))</f>
        <v/>
      </c>
    </row>
    <row r="4173">
      <c r="A4173" s="52" t="n"/>
      <c r="B4173" s="53">
        <f>IF(A4173="","",CHOOSE(WEEKDAY(A4173,2),"Пн","Вт","Ср","Чт","Пт","Сб","Вс"))</f>
        <v/>
      </c>
      <c r="C4173" s="53">
        <f>IF(A4173="","",YEAR(A4173))</f>
        <v/>
      </c>
      <c r="D4173" s="54">
        <f>IF(A4173="","",INDEX(lst_months,MONTH(A4173)))</f>
        <v/>
      </c>
      <c r="E4173" s="55" t="n"/>
      <c r="F4173" s="54">
        <f>IF(E4173="","",IFERROR(IF(INDEX(lst_exp_item_cat,MATCH(E4173,lst_exp_items,0))="","❔ Без категории",INDEX(lst_exp_item_cat,MATCH(E4173,lst_exp_items,0))),"❔ Без категории"))</f>
        <v/>
      </c>
      <c r="G4173" s="43" t="n"/>
      <c r="H4173" s="56" t="n"/>
      <c r="I4173" s="43" t="n"/>
      <c r="J4173" s="57">
        <f>IF(OR(A4173="",H4173=""),"",IF(COUNTIFS(exp_year,C4173,exp_month,D4173,exp_item,E4173,exp_status,"&lt;&gt;❌ Отменено")&gt;0,1,0))</f>
        <v/>
      </c>
    </row>
    <row r="4174">
      <c r="A4174" s="52" t="n"/>
      <c r="B4174" s="53">
        <f>IF(A4174="","",CHOOSE(WEEKDAY(A4174,2),"Пн","Вт","Ср","Чт","Пт","Сб","Вс"))</f>
        <v/>
      </c>
      <c r="C4174" s="53">
        <f>IF(A4174="","",YEAR(A4174))</f>
        <v/>
      </c>
      <c r="D4174" s="54">
        <f>IF(A4174="","",INDEX(lst_months,MONTH(A4174)))</f>
        <v/>
      </c>
      <c r="E4174" s="55" t="n"/>
      <c r="F4174" s="54">
        <f>IF(E4174="","",IFERROR(IF(INDEX(lst_exp_item_cat,MATCH(E4174,lst_exp_items,0))="","❔ Без категории",INDEX(lst_exp_item_cat,MATCH(E4174,lst_exp_items,0))),"❔ Без категории"))</f>
        <v/>
      </c>
      <c r="G4174" s="43" t="n"/>
      <c r="H4174" s="56" t="n"/>
      <c r="I4174" s="43" t="n"/>
      <c r="J4174" s="57">
        <f>IF(OR(A4174="",H4174=""),"",IF(COUNTIFS(exp_year,C4174,exp_month,D4174,exp_item,E4174,exp_status,"&lt;&gt;❌ Отменено")&gt;0,1,0))</f>
        <v/>
      </c>
    </row>
    <row r="4175">
      <c r="A4175" s="52" t="n"/>
      <c r="B4175" s="53">
        <f>IF(A4175="","",CHOOSE(WEEKDAY(A4175,2),"Пн","Вт","Ср","Чт","Пт","Сб","Вс"))</f>
        <v/>
      </c>
      <c r="C4175" s="53">
        <f>IF(A4175="","",YEAR(A4175))</f>
        <v/>
      </c>
      <c r="D4175" s="54">
        <f>IF(A4175="","",INDEX(lst_months,MONTH(A4175)))</f>
        <v/>
      </c>
      <c r="E4175" s="55" t="n"/>
      <c r="F4175" s="54">
        <f>IF(E4175="","",IFERROR(IF(INDEX(lst_exp_item_cat,MATCH(E4175,lst_exp_items,0))="","❔ Без категории",INDEX(lst_exp_item_cat,MATCH(E4175,lst_exp_items,0))),"❔ Без категории"))</f>
        <v/>
      </c>
      <c r="G4175" s="43" t="n"/>
      <c r="H4175" s="56" t="n"/>
      <c r="I4175" s="43" t="n"/>
      <c r="J4175" s="57">
        <f>IF(OR(A4175="",H4175=""),"",IF(COUNTIFS(exp_year,C4175,exp_month,D4175,exp_item,E4175,exp_status,"&lt;&gt;❌ Отменено")&gt;0,1,0))</f>
        <v/>
      </c>
    </row>
    <row r="4176">
      <c r="A4176" s="52" t="n"/>
      <c r="B4176" s="53">
        <f>IF(A4176="","",CHOOSE(WEEKDAY(A4176,2),"Пн","Вт","Ср","Чт","Пт","Сб","Вс"))</f>
        <v/>
      </c>
      <c r="C4176" s="53">
        <f>IF(A4176="","",YEAR(A4176))</f>
        <v/>
      </c>
      <c r="D4176" s="54">
        <f>IF(A4176="","",INDEX(lst_months,MONTH(A4176)))</f>
        <v/>
      </c>
      <c r="E4176" s="55" t="n"/>
      <c r="F4176" s="54">
        <f>IF(E4176="","",IFERROR(IF(INDEX(lst_exp_item_cat,MATCH(E4176,lst_exp_items,0))="","❔ Без категории",INDEX(lst_exp_item_cat,MATCH(E4176,lst_exp_items,0))),"❔ Без категории"))</f>
        <v/>
      </c>
      <c r="G4176" s="43" t="n"/>
      <c r="H4176" s="56" t="n"/>
      <c r="I4176" s="43" t="n"/>
      <c r="J4176" s="57">
        <f>IF(OR(A4176="",H4176=""),"",IF(COUNTIFS(exp_year,C4176,exp_month,D4176,exp_item,E4176,exp_status,"&lt;&gt;❌ Отменено")&gt;0,1,0))</f>
        <v/>
      </c>
    </row>
    <row r="4177">
      <c r="A4177" s="52" t="n"/>
      <c r="B4177" s="53">
        <f>IF(A4177="","",CHOOSE(WEEKDAY(A4177,2),"Пн","Вт","Ср","Чт","Пт","Сб","Вс"))</f>
        <v/>
      </c>
      <c r="C4177" s="53">
        <f>IF(A4177="","",YEAR(A4177))</f>
        <v/>
      </c>
      <c r="D4177" s="54">
        <f>IF(A4177="","",INDEX(lst_months,MONTH(A4177)))</f>
        <v/>
      </c>
      <c r="E4177" s="55" t="n"/>
      <c r="F4177" s="54">
        <f>IF(E4177="","",IFERROR(IF(INDEX(lst_exp_item_cat,MATCH(E4177,lst_exp_items,0))="","❔ Без категории",INDEX(lst_exp_item_cat,MATCH(E4177,lst_exp_items,0))),"❔ Без категории"))</f>
        <v/>
      </c>
      <c r="G4177" s="43" t="n"/>
      <c r="H4177" s="56" t="n"/>
      <c r="I4177" s="43" t="n"/>
      <c r="J4177" s="57">
        <f>IF(OR(A4177="",H4177=""),"",IF(COUNTIFS(exp_year,C4177,exp_month,D4177,exp_item,E4177,exp_status,"&lt;&gt;❌ Отменено")&gt;0,1,0))</f>
        <v/>
      </c>
    </row>
    <row r="4178">
      <c r="A4178" s="52" t="n"/>
      <c r="B4178" s="53">
        <f>IF(A4178="","",CHOOSE(WEEKDAY(A4178,2),"Пн","Вт","Ср","Чт","Пт","Сб","Вс"))</f>
        <v/>
      </c>
      <c r="C4178" s="53">
        <f>IF(A4178="","",YEAR(A4178))</f>
        <v/>
      </c>
      <c r="D4178" s="54">
        <f>IF(A4178="","",INDEX(lst_months,MONTH(A4178)))</f>
        <v/>
      </c>
      <c r="E4178" s="55" t="n"/>
      <c r="F4178" s="54">
        <f>IF(E4178="","",IFERROR(IF(INDEX(lst_exp_item_cat,MATCH(E4178,lst_exp_items,0))="","❔ Без категории",INDEX(lst_exp_item_cat,MATCH(E4178,lst_exp_items,0))),"❔ Без категории"))</f>
        <v/>
      </c>
      <c r="G4178" s="43" t="n"/>
      <c r="H4178" s="56" t="n"/>
      <c r="I4178" s="43" t="n"/>
      <c r="J4178" s="57">
        <f>IF(OR(A4178="",H4178=""),"",IF(COUNTIFS(exp_year,C4178,exp_month,D4178,exp_item,E4178,exp_status,"&lt;&gt;❌ Отменено")&gt;0,1,0))</f>
        <v/>
      </c>
    </row>
    <row r="4179">
      <c r="A4179" s="52" t="n"/>
      <c r="B4179" s="53">
        <f>IF(A4179="","",CHOOSE(WEEKDAY(A4179,2),"Пн","Вт","Ср","Чт","Пт","Сб","Вс"))</f>
        <v/>
      </c>
      <c r="C4179" s="53">
        <f>IF(A4179="","",YEAR(A4179))</f>
        <v/>
      </c>
      <c r="D4179" s="54">
        <f>IF(A4179="","",INDEX(lst_months,MONTH(A4179)))</f>
        <v/>
      </c>
      <c r="E4179" s="55" t="n"/>
      <c r="F4179" s="54">
        <f>IF(E4179="","",IFERROR(IF(INDEX(lst_exp_item_cat,MATCH(E4179,lst_exp_items,0))="","❔ Без категории",INDEX(lst_exp_item_cat,MATCH(E4179,lst_exp_items,0))),"❔ Без категории"))</f>
        <v/>
      </c>
      <c r="G4179" s="43" t="n"/>
      <c r="H4179" s="56" t="n"/>
      <c r="I4179" s="43" t="n"/>
      <c r="J4179" s="57">
        <f>IF(OR(A4179="",H4179=""),"",IF(COUNTIFS(exp_year,C4179,exp_month,D4179,exp_item,E4179,exp_status,"&lt;&gt;❌ Отменено")&gt;0,1,0))</f>
        <v/>
      </c>
    </row>
    <row r="4180">
      <c r="A4180" s="52" t="n"/>
      <c r="B4180" s="53">
        <f>IF(A4180="","",CHOOSE(WEEKDAY(A4180,2),"Пн","Вт","Ср","Чт","Пт","Сб","Вс"))</f>
        <v/>
      </c>
      <c r="C4180" s="53">
        <f>IF(A4180="","",YEAR(A4180))</f>
        <v/>
      </c>
      <c r="D4180" s="54">
        <f>IF(A4180="","",INDEX(lst_months,MONTH(A4180)))</f>
        <v/>
      </c>
      <c r="E4180" s="55" t="n"/>
      <c r="F4180" s="54">
        <f>IF(E4180="","",IFERROR(IF(INDEX(lst_exp_item_cat,MATCH(E4180,lst_exp_items,0))="","❔ Без категории",INDEX(lst_exp_item_cat,MATCH(E4180,lst_exp_items,0))),"❔ Без категории"))</f>
        <v/>
      </c>
      <c r="G4180" s="43" t="n"/>
      <c r="H4180" s="56" t="n"/>
      <c r="I4180" s="43" t="n"/>
      <c r="J4180" s="57">
        <f>IF(OR(A4180="",H4180=""),"",IF(COUNTIFS(exp_year,C4180,exp_month,D4180,exp_item,E4180,exp_status,"&lt;&gt;❌ Отменено")&gt;0,1,0))</f>
        <v/>
      </c>
    </row>
    <row r="4181">
      <c r="A4181" s="52" t="n"/>
      <c r="B4181" s="53">
        <f>IF(A4181="","",CHOOSE(WEEKDAY(A4181,2),"Пн","Вт","Ср","Чт","Пт","Сб","Вс"))</f>
        <v/>
      </c>
      <c r="C4181" s="53">
        <f>IF(A4181="","",YEAR(A4181))</f>
        <v/>
      </c>
      <c r="D4181" s="54">
        <f>IF(A4181="","",INDEX(lst_months,MONTH(A4181)))</f>
        <v/>
      </c>
      <c r="E4181" s="55" t="n"/>
      <c r="F4181" s="54">
        <f>IF(E4181="","",IFERROR(IF(INDEX(lst_exp_item_cat,MATCH(E4181,lst_exp_items,0))="","❔ Без категории",INDEX(lst_exp_item_cat,MATCH(E4181,lst_exp_items,0))),"❔ Без категории"))</f>
        <v/>
      </c>
      <c r="G4181" s="43" t="n"/>
      <c r="H4181" s="56" t="n"/>
      <c r="I4181" s="43" t="n"/>
      <c r="J4181" s="57">
        <f>IF(OR(A4181="",H4181=""),"",IF(COUNTIFS(exp_year,C4181,exp_month,D4181,exp_item,E4181,exp_status,"&lt;&gt;❌ Отменено")&gt;0,1,0))</f>
        <v/>
      </c>
    </row>
    <row r="4182">
      <c r="A4182" s="52" t="n"/>
      <c r="B4182" s="53">
        <f>IF(A4182="","",CHOOSE(WEEKDAY(A4182,2),"Пн","Вт","Ср","Чт","Пт","Сб","Вс"))</f>
        <v/>
      </c>
      <c r="C4182" s="53">
        <f>IF(A4182="","",YEAR(A4182))</f>
        <v/>
      </c>
      <c r="D4182" s="54">
        <f>IF(A4182="","",INDEX(lst_months,MONTH(A4182)))</f>
        <v/>
      </c>
      <c r="E4182" s="55" t="n"/>
      <c r="F4182" s="54">
        <f>IF(E4182="","",IFERROR(IF(INDEX(lst_exp_item_cat,MATCH(E4182,lst_exp_items,0))="","❔ Без категории",INDEX(lst_exp_item_cat,MATCH(E4182,lst_exp_items,0))),"❔ Без категории"))</f>
        <v/>
      </c>
      <c r="G4182" s="43" t="n"/>
      <c r="H4182" s="56" t="n"/>
      <c r="I4182" s="43" t="n"/>
      <c r="J4182" s="57">
        <f>IF(OR(A4182="",H4182=""),"",IF(COUNTIFS(exp_year,C4182,exp_month,D4182,exp_item,E4182,exp_status,"&lt;&gt;❌ Отменено")&gt;0,1,0))</f>
        <v/>
      </c>
    </row>
    <row r="4183">
      <c r="A4183" s="52" t="n"/>
      <c r="B4183" s="53">
        <f>IF(A4183="","",CHOOSE(WEEKDAY(A4183,2),"Пн","Вт","Ср","Чт","Пт","Сб","Вс"))</f>
        <v/>
      </c>
      <c r="C4183" s="53">
        <f>IF(A4183="","",YEAR(A4183))</f>
        <v/>
      </c>
      <c r="D4183" s="54">
        <f>IF(A4183="","",INDEX(lst_months,MONTH(A4183)))</f>
        <v/>
      </c>
      <c r="E4183" s="55" t="n"/>
      <c r="F4183" s="54">
        <f>IF(E4183="","",IFERROR(IF(INDEX(lst_exp_item_cat,MATCH(E4183,lst_exp_items,0))="","❔ Без категории",INDEX(lst_exp_item_cat,MATCH(E4183,lst_exp_items,0))),"❔ Без категории"))</f>
        <v/>
      </c>
      <c r="G4183" s="43" t="n"/>
      <c r="H4183" s="56" t="n"/>
      <c r="I4183" s="43" t="n"/>
      <c r="J4183" s="57">
        <f>IF(OR(A4183="",H4183=""),"",IF(COUNTIFS(exp_year,C4183,exp_month,D4183,exp_item,E4183,exp_status,"&lt;&gt;❌ Отменено")&gt;0,1,0))</f>
        <v/>
      </c>
    </row>
    <row r="4184">
      <c r="A4184" s="52" t="n"/>
      <c r="B4184" s="53">
        <f>IF(A4184="","",CHOOSE(WEEKDAY(A4184,2),"Пн","Вт","Ср","Чт","Пт","Сб","Вс"))</f>
        <v/>
      </c>
      <c r="C4184" s="53">
        <f>IF(A4184="","",YEAR(A4184))</f>
        <v/>
      </c>
      <c r="D4184" s="54">
        <f>IF(A4184="","",INDEX(lst_months,MONTH(A4184)))</f>
        <v/>
      </c>
      <c r="E4184" s="55" t="n"/>
      <c r="F4184" s="54">
        <f>IF(E4184="","",IFERROR(IF(INDEX(lst_exp_item_cat,MATCH(E4184,lst_exp_items,0))="","❔ Без категории",INDEX(lst_exp_item_cat,MATCH(E4184,lst_exp_items,0))),"❔ Без категории"))</f>
        <v/>
      </c>
      <c r="G4184" s="43" t="n"/>
      <c r="H4184" s="56" t="n"/>
      <c r="I4184" s="43" t="n"/>
      <c r="J4184" s="57">
        <f>IF(OR(A4184="",H4184=""),"",IF(COUNTIFS(exp_year,C4184,exp_month,D4184,exp_item,E4184,exp_status,"&lt;&gt;❌ Отменено")&gt;0,1,0))</f>
        <v/>
      </c>
    </row>
    <row r="4185">
      <c r="A4185" s="52" t="n"/>
      <c r="B4185" s="53">
        <f>IF(A4185="","",CHOOSE(WEEKDAY(A4185,2),"Пн","Вт","Ср","Чт","Пт","Сб","Вс"))</f>
        <v/>
      </c>
      <c r="C4185" s="53">
        <f>IF(A4185="","",YEAR(A4185))</f>
        <v/>
      </c>
      <c r="D4185" s="54">
        <f>IF(A4185="","",INDEX(lst_months,MONTH(A4185)))</f>
        <v/>
      </c>
      <c r="E4185" s="55" t="n"/>
      <c r="F4185" s="54">
        <f>IF(E4185="","",IFERROR(IF(INDEX(lst_exp_item_cat,MATCH(E4185,lst_exp_items,0))="","❔ Без категории",INDEX(lst_exp_item_cat,MATCH(E4185,lst_exp_items,0))),"❔ Без категории"))</f>
        <v/>
      </c>
      <c r="G4185" s="43" t="n"/>
      <c r="H4185" s="56" t="n"/>
      <c r="I4185" s="43" t="n"/>
      <c r="J4185" s="57">
        <f>IF(OR(A4185="",H4185=""),"",IF(COUNTIFS(exp_year,C4185,exp_month,D4185,exp_item,E4185,exp_status,"&lt;&gt;❌ Отменено")&gt;0,1,0))</f>
        <v/>
      </c>
    </row>
    <row r="4186">
      <c r="A4186" s="52" t="n"/>
      <c r="B4186" s="53">
        <f>IF(A4186="","",CHOOSE(WEEKDAY(A4186,2),"Пн","Вт","Ср","Чт","Пт","Сб","Вс"))</f>
        <v/>
      </c>
      <c r="C4186" s="53">
        <f>IF(A4186="","",YEAR(A4186))</f>
        <v/>
      </c>
      <c r="D4186" s="54">
        <f>IF(A4186="","",INDEX(lst_months,MONTH(A4186)))</f>
        <v/>
      </c>
      <c r="E4186" s="55" t="n"/>
      <c r="F4186" s="54">
        <f>IF(E4186="","",IFERROR(IF(INDEX(lst_exp_item_cat,MATCH(E4186,lst_exp_items,0))="","❔ Без категории",INDEX(lst_exp_item_cat,MATCH(E4186,lst_exp_items,0))),"❔ Без категории"))</f>
        <v/>
      </c>
      <c r="G4186" s="43" t="n"/>
      <c r="H4186" s="56" t="n"/>
      <c r="I4186" s="43" t="n"/>
      <c r="J4186" s="57">
        <f>IF(OR(A4186="",H4186=""),"",IF(COUNTIFS(exp_year,C4186,exp_month,D4186,exp_item,E4186,exp_status,"&lt;&gt;❌ Отменено")&gt;0,1,0))</f>
        <v/>
      </c>
    </row>
    <row r="4187">
      <c r="A4187" s="52" t="n"/>
      <c r="B4187" s="53">
        <f>IF(A4187="","",CHOOSE(WEEKDAY(A4187,2),"Пн","Вт","Ср","Чт","Пт","Сб","Вс"))</f>
        <v/>
      </c>
      <c r="C4187" s="53">
        <f>IF(A4187="","",YEAR(A4187))</f>
        <v/>
      </c>
      <c r="D4187" s="54">
        <f>IF(A4187="","",INDEX(lst_months,MONTH(A4187)))</f>
        <v/>
      </c>
      <c r="E4187" s="55" t="n"/>
      <c r="F4187" s="54">
        <f>IF(E4187="","",IFERROR(IF(INDEX(lst_exp_item_cat,MATCH(E4187,lst_exp_items,0))="","❔ Без категории",INDEX(lst_exp_item_cat,MATCH(E4187,lst_exp_items,0))),"❔ Без категории"))</f>
        <v/>
      </c>
      <c r="G4187" s="43" t="n"/>
      <c r="H4187" s="56" t="n"/>
      <c r="I4187" s="43" t="n"/>
      <c r="J4187" s="57">
        <f>IF(OR(A4187="",H4187=""),"",IF(COUNTIFS(exp_year,C4187,exp_month,D4187,exp_item,E4187,exp_status,"&lt;&gt;❌ Отменено")&gt;0,1,0))</f>
        <v/>
      </c>
    </row>
    <row r="4188">
      <c r="A4188" s="52" t="n"/>
      <c r="B4188" s="53">
        <f>IF(A4188="","",CHOOSE(WEEKDAY(A4188,2),"Пн","Вт","Ср","Чт","Пт","Сб","Вс"))</f>
        <v/>
      </c>
      <c r="C4188" s="53">
        <f>IF(A4188="","",YEAR(A4188))</f>
        <v/>
      </c>
      <c r="D4188" s="54">
        <f>IF(A4188="","",INDEX(lst_months,MONTH(A4188)))</f>
        <v/>
      </c>
      <c r="E4188" s="55" t="n"/>
      <c r="F4188" s="54">
        <f>IF(E4188="","",IFERROR(IF(INDEX(lst_exp_item_cat,MATCH(E4188,lst_exp_items,0))="","❔ Без категории",INDEX(lst_exp_item_cat,MATCH(E4188,lst_exp_items,0))),"❔ Без категории"))</f>
        <v/>
      </c>
      <c r="G4188" s="43" t="n"/>
      <c r="H4188" s="56" t="n"/>
      <c r="I4188" s="43" t="n"/>
      <c r="J4188" s="57">
        <f>IF(OR(A4188="",H4188=""),"",IF(COUNTIFS(exp_year,C4188,exp_month,D4188,exp_item,E4188,exp_status,"&lt;&gt;❌ Отменено")&gt;0,1,0))</f>
        <v/>
      </c>
    </row>
    <row r="4189">
      <c r="A4189" s="52" t="n"/>
      <c r="B4189" s="53">
        <f>IF(A4189="","",CHOOSE(WEEKDAY(A4189,2),"Пн","Вт","Ср","Чт","Пт","Сб","Вс"))</f>
        <v/>
      </c>
      <c r="C4189" s="53">
        <f>IF(A4189="","",YEAR(A4189))</f>
        <v/>
      </c>
      <c r="D4189" s="54">
        <f>IF(A4189="","",INDEX(lst_months,MONTH(A4189)))</f>
        <v/>
      </c>
      <c r="E4189" s="55" t="n"/>
      <c r="F4189" s="54">
        <f>IF(E4189="","",IFERROR(IF(INDEX(lst_exp_item_cat,MATCH(E4189,lst_exp_items,0))="","❔ Без категории",INDEX(lst_exp_item_cat,MATCH(E4189,lst_exp_items,0))),"❔ Без категории"))</f>
        <v/>
      </c>
      <c r="G4189" s="43" t="n"/>
      <c r="H4189" s="56" t="n"/>
      <c r="I4189" s="43" t="n"/>
      <c r="J4189" s="57">
        <f>IF(OR(A4189="",H4189=""),"",IF(COUNTIFS(exp_year,C4189,exp_month,D4189,exp_item,E4189,exp_status,"&lt;&gt;❌ Отменено")&gt;0,1,0))</f>
        <v/>
      </c>
    </row>
    <row r="4190">
      <c r="A4190" s="52" t="n"/>
      <c r="B4190" s="53">
        <f>IF(A4190="","",CHOOSE(WEEKDAY(A4190,2),"Пн","Вт","Ср","Чт","Пт","Сб","Вс"))</f>
        <v/>
      </c>
      <c r="C4190" s="53">
        <f>IF(A4190="","",YEAR(A4190))</f>
        <v/>
      </c>
      <c r="D4190" s="54">
        <f>IF(A4190="","",INDEX(lst_months,MONTH(A4190)))</f>
        <v/>
      </c>
      <c r="E4190" s="55" t="n"/>
      <c r="F4190" s="54">
        <f>IF(E4190="","",IFERROR(IF(INDEX(lst_exp_item_cat,MATCH(E4190,lst_exp_items,0))="","❔ Без категории",INDEX(lst_exp_item_cat,MATCH(E4190,lst_exp_items,0))),"❔ Без категории"))</f>
        <v/>
      </c>
      <c r="G4190" s="43" t="n"/>
      <c r="H4190" s="56" t="n"/>
      <c r="I4190" s="43" t="n"/>
      <c r="J4190" s="57">
        <f>IF(OR(A4190="",H4190=""),"",IF(COUNTIFS(exp_year,C4190,exp_month,D4190,exp_item,E4190,exp_status,"&lt;&gt;❌ Отменено")&gt;0,1,0))</f>
        <v/>
      </c>
    </row>
    <row r="4191">
      <c r="A4191" s="52" t="n"/>
      <c r="B4191" s="53">
        <f>IF(A4191="","",CHOOSE(WEEKDAY(A4191,2),"Пн","Вт","Ср","Чт","Пт","Сб","Вс"))</f>
        <v/>
      </c>
      <c r="C4191" s="53">
        <f>IF(A4191="","",YEAR(A4191))</f>
        <v/>
      </c>
      <c r="D4191" s="54">
        <f>IF(A4191="","",INDEX(lst_months,MONTH(A4191)))</f>
        <v/>
      </c>
      <c r="E4191" s="55" t="n"/>
      <c r="F4191" s="54">
        <f>IF(E4191="","",IFERROR(IF(INDEX(lst_exp_item_cat,MATCH(E4191,lst_exp_items,0))="","❔ Без категории",INDEX(lst_exp_item_cat,MATCH(E4191,lst_exp_items,0))),"❔ Без категории"))</f>
        <v/>
      </c>
      <c r="G4191" s="43" t="n"/>
      <c r="H4191" s="56" t="n"/>
      <c r="I4191" s="43" t="n"/>
      <c r="J4191" s="57">
        <f>IF(OR(A4191="",H4191=""),"",IF(COUNTIFS(exp_year,C4191,exp_month,D4191,exp_item,E4191,exp_status,"&lt;&gt;❌ Отменено")&gt;0,1,0))</f>
        <v/>
      </c>
    </row>
    <row r="4192">
      <c r="A4192" s="52" t="n"/>
      <c r="B4192" s="53">
        <f>IF(A4192="","",CHOOSE(WEEKDAY(A4192,2),"Пн","Вт","Ср","Чт","Пт","Сб","Вс"))</f>
        <v/>
      </c>
      <c r="C4192" s="53">
        <f>IF(A4192="","",YEAR(A4192))</f>
        <v/>
      </c>
      <c r="D4192" s="54">
        <f>IF(A4192="","",INDEX(lst_months,MONTH(A4192)))</f>
        <v/>
      </c>
      <c r="E4192" s="55" t="n"/>
      <c r="F4192" s="54">
        <f>IF(E4192="","",IFERROR(IF(INDEX(lst_exp_item_cat,MATCH(E4192,lst_exp_items,0))="","❔ Без категории",INDEX(lst_exp_item_cat,MATCH(E4192,lst_exp_items,0))),"❔ Без категории"))</f>
        <v/>
      </c>
      <c r="G4192" s="43" t="n"/>
      <c r="H4192" s="56" t="n"/>
      <c r="I4192" s="43" t="n"/>
      <c r="J4192" s="57">
        <f>IF(OR(A4192="",H4192=""),"",IF(COUNTIFS(exp_year,C4192,exp_month,D4192,exp_item,E4192,exp_status,"&lt;&gt;❌ Отменено")&gt;0,1,0))</f>
        <v/>
      </c>
    </row>
    <row r="4193">
      <c r="A4193" s="52" t="n"/>
      <c r="B4193" s="53">
        <f>IF(A4193="","",CHOOSE(WEEKDAY(A4193,2),"Пн","Вт","Ср","Чт","Пт","Сб","Вс"))</f>
        <v/>
      </c>
      <c r="C4193" s="53">
        <f>IF(A4193="","",YEAR(A4193))</f>
        <v/>
      </c>
      <c r="D4193" s="54">
        <f>IF(A4193="","",INDEX(lst_months,MONTH(A4193)))</f>
        <v/>
      </c>
      <c r="E4193" s="55" t="n"/>
      <c r="F4193" s="54">
        <f>IF(E4193="","",IFERROR(IF(INDEX(lst_exp_item_cat,MATCH(E4193,lst_exp_items,0))="","❔ Без категории",INDEX(lst_exp_item_cat,MATCH(E4193,lst_exp_items,0))),"❔ Без категории"))</f>
        <v/>
      </c>
      <c r="G4193" s="43" t="n"/>
      <c r="H4193" s="56" t="n"/>
      <c r="I4193" s="43" t="n"/>
      <c r="J4193" s="57">
        <f>IF(OR(A4193="",H4193=""),"",IF(COUNTIFS(exp_year,C4193,exp_month,D4193,exp_item,E4193,exp_status,"&lt;&gt;❌ Отменено")&gt;0,1,0))</f>
        <v/>
      </c>
    </row>
    <row r="4194">
      <c r="A4194" s="52" t="n"/>
      <c r="B4194" s="53">
        <f>IF(A4194="","",CHOOSE(WEEKDAY(A4194,2),"Пн","Вт","Ср","Чт","Пт","Сб","Вс"))</f>
        <v/>
      </c>
      <c r="C4194" s="53">
        <f>IF(A4194="","",YEAR(A4194))</f>
        <v/>
      </c>
      <c r="D4194" s="54">
        <f>IF(A4194="","",INDEX(lst_months,MONTH(A4194)))</f>
        <v/>
      </c>
      <c r="E4194" s="55" t="n"/>
      <c r="F4194" s="54">
        <f>IF(E4194="","",IFERROR(IF(INDEX(lst_exp_item_cat,MATCH(E4194,lst_exp_items,0))="","❔ Без категории",INDEX(lst_exp_item_cat,MATCH(E4194,lst_exp_items,0))),"❔ Без категории"))</f>
        <v/>
      </c>
      <c r="G4194" s="43" t="n"/>
      <c r="H4194" s="56" t="n"/>
      <c r="I4194" s="43" t="n"/>
      <c r="J4194" s="57">
        <f>IF(OR(A4194="",H4194=""),"",IF(COUNTIFS(exp_year,C4194,exp_month,D4194,exp_item,E4194,exp_status,"&lt;&gt;❌ Отменено")&gt;0,1,0))</f>
        <v/>
      </c>
    </row>
    <row r="4195">
      <c r="A4195" s="52" t="n"/>
      <c r="B4195" s="53">
        <f>IF(A4195="","",CHOOSE(WEEKDAY(A4195,2),"Пн","Вт","Ср","Чт","Пт","Сб","Вс"))</f>
        <v/>
      </c>
      <c r="C4195" s="53">
        <f>IF(A4195="","",YEAR(A4195))</f>
        <v/>
      </c>
      <c r="D4195" s="54">
        <f>IF(A4195="","",INDEX(lst_months,MONTH(A4195)))</f>
        <v/>
      </c>
      <c r="E4195" s="55" t="n"/>
      <c r="F4195" s="54">
        <f>IF(E4195="","",IFERROR(IF(INDEX(lst_exp_item_cat,MATCH(E4195,lst_exp_items,0))="","❔ Без категории",INDEX(lst_exp_item_cat,MATCH(E4195,lst_exp_items,0))),"❔ Без категории"))</f>
        <v/>
      </c>
      <c r="G4195" s="43" t="n"/>
      <c r="H4195" s="56" t="n"/>
      <c r="I4195" s="43" t="n"/>
      <c r="J4195" s="57">
        <f>IF(OR(A4195="",H4195=""),"",IF(COUNTIFS(exp_year,C4195,exp_month,D4195,exp_item,E4195,exp_status,"&lt;&gt;❌ Отменено")&gt;0,1,0))</f>
        <v/>
      </c>
    </row>
    <row r="4196">
      <c r="A4196" s="52" t="n"/>
      <c r="B4196" s="53">
        <f>IF(A4196="","",CHOOSE(WEEKDAY(A4196,2),"Пн","Вт","Ср","Чт","Пт","Сб","Вс"))</f>
        <v/>
      </c>
      <c r="C4196" s="53">
        <f>IF(A4196="","",YEAR(A4196))</f>
        <v/>
      </c>
      <c r="D4196" s="54">
        <f>IF(A4196="","",INDEX(lst_months,MONTH(A4196)))</f>
        <v/>
      </c>
      <c r="E4196" s="55" t="n"/>
      <c r="F4196" s="54">
        <f>IF(E4196="","",IFERROR(IF(INDEX(lst_exp_item_cat,MATCH(E4196,lst_exp_items,0))="","❔ Без категории",INDEX(lst_exp_item_cat,MATCH(E4196,lst_exp_items,0))),"❔ Без категории"))</f>
        <v/>
      </c>
      <c r="G4196" s="43" t="n"/>
      <c r="H4196" s="56" t="n"/>
      <c r="I4196" s="43" t="n"/>
      <c r="J4196" s="57">
        <f>IF(OR(A4196="",H4196=""),"",IF(COUNTIFS(exp_year,C4196,exp_month,D4196,exp_item,E4196,exp_status,"&lt;&gt;❌ Отменено")&gt;0,1,0))</f>
        <v/>
      </c>
    </row>
    <row r="4197">
      <c r="A4197" s="52" t="n"/>
      <c r="B4197" s="53">
        <f>IF(A4197="","",CHOOSE(WEEKDAY(A4197,2),"Пн","Вт","Ср","Чт","Пт","Сб","Вс"))</f>
        <v/>
      </c>
      <c r="C4197" s="53">
        <f>IF(A4197="","",YEAR(A4197))</f>
        <v/>
      </c>
      <c r="D4197" s="54">
        <f>IF(A4197="","",INDEX(lst_months,MONTH(A4197)))</f>
        <v/>
      </c>
      <c r="E4197" s="55" t="n"/>
      <c r="F4197" s="54">
        <f>IF(E4197="","",IFERROR(IF(INDEX(lst_exp_item_cat,MATCH(E4197,lst_exp_items,0))="","❔ Без категории",INDEX(lst_exp_item_cat,MATCH(E4197,lst_exp_items,0))),"❔ Без категории"))</f>
        <v/>
      </c>
      <c r="G4197" s="43" t="n"/>
      <c r="H4197" s="56" t="n"/>
      <c r="I4197" s="43" t="n"/>
      <c r="J4197" s="57">
        <f>IF(OR(A4197="",H4197=""),"",IF(COUNTIFS(exp_year,C4197,exp_month,D4197,exp_item,E4197,exp_status,"&lt;&gt;❌ Отменено")&gt;0,1,0))</f>
        <v/>
      </c>
    </row>
    <row r="4198">
      <c r="A4198" s="52" t="n"/>
      <c r="B4198" s="53">
        <f>IF(A4198="","",CHOOSE(WEEKDAY(A4198,2),"Пн","Вт","Ср","Чт","Пт","Сб","Вс"))</f>
        <v/>
      </c>
      <c r="C4198" s="53">
        <f>IF(A4198="","",YEAR(A4198))</f>
        <v/>
      </c>
      <c r="D4198" s="54">
        <f>IF(A4198="","",INDEX(lst_months,MONTH(A4198)))</f>
        <v/>
      </c>
      <c r="E4198" s="55" t="n"/>
      <c r="F4198" s="54">
        <f>IF(E4198="","",IFERROR(IF(INDEX(lst_exp_item_cat,MATCH(E4198,lst_exp_items,0))="","❔ Без категории",INDEX(lst_exp_item_cat,MATCH(E4198,lst_exp_items,0))),"❔ Без категории"))</f>
        <v/>
      </c>
      <c r="G4198" s="43" t="n"/>
      <c r="H4198" s="56" t="n"/>
      <c r="I4198" s="43" t="n"/>
      <c r="J4198" s="57">
        <f>IF(OR(A4198="",H4198=""),"",IF(COUNTIFS(exp_year,C4198,exp_month,D4198,exp_item,E4198,exp_status,"&lt;&gt;❌ Отменено")&gt;0,1,0))</f>
        <v/>
      </c>
    </row>
    <row r="4199">
      <c r="A4199" s="52" t="n"/>
      <c r="B4199" s="53">
        <f>IF(A4199="","",CHOOSE(WEEKDAY(A4199,2),"Пн","Вт","Ср","Чт","Пт","Сб","Вс"))</f>
        <v/>
      </c>
      <c r="C4199" s="53">
        <f>IF(A4199="","",YEAR(A4199))</f>
        <v/>
      </c>
      <c r="D4199" s="54">
        <f>IF(A4199="","",INDEX(lst_months,MONTH(A4199)))</f>
        <v/>
      </c>
      <c r="E4199" s="55" t="n"/>
      <c r="F4199" s="54">
        <f>IF(E4199="","",IFERROR(IF(INDEX(lst_exp_item_cat,MATCH(E4199,lst_exp_items,0))="","❔ Без категории",INDEX(lst_exp_item_cat,MATCH(E4199,lst_exp_items,0))),"❔ Без категории"))</f>
        <v/>
      </c>
      <c r="G4199" s="43" t="n"/>
      <c r="H4199" s="56" t="n"/>
      <c r="I4199" s="43" t="n"/>
      <c r="J4199" s="57">
        <f>IF(OR(A4199="",H4199=""),"",IF(COUNTIFS(exp_year,C4199,exp_month,D4199,exp_item,E4199,exp_status,"&lt;&gt;❌ Отменено")&gt;0,1,0))</f>
        <v/>
      </c>
    </row>
    <row r="4200">
      <c r="A4200" s="52" t="n"/>
      <c r="B4200" s="53">
        <f>IF(A4200="","",CHOOSE(WEEKDAY(A4200,2),"Пн","Вт","Ср","Чт","Пт","Сб","Вс"))</f>
        <v/>
      </c>
      <c r="C4200" s="53">
        <f>IF(A4200="","",YEAR(A4200))</f>
        <v/>
      </c>
      <c r="D4200" s="54">
        <f>IF(A4200="","",INDEX(lst_months,MONTH(A4200)))</f>
        <v/>
      </c>
      <c r="E4200" s="55" t="n"/>
      <c r="F4200" s="54">
        <f>IF(E4200="","",IFERROR(IF(INDEX(lst_exp_item_cat,MATCH(E4200,lst_exp_items,0))="","❔ Без категории",INDEX(lst_exp_item_cat,MATCH(E4200,lst_exp_items,0))),"❔ Без категории"))</f>
        <v/>
      </c>
      <c r="G4200" s="43" t="n"/>
      <c r="H4200" s="56" t="n"/>
      <c r="I4200" s="43" t="n"/>
      <c r="J4200" s="57">
        <f>IF(OR(A4200="",H4200=""),"",IF(COUNTIFS(exp_year,C4200,exp_month,D4200,exp_item,E4200,exp_status,"&lt;&gt;❌ Отменено")&gt;0,1,0))</f>
        <v/>
      </c>
    </row>
    <row r="4201">
      <c r="A4201" s="52" t="n"/>
      <c r="B4201" s="53">
        <f>IF(A4201="","",CHOOSE(WEEKDAY(A4201,2),"Пн","Вт","Ср","Чт","Пт","Сб","Вс"))</f>
        <v/>
      </c>
      <c r="C4201" s="53">
        <f>IF(A4201="","",YEAR(A4201))</f>
        <v/>
      </c>
      <c r="D4201" s="54">
        <f>IF(A4201="","",INDEX(lst_months,MONTH(A4201)))</f>
        <v/>
      </c>
      <c r="E4201" s="55" t="n"/>
      <c r="F4201" s="54">
        <f>IF(E4201="","",IFERROR(IF(INDEX(lst_exp_item_cat,MATCH(E4201,lst_exp_items,0))="","❔ Без категории",INDEX(lst_exp_item_cat,MATCH(E4201,lst_exp_items,0))),"❔ Без категории"))</f>
        <v/>
      </c>
      <c r="G4201" s="43" t="n"/>
      <c r="H4201" s="56" t="n"/>
      <c r="I4201" s="43" t="n"/>
      <c r="J4201" s="57">
        <f>IF(OR(A4201="",H4201=""),"",IF(COUNTIFS(exp_year,C4201,exp_month,D4201,exp_item,E4201,exp_status,"&lt;&gt;❌ Отменено")&gt;0,1,0))</f>
        <v/>
      </c>
    </row>
    <row r="4202">
      <c r="A4202" s="52" t="n"/>
      <c r="B4202" s="53">
        <f>IF(A4202="","",CHOOSE(WEEKDAY(A4202,2),"Пн","Вт","Ср","Чт","Пт","Сб","Вс"))</f>
        <v/>
      </c>
      <c r="C4202" s="53">
        <f>IF(A4202="","",YEAR(A4202))</f>
        <v/>
      </c>
      <c r="D4202" s="54">
        <f>IF(A4202="","",INDEX(lst_months,MONTH(A4202)))</f>
        <v/>
      </c>
      <c r="E4202" s="55" t="n"/>
      <c r="F4202" s="54">
        <f>IF(E4202="","",IFERROR(IF(INDEX(lst_exp_item_cat,MATCH(E4202,lst_exp_items,0))="","❔ Без категории",INDEX(lst_exp_item_cat,MATCH(E4202,lst_exp_items,0))),"❔ Без категории"))</f>
        <v/>
      </c>
      <c r="G4202" s="43" t="n"/>
      <c r="H4202" s="56" t="n"/>
      <c r="I4202" s="43" t="n"/>
      <c r="J4202" s="57">
        <f>IF(OR(A4202="",H4202=""),"",IF(COUNTIFS(exp_year,C4202,exp_month,D4202,exp_item,E4202,exp_status,"&lt;&gt;❌ Отменено")&gt;0,1,0))</f>
        <v/>
      </c>
    </row>
    <row r="4203">
      <c r="A4203" s="52" t="n"/>
      <c r="B4203" s="53">
        <f>IF(A4203="","",CHOOSE(WEEKDAY(A4203,2),"Пн","Вт","Ср","Чт","Пт","Сб","Вс"))</f>
        <v/>
      </c>
      <c r="C4203" s="53">
        <f>IF(A4203="","",YEAR(A4203))</f>
        <v/>
      </c>
      <c r="D4203" s="54">
        <f>IF(A4203="","",INDEX(lst_months,MONTH(A4203)))</f>
        <v/>
      </c>
      <c r="E4203" s="55" t="n"/>
      <c r="F4203" s="54">
        <f>IF(E4203="","",IFERROR(IF(INDEX(lst_exp_item_cat,MATCH(E4203,lst_exp_items,0))="","❔ Без категории",INDEX(lst_exp_item_cat,MATCH(E4203,lst_exp_items,0))),"❔ Без категории"))</f>
        <v/>
      </c>
      <c r="G4203" s="43" t="n"/>
      <c r="H4203" s="56" t="n"/>
      <c r="I4203" s="43" t="n"/>
      <c r="J4203" s="57">
        <f>IF(OR(A4203="",H4203=""),"",IF(COUNTIFS(exp_year,C4203,exp_month,D4203,exp_item,E4203,exp_status,"&lt;&gt;❌ Отменено")&gt;0,1,0))</f>
        <v/>
      </c>
    </row>
    <row r="4204">
      <c r="A4204" s="52" t="n"/>
      <c r="B4204" s="53">
        <f>IF(A4204="","",CHOOSE(WEEKDAY(A4204,2),"Пн","Вт","Ср","Чт","Пт","Сб","Вс"))</f>
        <v/>
      </c>
      <c r="C4204" s="53">
        <f>IF(A4204="","",YEAR(A4204))</f>
        <v/>
      </c>
      <c r="D4204" s="54">
        <f>IF(A4204="","",INDEX(lst_months,MONTH(A4204)))</f>
        <v/>
      </c>
      <c r="E4204" s="55" t="n"/>
      <c r="F4204" s="54">
        <f>IF(E4204="","",IFERROR(IF(INDEX(lst_exp_item_cat,MATCH(E4204,lst_exp_items,0))="","❔ Без категории",INDEX(lst_exp_item_cat,MATCH(E4204,lst_exp_items,0))),"❔ Без категории"))</f>
        <v/>
      </c>
      <c r="G4204" s="43" t="n"/>
      <c r="H4204" s="56" t="n"/>
      <c r="I4204" s="43" t="n"/>
      <c r="J4204" s="57">
        <f>IF(OR(A4204="",H4204=""),"",IF(COUNTIFS(exp_year,C4204,exp_month,D4204,exp_item,E4204,exp_status,"&lt;&gt;❌ Отменено")&gt;0,1,0))</f>
        <v/>
      </c>
    </row>
    <row r="4205">
      <c r="A4205" s="52" t="n"/>
      <c r="B4205" s="53">
        <f>IF(A4205="","",CHOOSE(WEEKDAY(A4205,2),"Пн","Вт","Ср","Чт","Пт","Сб","Вс"))</f>
        <v/>
      </c>
      <c r="C4205" s="53">
        <f>IF(A4205="","",YEAR(A4205))</f>
        <v/>
      </c>
      <c r="D4205" s="54">
        <f>IF(A4205="","",INDEX(lst_months,MONTH(A4205)))</f>
        <v/>
      </c>
      <c r="E4205" s="55" t="n"/>
      <c r="F4205" s="54">
        <f>IF(E4205="","",IFERROR(IF(INDEX(lst_exp_item_cat,MATCH(E4205,lst_exp_items,0))="","❔ Без категории",INDEX(lst_exp_item_cat,MATCH(E4205,lst_exp_items,0))),"❔ Без категории"))</f>
        <v/>
      </c>
      <c r="G4205" s="43" t="n"/>
      <c r="H4205" s="56" t="n"/>
      <c r="I4205" s="43" t="n"/>
      <c r="J4205" s="57">
        <f>IF(OR(A4205="",H4205=""),"",IF(COUNTIFS(exp_year,C4205,exp_month,D4205,exp_item,E4205,exp_status,"&lt;&gt;❌ Отменено")&gt;0,1,0))</f>
        <v/>
      </c>
    </row>
    <row r="4206">
      <c r="A4206" s="52" t="n"/>
      <c r="B4206" s="53">
        <f>IF(A4206="","",CHOOSE(WEEKDAY(A4206,2),"Пн","Вт","Ср","Чт","Пт","Сб","Вс"))</f>
        <v/>
      </c>
      <c r="C4206" s="53">
        <f>IF(A4206="","",YEAR(A4206))</f>
        <v/>
      </c>
      <c r="D4206" s="54">
        <f>IF(A4206="","",INDEX(lst_months,MONTH(A4206)))</f>
        <v/>
      </c>
      <c r="E4206" s="55" t="n"/>
      <c r="F4206" s="54">
        <f>IF(E4206="","",IFERROR(IF(INDEX(lst_exp_item_cat,MATCH(E4206,lst_exp_items,0))="","❔ Без категории",INDEX(lst_exp_item_cat,MATCH(E4206,lst_exp_items,0))),"❔ Без категории"))</f>
        <v/>
      </c>
      <c r="G4206" s="43" t="n"/>
      <c r="H4206" s="56" t="n"/>
      <c r="I4206" s="43" t="n"/>
      <c r="J4206" s="57">
        <f>IF(OR(A4206="",H4206=""),"",IF(COUNTIFS(exp_year,C4206,exp_month,D4206,exp_item,E4206,exp_status,"&lt;&gt;❌ Отменено")&gt;0,1,0))</f>
        <v/>
      </c>
    </row>
    <row r="4207">
      <c r="A4207" s="52" t="n"/>
      <c r="B4207" s="53">
        <f>IF(A4207="","",CHOOSE(WEEKDAY(A4207,2),"Пн","Вт","Ср","Чт","Пт","Сб","Вс"))</f>
        <v/>
      </c>
      <c r="C4207" s="53">
        <f>IF(A4207="","",YEAR(A4207))</f>
        <v/>
      </c>
      <c r="D4207" s="54">
        <f>IF(A4207="","",INDEX(lst_months,MONTH(A4207)))</f>
        <v/>
      </c>
      <c r="E4207" s="55" t="n"/>
      <c r="F4207" s="54">
        <f>IF(E4207="","",IFERROR(IF(INDEX(lst_exp_item_cat,MATCH(E4207,lst_exp_items,0))="","❔ Без категории",INDEX(lst_exp_item_cat,MATCH(E4207,lst_exp_items,0))),"❔ Без категории"))</f>
        <v/>
      </c>
      <c r="G4207" s="43" t="n"/>
      <c r="H4207" s="56" t="n"/>
      <c r="I4207" s="43" t="n"/>
      <c r="J4207" s="57">
        <f>IF(OR(A4207="",H4207=""),"",IF(COUNTIFS(exp_year,C4207,exp_month,D4207,exp_item,E4207,exp_status,"&lt;&gt;❌ Отменено")&gt;0,1,0))</f>
        <v/>
      </c>
    </row>
    <row r="4208">
      <c r="A4208" s="52" t="n"/>
      <c r="B4208" s="53">
        <f>IF(A4208="","",CHOOSE(WEEKDAY(A4208,2),"Пн","Вт","Ср","Чт","Пт","Сб","Вс"))</f>
        <v/>
      </c>
      <c r="C4208" s="53">
        <f>IF(A4208="","",YEAR(A4208))</f>
        <v/>
      </c>
      <c r="D4208" s="54">
        <f>IF(A4208="","",INDEX(lst_months,MONTH(A4208)))</f>
        <v/>
      </c>
      <c r="E4208" s="55" t="n"/>
      <c r="F4208" s="54">
        <f>IF(E4208="","",IFERROR(IF(INDEX(lst_exp_item_cat,MATCH(E4208,lst_exp_items,0))="","❔ Без категории",INDEX(lst_exp_item_cat,MATCH(E4208,lst_exp_items,0))),"❔ Без категории"))</f>
        <v/>
      </c>
      <c r="G4208" s="43" t="n"/>
      <c r="H4208" s="56" t="n"/>
      <c r="I4208" s="43" t="n"/>
      <c r="J4208" s="57">
        <f>IF(OR(A4208="",H4208=""),"",IF(COUNTIFS(exp_year,C4208,exp_month,D4208,exp_item,E4208,exp_status,"&lt;&gt;❌ Отменено")&gt;0,1,0))</f>
        <v/>
      </c>
    </row>
    <row r="4209">
      <c r="A4209" s="52" t="n"/>
      <c r="B4209" s="53">
        <f>IF(A4209="","",CHOOSE(WEEKDAY(A4209,2),"Пн","Вт","Ср","Чт","Пт","Сб","Вс"))</f>
        <v/>
      </c>
      <c r="C4209" s="53">
        <f>IF(A4209="","",YEAR(A4209))</f>
        <v/>
      </c>
      <c r="D4209" s="54">
        <f>IF(A4209="","",INDEX(lst_months,MONTH(A4209)))</f>
        <v/>
      </c>
      <c r="E4209" s="55" t="n"/>
      <c r="F4209" s="54">
        <f>IF(E4209="","",IFERROR(IF(INDEX(lst_exp_item_cat,MATCH(E4209,lst_exp_items,0))="","❔ Без категории",INDEX(lst_exp_item_cat,MATCH(E4209,lst_exp_items,0))),"❔ Без категории"))</f>
        <v/>
      </c>
      <c r="G4209" s="43" t="n"/>
      <c r="H4209" s="56" t="n"/>
      <c r="I4209" s="43" t="n"/>
      <c r="J4209" s="57">
        <f>IF(OR(A4209="",H4209=""),"",IF(COUNTIFS(exp_year,C4209,exp_month,D4209,exp_item,E4209,exp_status,"&lt;&gt;❌ Отменено")&gt;0,1,0))</f>
        <v/>
      </c>
    </row>
    <row r="4210">
      <c r="A4210" s="52" t="n"/>
      <c r="B4210" s="53">
        <f>IF(A4210="","",CHOOSE(WEEKDAY(A4210,2),"Пн","Вт","Ср","Чт","Пт","Сб","Вс"))</f>
        <v/>
      </c>
      <c r="C4210" s="53">
        <f>IF(A4210="","",YEAR(A4210))</f>
        <v/>
      </c>
      <c r="D4210" s="54">
        <f>IF(A4210="","",INDEX(lst_months,MONTH(A4210)))</f>
        <v/>
      </c>
      <c r="E4210" s="55" t="n"/>
      <c r="F4210" s="54">
        <f>IF(E4210="","",IFERROR(IF(INDEX(lst_exp_item_cat,MATCH(E4210,lst_exp_items,0))="","❔ Без категории",INDEX(lst_exp_item_cat,MATCH(E4210,lst_exp_items,0))),"❔ Без категории"))</f>
        <v/>
      </c>
      <c r="G4210" s="43" t="n"/>
      <c r="H4210" s="56" t="n"/>
      <c r="I4210" s="43" t="n"/>
      <c r="J4210" s="57">
        <f>IF(OR(A4210="",H4210=""),"",IF(COUNTIFS(exp_year,C4210,exp_month,D4210,exp_item,E4210,exp_status,"&lt;&gt;❌ Отменено")&gt;0,1,0))</f>
        <v/>
      </c>
    </row>
    <row r="4211">
      <c r="A4211" s="52" t="n"/>
      <c r="B4211" s="53">
        <f>IF(A4211="","",CHOOSE(WEEKDAY(A4211,2),"Пн","Вт","Ср","Чт","Пт","Сб","Вс"))</f>
        <v/>
      </c>
      <c r="C4211" s="53">
        <f>IF(A4211="","",YEAR(A4211))</f>
        <v/>
      </c>
      <c r="D4211" s="54">
        <f>IF(A4211="","",INDEX(lst_months,MONTH(A4211)))</f>
        <v/>
      </c>
      <c r="E4211" s="55" t="n"/>
      <c r="F4211" s="54">
        <f>IF(E4211="","",IFERROR(IF(INDEX(lst_exp_item_cat,MATCH(E4211,lst_exp_items,0))="","❔ Без категории",INDEX(lst_exp_item_cat,MATCH(E4211,lst_exp_items,0))),"❔ Без категории"))</f>
        <v/>
      </c>
      <c r="G4211" s="43" t="n"/>
      <c r="H4211" s="56" t="n"/>
      <c r="I4211" s="43" t="n"/>
      <c r="J4211" s="57">
        <f>IF(OR(A4211="",H4211=""),"",IF(COUNTIFS(exp_year,C4211,exp_month,D4211,exp_item,E4211,exp_status,"&lt;&gt;❌ Отменено")&gt;0,1,0))</f>
        <v/>
      </c>
    </row>
    <row r="4212">
      <c r="A4212" s="52" t="n"/>
      <c r="B4212" s="53">
        <f>IF(A4212="","",CHOOSE(WEEKDAY(A4212,2),"Пн","Вт","Ср","Чт","Пт","Сб","Вс"))</f>
        <v/>
      </c>
      <c r="C4212" s="53">
        <f>IF(A4212="","",YEAR(A4212))</f>
        <v/>
      </c>
      <c r="D4212" s="54">
        <f>IF(A4212="","",INDEX(lst_months,MONTH(A4212)))</f>
        <v/>
      </c>
      <c r="E4212" s="55" t="n"/>
      <c r="F4212" s="54">
        <f>IF(E4212="","",IFERROR(IF(INDEX(lst_exp_item_cat,MATCH(E4212,lst_exp_items,0))="","❔ Без категории",INDEX(lst_exp_item_cat,MATCH(E4212,lst_exp_items,0))),"❔ Без категории"))</f>
        <v/>
      </c>
      <c r="G4212" s="43" t="n"/>
      <c r="H4212" s="56" t="n"/>
      <c r="I4212" s="43" t="n"/>
      <c r="J4212" s="57">
        <f>IF(OR(A4212="",H4212=""),"",IF(COUNTIFS(exp_year,C4212,exp_month,D4212,exp_item,E4212,exp_status,"&lt;&gt;❌ Отменено")&gt;0,1,0))</f>
        <v/>
      </c>
    </row>
    <row r="4213">
      <c r="A4213" s="52" t="n"/>
      <c r="B4213" s="53">
        <f>IF(A4213="","",CHOOSE(WEEKDAY(A4213,2),"Пн","Вт","Ср","Чт","Пт","Сб","Вс"))</f>
        <v/>
      </c>
      <c r="C4213" s="53">
        <f>IF(A4213="","",YEAR(A4213))</f>
        <v/>
      </c>
      <c r="D4213" s="54">
        <f>IF(A4213="","",INDEX(lst_months,MONTH(A4213)))</f>
        <v/>
      </c>
      <c r="E4213" s="55" t="n"/>
      <c r="F4213" s="54">
        <f>IF(E4213="","",IFERROR(IF(INDEX(lst_exp_item_cat,MATCH(E4213,lst_exp_items,0))="","❔ Без категории",INDEX(lst_exp_item_cat,MATCH(E4213,lst_exp_items,0))),"❔ Без категории"))</f>
        <v/>
      </c>
      <c r="G4213" s="43" t="n"/>
      <c r="H4213" s="56" t="n"/>
      <c r="I4213" s="43" t="n"/>
      <c r="J4213" s="57">
        <f>IF(OR(A4213="",H4213=""),"",IF(COUNTIFS(exp_year,C4213,exp_month,D4213,exp_item,E4213,exp_status,"&lt;&gt;❌ Отменено")&gt;0,1,0))</f>
        <v/>
      </c>
    </row>
    <row r="4214">
      <c r="A4214" s="52" t="n"/>
      <c r="B4214" s="53">
        <f>IF(A4214="","",CHOOSE(WEEKDAY(A4214,2),"Пн","Вт","Ср","Чт","Пт","Сб","Вс"))</f>
        <v/>
      </c>
      <c r="C4214" s="53">
        <f>IF(A4214="","",YEAR(A4214))</f>
        <v/>
      </c>
      <c r="D4214" s="54">
        <f>IF(A4214="","",INDEX(lst_months,MONTH(A4214)))</f>
        <v/>
      </c>
      <c r="E4214" s="55" t="n"/>
      <c r="F4214" s="54">
        <f>IF(E4214="","",IFERROR(IF(INDEX(lst_exp_item_cat,MATCH(E4214,lst_exp_items,0))="","❔ Без категории",INDEX(lst_exp_item_cat,MATCH(E4214,lst_exp_items,0))),"❔ Без категории"))</f>
        <v/>
      </c>
      <c r="G4214" s="43" t="n"/>
      <c r="H4214" s="56" t="n"/>
      <c r="I4214" s="43" t="n"/>
      <c r="J4214" s="57">
        <f>IF(OR(A4214="",H4214=""),"",IF(COUNTIFS(exp_year,C4214,exp_month,D4214,exp_item,E4214,exp_status,"&lt;&gt;❌ Отменено")&gt;0,1,0))</f>
        <v/>
      </c>
    </row>
    <row r="4215">
      <c r="A4215" s="52" t="n"/>
      <c r="B4215" s="53">
        <f>IF(A4215="","",CHOOSE(WEEKDAY(A4215,2),"Пн","Вт","Ср","Чт","Пт","Сб","Вс"))</f>
        <v/>
      </c>
      <c r="C4215" s="53">
        <f>IF(A4215="","",YEAR(A4215))</f>
        <v/>
      </c>
      <c r="D4215" s="54">
        <f>IF(A4215="","",INDEX(lst_months,MONTH(A4215)))</f>
        <v/>
      </c>
      <c r="E4215" s="55" t="n"/>
      <c r="F4215" s="54">
        <f>IF(E4215="","",IFERROR(IF(INDEX(lst_exp_item_cat,MATCH(E4215,lst_exp_items,0))="","❔ Без категории",INDEX(lst_exp_item_cat,MATCH(E4215,lst_exp_items,0))),"❔ Без категории"))</f>
        <v/>
      </c>
      <c r="G4215" s="43" t="n"/>
      <c r="H4215" s="56" t="n"/>
      <c r="I4215" s="43" t="n"/>
      <c r="J4215" s="57">
        <f>IF(OR(A4215="",H4215=""),"",IF(COUNTIFS(exp_year,C4215,exp_month,D4215,exp_item,E4215,exp_status,"&lt;&gt;❌ Отменено")&gt;0,1,0))</f>
        <v/>
      </c>
    </row>
    <row r="4216">
      <c r="A4216" s="52" t="n"/>
      <c r="B4216" s="53">
        <f>IF(A4216="","",CHOOSE(WEEKDAY(A4216,2),"Пн","Вт","Ср","Чт","Пт","Сб","Вс"))</f>
        <v/>
      </c>
      <c r="C4216" s="53">
        <f>IF(A4216="","",YEAR(A4216))</f>
        <v/>
      </c>
      <c r="D4216" s="54">
        <f>IF(A4216="","",INDEX(lst_months,MONTH(A4216)))</f>
        <v/>
      </c>
      <c r="E4216" s="55" t="n"/>
      <c r="F4216" s="54">
        <f>IF(E4216="","",IFERROR(IF(INDEX(lst_exp_item_cat,MATCH(E4216,lst_exp_items,0))="","❔ Без категории",INDEX(lst_exp_item_cat,MATCH(E4216,lst_exp_items,0))),"❔ Без категории"))</f>
        <v/>
      </c>
      <c r="G4216" s="43" t="n"/>
      <c r="H4216" s="56" t="n"/>
      <c r="I4216" s="43" t="n"/>
      <c r="J4216" s="57">
        <f>IF(OR(A4216="",H4216=""),"",IF(COUNTIFS(exp_year,C4216,exp_month,D4216,exp_item,E4216,exp_status,"&lt;&gt;❌ Отменено")&gt;0,1,0))</f>
        <v/>
      </c>
    </row>
    <row r="4217">
      <c r="A4217" s="52" t="n"/>
      <c r="B4217" s="53">
        <f>IF(A4217="","",CHOOSE(WEEKDAY(A4217,2),"Пн","Вт","Ср","Чт","Пт","Сб","Вс"))</f>
        <v/>
      </c>
      <c r="C4217" s="53">
        <f>IF(A4217="","",YEAR(A4217))</f>
        <v/>
      </c>
      <c r="D4217" s="54">
        <f>IF(A4217="","",INDEX(lst_months,MONTH(A4217)))</f>
        <v/>
      </c>
      <c r="E4217" s="55" t="n"/>
      <c r="F4217" s="54">
        <f>IF(E4217="","",IFERROR(IF(INDEX(lst_exp_item_cat,MATCH(E4217,lst_exp_items,0))="","❔ Без категории",INDEX(lst_exp_item_cat,MATCH(E4217,lst_exp_items,0))),"❔ Без категории"))</f>
        <v/>
      </c>
      <c r="G4217" s="43" t="n"/>
      <c r="H4217" s="56" t="n"/>
      <c r="I4217" s="43" t="n"/>
      <c r="J4217" s="57">
        <f>IF(OR(A4217="",H4217=""),"",IF(COUNTIFS(exp_year,C4217,exp_month,D4217,exp_item,E4217,exp_status,"&lt;&gt;❌ Отменено")&gt;0,1,0))</f>
        <v/>
      </c>
    </row>
    <row r="4218">
      <c r="A4218" s="52" t="n"/>
      <c r="B4218" s="53">
        <f>IF(A4218="","",CHOOSE(WEEKDAY(A4218,2),"Пн","Вт","Ср","Чт","Пт","Сб","Вс"))</f>
        <v/>
      </c>
      <c r="C4218" s="53">
        <f>IF(A4218="","",YEAR(A4218))</f>
        <v/>
      </c>
      <c r="D4218" s="54">
        <f>IF(A4218="","",INDEX(lst_months,MONTH(A4218)))</f>
        <v/>
      </c>
      <c r="E4218" s="55" t="n"/>
      <c r="F4218" s="54">
        <f>IF(E4218="","",IFERROR(IF(INDEX(lst_exp_item_cat,MATCH(E4218,lst_exp_items,0))="","❔ Без категории",INDEX(lst_exp_item_cat,MATCH(E4218,lst_exp_items,0))),"❔ Без категории"))</f>
        <v/>
      </c>
      <c r="G4218" s="43" t="n"/>
      <c r="H4218" s="56" t="n"/>
      <c r="I4218" s="43" t="n"/>
      <c r="J4218" s="57">
        <f>IF(OR(A4218="",H4218=""),"",IF(COUNTIFS(exp_year,C4218,exp_month,D4218,exp_item,E4218,exp_status,"&lt;&gt;❌ Отменено")&gt;0,1,0))</f>
        <v/>
      </c>
    </row>
    <row r="4219">
      <c r="A4219" s="52" t="n"/>
      <c r="B4219" s="53">
        <f>IF(A4219="","",CHOOSE(WEEKDAY(A4219,2),"Пн","Вт","Ср","Чт","Пт","Сб","Вс"))</f>
        <v/>
      </c>
      <c r="C4219" s="53">
        <f>IF(A4219="","",YEAR(A4219))</f>
        <v/>
      </c>
      <c r="D4219" s="54">
        <f>IF(A4219="","",INDEX(lst_months,MONTH(A4219)))</f>
        <v/>
      </c>
      <c r="E4219" s="55" t="n"/>
      <c r="F4219" s="54">
        <f>IF(E4219="","",IFERROR(IF(INDEX(lst_exp_item_cat,MATCH(E4219,lst_exp_items,0))="","❔ Без категории",INDEX(lst_exp_item_cat,MATCH(E4219,lst_exp_items,0))),"❔ Без категории"))</f>
        <v/>
      </c>
      <c r="G4219" s="43" t="n"/>
      <c r="H4219" s="56" t="n"/>
      <c r="I4219" s="43" t="n"/>
      <c r="J4219" s="57">
        <f>IF(OR(A4219="",H4219=""),"",IF(COUNTIFS(exp_year,C4219,exp_month,D4219,exp_item,E4219,exp_status,"&lt;&gt;❌ Отменено")&gt;0,1,0))</f>
        <v/>
      </c>
    </row>
    <row r="4220">
      <c r="A4220" s="52" t="n"/>
      <c r="B4220" s="53">
        <f>IF(A4220="","",CHOOSE(WEEKDAY(A4220,2),"Пн","Вт","Ср","Чт","Пт","Сб","Вс"))</f>
        <v/>
      </c>
      <c r="C4220" s="53">
        <f>IF(A4220="","",YEAR(A4220))</f>
        <v/>
      </c>
      <c r="D4220" s="54">
        <f>IF(A4220="","",INDEX(lst_months,MONTH(A4220)))</f>
        <v/>
      </c>
      <c r="E4220" s="55" t="n"/>
      <c r="F4220" s="54">
        <f>IF(E4220="","",IFERROR(IF(INDEX(lst_exp_item_cat,MATCH(E4220,lst_exp_items,0))="","❔ Без категории",INDEX(lst_exp_item_cat,MATCH(E4220,lst_exp_items,0))),"❔ Без категории"))</f>
        <v/>
      </c>
      <c r="G4220" s="43" t="n"/>
      <c r="H4220" s="56" t="n"/>
      <c r="I4220" s="43" t="n"/>
      <c r="J4220" s="57">
        <f>IF(OR(A4220="",H4220=""),"",IF(COUNTIFS(exp_year,C4220,exp_month,D4220,exp_item,E4220,exp_status,"&lt;&gt;❌ Отменено")&gt;0,1,0))</f>
        <v/>
      </c>
    </row>
    <row r="4221">
      <c r="A4221" s="52" t="n"/>
      <c r="B4221" s="53">
        <f>IF(A4221="","",CHOOSE(WEEKDAY(A4221,2),"Пн","Вт","Ср","Чт","Пт","Сб","Вс"))</f>
        <v/>
      </c>
      <c r="C4221" s="53">
        <f>IF(A4221="","",YEAR(A4221))</f>
        <v/>
      </c>
      <c r="D4221" s="54">
        <f>IF(A4221="","",INDEX(lst_months,MONTH(A4221)))</f>
        <v/>
      </c>
      <c r="E4221" s="55" t="n"/>
      <c r="F4221" s="54">
        <f>IF(E4221="","",IFERROR(IF(INDEX(lst_exp_item_cat,MATCH(E4221,lst_exp_items,0))="","❔ Без категории",INDEX(lst_exp_item_cat,MATCH(E4221,lst_exp_items,0))),"❔ Без категории"))</f>
        <v/>
      </c>
      <c r="G4221" s="43" t="n"/>
      <c r="H4221" s="56" t="n"/>
      <c r="I4221" s="43" t="n"/>
      <c r="J4221" s="57">
        <f>IF(OR(A4221="",H4221=""),"",IF(COUNTIFS(exp_year,C4221,exp_month,D4221,exp_item,E4221,exp_status,"&lt;&gt;❌ Отменено")&gt;0,1,0))</f>
        <v/>
      </c>
    </row>
    <row r="4222">
      <c r="A4222" s="52" t="n"/>
      <c r="B4222" s="53">
        <f>IF(A4222="","",CHOOSE(WEEKDAY(A4222,2),"Пн","Вт","Ср","Чт","Пт","Сб","Вс"))</f>
        <v/>
      </c>
      <c r="C4222" s="53">
        <f>IF(A4222="","",YEAR(A4222))</f>
        <v/>
      </c>
      <c r="D4222" s="54">
        <f>IF(A4222="","",INDEX(lst_months,MONTH(A4222)))</f>
        <v/>
      </c>
      <c r="E4222" s="55" t="n"/>
      <c r="F4222" s="54">
        <f>IF(E4222="","",IFERROR(IF(INDEX(lst_exp_item_cat,MATCH(E4222,lst_exp_items,0))="","❔ Без категории",INDEX(lst_exp_item_cat,MATCH(E4222,lst_exp_items,0))),"❔ Без категории"))</f>
        <v/>
      </c>
      <c r="G4222" s="43" t="n"/>
      <c r="H4222" s="56" t="n"/>
      <c r="I4222" s="43" t="n"/>
      <c r="J4222" s="57">
        <f>IF(OR(A4222="",H4222=""),"",IF(COUNTIFS(exp_year,C4222,exp_month,D4222,exp_item,E4222,exp_status,"&lt;&gt;❌ Отменено")&gt;0,1,0))</f>
        <v/>
      </c>
    </row>
    <row r="4223">
      <c r="A4223" s="52" t="n"/>
      <c r="B4223" s="53">
        <f>IF(A4223="","",CHOOSE(WEEKDAY(A4223,2),"Пн","Вт","Ср","Чт","Пт","Сб","Вс"))</f>
        <v/>
      </c>
      <c r="C4223" s="53">
        <f>IF(A4223="","",YEAR(A4223))</f>
        <v/>
      </c>
      <c r="D4223" s="54">
        <f>IF(A4223="","",INDEX(lst_months,MONTH(A4223)))</f>
        <v/>
      </c>
      <c r="E4223" s="55" t="n"/>
      <c r="F4223" s="54">
        <f>IF(E4223="","",IFERROR(IF(INDEX(lst_exp_item_cat,MATCH(E4223,lst_exp_items,0))="","❔ Без категории",INDEX(lst_exp_item_cat,MATCH(E4223,lst_exp_items,0))),"❔ Без категории"))</f>
        <v/>
      </c>
      <c r="G4223" s="43" t="n"/>
      <c r="H4223" s="56" t="n"/>
      <c r="I4223" s="43" t="n"/>
      <c r="J4223" s="57">
        <f>IF(OR(A4223="",H4223=""),"",IF(COUNTIFS(exp_year,C4223,exp_month,D4223,exp_item,E4223,exp_status,"&lt;&gt;❌ Отменено")&gt;0,1,0))</f>
        <v/>
      </c>
    </row>
    <row r="4224">
      <c r="A4224" s="52" t="n"/>
      <c r="B4224" s="53">
        <f>IF(A4224="","",CHOOSE(WEEKDAY(A4224,2),"Пн","Вт","Ср","Чт","Пт","Сб","Вс"))</f>
        <v/>
      </c>
      <c r="C4224" s="53">
        <f>IF(A4224="","",YEAR(A4224))</f>
        <v/>
      </c>
      <c r="D4224" s="54">
        <f>IF(A4224="","",INDEX(lst_months,MONTH(A4224)))</f>
        <v/>
      </c>
      <c r="E4224" s="55" t="n"/>
      <c r="F4224" s="54">
        <f>IF(E4224="","",IFERROR(IF(INDEX(lst_exp_item_cat,MATCH(E4224,lst_exp_items,0))="","❔ Без категории",INDEX(lst_exp_item_cat,MATCH(E4224,lst_exp_items,0))),"❔ Без категории"))</f>
        <v/>
      </c>
      <c r="G4224" s="43" t="n"/>
      <c r="H4224" s="56" t="n"/>
      <c r="I4224" s="43" t="n"/>
      <c r="J4224" s="57">
        <f>IF(OR(A4224="",H4224=""),"",IF(COUNTIFS(exp_year,C4224,exp_month,D4224,exp_item,E4224,exp_status,"&lt;&gt;❌ Отменено")&gt;0,1,0))</f>
        <v/>
      </c>
    </row>
    <row r="4225">
      <c r="A4225" s="52" t="n"/>
      <c r="B4225" s="53">
        <f>IF(A4225="","",CHOOSE(WEEKDAY(A4225,2),"Пн","Вт","Ср","Чт","Пт","Сб","Вс"))</f>
        <v/>
      </c>
      <c r="C4225" s="53">
        <f>IF(A4225="","",YEAR(A4225))</f>
        <v/>
      </c>
      <c r="D4225" s="54">
        <f>IF(A4225="","",INDEX(lst_months,MONTH(A4225)))</f>
        <v/>
      </c>
      <c r="E4225" s="55" t="n"/>
      <c r="F4225" s="54">
        <f>IF(E4225="","",IFERROR(IF(INDEX(lst_exp_item_cat,MATCH(E4225,lst_exp_items,0))="","❔ Без категории",INDEX(lst_exp_item_cat,MATCH(E4225,lst_exp_items,0))),"❔ Без категории"))</f>
        <v/>
      </c>
      <c r="G4225" s="43" t="n"/>
      <c r="H4225" s="56" t="n"/>
      <c r="I4225" s="43" t="n"/>
      <c r="J4225" s="57">
        <f>IF(OR(A4225="",H4225=""),"",IF(COUNTIFS(exp_year,C4225,exp_month,D4225,exp_item,E4225,exp_status,"&lt;&gt;❌ Отменено")&gt;0,1,0))</f>
        <v/>
      </c>
    </row>
    <row r="4226">
      <c r="A4226" s="52" t="n"/>
      <c r="B4226" s="53">
        <f>IF(A4226="","",CHOOSE(WEEKDAY(A4226,2),"Пн","Вт","Ср","Чт","Пт","Сб","Вс"))</f>
        <v/>
      </c>
      <c r="C4226" s="53">
        <f>IF(A4226="","",YEAR(A4226))</f>
        <v/>
      </c>
      <c r="D4226" s="54">
        <f>IF(A4226="","",INDEX(lst_months,MONTH(A4226)))</f>
        <v/>
      </c>
      <c r="E4226" s="55" t="n"/>
      <c r="F4226" s="54">
        <f>IF(E4226="","",IFERROR(IF(INDEX(lst_exp_item_cat,MATCH(E4226,lst_exp_items,0))="","❔ Без категории",INDEX(lst_exp_item_cat,MATCH(E4226,lst_exp_items,0))),"❔ Без категории"))</f>
        <v/>
      </c>
      <c r="G4226" s="43" t="n"/>
      <c r="H4226" s="56" t="n"/>
      <c r="I4226" s="43" t="n"/>
      <c r="J4226" s="57">
        <f>IF(OR(A4226="",H4226=""),"",IF(COUNTIFS(exp_year,C4226,exp_month,D4226,exp_item,E4226,exp_status,"&lt;&gt;❌ Отменено")&gt;0,1,0))</f>
        <v/>
      </c>
    </row>
    <row r="4227">
      <c r="A4227" s="52" t="n"/>
      <c r="B4227" s="53">
        <f>IF(A4227="","",CHOOSE(WEEKDAY(A4227,2),"Пн","Вт","Ср","Чт","Пт","Сб","Вс"))</f>
        <v/>
      </c>
      <c r="C4227" s="53">
        <f>IF(A4227="","",YEAR(A4227))</f>
        <v/>
      </c>
      <c r="D4227" s="54">
        <f>IF(A4227="","",INDEX(lst_months,MONTH(A4227)))</f>
        <v/>
      </c>
      <c r="E4227" s="55" t="n"/>
      <c r="F4227" s="54">
        <f>IF(E4227="","",IFERROR(IF(INDEX(lst_exp_item_cat,MATCH(E4227,lst_exp_items,0))="","❔ Без категории",INDEX(lst_exp_item_cat,MATCH(E4227,lst_exp_items,0))),"❔ Без категории"))</f>
        <v/>
      </c>
      <c r="G4227" s="43" t="n"/>
      <c r="H4227" s="56" t="n"/>
      <c r="I4227" s="43" t="n"/>
      <c r="J4227" s="57">
        <f>IF(OR(A4227="",H4227=""),"",IF(COUNTIFS(exp_year,C4227,exp_month,D4227,exp_item,E4227,exp_status,"&lt;&gt;❌ Отменено")&gt;0,1,0))</f>
        <v/>
      </c>
    </row>
    <row r="4228">
      <c r="A4228" s="52" t="n"/>
      <c r="B4228" s="53">
        <f>IF(A4228="","",CHOOSE(WEEKDAY(A4228,2),"Пн","Вт","Ср","Чт","Пт","Сб","Вс"))</f>
        <v/>
      </c>
      <c r="C4228" s="53">
        <f>IF(A4228="","",YEAR(A4228))</f>
        <v/>
      </c>
      <c r="D4228" s="54">
        <f>IF(A4228="","",INDEX(lst_months,MONTH(A4228)))</f>
        <v/>
      </c>
      <c r="E4228" s="55" t="n"/>
      <c r="F4228" s="54">
        <f>IF(E4228="","",IFERROR(IF(INDEX(lst_exp_item_cat,MATCH(E4228,lst_exp_items,0))="","❔ Без категории",INDEX(lst_exp_item_cat,MATCH(E4228,lst_exp_items,0))),"❔ Без категории"))</f>
        <v/>
      </c>
      <c r="G4228" s="43" t="n"/>
      <c r="H4228" s="56" t="n"/>
      <c r="I4228" s="43" t="n"/>
      <c r="J4228" s="57">
        <f>IF(OR(A4228="",H4228=""),"",IF(COUNTIFS(exp_year,C4228,exp_month,D4228,exp_item,E4228,exp_status,"&lt;&gt;❌ Отменено")&gt;0,1,0))</f>
        <v/>
      </c>
    </row>
    <row r="4229">
      <c r="A4229" s="52" t="n"/>
      <c r="B4229" s="53">
        <f>IF(A4229="","",CHOOSE(WEEKDAY(A4229,2),"Пн","Вт","Ср","Чт","Пт","Сб","Вс"))</f>
        <v/>
      </c>
      <c r="C4229" s="53">
        <f>IF(A4229="","",YEAR(A4229))</f>
        <v/>
      </c>
      <c r="D4229" s="54">
        <f>IF(A4229="","",INDEX(lst_months,MONTH(A4229)))</f>
        <v/>
      </c>
      <c r="E4229" s="55" t="n"/>
      <c r="F4229" s="54">
        <f>IF(E4229="","",IFERROR(IF(INDEX(lst_exp_item_cat,MATCH(E4229,lst_exp_items,0))="","❔ Без категории",INDEX(lst_exp_item_cat,MATCH(E4229,lst_exp_items,0))),"❔ Без категории"))</f>
        <v/>
      </c>
      <c r="G4229" s="43" t="n"/>
      <c r="H4229" s="56" t="n"/>
      <c r="I4229" s="43" t="n"/>
      <c r="J4229" s="57">
        <f>IF(OR(A4229="",H4229=""),"",IF(COUNTIFS(exp_year,C4229,exp_month,D4229,exp_item,E4229,exp_status,"&lt;&gt;❌ Отменено")&gt;0,1,0))</f>
        <v/>
      </c>
    </row>
    <row r="4230">
      <c r="A4230" s="52" t="n"/>
      <c r="B4230" s="53">
        <f>IF(A4230="","",CHOOSE(WEEKDAY(A4230,2),"Пн","Вт","Ср","Чт","Пт","Сб","Вс"))</f>
        <v/>
      </c>
      <c r="C4230" s="53">
        <f>IF(A4230="","",YEAR(A4230))</f>
        <v/>
      </c>
      <c r="D4230" s="54">
        <f>IF(A4230="","",INDEX(lst_months,MONTH(A4230)))</f>
        <v/>
      </c>
      <c r="E4230" s="55" t="n"/>
      <c r="F4230" s="54">
        <f>IF(E4230="","",IFERROR(IF(INDEX(lst_exp_item_cat,MATCH(E4230,lst_exp_items,0))="","❔ Без категории",INDEX(lst_exp_item_cat,MATCH(E4230,lst_exp_items,0))),"❔ Без категории"))</f>
        <v/>
      </c>
      <c r="G4230" s="43" t="n"/>
      <c r="H4230" s="56" t="n"/>
      <c r="I4230" s="43" t="n"/>
      <c r="J4230" s="57">
        <f>IF(OR(A4230="",H4230=""),"",IF(COUNTIFS(exp_year,C4230,exp_month,D4230,exp_item,E4230,exp_status,"&lt;&gt;❌ Отменено")&gt;0,1,0))</f>
        <v/>
      </c>
    </row>
    <row r="4231">
      <c r="A4231" s="52" t="n"/>
      <c r="B4231" s="53">
        <f>IF(A4231="","",CHOOSE(WEEKDAY(A4231,2),"Пн","Вт","Ср","Чт","Пт","Сб","Вс"))</f>
        <v/>
      </c>
      <c r="C4231" s="53">
        <f>IF(A4231="","",YEAR(A4231))</f>
        <v/>
      </c>
      <c r="D4231" s="54">
        <f>IF(A4231="","",INDEX(lst_months,MONTH(A4231)))</f>
        <v/>
      </c>
      <c r="E4231" s="55" t="n"/>
      <c r="F4231" s="54">
        <f>IF(E4231="","",IFERROR(IF(INDEX(lst_exp_item_cat,MATCH(E4231,lst_exp_items,0))="","❔ Без категории",INDEX(lst_exp_item_cat,MATCH(E4231,lst_exp_items,0))),"❔ Без категории"))</f>
        <v/>
      </c>
      <c r="G4231" s="43" t="n"/>
      <c r="H4231" s="56" t="n"/>
      <c r="I4231" s="43" t="n"/>
      <c r="J4231" s="57">
        <f>IF(OR(A4231="",H4231=""),"",IF(COUNTIFS(exp_year,C4231,exp_month,D4231,exp_item,E4231,exp_status,"&lt;&gt;❌ Отменено")&gt;0,1,0))</f>
        <v/>
      </c>
    </row>
    <row r="4232">
      <c r="A4232" s="52" t="n"/>
      <c r="B4232" s="53">
        <f>IF(A4232="","",CHOOSE(WEEKDAY(A4232,2),"Пн","Вт","Ср","Чт","Пт","Сб","Вс"))</f>
        <v/>
      </c>
      <c r="C4232" s="53">
        <f>IF(A4232="","",YEAR(A4232))</f>
        <v/>
      </c>
      <c r="D4232" s="54">
        <f>IF(A4232="","",INDEX(lst_months,MONTH(A4232)))</f>
        <v/>
      </c>
      <c r="E4232" s="55" t="n"/>
      <c r="F4232" s="54">
        <f>IF(E4232="","",IFERROR(IF(INDEX(lst_exp_item_cat,MATCH(E4232,lst_exp_items,0))="","❔ Без категории",INDEX(lst_exp_item_cat,MATCH(E4232,lst_exp_items,0))),"❔ Без категории"))</f>
        <v/>
      </c>
      <c r="G4232" s="43" t="n"/>
      <c r="H4232" s="56" t="n"/>
      <c r="I4232" s="43" t="n"/>
      <c r="J4232" s="57">
        <f>IF(OR(A4232="",H4232=""),"",IF(COUNTIFS(exp_year,C4232,exp_month,D4232,exp_item,E4232,exp_status,"&lt;&gt;❌ Отменено")&gt;0,1,0))</f>
        <v/>
      </c>
    </row>
    <row r="4233">
      <c r="A4233" s="52" t="n"/>
      <c r="B4233" s="53">
        <f>IF(A4233="","",CHOOSE(WEEKDAY(A4233,2),"Пн","Вт","Ср","Чт","Пт","Сб","Вс"))</f>
        <v/>
      </c>
      <c r="C4233" s="53">
        <f>IF(A4233="","",YEAR(A4233))</f>
        <v/>
      </c>
      <c r="D4233" s="54">
        <f>IF(A4233="","",INDEX(lst_months,MONTH(A4233)))</f>
        <v/>
      </c>
      <c r="E4233" s="55" t="n"/>
      <c r="F4233" s="54">
        <f>IF(E4233="","",IFERROR(IF(INDEX(lst_exp_item_cat,MATCH(E4233,lst_exp_items,0))="","❔ Без категории",INDEX(lst_exp_item_cat,MATCH(E4233,lst_exp_items,0))),"❔ Без категории"))</f>
        <v/>
      </c>
      <c r="G4233" s="43" t="n"/>
      <c r="H4233" s="56" t="n"/>
      <c r="I4233" s="43" t="n"/>
      <c r="J4233" s="57">
        <f>IF(OR(A4233="",H4233=""),"",IF(COUNTIFS(exp_year,C4233,exp_month,D4233,exp_item,E4233,exp_status,"&lt;&gt;❌ Отменено")&gt;0,1,0))</f>
        <v/>
      </c>
    </row>
    <row r="4234">
      <c r="A4234" s="52" t="n"/>
      <c r="B4234" s="53">
        <f>IF(A4234="","",CHOOSE(WEEKDAY(A4234,2),"Пн","Вт","Ср","Чт","Пт","Сб","Вс"))</f>
        <v/>
      </c>
      <c r="C4234" s="53">
        <f>IF(A4234="","",YEAR(A4234))</f>
        <v/>
      </c>
      <c r="D4234" s="54">
        <f>IF(A4234="","",INDEX(lst_months,MONTH(A4234)))</f>
        <v/>
      </c>
      <c r="E4234" s="55" t="n"/>
      <c r="F4234" s="54">
        <f>IF(E4234="","",IFERROR(IF(INDEX(lst_exp_item_cat,MATCH(E4234,lst_exp_items,0))="","❔ Без категории",INDEX(lst_exp_item_cat,MATCH(E4234,lst_exp_items,0))),"❔ Без категории"))</f>
        <v/>
      </c>
      <c r="G4234" s="43" t="n"/>
      <c r="H4234" s="56" t="n"/>
      <c r="I4234" s="43" t="n"/>
      <c r="J4234" s="57">
        <f>IF(OR(A4234="",H4234=""),"",IF(COUNTIFS(exp_year,C4234,exp_month,D4234,exp_item,E4234,exp_status,"&lt;&gt;❌ Отменено")&gt;0,1,0))</f>
        <v/>
      </c>
    </row>
    <row r="4235">
      <c r="A4235" s="52" t="n"/>
      <c r="B4235" s="53">
        <f>IF(A4235="","",CHOOSE(WEEKDAY(A4235,2),"Пн","Вт","Ср","Чт","Пт","Сб","Вс"))</f>
        <v/>
      </c>
      <c r="C4235" s="53">
        <f>IF(A4235="","",YEAR(A4235))</f>
        <v/>
      </c>
      <c r="D4235" s="54">
        <f>IF(A4235="","",INDEX(lst_months,MONTH(A4235)))</f>
        <v/>
      </c>
      <c r="E4235" s="55" t="n"/>
      <c r="F4235" s="54">
        <f>IF(E4235="","",IFERROR(IF(INDEX(lst_exp_item_cat,MATCH(E4235,lst_exp_items,0))="","❔ Без категории",INDEX(lst_exp_item_cat,MATCH(E4235,lst_exp_items,0))),"❔ Без категории"))</f>
        <v/>
      </c>
      <c r="G4235" s="43" t="n"/>
      <c r="H4235" s="56" t="n"/>
      <c r="I4235" s="43" t="n"/>
      <c r="J4235" s="57">
        <f>IF(OR(A4235="",H4235=""),"",IF(COUNTIFS(exp_year,C4235,exp_month,D4235,exp_item,E4235,exp_status,"&lt;&gt;❌ Отменено")&gt;0,1,0))</f>
        <v/>
      </c>
    </row>
    <row r="4236">
      <c r="A4236" s="52" t="n"/>
      <c r="B4236" s="53">
        <f>IF(A4236="","",CHOOSE(WEEKDAY(A4236,2),"Пн","Вт","Ср","Чт","Пт","Сб","Вс"))</f>
        <v/>
      </c>
      <c r="C4236" s="53">
        <f>IF(A4236="","",YEAR(A4236))</f>
        <v/>
      </c>
      <c r="D4236" s="54">
        <f>IF(A4236="","",INDEX(lst_months,MONTH(A4236)))</f>
        <v/>
      </c>
      <c r="E4236" s="55" t="n"/>
      <c r="F4236" s="54">
        <f>IF(E4236="","",IFERROR(IF(INDEX(lst_exp_item_cat,MATCH(E4236,lst_exp_items,0))="","❔ Без категории",INDEX(lst_exp_item_cat,MATCH(E4236,lst_exp_items,0))),"❔ Без категории"))</f>
        <v/>
      </c>
      <c r="G4236" s="43" t="n"/>
      <c r="H4236" s="56" t="n"/>
      <c r="I4236" s="43" t="n"/>
      <c r="J4236" s="57">
        <f>IF(OR(A4236="",H4236=""),"",IF(COUNTIFS(exp_year,C4236,exp_month,D4236,exp_item,E4236,exp_status,"&lt;&gt;❌ Отменено")&gt;0,1,0))</f>
        <v/>
      </c>
    </row>
    <row r="4237">
      <c r="A4237" s="52" t="n"/>
      <c r="B4237" s="53">
        <f>IF(A4237="","",CHOOSE(WEEKDAY(A4237,2),"Пн","Вт","Ср","Чт","Пт","Сб","Вс"))</f>
        <v/>
      </c>
      <c r="C4237" s="53">
        <f>IF(A4237="","",YEAR(A4237))</f>
        <v/>
      </c>
      <c r="D4237" s="54">
        <f>IF(A4237="","",INDEX(lst_months,MONTH(A4237)))</f>
        <v/>
      </c>
      <c r="E4237" s="55" t="n"/>
      <c r="F4237" s="54">
        <f>IF(E4237="","",IFERROR(IF(INDEX(lst_exp_item_cat,MATCH(E4237,lst_exp_items,0))="","❔ Без категории",INDEX(lst_exp_item_cat,MATCH(E4237,lst_exp_items,0))),"❔ Без категории"))</f>
        <v/>
      </c>
      <c r="G4237" s="43" t="n"/>
      <c r="H4237" s="56" t="n"/>
      <c r="I4237" s="43" t="n"/>
      <c r="J4237" s="57">
        <f>IF(OR(A4237="",H4237=""),"",IF(COUNTIFS(exp_year,C4237,exp_month,D4237,exp_item,E4237,exp_status,"&lt;&gt;❌ Отменено")&gt;0,1,0))</f>
        <v/>
      </c>
    </row>
    <row r="4238">
      <c r="A4238" s="52" t="n"/>
      <c r="B4238" s="53">
        <f>IF(A4238="","",CHOOSE(WEEKDAY(A4238,2),"Пн","Вт","Ср","Чт","Пт","Сб","Вс"))</f>
        <v/>
      </c>
      <c r="C4238" s="53">
        <f>IF(A4238="","",YEAR(A4238))</f>
        <v/>
      </c>
      <c r="D4238" s="54">
        <f>IF(A4238="","",INDEX(lst_months,MONTH(A4238)))</f>
        <v/>
      </c>
      <c r="E4238" s="55" t="n"/>
      <c r="F4238" s="54">
        <f>IF(E4238="","",IFERROR(IF(INDEX(lst_exp_item_cat,MATCH(E4238,lst_exp_items,0))="","❔ Без категории",INDEX(lst_exp_item_cat,MATCH(E4238,lst_exp_items,0))),"❔ Без категории"))</f>
        <v/>
      </c>
      <c r="G4238" s="43" t="n"/>
      <c r="H4238" s="56" t="n"/>
      <c r="I4238" s="43" t="n"/>
      <c r="J4238" s="57">
        <f>IF(OR(A4238="",H4238=""),"",IF(COUNTIFS(exp_year,C4238,exp_month,D4238,exp_item,E4238,exp_status,"&lt;&gt;❌ Отменено")&gt;0,1,0))</f>
        <v/>
      </c>
    </row>
    <row r="4239">
      <c r="A4239" s="52" t="n"/>
      <c r="B4239" s="53">
        <f>IF(A4239="","",CHOOSE(WEEKDAY(A4239,2),"Пн","Вт","Ср","Чт","Пт","Сб","Вс"))</f>
        <v/>
      </c>
      <c r="C4239" s="53">
        <f>IF(A4239="","",YEAR(A4239))</f>
        <v/>
      </c>
      <c r="D4239" s="54">
        <f>IF(A4239="","",INDEX(lst_months,MONTH(A4239)))</f>
        <v/>
      </c>
      <c r="E4239" s="55" t="n"/>
      <c r="F4239" s="54">
        <f>IF(E4239="","",IFERROR(IF(INDEX(lst_exp_item_cat,MATCH(E4239,lst_exp_items,0))="","❔ Без категории",INDEX(lst_exp_item_cat,MATCH(E4239,lst_exp_items,0))),"❔ Без категории"))</f>
        <v/>
      </c>
      <c r="G4239" s="43" t="n"/>
      <c r="H4239" s="56" t="n"/>
      <c r="I4239" s="43" t="n"/>
      <c r="J4239" s="57">
        <f>IF(OR(A4239="",H4239=""),"",IF(COUNTIFS(exp_year,C4239,exp_month,D4239,exp_item,E4239,exp_status,"&lt;&gt;❌ Отменено")&gt;0,1,0))</f>
        <v/>
      </c>
    </row>
    <row r="4240">
      <c r="A4240" s="52" t="n"/>
      <c r="B4240" s="53">
        <f>IF(A4240="","",CHOOSE(WEEKDAY(A4240,2),"Пн","Вт","Ср","Чт","Пт","Сб","Вс"))</f>
        <v/>
      </c>
      <c r="C4240" s="53">
        <f>IF(A4240="","",YEAR(A4240))</f>
        <v/>
      </c>
      <c r="D4240" s="54">
        <f>IF(A4240="","",INDEX(lst_months,MONTH(A4240)))</f>
        <v/>
      </c>
      <c r="E4240" s="55" t="n"/>
      <c r="F4240" s="54">
        <f>IF(E4240="","",IFERROR(IF(INDEX(lst_exp_item_cat,MATCH(E4240,lst_exp_items,0))="","❔ Без категории",INDEX(lst_exp_item_cat,MATCH(E4240,lst_exp_items,0))),"❔ Без категории"))</f>
        <v/>
      </c>
      <c r="G4240" s="43" t="n"/>
      <c r="H4240" s="56" t="n"/>
      <c r="I4240" s="43" t="n"/>
      <c r="J4240" s="57">
        <f>IF(OR(A4240="",H4240=""),"",IF(COUNTIFS(exp_year,C4240,exp_month,D4240,exp_item,E4240,exp_status,"&lt;&gt;❌ Отменено")&gt;0,1,0))</f>
        <v/>
      </c>
    </row>
    <row r="4241">
      <c r="A4241" s="52" t="n"/>
      <c r="B4241" s="53">
        <f>IF(A4241="","",CHOOSE(WEEKDAY(A4241,2),"Пн","Вт","Ср","Чт","Пт","Сб","Вс"))</f>
        <v/>
      </c>
      <c r="C4241" s="53">
        <f>IF(A4241="","",YEAR(A4241))</f>
        <v/>
      </c>
      <c r="D4241" s="54">
        <f>IF(A4241="","",INDEX(lst_months,MONTH(A4241)))</f>
        <v/>
      </c>
      <c r="E4241" s="55" t="n"/>
      <c r="F4241" s="54">
        <f>IF(E4241="","",IFERROR(IF(INDEX(lst_exp_item_cat,MATCH(E4241,lst_exp_items,0))="","❔ Без категории",INDEX(lst_exp_item_cat,MATCH(E4241,lst_exp_items,0))),"❔ Без категории"))</f>
        <v/>
      </c>
      <c r="G4241" s="43" t="n"/>
      <c r="H4241" s="56" t="n"/>
      <c r="I4241" s="43" t="n"/>
      <c r="J4241" s="57">
        <f>IF(OR(A4241="",H4241=""),"",IF(COUNTIFS(exp_year,C4241,exp_month,D4241,exp_item,E4241,exp_status,"&lt;&gt;❌ Отменено")&gt;0,1,0))</f>
        <v/>
      </c>
    </row>
    <row r="4242">
      <c r="A4242" s="52" t="n"/>
      <c r="B4242" s="53">
        <f>IF(A4242="","",CHOOSE(WEEKDAY(A4242,2),"Пн","Вт","Ср","Чт","Пт","Сб","Вс"))</f>
        <v/>
      </c>
      <c r="C4242" s="53">
        <f>IF(A4242="","",YEAR(A4242))</f>
        <v/>
      </c>
      <c r="D4242" s="54">
        <f>IF(A4242="","",INDEX(lst_months,MONTH(A4242)))</f>
        <v/>
      </c>
      <c r="E4242" s="55" t="n"/>
      <c r="F4242" s="54">
        <f>IF(E4242="","",IFERROR(IF(INDEX(lst_exp_item_cat,MATCH(E4242,lst_exp_items,0))="","❔ Без категории",INDEX(lst_exp_item_cat,MATCH(E4242,lst_exp_items,0))),"❔ Без категории"))</f>
        <v/>
      </c>
      <c r="G4242" s="43" t="n"/>
      <c r="H4242" s="56" t="n"/>
      <c r="I4242" s="43" t="n"/>
      <c r="J4242" s="57">
        <f>IF(OR(A4242="",H4242=""),"",IF(COUNTIFS(exp_year,C4242,exp_month,D4242,exp_item,E4242,exp_status,"&lt;&gt;❌ Отменено")&gt;0,1,0))</f>
        <v/>
      </c>
    </row>
    <row r="4243">
      <c r="A4243" s="52" t="n"/>
      <c r="B4243" s="53">
        <f>IF(A4243="","",CHOOSE(WEEKDAY(A4243,2),"Пн","Вт","Ср","Чт","Пт","Сб","Вс"))</f>
        <v/>
      </c>
      <c r="C4243" s="53">
        <f>IF(A4243="","",YEAR(A4243))</f>
        <v/>
      </c>
      <c r="D4243" s="54">
        <f>IF(A4243="","",INDEX(lst_months,MONTH(A4243)))</f>
        <v/>
      </c>
      <c r="E4243" s="55" t="n"/>
      <c r="F4243" s="54">
        <f>IF(E4243="","",IFERROR(IF(INDEX(lst_exp_item_cat,MATCH(E4243,lst_exp_items,0))="","❔ Без категории",INDEX(lst_exp_item_cat,MATCH(E4243,lst_exp_items,0))),"❔ Без категории"))</f>
        <v/>
      </c>
      <c r="G4243" s="43" t="n"/>
      <c r="H4243" s="56" t="n"/>
      <c r="I4243" s="43" t="n"/>
      <c r="J4243" s="57">
        <f>IF(OR(A4243="",H4243=""),"",IF(COUNTIFS(exp_year,C4243,exp_month,D4243,exp_item,E4243,exp_status,"&lt;&gt;❌ Отменено")&gt;0,1,0))</f>
        <v/>
      </c>
    </row>
    <row r="4244">
      <c r="A4244" s="52" t="n"/>
      <c r="B4244" s="53">
        <f>IF(A4244="","",CHOOSE(WEEKDAY(A4244,2),"Пн","Вт","Ср","Чт","Пт","Сб","Вс"))</f>
        <v/>
      </c>
      <c r="C4244" s="53">
        <f>IF(A4244="","",YEAR(A4244))</f>
        <v/>
      </c>
      <c r="D4244" s="54">
        <f>IF(A4244="","",INDEX(lst_months,MONTH(A4244)))</f>
        <v/>
      </c>
      <c r="E4244" s="55" t="n"/>
      <c r="F4244" s="54">
        <f>IF(E4244="","",IFERROR(IF(INDEX(lst_exp_item_cat,MATCH(E4244,lst_exp_items,0))="","❔ Без категории",INDEX(lst_exp_item_cat,MATCH(E4244,lst_exp_items,0))),"❔ Без категории"))</f>
        <v/>
      </c>
      <c r="G4244" s="43" t="n"/>
      <c r="H4244" s="56" t="n"/>
      <c r="I4244" s="43" t="n"/>
      <c r="J4244" s="57">
        <f>IF(OR(A4244="",H4244=""),"",IF(COUNTIFS(exp_year,C4244,exp_month,D4244,exp_item,E4244,exp_status,"&lt;&gt;❌ Отменено")&gt;0,1,0))</f>
        <v/>
      </c>
    </row>
    <row r="4245">
      <c r="A4245" s="52" t="n"/>
      <c r="B4245" s="53">
        <f>IF(A4245="","",CHOOSE(WEEKDAY(A4245,2),"Пн","Вт","Ср","Чт","Пт","Сб","Вс"))</f>
        <v/>
      </c>
      <c r="C4245" s="53">
        <f>IF(A4245="","",YEAR(A4245))</f>
        <v/>
      </c>
      <c r="D4245" s="54">
        <f>IF(A4245="","",INDEX(lst_months,MONTH(A4245)))</f>
        <v/>
      </c>
      <c r="E4245" s="55" t="n"/>
      <c r="F4245" s="54">
        <f>IF(E4245="","",IFERROR(IF(INDEX(lst_exp_item_cat,MATCH(E4245,lst_exp_items,0))="","❔ Без категории",INDEX(lst_exp_item_cat,MATCH(E4245,lst_exp_items,0))),"❔ Без категории"))</f>
        <v/>
      </c>
      <c r="G4245" s="43" t="n"/>
      <c r="H4245" s="56" t="n"/>
      <c r="I4245" s="43" t="n"/>
      <c r="J4245" s="57">
        <f>IF(OR(A4245="",H4245=""),"",IF(COUNTIFS(exp_year,C4245,exp_month,D4245,exp_item,E4245,exp_status,"&lt;&gt;❌ Отменено")&gt;0,1,0))</f>
        <v/>
      </c>
    </row>
    <row r="4246">
      <c r="A4246" s="52" t="n"/>
      <c r="B4246" s="53">
        <f>IF(A4246="","",CHOOSE(WEEKDAY(A4246,2),"Пн","Вт","Ср","Чт","Пт","Сб","Вс"))</f>
        <v/>
      </c>
      <c r="C4246" s="53">
        <f>IF(A4246="","",YEAR(A4246))</f>
        <v/>
      </c>
      <c r="D4246" s="54">
        <f>IF(A4246="","",INDEX(lst_months,MONTH(A4246)))</f>
        <v/>
      </c>
      <c r="E4246" s="55" t="n"/>
      <c r="F4246" s="54">
        <f>IF(E4246="","",IFERROR(IF(INDEX(lst_exp_item_cat,MATCH(E4246,lst_exp_items,0))="","❔ Без категории",INDEX(lst_exp_item_cat,MATCH(E4246,lst_exp_items,0))),"❔ Без категории"))</f>
        <v/>
      </c>
      <c r="G4246" s="43" t="n"/>
      <c r="H4246" s="56" t="n"/>
      <c r="I4246" s="43" t="n"/>
      <c r="J4246" s="57">
        <f>IF(OR(A4246="",H4246=""),"",IF(COUNTIFS(exp_year,C4246,exp_month,D4246,exp_item,E4246,exp_status,"&lt;&gt;❌ Отменено")&gt;0,1,0))</f>
        <v/>
      </c>
    </row>
    <row r="4247">
      <c r="A4247" s="52" t="n"/>
      <c r="B4247" s="53">
        <f>IF(A4247="","",CHOOSE(WEEKDAY(A4247,2),"Пн","Вт","Ср","Чт","Пт","Сб","Вс"))</f>
        <v/>
      </c>
      <c r="C4247" s="53">
        <f>IF(A4247="","",YEAR(A4247))</f>
        <v/>
      </c>
      <c r="D4247" s="54">
        <f>IF(A4247="","",INDEX(lst_months,MONTH(A4247)))</f>
        <v/>
      </c>
      <c r="E4247" s="55" t="n"/>
      <c r="F4247" s="54">
        <f>IF(E4247="","",IFERROR(IF(INDEX(lst_exp_item_cat,MATCH(E4247,lst_exp_items,0))="","❔ Без категории",INDEX(lst_exp_item_cat,MATCH(E4247,lst_exp_items,0))),"❔ Без категории"))</f>
        <v/>
      </c>
      <c r="G4247" s="43" t="n"/>
      <c r="H4247" s="56" t="n"/>
      <c r="I4247" s="43" t="n"/>
      <c r="J4247" s="57">
        <f>IF(OR(A4247="",H4247=""),"",IF(COUNTIFS(exp_year,C4247,exp_month,D4247,exp_item,E4247,exp_status,"&lt;&gt;❌ Отменено")&gt;0,1,0))</f>
        <v/>
      </c>
    </row>
    <row r="4248">
      <c r="A4248" s="52" t="n"/>
      <c r="B4248" s="53">
        <f>IF(A4248="","",CHOOSE(WEEKDAY(A4248,2),"Пн","Вт","Ср","Чт","Пт","Сб","Вс"))</f>
        <v/>
      </c>
      <c r="C4248" s="53">
        <f>IF(A4248="","",YEAR(A4248))</f>
        <v/>
      </c>
      <c r="D4248" s="54">
        <f>IF(A4248="","",INDEX(lst_months,MONTH(A4248)))</f>
        <v/>
      </c>
      <c r="E4248" s="55" t="n"/>
      <c r="F4248" s="54">
        <f>IF(E4248="","",IFERROR(IF(INDEX(lst_exp_item_cat,MATCH(E4248,lst_exp_items,0))="","❔ Без категории",INDEX(lst_exp_item_cat,MATCH(E4248,lst_exp_items,0))),"❔ Без категории"))</f>
        <v/>
      </c>
      <c r="G4248" s="43" t="n"/>
      <c r="H4248" s="56" t="n"/>
      <c r="I4248" s="43" t="n"/>
      <c r="J4248" s="57">
        <f>IF(OR(A4248="",H4248=""),"",IF(COUNTIFS(exp_year,C4248,exp_month,D4248,exp_item,E4248,exp_status,"&lt;&gt;❌ Отменено")&gt;0,1,0))</f>
        <v/>
      </c>
    </row>
    <row r="4249">
      <c r="A4249" s="52" t="n"/>
      <c r="B4249" s="53">
        <f>IF(A4249="","",CHOOSE(WEEKDAY(A4249,2),"Пн","Вт","Ср","Чт","Пт","Сб","Вс"))</f>
        <v/>
      </c>
      <c r="C4249" s="53">
        <f>IF(A4249="","",YEAR(A4249))</f>
        <v/>
      </c>
      <c r="D4249" s="54">
        <f>IF(A4249="","",INDEX(lst_months,MONTH(A4249)))</f>
        <v/>
      </c>
      <c r="E4249" s="55" t="n"/>
      <c r="F4249" s="54">
        <f>IF(E4249="","",IFERROR(IF(INDEX(lst_exp_item_cat,MATCH(E4249,lst_exp_items,0))="","❔ Без категории",INDEX(lst_exp_item_cat,MATCH(E4249,lst_exp_items,0))),"❔ Без категории"))</f>
        <v/>
      </c>
      <c r="G4249" s="43" t="n"/>
      <c r="H4249" s="56" t="n"/>
      <c r="I4249" s="43" t="n"/>
      <c r="J4249" s="57">
        <f>IF(OR(A4249="",H4249=""),"",IF(COUNTIFS(exp_year,C4249,exp_month,D4249,exp_item,E4249,exp_status,"&lt;&gt;❌ Отменено")&gt;0,1,0))</f>
        <v/>
      </c>
    </row>
    <row r="4250">
      <c r="A4250" s="52" t="n"/>
      <c r="B4250" s="53">
        <f>IF(A4250="","",CHOOSE(WEEKDAY(A4250,2),"Пн","Вт","Ср","Чт","Пт","Сб","Вс"))</f>
        <v/>
      </c>
      <c r="C4250" s="53">
        <f>IF(A4250="","",YEAR(A4250))</f>
        <v/>
      </c>
      <c r="D4250" s="54">
        <f>IF(A4250="","",INDEX(lst_months,MONTH(A4250)))</f>
        <v/>
      </c>
      <c r="E4250" s="55" t="n"/>
      <c r="F4250" s="54">
        <f>IF(E4250="","",IFERROR(IF(INDEX(lst_exp_item_cat,MATCH(E4250,lst_exp_items,0))="","❔ Без категории",INDEX(lst_exp_item_cat,MATCH(E4250,lst_exp_items,0))),"❔ Без категории"))</f>
        <v/>
      </c>
      <c r="G4250" s="43" t="n"/>
      <c r="H4250" s="56" t="n"/>
      <c r="I4250" s="43" t="n"/>
      <c r="J4250" s="57">
        <f>IF(OR(A4250="",H4250=""),"",IF(COUNTIFS(exp_year,C4250,exp_month,D4250,exp_item,E4250,exp_status,"&lt;&gt;❌ Отменено")&gt;0,1,0))</f>
        <v/>
      </c>
    </row>
    <row r="4251">
      <c r="A4251" s="52" t="n"/>
      <c r="B4251" s="53">
        <f>IF(A4251="","",CHOOSE(WEEKDAY(A4251,2),"Пн","Вт","Ср","Чт","Пт","Сб","Вс"))</f>
        <v/>
      </c>
      <c r="C4251" s="53">
        <f>IF(A4251="","",YEAR(A4251))</f>
        <v/>
      </c>
      <c r="D4251" s="54">
        <f>IF(A4251="","",INDEX(lst_months,MONTH(A4251)))</f>
        <v/>
      </c>
      <c r="E4251" s="55" t="n"/>
      <c r="F4251" s="54">
        <f>IF(E4251="","",IFERROR(IF(INDEX(lst_exp_item_cat,MATCH(E4251,lst_exp_items,0))="","❔ Без категории",INDEX(lst_exp_item_cat,MATCH(E4251,lst_exp_items,0))),"❔ Без категории"))</f>
        <v/>
      </c>
      <c r="G4251" s="43" t="n"/>
      <c r="H4251" s="56" t="n"/>
      <c r="I4251" s="43" t="n"/>
      <c r="J4251" s="57">
        <f>IF(OR(A4251="",H4251=""),"",IF(COUNTIFS(exp_year,C4251,exp_month,D4251,exp_item,E4251,exp_status,"&lt;&gt;❌ Отменено")&gt;0,1,0))</f>
        <v/>
      </c>
    </row>
    <row r="4252">
      <c r="A4252" s="52" t="n"/>
      <c r="B4252" s="53">
        <f>IF(A4252="","",CHOOSE(WEEKDAY(A4252,2),"Пн","Вт","Ср","Чт","Пт","Сб","Вс"))</f>
        <v/>
      </c>
      <c r="C4252" s="53">
        <f>IF(A4252="","",YEAR(A4252))</f>
        <v/>
      </c>
      <c r="D4252" s="54">
        <f>IF(A4252="","",INDEX(lst_months,MONTH(A4252)))</f>
        <v/>
      </c>
      <c r="E4252" s="55" t="n"/>
      <c r="F4252" s="54">
        <f>IF(E4252="","",IFERROR(IF(INDEX(lst_exp_item_cat,MATCH(E4252,lst_exp_items,0))="","❔ Без категории",INDEX(lst_exp_item_cat,MATCH(E4252,lst_exp_items,0))),"❔ Без категории"))</f>
        <v/>
      </c>
      <c r="G4252" s="43" t="n"/>
      <c r="H4252" s="56" t="n"/>
      <c r="I4252" s="43" t="n"/>
      <c r="J4252" s="57">
        <f>IF(OR(A4252="",H4252=""),"",IF(COUNTIFS(exp_year,C4252,exp_month,D4252,exp_item,E4252,exp_status,"&lt;&gt;❌ Отменено")&gt;0,1,0))</f>
        <v/>
      </c>
    </row>
    <row r="4253">
      <c r="A4253" s="52" t="n"/>
      <c r="B4253" s="53">
        <f>IF(A4253="","",CHOOSE(WEEKDAY(A4253,2),"Пн","Вт","Ср","Чт","Пт","Сб","Вс"))</f>
        <v/>
      </c>
      <c r="C4253" s="53">
        <f>IF(A4253="","",YEAR(A4253))</f>
        <v/>
      </c>
      <c r="D4253" s="54">
        <f>IF(A4253="","",INDEX(lst_months,MONTH(A4253)))</f>
        <v/>
      </c>
      <c r="E4253" s="55" t="n"/>
      <c r="F4253" s="54">
        <f>IF(E4253="","",IFERROR(IF(INDEX(lst_exp_item_cat,MATCH(E4253,lst_exp_items,0))="","❔ Без категории",INDEX(lst_exp_item_cat,MATCH(E4253,lst_exp_items,0))),"❔ Без категории"))</f>
        <v/>
      </c>
      <c r="G4253" s="43" t="n"/>
      <c r="H4253" s="56" t="n"/>
      <c r="I4253" s="43" t="n"/>
      <c r="J4253" s="57">
        <f>IF(OR(A4253="",H4253=""),"",IF(COUNTIFS(exp_year,C4253,exp_month,D4253,exp_item,E4253,exp_status,"&lt;&gt;❌ Отменено")&gt;0,1,0))</f>
        <v/>
      </c>
    </row>
    <row r="4254">
      <c r="A4254" s="52" t="n"/>
      <c r="B4254" s="53">
        <f>IF(A4254="","",CHOOSE(WEEKDAY(A4254,2),"Пн","Вт","Ср","Чт","Пт","Сб","Вс"))</f>
        <v/>
      </c>
      <c r="C4254" s="53">
        <f>IF(A4254="","",YEAR(A4254))</f>
        <v/>
      </c>
      <c r="D4254" s="54">
        <f>IF(A4254="","",INDEX(lst_months,MONTH(A4254)))</f>
        <v/>
      </c>
      <c r="E4254" s="55" t="n"/>
      <c r="F4254" s="54">
        <f>IF(E4254="","",IFERROR(IF(INDEX(lst_exp_item_cat,MATCH(E4254,lst_exp_items,0))="","❔ Без категории",INDEX(lst_exp_item_cat,MATCH(E4254,lst_exp_items,0))),"❔ Без категории"))</f>
        <v/>
      </c>
      <c r="G4254" s="43" t="n"/>
      <c r="H4254" s="56" t="n"/>
      <c r="I4254" s="43" t="n"/>
      <c r="J4254" s="57">
        <f>IF(OR(A4254="",H4254=""),"",IF(COUNTIFS(exp_year,C4254,exp_month,D4254,exp_item,E4254,exp_status,"&lt;&gt;❌ Отменено")&gt;0,1,0))</f>
        <v/>
      </c>
    </row>
    <row r="4255">
      <c r="A4255" s="52" t="n"/>
      <c r="B4255" s="53">
        <f>IF(A4255="","",CHOOSE(WEEKDAY(A4255,2),"Пн","Вт","Ср","Чт","Пт","Сб","Вс"))</f>
        <v/>
      </c>
      <c r="C4255" s="53">
        <f>IF(A4255="","",YEAR(A4255))</f>
        <v/>
      </c>
      <c r="D4255" s="54">
        <f>IF(A4255="","",INDEX(lst_months,MONTH(A4255)))</f>
        <v/>
      </c>
      <c r="E4255" s="55" t="n"/>
      <c r="F4255" s="54">
        <f>IF(E4255="","",IFERROR(IF(INDEX(lst_exp_item_cat,MATCH(E4255,lst_exp_items,0))="","❔ Без категории",INDEX(lst_exp_item_cat,MATCH(E4255,lst_exp_items,0))),"❔ Без категории"))</f>
        <v/>
      </c>
      <c r="G4255" s="43" t="n"/>
      <c r="H4255" s="56" t="n"/>
      <c r="I4255" s="43" t="n"/>
      <c r="J4255" s="57">
        <f>IF(OR(A4255="",H4255=""),"",IF(COUNTIFS(exp_year,C4255,exp_month,D4255,exp_item,E4255,exp_status,"&lt;&gt;❌ Отменено")&gt;0,1,0))</f>
        <v/>
      </c>
    </row>
    <row r="4256">
      <c r="A4256" s="52" t="n"/>
      <c r="B4256" s="53">
        <f>IF(A4256="","",CHOOSE(WEEKDAY(A4256,2),"Пн","Вт","Ср","Чт","Пт","Сб","Вс"))</f>
        <v/>
      </c>
      <c r="C4256" s="53">
        <f>IF(A4256="","",YEAR(A4256))</f>
        <v/>
      </c>
      <c r="D4256" s="54">
        <f>IF(A4256="","",INDEX(lst_months,MONTH(A4256)))</f>
        <v/>
      </c>
      <c r="E4256" s="55" t="n"/>
      <c r="F4256" s="54">
        <f>IF(E4256="","",IFERROR(IF(INDEX(lst_exp_item_cat,MATCH(E4256,lst_exp_items,0))="","❔ Без категории",INDEX(lst_exp_item_cat,MATCH(E4256,lst_exp_items,0))),"❔ Без категории"))</f>
        <v/>
      </c>
      <c r="G4256" s="43" t="n"/>
      <c r="H4256" s="56" t="n"/>
      <c r="I4256" s="43" t="n"/>
      <c r="J4256" s="57">
        <f>IF(OR(A4256="",H4256=""),"",IF(COUNTIFS(exp_year,C4256,exp_month,D4256,exp_item,E4256,exp_status,"&lt;&gt;❌ Отменено")&gt;0,1,0))</f>
        <v/>
      </c>
    </row>
    <row r="4257">
      <c r="A4257" s="52" t="n"/>
      <c r="B4257" s="53">
        <f>IF(A4257="","",CHOOSE(WEEKDAY(A4257,2),"Пн","Вт","Ср","Чт","Пт","Сб","Вс"))</f>
        <v/>
      </c>
      <c r="C4257" s="53">
        <f>IF(A4257="","",YEAR(A4257))</f>
        <v/>
      </c>
      <c r="D4257" s="54">
        <f>IF(A4257="","",INDEX(lst_months,MONTH(A4257)))</f>
        <v/>
      </c>
      <c r="E4257" s="55" t="n"/>
      <c r="F4257" s="54">
        <f>IF(E4257="","",IFERROR(IF(INDEX(lst_exp_item_cat,MATCH(E4257,lst_exp_items,0))="","❔ Без категории",INDEX(lst_exp_item_cat,MATCH(E4257,lst_exp_items,0))),"❔ Без категории"))</f>
        <v/>
      </c>
      <c r="G4257" s="43" t="n"/>
      <c r="H4257" s="56" t="n"/>
      <c r="I4257" s="43" t="n"/>
      <c r="J4257" s="57">
        <f>IF(OR(A4257="",H4257=""),"",IF(COUNTIFS(exp_year,C4257,exp_month,D4257,exp_item,E4257,exp_status,"&lt;&gt;❌ Отменено")&gt;0,1,0))</f>
        <v/>
      </c>
    </row>
    <row r="4258">
      <c r="A4258" s="52" t="n"/>
      <c r="B4258" s="53">
        <f>IF(A4258="","",CHOOSE(WEEKDAY(A4258,2),"Пн","Вт","Ср","Чт","Пт","Сб","Вс"))</f>
        <v/>
      </c>
      <c r="C4258" s="53">
        <f>IF(A4258="","",YEAR(A4258))</f>
        <v/>
      </c>
      <c r="D4258" s="54">
        <f>IF(A4258="","",INDEX(lst_months,MONTH(A4258)))</f>
        <v/>
      </c>
      <c r="E4258" s="55" t="n"/>
      <c r="F4258" s="54">
        <f>IF(E4258="","",IFERROR(IF(INDEX(lst_exp_item_cat,MATCH(E4258,lst_exp_items,0))="","❔ Без категории",INDEX(lst_exp_item_cat,MATCH(E4258,lst_exp_items,0))),"❔ Без категории"))</f>
        <v/>
      </c>
      <c r="G4258" s="43" t="n"/>
      <c r="H4258" s="56" t="n"/>
      <c r="I4258" s="43" t="n"/>
      <c r="J4258" s="57">
        <f>IF(OR(A4258="",H4258=""),"",IF(COUNTIFS(exp_year,C4258,exp_month,D4258,exp_item,E4258,exp_status,"&lt;&gt;❌ Отменено")&gt;0,1,0))</f>
        <v/>
      </c>
    </row>
    <row r="4259">
      <c r="A4259" s="52" t="n"/>
      <c r="B4259" s="53">
        <f>IF(A4259="","",CHOOSE(WEEKDAY(A4259,2),"Пн","Вт","Ср","Чт","Пт","Сб","Вс"))</f>
        <v/>
      </c>
      <c r="C4259" s="53">
        <f>IF(A4259="","",YEAR(A4259))</f>
        <v/>
      </c>
      <c r="D4259" s="54">
        <f>IF(A4259="","",INDEX(lst_months,MONTH(A4259)))</f>
        <v/>
      </c>
      <c r="E4259" s="55" t="n"/>
      <c r="F4259" s="54">
        <f>IF(E4259="","",IFERROR(IF(INDEX(lst_exp_item_cat,MATCH(E4259,lst_exp_items,0))="","❔ Без категории",INDEX(lst_exp_item_cat,MATCH(E4259,lst_exp_items,0))),"❔ Без категории"))</f>
        <v/>
      </c>
      <c r="G4259" s="43" t="n"/>
      <c r="H4259" s="56" t="n"/>
      <c r="I4259" s="43" t="n"/>
      <c r="J4259" s="57">
        <f>IF(OR(A4259="",H4259=""),"",IF(COUNTIFS(exp_year,C4259,exp_month,D4259,exp_item,E4259,exp_status,"&lt;&gt;❌ Отменено")&gt;0,1,0))</f>
        <v/>
      </c>
    </row>
    <row r="4260">
      <c r="A4260" s="52" t="n"/>
      <c r="B4260" s="53">
        <f>IF(A4260="","",CHOOSE(WEEKDAY(A4260,2),"Пн","Вт","Ср","Чт","Пт","Сб","Вс"))</f>
        <v/>
      </c>
      <c r="C4260" s="53">
        <f>IF(A4260="","",YEAR(A4260))</f>
        <v/>
      </c>
      <c r="D4260" s="54">
        <f>IF(A4260="","",INDEX(lst_months,MONTH(A4260)))</f>
        <v/>
      </c>
      <c r="E4260" s="55" t="n"/>
      <c r="F4260" s="54">
        <f>IF(E4260="","",IFERROR(IF(INDEX(lst_exp_item_cat,MATCH(E4260,lst_exp_items,0))="","❔ Без категории",INDEX(lst_exp_item_cat,MATCH(E4260,lst_exp_items,0))),"❔ Без категории"))</f>
        <v/>
      </c>
      <c r="G4260" s="43" t="n"/>
      <c r="H4260" s="56" t="n"/>
      <c r="I4260" s="43" t="n"/>
      <c r="J4260" s="57">
        <f>IF(OR(A4260="",H4260=""),"",IF(COUNTIFS(exp_year,C4260,exp_month,D4260,exp_item,E4260,exp_status,"&lt;&gt;❌ Отменено")&gt;0,1,0))</f>
        <v/>
      </c>
    </row>
    <row r="4261">
      <c r="A4261" s="52" t="n"/>
      <c r="B4261" s="53">
        <f>IF(A4261="","",CHOOSE(WEEKDAY(A4261,2),"Пн","Вт","Ср","Чт","Пт","Сб","Вс"))</f>
        <v/>
      </c>
      <c r="C4261" s="53">
        <f>IF(A4261="","",YEAR(A4261))</f>
        <v/>
      </c>
      <c r="D4261" s="54">
        <f>IF(A4261="","",INDEX(lst_months,MONTH(A4261)))</f>
        <v/>
      </c>
      <c r="E4261" s="55" t="n"/>
      <c r="F4261" s="54">
        <f>IF(E4261="","",IFERROR(IF(INDEX(lst_exp_item_cat,MATCH(E4261,lst_exp_items,0))="","❔ Без категории",INDEX(lst_exp_item_cat,MATCH(E4261,lst_exp_items,0))),"❔ Без категории"))</f>
        <v/>
      </c>
      <c r="G4261" s="43" t="n"/>
      <c r="H4261" s="56" t="n"/>
      <c r="I4261" s="43" t="n"/>
      <c r="J4261" s="57">
        <f>IF(OR(A4261="",H4261=""),"",IF(COUNTIFS(exp_year,C4261,exp_month,D4261,exp_item,E4261,exp_status,"&lt;&gt;❌ Отменено")&gt;0,1,0))</f>
        <v/>
      </c>
    </row>
    <row r="4262">
      <c r="A4262" s="52" t="n"/>
      <c r="B4262" s="53">
        <f>IF(A4262="","",CHOOSE(WEEKDAY(A4262,2),"Пн","Вт","Ср","Чт","Пт","Сб","Вс"))</f>
        <v/>
      </c>
      <c r="C4262" s="53">
        <f>IF(A4262="","",YEAR(A4262))</f>
        <v/>
      </c>
      <c r="D4262" s="54">
        <f>IF(A4262="","",INDEX(lst_months,MONTH(A4262)))</f>
        <v/>
      </c>
      <c r="E4262" s="55" t="n"/>
      <c r="F4262" s="54">
        <f>IF(E4262="","",IFERROR(IF(INDEX(lst_exp_item_cat,MATCH(E4262,lst_exp_items,0))="","❔ Без категории",INDEX(lst_exp_item_cat,MATCH(E4262,lst_exp_items,0))),"❔ Без категории"))</f>
        <v/>
      </c>
      <c r="G4262" s="43" t="n"/>
      <c r="H4262" s="56" t="n"/>
      <c r="I4262" s="43" t="n"/>
      <c r="J4262" s="57">
        <f>IF(OR(A4262="",H4262=""),"",IF(COUNTIFS(exp_year,C4262,exp_month,D4262,exp_item,E4262,exp_status,"&lt;&gt;❌ Отменено")&gt;0,1,0))</f>
        <v/>
      </c>
    </row>
    <row r="4263">
      <c r="A4263" s="52" t="n"/>
      <c r="B4263" s="53">
        <f>IF(A4263="","",CHOOSE(WEEKDAY(A4263,2),"Пн","Вт","Ср","Чт","Пт","Сб","Вс"))</f>
        <v/>
      </c>
      <c r="C4263" s="53">
        <f>IF(A4263="","",YEAR(A4263))</f>
        <v/>
      </c>
      <c r="D4263" s="54">
        <f>IF(A4263="","",INDEX(lst_months,MONTH(A4263)))</f>
        <v/>
      </c>
      <c r="E4263" s="55" t="n"/>
      <c r="F4263" s="54">
        <f>IF(E4263="","",IFERROR(IF(INDEX(lst_exp_item_cat,MATCH(E4263,lst_exp_items,0))="","❔ Без категории",INDEX(lst_exp_item_cat,MATCH(E4263,lst_exp_items,0))),"❔ Без категории"))</f>
        <v/>
      </c>
      <c r="G4263" s="43" t="n"/>
      <c r="H4263" s="56" t="n"/>
      <c r="I4263" s="43" t="n"/>
      <c r="J4263" s="57">
        <f>IF(OR(A4263="",H4263=""),"",IF(COUNTIFS(exp_year,C4263,exp_month,D4263,exp_item,E4263,exp_status,"&lt;&gt;❌ Отменено")&gt;0,1,0))</f>
        <v/>
      </c>
    </row>
    <row r="4264">
      <c r="A4264" s="52" t="n"/>
      <c r="B4264" s="53">
        <f>IF(A4264="","",CHOOSE(WEEKDAY(A4264,2),"Пн","Вт","Ср","Чт","Пт","Сб","Вс"))</f>
        <v/>
      </c>
      <c r="C4264" s="53">
        <f>IF(A4264="","",YEAR(A4264))</f>
        <v/>
      </c>
      <c r="D4264" s="54">
        <f>IF(A4264="","",INDEX(lst_months,MONTH(A4264)))</f>
        <v/>
      </c>
      <c r="E4264" s="55" t="n"/>
      <c r="F4264" s="54">
        <f>IF(E4264="","",IFERROR(IF(INDEX(lst_exp_item_cat,MATCH(E4264,lst_exp_items,0))="","❔ Без категории",INDEX(lst_exp_item_cat,MATCH(E4264,lst_exp_items,0))),"❔ Без категории"))</f>
        <v/>
      </c>
      <c r="G4264" s="43" t="n"/>
      <c r="H4264" s="56" t="n"/>
      <c r="I4264" s="43" t="n"/>
      <c r="J4264" s="57">
        <f>IF(OR(A4264="",H4264=""),"",IF(COUNTIFS(exp_year,C4264,exp_month,D4264,exp_item,E4264,exp_status,"&lt;&gt;❌ Отменено")&gt;0,1,0))</f>
        <v/>
      </c>
    </row>
    <row r="4265">
      <c r="A4265" s="52" t="n"/>
      <c r="B4265" s="53">
        <f>IF(A4265="","",CHOOSE(WEEKDAY(A4265,2),"Пн","Вт","Ср","Чт","Пт","Сб","Вс"))</f>
        <v/>
      </c>
      <c r="C4265" s="53">
        <f>IF(A4265="","",YEAR(A4265))</f>
        <v/>
      </c>
      <c r="D4265" s="54">
        <f>IF(A4265="","",INDEX(lst_months,MONTH(A4265)))</f>
        <v/>
      </c>
      <c r="E4265" s="55" t="n"/>
      <c r="F4265" s="54">
        <f>IF(E4265="","",IFERROR(IF(INDEX(lst_exp_item_cat,MATCH(E4265,lst_exp_items,0))="","❔ Без категории",INDEX(lst_exp_item_cat,MATCH(E4265,lst_exp_items,0))),"❔ Без категории"))</f>
        <v/>
      </c>
      <c r="G4265" s="43" t="n"/>
      <c r="H4265" s="56" t="n"/>
      <c r="I4265" s="43" t="n"/>
      <c r="J4265" s="57">
        <f>IF(OR(A4265="",H4265=""),"",IF(COUNTIFS(exp_year,C4265,exp_month,D4265,exp_item,E4265,exp_status,"&lt;&gt;❌ Отменено")&gt;0,1,0))</f>
        <v/>
      </c>
    </row>
    <row r="4266">
      <c r="A4266" s="52" t="n"/>
      <c r="B4266" s="53">
        <f>IF(A4266="","",CHOOSE(WEEKDAY(A4266,2),"Пн","Вт","Ср","Чт","Пт","Сб","Вс"))</f>
        <v/>
      </c>
      <c r="C4266" s="53">
        <f>IF(A4266="","",YEAR(A4266))</f>
        <v/>
      </c>
      <c r="D4266" s="54">
        <f>IF(A4266="","",INDEX(lst_months,MONTH(A4266)))</f>
        <v/>
      </c>
      <c r="E4266" s="55" t="n"/>
      <c r="F4266" s="54">
        <f>IF(E4266="","",IFERROR(IF(INDEX(lst_exp_item_cat,MATCH(E4266,lst_exp_items,0))="","❔ Без категории",INDEX(lst_exp_item_cat,MATCH(E4266,lst_exp_items,0))),"❔ Без категории"))</f>
        <v/>
      </c>
      <c r="G4266" s="43" t="n"/>
      <c r="H4266" s="56" t="n"/>
      <c r="I4266" s="43" t="n"/>
      <c r="J4266" s="57">
        <f>IF(OR(A4266="",H4266=""),"",IF(COUNTIFS(exp_year,C4266,exp_month,D4266,exp_item,E4266,exp_status,"&lt;&gt;❌ Отменено")&gt;0,1,0))</f>
        <v/>
      </c>
    </row>
    <row r="4267">
      <c r="A4267" s="52" t="n"/>
      <c r="B4267" s="53">
        <f>IF(A4267="","",CHOOSE(WEEKDAY(A4267,2),"Пн","Вт","Ср","Чт","Пт","Сб","Вс"))</f>
        <v/>
      </c>
      <c r="C4267" s="53">
        <f>IF(A4267="","",YEAR(A4267))</f>
        <v/>
      </c>
      <c r="D4267" s="54">
        <f>IF(A4267="","",INDEX(lst_months,MONTH(A4267)))</f>
        <v/>
      </c>
      <c r="E4267" s="55" t="n"/>
      <c r="F4267" s="54">
        <f>IF(E4267="","",IFERROR(IF(INDEX(lst_exp_item_cat,MATCH(E4267,lst_exp_items,0))="","❔ Без категории",INDEX(lst_exp_item_cat,MATCH(E4267,lst_exp_items,0))),"❔ Без категории"))</f>
        <v/>
      </c>
      <c r="G4267" s="43" t="n"/>
      <c r="H4267" s="56" t="n"/>
      <c r="I4267" s="43" t="n"/>
      <c r="J4267" s="57">
        <f>IF(OR(A4267="",H4267=""),"",IF(COUNTIFS(exp_year,C4267,exp_month,D4267,exp_item,E4267,exp_status,"&lt;&gt;❌ Отменено")&gt;0,1,0))</f>
        <v/>
      </c>
    </row>
    <row r="4268">
      <c r="A4268" s="52" t="n"/>
      <c r="B4268" s="53">
        <f>IF(A4268="","",CHOOSE(WEEKDAY(A4268,2),"Пн","Вт","Ср","Чт","Пт","Сб","Вс"))</f>
        <v/>
      </c>
      <c r="C4268" s="53">
        <f>IF(A4268="","",YEAR(A4268))</f>
        <v/>
      </c>
      <c r="D4268" s="54">
        <f>IF(A4268="","",INDEX(lst_months,MONTH(A4268)))</f>
        <v/>
      </c>
      <c r="E4268" s="55" t="n"/>
      <c r="F4268" s="54">
        <f>IF(E4268="","",IFERROR(IF(INDEX(lst_exp_item_cat,MATCH(E4268,lst_exp_items,0))="","❔ Без категории",INDEX(lst_exp_item_cat,MATCH(E4268,lst_exp_items,0))),"❔ Без категории"))</f>
        <v/>
      </c>
      <c r="G4268" s="43" t="n"/>
      <c r="H4268" s="56" t="n"/>
      <c r="I4268" s="43" t="n"/>
      <c r="J4268" s="57">
        <f>IF(OR(A4268="",H4268=""),"",IF(COUNTIFS(exp_year,C4268,exp_month,D4268,exp_item,E4268,exp_status,"&lt;&gt;❌ Отменено")&gt;0,1,0))</f>
        <v/>
      </c>
    </row>
    <row r="4269">
      <c r="A4269" s="52" t="n"/>
      <c r="B4269" s="53">
        <f>IF(A4269="","",CHOOSE(WEEKDAY(A4269,2),"Пн","Вт","Ср","Чт","Пт","Сб","Вс"))</f>
        <v/>
      </c>
      <c r="C4269" s="53">
        <f>IF(A4269="","",YEAR(A4269))</f>
        <v/>
      </c>
      <c r="D4269" s="54">
        <f>IF(A4269="","",INDEX(lst_months,MONTH(A4269)))</f>
        <v/>
      </c>
      <c r="E4269" s="55" t="n"/>
      <c r="F4269" s="54">
        <f>IF(E4269="","",IFERROR(IF(INDEX(lst_exp_item_cat,MATCH(E4269,lst_exp_items,0))="","❔ Без категории",INDEX(lst_exp_item_cat,MATCH(E4269,lst_exp_items,0))),"❔ Без категории"))</f>
        <v/>
      </c>
      <c r="G4269" s="43" t="n"/>
      <c r="H4269" s="56" t="n"/>
      <c r="I4269" s="43" t="n"/>
      <c r="J4269" s="57">
        <f>IF(OR(A4269="",H4269=""),"",IF(COUNTIFS(exp_year,C4269,exp_month,D4269,exp_item,E4269,exp_status,"&lt;&gt;❌ Отменено")&gt;0,1,0))</f>
        <v/>
      </c>
    </row>
    <row r="4270">
      <c r="A4270" s="52" t="n"/>
      <c r="B4270" s="53">
        <f>IF(A4270="","",CHOOSE(WEEKDAY(A4270,2),"Пн","Вт","Ср","Чт","Пт","Сб","Вс"))</f>
        <v/>
      </c>
      <c r="C4270" s="53">
        <f>IF(A4270="","",YEAR(A4270))</f>
        <v/>
      </c>
      <c r="D4270" s="54">
        <f>IF(A4270="","",INDEX(lst_months,MONTH(A4270)))</f>
        <v/>
      </c>
      <c r="E4270" s="55" t="n"/>
      <c r="F4270" s="54">
        <f>IF(E4270="","",IFERROR(IF(INDEX(lst_exp_item_cat,MATCH(E4270,lst_exp_items,0))="","❔ Без категории",INDEX(lst_exp_item_cat,MATCH(E4270,lst_exp_items,0))),"❔ Без категории"))</f>
        <v/>
      </c>
      <c r="G4270" s="43" t="n"/>
      <c r="H4270" s="56" t="n"/>
      <c r="I4270" s="43" t="n"/>
      <c r="J4270" s="57">
        <f>IF(OR(A4270="",H4270=""),"",IF(COUNTIFS(exp_year,C4270,exp_month,D4270,exp_item,E4270,exp_status,"&lt;&gt;❌ Отменено")&gt;0,1,0))</f>
        <v/>
      </c>
    </row>
    <row r="4271">
      <c r="A4271" s="52" t="n"/>
      <c r="B4271" s="53">
        <f>IF(A4271="","",CHOOSE(WEEKDAY(A4271,2),"Пн","Вт","Ср","Чт","Пт","Сб","Вс"))</f>
        <v/>
      </c>
      <c r="C4271" s="53">
        <f>IF(A4271="","",YEAR(A4271))</f>
        <v/>
      </c>
      <c r="D4271" s="54">
        <f>IF(A4271="","",INDEX(lst_months,MONTH(A4271)))</f>
        <v/>
      </c>
      <c r="E4271" s="55" t="n"/>
      <c r="F4271" s="54">
        <f>IF(E4271="","",IFERROR(IF(INDEX(lst_exp_item_cat,MATCH(E4271,lst_exp_items,0))="","❔ Без категории",INDEX(lst_exp_item_cat,MATCH(E4271,lst_exp_items,0))),"❔ Без категории"))</f>
        <v/>
      </c>
      <c r="G4271" s="43" t="n"/>
      <c r="H4271" s="56" t="n"/>
      <c r="I4271" s="43" t="n"/>
      <c r="J4271" s="57">
        <f>IF(OR(A4271="",H4271=""),"",IF(COUNTIFS(exp_year,C4271,exp_month,D4271,exp_item,E4271,exp_status,"&lt;&gt;❌ Отменено")&gt;0,1,0))</f>
        <v/>
      </c>
    </row>
    <row r="4272">
      <c r="A4272" s="52" t="n"/>
      <c r="B4272" s="53">
        <f>IF(A4272="","",CHOOSE(WEEKDAY(A4272,2),"Пн","Вт","Ср","Чт","Пт","Сб","Вс"))</f>
        <v/>
      </c>
      <c r="C4272" s="53">
        <f>IF(A4272="","",YEAR(A4272))</f>
        <v/>
      </c>
      <c r="D4272" s="54">
        <f>IF(A4272="","",INDEX(lst_months,MONTH(A4272)))</f>
        <v/>
      </c>
      <c r="E4272" s="55" t="n"/>
      <c r="F4272" s="54">
        <f>IF(E4272="","",IFERROR(IF(INDEX(lst_exp_item_cat,MATCH(E4272,lst_exp_items,0))="","❔ Без категории",INDEX(lst_exp_item_cat,MATCH(E4272,lst_exp_items,0))),"❔ Без категории"))</f>
        <v/>
      </c>
      <c r="G4272" s="43" t="n"/>
      <c r="H4272" s="56" t="n"/>
      <c r="I4272" s="43" t="n"/>
      <c r="J4272" s="57">
        <f>IF(OR(A4272="",H4272=""),"",IF(COUNTIFS(exp_year,C4272,exp_month,D4272,exp_item,E4272,exp_status,"&lt;&gt;❌ Отменено")&gt;0,1,0))</f>
        <v/>
      </c>
    </row>
    <row r="4273">
      <c r="A4273" s="52" t="n"/>
      <c r="B4273" s="53">
        <f>IF(A4273="","",CHOOSE(WEEKDAY(A4273,2),"Пн","Вт","Ср","Чт","Пт","Сб","Вс"))</f>
        <v/>
      </c>
      <c r="C4273" s="53">
        <f>IF(A4273="","",YEAR(A4273))</f>
        <v/>
      </c>
      <c r="D4273" s="54">
        <f>IF(A4273="","",INDEX(lst_months,MONTH(A4273)))</f>
        <v/>
      </c>
      <c r="E4273" s="55" t="n"/>
      <c r="F4273" s="54">
        <f>IF(E4273="","",IFERROR(IF(INDEX(lst_exp_item_cat,MATCH(E4273,lst_exp_items,0))="","❔ Без категории",INDEX(lst_exp_item_cat,MATCH(E4273,lst_exp_items,0))),"❔ Без категории"))</f>
        <v/>
      </c>
      <c r="G4273" s="43" t="n"/>
      <c r="H4273" s="56" t="n"/>
      <c r="I4273" s="43" t="n"/>
      <c r="J4273" s="57">
        <f>IF(OR(A4273="",H4273=""),"",IF(COUNTIFS(exp_year,C4273,exp_month,D4273,exp_item,E4273,exp_status,"&lt;&gt;❌ Отменено")&gt;0,1,0))</f>
        <v/>
      </c>
    </row>
    <row r="4274">
      <c r="A4274" s="52" t="n"/>
      <c r="B4274" s="53">
        <f>IF(A4274="","",CHOOSE(WEEKDAY(A4274,2),"Пн","Вт","Ср","Чт","Пт","Сб","Вс"))</f>
        <v/>
      </c>
      <c r="C4274" s="53">
        <f>IF(A4274="","",YEAR(A4274))</f>
        <v/>
      </c>
      <c r="D4274" s="54">
        <f>IF(A4274="","",INDEX(lst_months,MONTH(A4274)))</f>
        <v/>
      </c>
      <c r="E4274" s="55" t="n"/>
      <c r="F4274" s="54">
        <f>IF(E4274="","",IFERROR(IF(INDEX(lst_exp_item_cat,MATCH(E4274,lst_exp_items,0))="","❔ Без категории",INDEX(lst_exp_item_cat,MATCH(E4274,lst_exp_items,0))),"❔ Без категории"))</f>
        <v/>
      </c>
      <c r="G4274" s="43" t="n"/>
      <c r="H4274" s="56" t="n"/>
      <c r="I4274" s="43" t="n"/>
      <c r="J4274" s="57">
        <f>IF(OR(A4274="",H4274=""),"",IF(COUNTIFS(exp_year,C4274,exp_month,D4274,exp_item,E4274,exp_status,"&lt;&gt;❌ Отменено")&gt;0,1,0))</f>
        <v/>
      </c>
    </row>
    <row r="4275">
      <c r="A4275" s="52" t="n"/>
      <c r="B4275" s="53">
        <f>IF(A4275="","",CHOOSE(WEEKDAY(A4275,2),"Пн","Вт","Ср","Чт","Пт","Сб","Вс"))</f>
        <v/>
      </c>
      <c r="C4275" s="53">
        <f>IF(A4275="","",YEAR(A4275))</f>
        <v/>
      </c>
      <c r="D4275" s="54">
        <f>IF(A4275="","",INDEX(lst_months,MONTH(A4275)))</f>
        <v/>
      </c>
      <c r="E4275" s="55" t="n"/>
      <c r="F4275" s="54">
        <f>IF(E4275="","",IFERROR(IF(INDEX(lst_exp_item_cat,MATCH(E4275,lst_exp_items,0))="","❔ Без категории",INDEX(lst_exp_item_cat,MATCH(E4275,lst_exp_items,0))),"❔ Без категории"))</f>
        <v/>
      </c>
      <c r="G4275" s="43" t="n"/>
      <c r="H4275" s="56" t="n"/>
      <c r="I4275" s="43" t="n"/>
      <c r="J4275" s="57">
        <f>IF(OR(A4275="",H4275=""),"",IF(COUNTIFS(exp_year,C4275,exp_month,D4275,exp_item,E4275,exp_status,"&lt;&gt;❌ Отменено")&gt;0,1,0))</f>
        <v/>
      </c>
    </row>
    <row r="4276">
      <c r="A4276" s="52" t="n"/>
      <c r="B4276" s="53">
        <f>IF(A4276="","",CHOOSE(WEEKDAY(A4276,2),"Пн","Вт","Ср","Чт","Пт","Сб","Вс"))</f>
        <v/>
      </c>
      <c r="C4276" s="53">
        <f>IF(A4276="","",YEAR(A4276))</f>
        <v/>
      </c>
      <c r="D4276" s="54">
        <f>IF(A4276="","",INDEX(lst_months,MONTH(A4276)))</f>
        <v/>
      </c>
      <c r="E4276" s="55" t="n"/>
      <c r="F4276" s="54">
        <f>IF(E4276="","",IFERROR(IF(INDEX(lst_exp_item_cat,MATCH(E4276,lst_exp_items,0))="","❔ Без категории",INDEX(lst_exp_item_cat,MATCH(E4276,lst_exp_items,0))),"❔ Без категории"))</f>
        <v/>
      </c>
      <c r="G4276" s="43" t="n"/>
      <c r="H4276" s="56" t="n"/>
      <c r="I4276" s="43" t="n"/>
      <c r="J4276" s="57">
        <f>IF(OR(A4276="",H4276=""),"",IF(COUNTIFS(exp_year,C4276,exp_month,D4276,exp_item,E4276,exp_status,"&lt;&gt;❌ Отменено")&gt;0,1,0))</f>
        <v/>
      </c>
    </row>
    <row r="4277">
      <c r="A4277" s="52" t="n"/>
      <c r="B4277" s="53">
        <f>IF(A4277="","",CHOOSE(WEEKDAY(A4277,2),"Пн","Вт","Ср","Чт","Пт","Сб","Вс"))</f>
        <v/>
      </c>
      <c r="C4277" s="53">
        <f>IF(A4277="","",YEAR(A4277))</f>
        <v/>
      </c>
      <c r="D4277" s="54">
        <f>IF(A4277="","",INDEX(lst_months,MONTH(A4277)))</f>
        <v/>
      </c>
      <c r="E4277" s="55" t="n"/>
      <c r="F4277" s="54">
        <f>IF(E4277="","",IFERROR(IF(INDEX(lst_exp_item_cat,MATCH(E4277,lst_exp_items,0))="","❔ Без категории",INDEX(lst_exp_item_cat,MATCH(E4277,lst_exp_items,0))),"❔ Без категории"))</f>
        <v/>
      </c>
      <c r="G4277" s="43" t="n"/>
      <c r="H4277" s="56" t="n"/>
      <c r="I4277" s="43" t="n"/>
      <c r="J4277" s="57">
        <f>IF(OR(A4277="",H4277=""),"",IF(COUNTIFS(exp_year,C4277,exp_month,D4277,exp_item,E4277,exp_status,"&lt;&gt;❌ Отменено")&gt;0,1,0))</f>
        <v/>
      </c>
    </row>
    <row r="4278">
      <c r="A4278" s="52" t="n"/>
      <c r="B4278" s="53">
        <f>IF(A4278="","",CHOOSE(WEEKDAY(A4278,2),"Пн","Вт","Ср","Чт","Пт","Сб","Вс"))</f>
        <v/>
      </c>
      <c r="C4278" s="53">
        <f>IF(A4278="","",YEAR(A4278))</f>
        <v/>
      </c>
      <c r="D4278" s="54">
        <f>IF(A4278="","",INDEX(lst_months,MONTH(A4278)))</f>
        <v/>
      </c>
      <c r="E4278" s="55" t="n"/>
      <c r="F4278" s="54">
        <f>IF(E4278="","",IFERROR(IF(INDEX(lst_exp_item_cat,MATCH(E4278,lst_exp_items,0))="","❔ Без категории",INDEX(lst_exp_item_cat,MATCH(E4278,lst_exp_items,0))),"❔ Без категории"))</f>
        <v/>
      </c>
      <c r="G4278" s="43" t="n"/>
      <c r="H4278" s="56" t="n"/>
      <c r="I4278" s="43" t="n"/>
      <c r="J4278" s="57">
        <f>IF(OR(A4278="",H4278=""),"",IF(COUNTIFS(exp_year,C4278,exp_month,D4278,exp_item,E4278,exp_status,"&lt;&gt;❌ Отменено")&gt;0,1,0))</f>
        <v/>
      </c>
    </row>
    <row r="4279">
      <c r="A4279" s="52" t="n"/>
      <c r="B4279" s="53">
        <f>IF(A4279="","",CHOOSE(WEEKDAY(A4279,2),"Пн","Вт","Ср","Чт","Пт","Сб","Вс"))</f>
        <v/>
      </c>
      <c r="C4279" s="53">
        <f>IF(A4279="","",YEAR(A4279))</f>
        <v/>
      </c>
      <c r="D4279" s="54">
        <f>IF(A4279="","",INDEX(lst_months,MONTH(A4279)))</f>
        <v/>
      </c>
      <c r="E4279" s="55" t="n"/>
      <c r="F4279" s="54">
        <f>IF(E4279="","",IFERROR(IF(INDEX(lst_exp_item_cat,MATCH(E4279,lst_exp_items,0))="","❔ Без категории",INDEX(lst_exp_item_cat,MATCH(E4279,lst_exp_items,0))),"❔ Без категории"))</f>
        <v/>
      </c>
      <c r="G4279" s="43" t="n"/>
      <c r="H4279" s="56" t="n"/>
      <c r="I4279" s="43" t="n"/>
      <c r="J4279" s="57">
        <f>IF(OR(A4279="",H4279=""),"",IF(COUNTIFS(exp_year,C4279,exp_month,D4279,exp_item,E4279,exp_status,"&lt;&gt;❌ Отменено")&gt;0,1,0))</f>
        <v/>
      </c>
    </row>
    <row r="4280">
      <c r="A4280" s="52" t="n"/>
      <c r="B4280" s="53">
        <f>IF(A4280="","",CHOOSE(WEEKDAY(A4280,2),"Пн","Вт","Ср","Чт","Пт","Сб","Вс"))</f>
        <v/>
      </c>
      <c r="C4280" s="53">
        <f>IF(A4280="","",YEAR(A4280))</f>
        <v/>
      </c>
      <c r="D4280" s="54">
        <f>IF(A4280="","",INDEX(lst_months,MONTH(A4280)))</f>
        <v/>
      </c>
      <c r="E4280" s="55" t="n"/>
      <c r="F4280" s="54">
        <f>IF(E4280="","",IFERROR(IF(INDEX(lst_exp_item_cat,MATCH(E4280,lst_exp_items,0))="","❔ Без категории",INDEX(lst_exp_item_cat,MATCH(E4280,lst_exp_items,0))),"❔ Без категории"))</f>
        <v/>
      </c>
      <c r="G4280" s="43" t="n"/>
      <c r="H4280" s="56" t="n"/>
      <c r="I4280" s="43" t="n"/>
      <c r="J4280" s="57">
        <f>IF(OR(A4280="",H4280=""),"",IF(COUNTIFS(exp_year,C4280,exp_month,D4280,exp_item,E4280,exp_status,"&lt;&gt;❌ Отменено")&gt;0,1,0))</f>
        <v/>
      </c>
    </row>
    <row r="4281">
      <c r="A4281" s="52" t="n"/>
      <c r="B4281" s="53">
        <f>IF(A4281="","",CHOOSE(WEEKDAY(A4281,2),"Пн","Вт","Ср","Чт","Пт","Сб","Вс"))</f>
        <v/>
      </c>
      <c r="C4281" s="53">
        <f>IF(A4281="","",YEAR(A4281))</f>
        <v/>
      </c>
      <c r="D4281" s="54">
        <f>IF(A4281="","",INDEX(lst_months,MONTH(A4281)))</f>
        <v/>
      </c>
      <c r="E4281" s="55" t="n"/>
      <c r="F4281" s="54">
        <f>IF(E4281="","",IFERROR(IF(INDEX(lst_exp_item_cat,MATCH(E4281,lst_exp_items,0))="","❔ Без категории",INDEX(lst_exp_item_cat,MATCH(E4281,lst_exp_items,0))),"❔ Без категории"))</f>
        <v/>
      </c>
      <c r="G4281" s="43" t="n"/>
      <c r="H4281" s="56" t="n"/>
      <c r="I4281" s="43" t="n"/>
      <c r="J4281" s="57">
        <f>IF(OR(A4281="",H4281=""),"",IF(COUNTIFS(exp_year,C4281,exp_month,D4281,exp_item,E4281,exp_status,"&lt;&gt;❌ Отменено")&gt;0,1,0))</f>
        <v/>
      </c>
    </row>
    <row r="4282">
      <c r="A4282" s="52" t="n"/>
      <c r="B4282" s="53">
        <f>IF(A4282="","",CHOOSE(WEEKDAY(A4282,2),"Пн","Вт","Ср","Чт","Пт","Сб","Вс"))</f>
        <v/>
      </c>
      <c r="C4282" s="53">
        <f>IF(A4282="","",YEAR(A4282))</f>
        <v/>
      </c>
      <c r="D4282" s="54">
        <f>IF(A4282="","",INDEX(lst_months,MONTH(A4282)))</f>
        <v/>
      </c>
      <c r="E4282" s="55" t="n"/>
      <c r="F4282" s="54">
        <f>IF(E4282="","",IFERROR(IF(INDEX(lst_exp_item_cat,MATCH(E4282,lst_exp_items,0))="","❔ Без категории",INDEX(lst_exp_item_cat,MATCH(E4282,lst_exp_items,0))),"❔ Без категории"))</f>
        <v/>
      </c>
      <c r="G4282" s="43" t="n"/>
      <c r="H4282" s="56" t="n"/>
      <c r="I4282" s="43" t="n"/>
      <c r="J4282" s="57">
        <f>IF(OR(A4282="",H4282=""),"",IF(COUNTIFS(exp_year,C4282,exp_month,D4282,exp_item,E4282,exp_status,"&lt;&gt;❌ Отменено")&gt;0,1,0))</f>
        <v/>
      </c>
    </row>
    <row r="4283">
      <c r="A4283" s="52" t="n"/>
      <c r="B4283" s="53">
        <f>IF(A4283="","",CHOOSE(WEEKDAY(A4283,2),"Пн","Вт","Ср","Чт","Пт","Сб","Вс"))</f>
        <v/>
      </c>
      <c r="C4283" s="53">
        <f>IF(A4283="","",YEAR(A4283))</f>
        <v/>
      </c>
      <c r="D4283" s="54">
        <f>IF(A4283="","",INDEX(lst_months,MONTH(A4283)))</f>
        <v/>
      </c>
      <c r="E4283" s="55" t="n"/>
      <c r="F4283" s="54">
        <f>IF(E4283="","",IFERROR(IF(INDEX(lst_exp_item_cat,MATCH(E4283,lst_exp_items,0))="","❔ Без категории",INDEX(lst_exp_item_cat,MATCH(E4283,lst_exp_items,0))),"❔ Без категории"))</f>
        <v/>
      </c>
      <c r="G4283" s="43" t="n"/>
      <c r="H4283" s="56" t="n"/>
      <c r="I4283" s="43" t="n"/>
      <c r="J4283" s="57">
        <f>IF(OR(A4283="",H4283=""),"",IF(COUNTIFS(exp_year,C4283,exp_month,D4283,exp_item,E4283,exp_status,"&lt;&gt;❌ Отменено")&gt;0,1,0))</f>
        <v/>
      </c>
    </row>
    <row r="4284">
      <c r="A4284" s="52" t="n"/>
      <c r="B4284" s="53">
        <f>IF(A4284="","",CHOOSE(WEEKDAY(A4284,2),"Пн","Вт","Ср","Чт","Пт","Сб","Вс"))</f>
        <v/>
      </c>
      <c r="C4284" s="53">
        <f>IF(A4284="","",YEAR(A4284))</f>
        <v/>
      </c>
      <c r="D4284" s="54">
        <f>IF(A4284="","",INDEX(lst_months,MONTH(A4284)))</f>
        <v/>
      </c>
      <c r="E4284" s="55" t="n"/>
      <c r="F4284" s="54">
        <f>IF(E4284="","",IFERROR(IF(INDEX(lst_exp_item_cat,MATCH(E4284,lst_exp_items,0))="","❔ Без категории",INDEX(lst_exp_item_cat,MATCH(E4284,lst_exp_items,0))),"❔ Без категории"))</f>
        <v/>
      </c>
      <c r="G4284" s="43" t="n"/>
      <c r="H4284" s="56" t="n"/>
      <c r="I4284" s="43" t="n"/>
      <c r="J4284" s="57">
        <f>IF(OR(A4284="",H4284=""),"",IF(COUNTIFS(exp_year,C4284,exp_month,D4284,exp_item,E4284,exp_status,"&lt;&gt;❌ Отменено")&gt;0,1,0))</f>
        <v/>
      </c>
    </row>
    <row r="4285">
      <c r="A4285" s="52" t="n"/>
      <c r="B4285" s="53">
        <f>IF(A4285="","",CHOOSE(WEEKDAY(A4285,2),"Пн","Вт","Ср","Чт","Пт","Сб","Вс"))</f>
        <v/>
      </c>
      <c r="C4285" s="53">
        <f>IF(A4285="","",YEAR(A4285))</f>
        <v/>
      </c>
      <c r="D4285" s="54">
        <f>IF(A4285="","",INDEX(lst_months,MONTH(A4285)))</f>
        <v/>
      </c>
      <c r="E4285" s="55" t="n"/>
      <c r="F4285" s="54">
        <f>IF(E4285="","",IFERROR(IF(INDEX(lst_exp_item_cat,MATCH(E4285,lst_exp_items,0))="","❔ Без категории",INDEX(lst_exp_item_cat,MATCH(E4285,lst_exp_items,0))),"❔ Без категории"))</f>
        <v/>
      </c>
      <c r="G4285" s="43" t="n"/>
      <c r="H4285" s="56" t="n"/>
      <c r="I4285" s="43" t="n"/>
      <c r="J4285" s="57">
        <f>IF(OR(A4285="",H4285=""),"",IF(COUNTIFS(exp_year,C4285,exp_month,D4285,exp_item,E4285,exp_status,"&lt;&gt;❌ Отменено")&gt;0,1,0))</f>
        <v/>
      </c>
    </row>
    <row r="4286">
      <c r="A4286" s="52" t="n"/>
      <c r="B4286" s="53">
        <f>IF(A4286="","",CHOOSE(WEEKDAY(A4286,2),"Пн","Вт","Ср","Чт","Пт","Сб","Вс"))</f>
        <v/>
      </c>
      <c r="C4286" s="53">
        <f>IF(A4286="","",YEAR(A4286))</f>
        <v/>
      </c>
      <c r="D4286" s="54">
        <f>IF(A4286="","",INDEX(lst_months,MONTH(A4286)))</f>
        <v/>
      </c>
      <c r="E4286" s="55" t="n"/>
      <c r="F4286" s="54">
        <f>IF(E4286="","",IFERROR(IF(INDEX(lst_exp_item_cat,MATCH(E4286,lst_exp_items,0))="","❔ Без категории",INDEX(lst_exp_item_cat,MATCH(E4286,lst_exp_items,0))),"❔ Без категории"))</f>
        <v/>
      </c>
      <c r="G4286" s="43" t="n"/>
      <c r="H4286" s="56" t="n"/>
      <c r="I4286" s="43" t="n"/>
      <c r="J4286" s="57">
        <f>IF(OR(A4286="",H4286=""),"",IF(COUNTIFS(exp_year,C4286,exp_month,D4286,exp_item,E4286,exp_status,"&lt;&gt;❌ Отменено")&gt;0,1,0))</f>
        <v/>
      </c>
    </row>
    <row r="4287">
      <c r="A4287" s="52" t="n"/>
      <c r="B4287" s="53">
        <f>IF(A4287="","",CHOOSE(WEEKDAY(A4287,2),"Пн","Вт","Ср","Чт","Пт","Сб","Вс"))</f>
        <v/>
      </c>
      <c r="C4287" s="53">
        <f>IF(A4287="","",YEAR(A4287))</f>
        <v/>
      </c>
      <c r="D4287" s="54">
        <f>IF(A4287="","",INDEX(lst_months,MONTH(A4287)))</f>
        <v/>
      </c>
      <c r="E4287" s="55" t="n"/>
      <c r="F4287" s="54">
        <f>IF(E4287="","",IFERROR(IF(INDEX(lst_exp_item_cat,MATCH(E4287,lst_exp_items,0))="","❔ Без категории",INDEX(lst_exp_item_cat,MATCH(E4287,lst_exp_items,0))),"❔ Без категории"))</f>
        <v/>
      </c>
      <c r="G4287" s="43" t="n"/>
      <c r="H4287" s="56" t="n"/>
      <c r="I4287" s="43" t="n"/>
      <c r="J4287" s="57">
        <f>IF(OR(A4287="",H4287=""),"",IF(COUNTIFS(exp_year,C4287,exp_month,D4287,exp_item,E4287,exp_status,"&lt;&gt;❌ Отменено")&gt;0,1,0))</f>
        <v/>
      </c>
    </row>
    <row r="4288">
      <c r="A4288" s="52" t="n"/>
      <c r="B4288" s="53">
        <f>IF(A4288="","",CHOOSE(WEEKDAY(A4288,2),"Пн","Вт","Ср","Чт","Пт","Сб","Вс"))</f>
        <v/>
      </c>
      <c r="C4288" s="53">
        <f>IF(A4288="","",YEAR(A4288))</f>
        <v/>
      </c>
      <c r="D4288" s="54">
        <f>IF(A4288="","",INDEX(lst_months,MONTH(A4288)))</f>
        <v/>
      </c>
      <c r="E4288" s="55" t="n"/>
      <c r="F4288" s="54">
        <f>IF(E4288="","",IFERROR(IF(INDEX(lst_exp_item_cat,MATCH(E4288,lst_exp_items,0))="","❔ Без категории",INDEX(lst_exp_item_cat,MATCH(E4288,lst_exp_items,0))),"❔ Без категории"))</f>
        <v/>
      </c>
      <c r="G4288" s="43" t="n"/>
      <c r="H4288" s="56" t="n"/>
      <c r="I4288" s="43" t="n"/>
      <c r="J4288" s="57">
        <f>IF(OR(A4288="",H4288=""),"",IF(COUNTIFS(exp_year,C4288,exp_month,D4288,exp_item,E4288,exp_status,"&lt;&gt;❌ Отменено")&gt;0,1,0))</f>
        <v/>
      </c>
    </row>
    <row r="4289">
      <c r="A4289" s="52" t="n"/>
      <c r="B4289" s="53">
        <f>IF(A4289="","",CHOOSE(WEEKDAY(A4289,2),"Пн","Вт","Ср","Чт","Пт","Сб","Вс"))</f>
        <v/>
      </c>
      <c r="C4289" s="53">
        <f>IF(A4289="","",YEAR(A4289))</f>
        <v/>
      </c>
      <c r="D4289" s="54">
        <f>IF(A4289="","",INDEX(lst_months,MONTH(A4289)))</f>
        <v/>
      </c>
      <c r="E4289" s="55" t="n"/>
      <c r="F4289" s="54">
        <f>IF(E4289="","",IFERROR(IF(INDEX(lst_exp_item_cat,MATCH(E4289,lst_exp_items,0))="","❔ Без категории",INDEX(lst_exp_item_cat,MATCH(E4289,lst_exp_items,0))),"❔ Без категории"))</f>
        <v/>
      </c>
      <c r="G4289" s="43" t="n"/>
      <c r="H4289" s="56" t="n"/>
      <c r="I4289" s="43" t="n"/>
      <c r="J4289" s="57">
        <f>IF(OR(A4289="",H4289=""),"",IF(COUNTIFS(exp_year,C4289,exp_month,D4289,exp_item,E4289,exp_status,"&lt;&gt;❌ Отменено")&gt;0,1,0))</f>
        <v/>
      </c>
    </row>
    <row r="4290">
      <c r="A4290" s="52" t="n"/>
      <c r="B4290" s="53">
        <f>IF(A4290="","",CHOOSE(WEEKDAY(A4290,2),"Пн","Вт","Ср","Чт","Пт","Сб","Вс"))</f>
        <v/>
      </c>
      <c r="C4290" s="53">
        <f>IF(A4290="","",YEAR(A4290))</f>
        <v/>
      </c>
      <c r="D4290" s="54">
        <f>IF(A4290="","",INDEX(lst_months,MONTH(A4290)))</f>
        <v/>
      </c>
      <c r="E4290" s="55" t="n"/>
      <c r="F4290" s="54">
        <f>IF(E4290="","",IFERROR(IF(INDEX(lst_exp_item_cat,MATCH(E4290,lst_exp_items,0))="","❔ Без категории",INDEX(lst_exp_item_cat,MATCH(E4290,lst_exp_items,0))),"❔ Без категории"))</f>
        <v/>
      </c>
      <c r="G4290" s="43" t="n"/>
      <c r="H4290" s="56" t="n"/>
      <c r="I4290" s="43" t="n"/>
      <c r="J4290" s="57">
        <f>IF(OR(A4290="",H4290=""),"",IF(COUNTIFS(exp_year,C4290,exp_month,D4290,exp_item,E4290,exp_status,"&lt;&gt;❌ Отменено")&gt;0,1,0))</f>
        <v/>
      </c>
    </row>
    <row r="4291">
      <c r="A4291" s="52" t="n"/>
      <c r="B4291" s="53">
        <f>IF(A4291="","",CHOOSE(WEEKDAY(A4291,2),"Пн","Вт","Ср","Чт","Пт","Сб","Вс"))</f>
        <v/>
      </c>
      <c r="C4291" s="53">
        <f>IF(A4291="","",YEAR(A4291))</f>
        <v/>
      </c>
      <c r="D4291" s="54">
        <f>IF(A4291="","",INDEX(lst_months,MONTH(A4291)))</f>
        <v/>
      </c>
      <c r="E4291" s="55" t="n"/>
      <c r="F4291" s="54">
        <f>IF(E4291="","",IFERROR(IF(INDEX(lst_exp_item_cat,MATCH(E4291,lst_exp_items,0))="","❔ Без категории",INDEX(lst_exp_item_cat,MATCH(E4291,lst_exp_items,0))),"❔ Без категории"))</f>
        <v/>
      </c>
      <c r="G4291" s="43" t="n"/>
      <c r="H4291" s="56" t="n"/>
      <c r="I4291" s="43" t="n"/>
      <c r="J4291" s="57">
        <f>IF(OR(A4291="",H4291=""),"",IF(COUNTIFS(exp_year,C4291,exp_month,D4291,exp_item,E4291,exp_status,"&lt;&gt;❌ Отменено")&gt;0,1,0))</f>
        <v/>
      </c>
    </row>
    <row r="4292">
      <c r="A4292" s="52" t="n"/>
      <c r="B4292" s="53">
        <f>IF(A4292="","",CHOOSE(WEEKDAY(A4292,2),"Пн","Вт","Ср","Чт","Пт","Сб","Вс"))</f>
        <v/>
      </c>
      <c r="C4292" s="53">
        <f>IF(A4292="","",YEAR(A4292))</f>
        <v/>
      </c>
      <c r="D4292" s="54">
        <f>IF(A4292="","",INDEX(lst_months,MONTH(A4292)))</f>
        <v/>
      </c>
      <c r="E4292" s="55" t="n"/>
      <c r="F4292" s="54">
        <f>IF(E4292="","",IFERROR(IF(INDEX(lst_exp_item_cat,MATCH(E4292,lst_exp_items,0))="","❔ Без категории",INDEX(lst_exp_item_cat,MATCH(E4292,lst_exp_items,0))),"❔ Без категории"))</f>
        <v/>
      </c>
      <c r="G4292" s="43" t="n"/>
      <c r="H4292" s="56" t="n"/>
      <c r="I4292" s="43" t="n"/>
      <c r="J4292" s="57">
        <f>IF(OR(A4292="",H4292=""),"",IF(COUNTIFS(exp_year,C4292,exp_month,D4292,exp_item,E4292,exp_status,"&lt;&gt;❌ Отменено")&gt;0,1,0))</f>
        <v/>
      </c>
    </row>
    <row r="4293">
      <c r="A4293" s="52" t="n"/>
      <c r="B4293" s="53">
        <f>IF(A4293="","",CHOOSE(WEEKDAY(A4293,2),"Пн","Вт","Ср","Чт","Пт","Сб","Вс"))</f>
        <v/>
      </c>
      <c r="C4293" s="53">
        <f>IF(A4293="","",YEAR(A4293))</f>
        <v/>
      </c>
      <c r="D4293" s="54">
        <f>IF(A4293="","",INDEX(lst_months,MONTH(A4293)))</f>
        <v/>
      </c>
      <c r="E4293" s="55" t="n"/>
      <c r="F4293" s="54">
        <f>IF(E4293="","",IFERROR(IF(INDEX(lst_exp_item_cat,MATCH(E4293,lst_exp_items,0))="","❔ Без категории",INDEX(lst_exp_item_cat,MATCH(E4293,lst_exp_items,0))),"❔ Без категории"))</f>
        <v/>
      </c>
      <c r="G4293" s="43" t="n"/>
      <c r="H4293" s="56" t="n"/>
      <c r="I4293" s="43" t="n"/>
      <c r="J4293" s="57">
        <f>IF(OR(A4293="",H4293=""),"",IF(COUNTIFS(exp_year,C4293,exp_month,D4293,exp_item,E4293,exp_status,"&lt;&gt;❌ Отменено")&gt;0,1,0))</f>
        <v/>
      </c>
    </row>
    <row r="4294">
      <c r="A4294" s="52" t="n"/>
      <c r="B4294" s="53">
        <f>IF(A4294="","",CHOOSE(WEEKDAY(A4294,2),"Пн","Вт","Ср","Чт","Пт","Сб","Вс"))</f>
        <v/>
      </c>
      <c r="C4294" s="53">
        <f>IF(A4294="","",YEAR(A4294))</f>
        <v/>
      </c>
      <c r="D4294" s="54">
        <f>IF(A4294="","",INDEX(lst_months,MONTH(A4294)))</f>
        <v/>
      </c>
      <c r="E4294" s="55" t="n"/>
      <c r="F4294" s="54">
        <f>IF(E4294="","",IFERROR(IF(INDEX(lst_exp_item_cat,MATCH(E4294,lst_exp_items,0))="","❔ Без категории",INDEX(lst_exp_item_cat,MATCH(E4294,lst_exp_items,0))),"❔ Без категории"))</f>
        <v/>
      </c>
      <c r="G4294" s="43" t="n"/>
      <c r="H4294" s="56" t="n"/>
      <c r="I4294" s="43" t="n"/>
      <c r="J4294" s="57">
        <f>IF(OR(A4294="",H4294=""),"",IF(COUNTIFS(exp_year,C4294,exp_month,D4294,exp_item,E4294,exp_status,"&lt;&gt;❌ Отменено")&gt;0,1,0))</f>
        <v/>
      </c>
    </row>
    <row r="4295">
      <c r="A4295" s="52" t="n"/>
      <c r="B4295" s="53">
        <f>IF(A4295="","",CHOOSE(WEEKDAY(A4295,2),"Пн","Вт","Ср","Чт","Пт","Сб","Вс"))</f>
        <v/>
      </c>
      <c r="C4295" s="53">
        <f>IF(A4295="","",YEAR(A4295))</f>
        <v/>
      </c>
      <c r="D4295" s="54">
        <f>IF(A4295="","",INDEX(lst_months,MONTH(A4295)))</f>
        <v/>
      </c>
      <c r="E4295" s="55" t="n"/>
      <c r="F4295" s="54">
        <f>IF(E4295="","",IFERROR(IF(INDEX(lst_exp_item_cat,MATCH(E4295,lst_exp_items,0))="","❔ Без категории",INDEX(lst_exp_item_cat,MATCH(E4295,lst_exp_items,0))),"❔ Без категории"))</f>
        <v/>
      </c>
      <c r="G4295" s="43" t="n"/>
      <c r="H4295" s="56" t="n"/>
      <c r="I4295" s="43" t="n"/>
      <c r="J4295" s="57">
        <f>IF(OR(A4295="",H4295=""),"",IF(COUNTIFS(exp_year,C4295,exp_month,D4295,exp_item,E4295,exp_status,"&lt;&gt;❌ Отменено")&gt;0,1,0))</f>
        <v/>
      </c>
    </row>
    <row r="4296">
      <c r="A4296" s="52" t="n"/>
      <c r="B4296" s="53">
        <f>IF(A4296="","",CHOOSE(WEEKDAY(A4296,2),"Пн","Вт","Ср","Чт","Пт","Сб","Вс"))</f>
        <v/>
      </c>
      <c r="C4296" s="53">
        <f>IF(A4296="","",YEAR(A4296))</f>
        <v/>
      </c>
      <c r="D4296" s="54">
        <f>IF(A4296="","",INDEX(lst_months,MONTH(A4296)))</f>
        <v/>
      </c>
      <c r="E4296" s="55" t="n"/>
      <c r="F4296" s="54">
        <f>IF(E4296="","",IFERROR(IF(INDEX(lst_exp_item_cat,MATCH(E4296,lst_exp_items,0))="","❔ Без категории",INDEX(lst_exp_item_cat,MATCH(E4296,lst_exp_items,0))),"❔ Без категории"))</f>
        <v/>
      </c>
      <c r="G4296" s="43" t="n"/>
      <c r="H4296" s="56" t="n"/>
      <c r="I4296" s="43" t="n"/>
      <c r="J4296" s="57">
        <f>IF(OR(A4296="",H4296=""),"",IF(COUNTIFS(exp_year,C4296,exp_month,D4296,exp_item,E4296,exp_status,"&lt;&gt;❌ Отменено")&gt;0,1,0))</f>
        <v/>
      </c>
    </row>
    <row r="4297">
      <c r="A4297" s="52" t="n"/>
      <c r="B4297" s="53">
        <f>IF(A4297="","",CHOOSE(WEEKDAY(A4297,2),"Пн","Вт","Ср","Чт","Пт","Сб","Вс"))</f>
        <v/>
      </c>
      <c r="C4297" s="53">
        <f>IF(A4297="","",YEAR(A4297))</f>
        <v/>
      </c>
      <c r="D4297" s="54">
        <f>IF(A4297="","",INDEX(lst_months,MONTH(A4297)))</f>
        <v/>
      </c>
      <c r="E4297" s="55" t="n"/>
      <c r="F4297" s="54">
        <f>IF(E4297="","",IFERROR(IF(INDEX(lst_exp_item_cat,MATCH(E4297,lst_exp_items,0))="","❔ Без категории",INDEX(lst_exp_item_cat,MATCH(E4297,lst_exp_items,0))),"❔ Без категории"))</f>
        <v/>
      </c>
      <c r="G4297" s="43" t="n"/>
      <c r="H4297" s="56" t="n"/>
      <c r="I4297" s="43" t="n"/>
      <c r="J4297" s="57">
        <f>IF(OR(A4297="",H4297=""),"",IF(COUNTIFS(exp_year,C4297,exp_month,D4297,exp_item,E4297,exp_status,"&lt;&gt;❌ Отменено")&gt;0,1,0))</f>
        <v/>
      </c>
    </row>
    <row r="4298">
      <c r="A4298" s="52" t="n"/>
      <c r="B4298" s="53">
        <f>IF(A4298="","",CHOOSE(WEEKDAY(A4298,2),"Пн","Вт","Ср","Чт","Пт","Сб","Вс"))</f>
        <v/>
      </c>
      <c r="C4298" s="53">
        <f>IF(A4298="","",YEAR(A4298))</f>
        <v/>
      </c>
      <c r="D4298" s="54">
        <f>IF(A4298="","",INDEX(lst_months,MONTH(A4298)))</f>
        <v/>
      </c>
      <c r="E4298" s="55" t="n"/>
      <c r="F4298" s="54">
        <f>IF(E4298="","",IFERROR(IF(INDEX(lst_exp_item_cat,MATCH(E4298,lst_exp_items,0))="","❔ Без категории",INDEX(lst_exp_item_cat,MATCH(E4298,lst_exp_items,0))),"❔ Без категории"))</f>
        <v/>
      </c>
      <c r="G4298" s="43" t="n"/>
      <c r="H4298" s="56" t="n"/>
      <c r="I4298" s="43" t="n"/>
      <c r="J4298" s="57">
        <f>IF(OR(A4298="",H4298=""),"",IF(COUNTIFS(exp_year,C4298,exp_month,D4298,exp_item,E4298,exp_status,"&lt;&gt;❌ Отменено")&gt;0,1,0))</f>
        <v/>
      </c>
    </row>
    <row r="4299">
      <c r="A4299" s="52" t="n"/>
      <c r="B4299" s="53">
        <f>IF(A4299="","",CHOOSE(WEEKDAY(A4299,2),"Пн","Вт","Ср","Чт","Пт","Сб","Вс"))</f>
        <v/>
      </c>
      <c r="C4299" s="53">
        <f>IF(A4299="","",YEAR(A4299))</f>
        <v/>
      </c>
      <c r="D4299" s="54">
        <f>IF(A4299="","",INDEX(lst_months,MONTH(A4299)))</f>
        <v/>
      </c>
      <c r="E4299" s="55" t="n"/>
      <c r="F4299" s="54">
        <f>IF(E4299="","",IFERROR(IF(INDEX(lst_exp_item_cat,MATCH(E4299,lst_exp_items,0))="","❔ Без категории",INDEX(lst_exp_item_cat,MATCH(E4299,lst_exp_items,0))),"❔ Без категории"))</f>
        <v/>
      </c>
      <c r="G4299" s="43" t="n"/>
      <c r="H4299" s="56" t="n"/>
      <c r="I4299" s="43" t="n"/>
      <c r="J4299" s="57">
        <f>IF(OR(A4299="",H4299=""),"",IF(COUNTIFS(exp_year,C4299,exp_month,D4299,exp_item,E4299,exp_status,"&lt;&gt;❌ Отменено")&gt;0,1,0))</f>
        <v/>
      </c>
    </row>
    <row r="4300">
      <c r="A4300" s="52" t="n"/>
      <c r="B4300" s="53">
        <f>IF(A4300="","",CHOOSE(WEEKDAY(A4300,2),"Пн","Вт","Ср","Чт","Пт","Сб","Вс"))</f>
        <v/>
      </c>
      <c r="C4300" s="53">
        <f>IF(A4300="","",YEAR(A4300))</f>
        <v/>
      </c>
      <c r="D4300" s="54">
        <f>IF(A4300="","",INDEX(lst_months,MONTH(A4300)))</f>
        <v/>
      </c>
      <c r="E4300" s="55" t="n"/>
      <c r="F4300" s="54">
        <f>IF(E4300="","",IFERROR(IF(INDEX(lst_exp_item_cat,MATCH(E4300,lst_exp_items,0))="","❔ Без категории",INDEX(lst_exp_item_cat,MATCH(E4300,lst_exp_items,0))),"❔ Без категории"))</f>
        <v/>
      </c>
      <c r="G4300" s="43" t="n"/>
      <c r="H4300" s="56" t="n"/>
      <c r="I4300" s="43" t="n"/>
      <c r="J4300" s="57">
        <f>IF(OR(A4300="",H4300=""),"",IF(COUNTIFS(exp_year,C4300,exp_month,D4300,exp_item,E4300,exp_status,"&lt;&gt;❌ Отменено")&gt;0,1,0))</f>
        <v/>
      </c>
    </row>
    <row r="4301">
      <c r="A4301" s="52" t="n"/>
      <c r="B4301" s="53">
        <f>IF(A4301="","",CHOOSE(WEEKDAY(A4301,2),"Пн","Вт","Ср","Чт","Пт","Сб","Вс"))</f>
        <v/>
      </c>
      <c r="C4301" s="53">
        <f>IF(A4301="","",YEAR(A4301))</f>
        <v/>
      </c>
      <c r="D4301" s="54">
        <f>IF(A4301="","",INDEX(lst_months,MONTH(A4301)))</f>
        <v/>
      </c>
      <c r="E4301" s="55" t="n"/>
      <c r="F4301" s="54">
        <f>IF(E4301="","",IFERROR(IF(INDEX(lst_exp_item_cat,MATCH(E4301,lst_exp_items,0))="","❔ Без категории",INDEX(lst_exp_item_cat,MATCH(E4301,lst_exp_items,0))),"❔ Без категории"))</f>
        <v/>
      </c>
      <c r="G4301" s="43" t="n"/>
      <c r="H4301" s="56" t="n"/>
      <c r="I4301" s="43" t="n"/>
      <c r="J4301" s="57">
        <f>IF(OR(A4301="",H4301=""),"",IF(COUNTIFS(exp_year,C4301,exp_month,D4301,exp_item,E4301,exp_status,"&lt;&gt;❌ Отменено")&gt;0,1,0))</f>
        <v/>
      </c>
    </row>
    <row r="4302">
      <c r="A4302" s="52" t="n"/>
      <c r="B4302" s="53">
        <f>IF(A4302="","",CHOOSE(WEEKDAY(A4302,2),"Пн","Вт","Ср","Чт","Пт","Сб","Вс"))</f>
        <v/>
      </c>
      <c r="C4302" s="53">
        <f>IF(A4302="","",YEAR(A4302))</f>
        <v/>
      </c>
      <c r="D4302" s="54">
        <f>IF(A4302="","",INDEX(lst_months,MONTH(A4302)))</f>
        <v/>
      </c>
      <c r="E4302" s="55" t="n"/>
      <c r="F4302" s="54">
        <f>IF(E4302="","",IFERROR(IF(INDEX(lst_exp_item_cat,MATCH(E4302,lst_exp_items,0))="","❔ Без категории",INDEX(lst_exp_item_cat,MATCH(E4302,lst_exp_items,0))),"❔ Без категории"))</f>
        <v/>
      </c>
      <c r="G4302" s="43" t="n"/>
      <c r="H4302" s="56" t="n"/>
      <c r="I4302" s="43" t="n"/>
      <c r="J4302" s="57">
        <f>IF(OR(A4302="",H4302=""),"",IF(COUNTIFS(exp_year,C4302,exp_month,D4302,exp_item,E4302,exp_status,"&lt;&gt;❌ Отменено")&gt;0,1,0))</f>
        <v/>
      </c>
    </row>
    <row r="4303">
      <c r="A4303" s="52" t="n"/>
      <c r="B4303" s="53">
        <f>IF(A4303="","",CHOOSE(WEEKDAY(A4303,2),"Пн","Вт","Ср","Чт","Пт","Сб","Вс"))</f>
        <v/>
      </c>
      <c r="C4303" s="53">
        <f>IF(A4303="","",YEAR(A4303))</f>
        <v/>
      </c>
      <c r="D4303" s="54">
        <f>IF(A4303="","",INDEX(lst_months,MONTH(A4303)))</f>
        <v/>
      </c>
      <c r="E4303" s="55" t="n"/>
      <c r="F4303" s="54">
        <f>IF(E4303="","",IFERROR(IF(INDEX(lst_exp_item_cat,MATCH(E4303,lst_exp_items,0))="","❔ Без категории",INDEX(lst_exp_item_cat,MATCH(E4303,lst_exp_items,0))),"❔ Без категории"))</f>
        <v/>
      </c>
      <c r="G4303" s="43" t="n"/>
      <c r="H4303" s="56" t="n"/>
      <c r="I4303" s="43" t="n"/>
      <c r="J4303" s="57">
        <f>IF(OR(A4303="",H4303=""),"",IF(COUNTIFS(exp_year,C4303,exp_month,D4303,exp_item,E4303,exp_status,"&lt;&gt;❌ Отменено")&gt;0,1,0))</f>
        <v/>
      </c>
    </row>
    <row r="4304">
      <c r="A4304" s="52" t="n"/>
      <c r="B4304" s="53">
        <f>IF(A4304="","",CHOOSE(WEEKDAY(A4304,2),"Пн","Вт","Ср","Чт","Пт","Сб","Вс"))</f>
        <v/>
      </c>
      <c r="C4304" s="53">
        <f>IF(A4304="","",YEAR(A4304))</f>
        <v/>
      </c>
      <c r="D4304" s="54">
        <f>IF(A4304="","",INDEX(lst_months,MONTH(A4304)))</f>
        <v/>
      </c>
      <c r="E4304" s="55" t="n"/>
      <c r="F4304" s="54">
        <f>IF(E4304="","",IFERROR(IF(INDEX(lst_exp_item_cat,MATCH(E4304,lst_exp_items,0))="","❔ Без категории",INDEX(lst_exp_item_cat,MATCH(E4304,lst_exp_items,0))),"❔ Без категории"))</f>
        <v/>
      </c>
      <c r="G4304" s="43" t="n"/>
      <c r="H4304" s="56" t="n"/>
      <c r="I4304" s="43" t="n"/>
      <c r="J4304" s="57">
        <f>IF(OR(A4304="",H4304=""),"",IF(COUNTIFS(exp_year,C4304,exp_month,D4304,exp_item,E4304,exp_status,"&lt;&gt;❌ Отменено")&gt;0,1,0))</f>
        <v/>
      </c>
    </row>
    <row r="4305">
      <c r="A4305" s="52" t="n"/>
      <c r="B4305" s="53">
        <f>IF(A4305="","",CHOOSE(WEEKDAY(A4305,2),"Пн","Вт","Ср","Чт","Пт","Сб","Вс"))</f>
        <v/>
      </c>
      <c r="C4305" s="53">
        <f>IF(A4305="","",YEAR(A4305))</f>
        <v/>
      </c>
      <c r="D4305" s="54">
        <f>IF(A4305="","",INDEX(lst_months,MONTH(A4305)))</f>
        <v/>
      </c>
      <c r="E4305" s="55" t="n"/>
      <c r="F4305" s="54">
        <f>IF(E4305="","",IFERROR(IF(INDEX(lst_exp_item_cat,MATCH(E4305,lst_exp_items,0))="","❔ Без категории",INDEX(lst_exp_item_cat,MATCH(E4305,lst_exp_items,0))),"❔ Без категории"))</f>
        <v/>
      </c>
      <c r="G4305" s="43" t="n"/>
      <c r="H4305" s="56" t="n"/>
      <c r="I4305" s="43" t="n"/>
      <c r="J4305" s="57">
        <f>IF(OR(A4305="",H4305=""),"",IF(COUNTIFS(exp_year,C4305,exp_month,D4305,exp_item,E4305,exp_status,"&lt;&gt;❌ Отменено")&gt;0,1,0))</f>
        <v/>
      </c>
    </row>
    <row r="4306">
      <c r="A4306" s="52" t="n"/>
      <c r="B4306" s="53">
        <f>IF(A4306="","",CHOOSE(WEEKDAY(A4306,2),"Пн","Вт","Ср","Чт","Пт","Сб","Вс"))</f>
        <v/>
      </c>
      <c r="C4306" s="53">
        <f>IF(A4306="","",YEAR(A4306))</f>
        <v/>
      </c>
      <c r="D4306" s="54">
        <f>IF(A4306="","",INDEX(lst_months,MONTH(A4306)))</f>
        <v/>
      </c>
      <c r="E4306" s="55" t="n"/>
      <c r="F4306" s="54">
        <f>IF(E4306="","",IFERROR(IF(INDEX(lst_exp_item_cat,MATCH(E4306,lst_exp_items,0))="","❔ Без категории",INDEX(lst_exp_item_cat,MATCH(E4306,lst_exp_items,0))),"❔ Без категории"))</f>
        <v/>
      </c>
      <c r="G4306" s="43" t="n"/>
      <c r="H4306" s="56" t="n"/>
      <c r="I4306" s="43" t="n"/>
      <c r="J4306" s="57">
        <f>IF(OR(A4306="",H4306=""),"",IF(COUNTIFS(exp_year,C4306,exp_month,D4306,exp_item,E4306,exp_status,"&lt;&gt;❌ Отменено")&gt;0,1,0))</f>
        <v/>
      </c>
    </row>
    <row r="4307">
      <c r="A4307" s="52" t="n"/>
      <c r="B4307" s="53">
        <f>IF(A4307="","",CHOOSE(WEEKDAY(A4307,2),"Пн","Вт","Ср","Чт","Пт","Сб","Вс"))</f>
        <v/>
      </c>
      <c r="C4307" s="53">
        <f>IF(A4307="","",YEAR(A4307))</f>
        <v/>
      </c>
      <c r="D4307" s="54">
        <f>IF(A4307="","",INDEX(lst_months,MONTH(A4307)))</f>
        <v/>
      </c>
      <c r="E4307" s="55" t="n"/>
      <c r="F4307" s="54">
        <f>IF(E4307="","",IFERROR(IF(INDEX(lst_exp_item_cat,MATCH(E4307,lst_exp_items,0))="","❔ Без категории",INDEX(lst_exp_item_cat,MATCH(E4307,lst_exp_items,0))),"❔ Без категории"))</f>
        <v/>
      </c>
      <c r="G4307" s="43" t="n"/>
      <c r="H4307" s="56" t="n"/>
      <c r="I4307" s="43" t="n"/>
      <c r="J4307" s="57">
        <f>IF(OR(A4307="",H4307=""),"",IF(COUNTIFS(exp_year,C4307,exp_month,D4307,exp_item,E4307,exp_status,"&lt;&gt;❌ Отменено")&gt;0,1,0))</f>
        <v/>
      </c>
    </row>
    <row r="4308">
      <c r="A4308" s="52" t="n"/>
      <c r="B4308" s="53">
        <f>IF(A4308="","",CHOOSE(WEEKDAY(A4308,2),"Пн","Вт","Ср","Чт","Пт","Сб","Вс"))</f>
        <v/>
      </c>
      <c r="C4308" s="53">
        <f>IF(A4308="","",YEAR(A4308))</f>
        <v/>
      </c>
      <c r="D4308" s="54">
        <f>IF(A4308="","",INDEX(lst_months,MONTH(A4308)))</f>
        <v/>
      </c>
      <c r="E4308" s="55" t="n"/>
      <c r="F4308" s="54">
        <f>IF(E4308="","",IFERROR(IF(INDEX(lst_exp_item_cat,MATCH(E4308,lst_exp_items,0))="","❔ Без категории",INDEX(lst_exp_item_cat,MATCH(E4308,lst_exp_items,0))),"❔ Без категории"))</f>
        <v/>
      </c>
      <c r="G4308" s="43" t="n"/>
      <c r="H4308" s="56" t="n"/>
      <c r="I4308" s="43" t="n"/>
      <c r="J4308" s="57">
        <f>IF(OR(A4308="",H4308=""),"",IF(COUNTIFS(exp_year,C4308,exp_month,D4308,exp_item,E4308,exp_status,"&lt;&gt;❌ Отменено")&gt;0,1,0))</f>
        <v/>
      </c>
    </row>
    <row r="4309">
      <c r="A4309" s="52" t="n"/>
      <c r="B4309" s="53">
        <f>IF(A4309="","",CHOOSE(WEEKDAY(A4309,2),"Пн","Вт","Ср","Чт","Пт","Сб","Вс"))</f>
        <v/>
      </c>
      <c r="C4309" s="53">
        <f>IF(A4309="","",YEAR(A4309))</f>
        <v/>
      </c>
      <c r="D4309" s="54">
        <f>IF(A4309="","",INDEX(lst_months,MONTH(A4309)))</f>
        <v/>
      </c>
      <c r="E4309" s="55" t="n"/>
      <c r="F4309" s="54">
        <f>IF(E4309="","",IFERROR(IF(INDEX(lst_exp_item_cat,MATCH(E4309,lst_exp_items,0))="","❔ Без категории",INDEX(lst_exp_item_cat,MATCH(E4309,lst_exp_items,0))),"❔ Без категории"))</f>
        <v/>
      </c>
      <c r="G4309" s="43" t="n"/>
      <c r="H4309" s="56" t="n"/>
      <c r="I4309" s="43" t="n"/>
      <c r="J4309" s="57">
        <f>IF(OR(A4309="",H4309=""),"",IF(COUNTIFS(exp_year,C4309,exp_month,D4309,exp_item,E4309,exp_status,"&lt;&gt;❌ Отменено")&gt;0,1,0))</f>
        <v/>
      </c>
    </row>
    <row r="4310">
      <c r="A4310" s="52" t="n"/>
      <c r="B4310" s="53">
        <f>IF(A4310="","",CHOOSE(WEEKDAY(A4310,2),"Пн","Вт","Ср","Чт","Пт","Сб","Вс"))</f>
        <v/>
      </c>
      <c r="C4310" s="53">
        <f>IF(A4310="","",YEAR(A4310))</f>
        <v/>
      </c>
      <c r="D4310" s="54">
        <f>IF(A4310="","",INDEX(lst_months,MONTH(A4310)))</f>
        <v/>
      </c>
      <c r="E4310" s="55" t="n"/>
      <c r="F4310" s="54">
        <f>IF(E4310="","",IFERROR(IF(INDEX(lst_exp_item_cat,MATCH(E4310,lst_exp_items,0))="","❔ Без категории",INDEX(lst_exp_item_cat,MATCH(E4310,lst_exp_items,0))),"❔ Без категории"))</f>
        <v/>
      </c>
      <c r="G4310" s="43" t="n"/>
      <c r="H4310" s="56" t="n"/>
      <c r="I4310" s="43" t="n"/>
      <c r="J4310" s="57">
        <f>IF(OR(A4310="",H4310=""),"",IF(COUNTIFS(exp_year,C4310,exp_month,D4310,exp_item,E4310,exp_status,"&lt;&gt;❌ Отменено")&gt;0,1,0))</f>
        <v/>
      </c>
    </row>
    <row r="4311">
      <c r="A4311" s="52" t="n"/>
      <c r="B4311" s="53">
        <f>IF(A4311="","",CHOOSE(WEEKDAY(A4311,2),"Пн","Вт","Ср","Чт","Пт","Сб","Вс"))</f>
        <v/>
      </c>
      <c r="C4311" s="53">
        <f>IF(A4311="","",YEAR(A4311))</f>
        <v/>
      </c>
      <c r="D4311" s="54">
        <f>IF(A4311="","",INDEX(lst_months,MONTH(A4311)))</f>
        <v/>
      </c>
      <c r="E4311" s="55" t="n"/>
      <c r="F4311" s="54">
        <f>IF(E4311="","",IFERROR(IF(INDEX(lst_exp_item_cat,MATCH(E4311,lst_exp_items,0))="","❔ Без категории",INDEX(lst_exp_item_cat,MATCH(E4311,lst_exp_items,0))),"❔ Без категории"))</f>
        <v/>
      </c>
      <c r="G4311" s="43" t="n"/>
      <c r="H4311" s="56" t="n"/>
      <c r="I4311" s="43" t="n"/>
      <c r="J4311" s="57">
        <f>IF(OR(A4311="",H4311=""),"",IF(COUNTIFS(exp_year,C4311,exp_month,D4311,exp_item,E4311,exp_status,"&lt;&gt;❌ Отменено")&gt;0,1,0))</f>
        <v/>
      </c>
    </row>
    <row r="4312">
      <c r="A4312" s="52" t="n"/>
      <c r="B4312" s="53">
        <f>IF(A4312="","",CHOOSE(WEEKDAY(A4312,2),"Пн","Вт","Ср","Чт","Пт","Сб","Вс"))</f>
        <v/>
      </c>
      <c r="C4312" s="53">
        <f>IF(A4312="","",YEAR(A4312))</f>
        <v/>
      </c>
      <c r="D4312" s="54">
        <f>IF(A4312="","",INDEX(lst_months,MONTH(A4312)))</f>
        <v/>
      </c>
      <c r="E4312" s="55" t="n"/>
      <c r="F4312" s="54">
        <f>IF(E4312="","",IFERROR(IF(INDEX(lst_exp_item_cat,MATCH(E4312,lst_exp_items,0))="","❔ Без категории",INDEX(lst_exp_item_cat,MATCH(E4312,lst_exp_items,0))),"❔ Без категории"))</f>
        <v/>
      </c>
      <c r="G4312" s="43" t="n"/>
      <c r="H4312" s="56" t="n"/>
      <c r="I4312" s="43" t="n"/>
      <c r="J4312" s="57">
        <f>IF(OR(A4312="",H4312=""),"",IF(COUNTIFS(exp_year,C4312,exp_month,D4312,exp_item,E4312,exp_status,"&lt;&gt;❌ Отменено")&gt;0,1,0))</f>
        <v/>
      </c>
    </row>
    <row r="4313">
      <c r="A4313" s="52" t="n"/>
      <c r="B4313" s="53">
        <f>IF(A4313="","",CHOOSE(WEEKDAY(A4313,2),"Пн","Вт","Ср","Чт","Пт","Сб","Вс"))</f>
        <v/>
      </c>
      <c r="C4313" s="53">
        <f>IF(A4313="","",YEAR(A4313))</f>
        <v/>
      </c>
      <c r="D4313" s="54">
        <f>IF(A4313="","",INDEX(lst_months,MONTH(A4313)))</f>
        <v/>
      </c>
      <c r="E4313" s="55" t="n"/>
      <c r="F4313" s="54">
        <f>IF(E4313="","",IFERROR(IF(INDEX(lst_exp_item_cat,MATCH(E4313,lst_exp_items,0))="","❔ Без категории",INDEX(lst_exp_item_cat,MATCH(E4313,lst_exp_items,0))),"❔ Без категории"))</f>
        <v/>
      </c>
      <c r="G4313" s="43" t="n"/>
      <c r="H4313" s="56" t="n"/>
      <c r="I4313" s="43" t="n"/>
      <c r="J4313" s="57">
        <f>IF(OR(A4313="",H4313=""),"",IF(COUNTIFS(exp_year,C4313,exp_month,D4313,exp_item,E4313,exp_status,"&lt;&gt;❌ Отменено")&gt;0,1,0))</f>
        <v/>
      </c>
    </row>
    <row r="4314">
      <c r="A4314" s="52" t="n"/>
      <c r="B4314" s="53">
        <f>IF(A4314="","",CHOOSE(WEEKDAY(A4314,2),"Пн","Вт","Ср","Чт","Пт","Сб","Вс"))</f>
        <v/>
      </c>
      <c r="C4314" s="53">
        <f>IF(A4314="","",YEAR(A4314))</f>
        <v/>
      </c>
      <c r="D4314" s="54">
        <f>IF(A4314="","",INDEX(lst_months,MONTH(A4314)))</f>
        <v/>
      </c>
      <c r="E4314" s="55" t="n"/>
      <c r="F4314" s="54">
        <f>IF(E4314="","",IFERROR(IF(INDEX(lst_exp_item_cat,MATCH(E4314,lst_exp_items,0))="","❔ Без категории",INDEX(lst_exp_item_cat,MATCH(E4314,lst_exp_items,0))),"❔ Без категории"))</f>
        <v/>
      </c>
      <c r="G4314" s="43" t="n"/>
      <c r="H4314" s="56" t="n"/>
      <c r="I4314" s="43" t="n"/>
      <c r="J4314" s="57">
        <f>IF(OR(A4314="",H4314=""),"",IF(COUNTIFS(exp_year,C4314,exp_month,D4314,exp_item,E4314,exp_status,"&lt;&gt;❌ Отменено")&gt;0,1,0))</f>
        <v/>
      </c>
    </row>
    <row r="4315">
      <c r="A4315" s="52" t="n"/>
      <c r="B4315" s="53">
        <f>IF(A4315="","",CHOOSE(WEEKDAY(A4315,2),"Пн","Вт","Ср","Чт","Пт","Сб","Вс"))</f>
        <v/>
      </c>
      <c r="C4315" s="53">
        <f>IF(A4315="","",YEAR(A4315))</f>
        <v/>
      </c>
      <c r="D4315" s="54">
        <f>IF(A4315="","",INDEX(lst_months,MONTH(A4315)))</f>
        <v/>
      </c>
      <c r="E4315" s="55" t="n"/>
      <c r="F4315" s="54">
        <f>IF(E4315="","",IFERROR(IF(INDEX(lst_exp_item_cat,MATCH(E4315,lst_exp_items,0))="","❔ Без категории",INDEX(lst_exp_item_cat,MATCH(E4315,lst_exp_items,0))),"❔ Без категории"))</f>
        <v/>
      </c>
      <c r="G4315" s="43" t="n"/>
      <c r="H4315" s="56" t="n"/>
      <c r="I4315" s="43" t="n"/>
      <c r="J4315" s="57">
        <f>IF(OR(A4315="",H4315=""),"",IF(COUNTIFS(exp_year,C4315,exp_month,D4315,exp_item,E4315,exp_status,"&lt;&gt;❌ Отменено")&gt;0,1,0))</f>
        <v/>
      </c>
    </row>
    <row r="4316">
      <c r="A4316" s="52" t="n"/>
      <c r="B4316" s="53">
        <f>IF(A4316="","",CHOOSE(WEEKDAY(A4316,2),"Пн","Вт","Ср","Чт","Пт","Сб","Вс"))</f>
        <v/>
      </c>
      <c r="C4316" s="53">
        <f>IF(A4316="","",YEAR(A4316))</f>
        <v/>
      </c>
      <c r="D4316" s="54">
        <f>IF(A4316="","",INDEX(lst_months,MONTH(A4316)))</f>
        <v/>
      </c>
      <c r="E4316" s="55" t="n"/>
      <c r="F4316" s="54">
        <f>IF(E4316="","",IFERROR(IF(INDEX(lst_exp_item_cat,MATCH(E4316,lst_exp_items,0))="","❔ Без категории",INDEX(lst_exp_item_cat,MATCH(E4316,lst_exp_items,0))),"❔ Без категории"))</f>
        <v/>
      </c>
      <c r="G4316" s="43" t="n"/>
      <c r="H4316" s="56" t="n"/>
      <c r="I4316" s="43" t="n"/>
      <c r="J4316" s="57">
        <f>IF(OR(A4316="",H4316=""),"",IF(COUNTIFS(exp_year,C4316,exp_month,D4316,exp_item,E4316,exp_status,"&lt;&gt;❌ Отменено")&gt;0,1,0))</f>
        <v/>
      </c>
    </row>
    <row r="4317">
      <c r="A4317" s="52" t="n"/>
      <c r="B4317" s="53">
        <f>IF(A4317="","",CHOOSE(WEEKDAY(A4317,2),"Пн","Вт","Ср","Чт","Пт","Сб","Вс"))</f>
        <v/>
      </c>
      <c r="C4317" s="53">
        <f>IF(A4317="","",YEAR(A4317))</f>
        <v/>
      </c>
      <c r="D4317" s="54">
        <f>IF(A4317="","",INDEX(lst_months,MONTH(A4317)))</f>
        <v/>
      </c>
      <c r="E4317" s="55" t="n"/>
      <c r="F4317" s="54">
        <f>IF(E4317="","",IFERROR(IF(INDEX(lst_exp_item_cat,MATCH(E4317,lst_exp_items,0))="","❔ Без категории",INDEX(lst_exp_item_cat,MATCH(E4317,lst_exp_items,0))),"❔ Без категории"))</f>
        <v/>
      </c>
      <c r="G4317" s="43" t="n"/>
      <c r="H4317" s="56" t="n"/>
      <c r="I4317" s="43" t="n"/>
      <c r="J4317" s="57">
        <f>IF(OR(A4317="",H4317=""),"",IF(COUNTIFS(exp_year,C4317,exp_month,D4317,exp_item,E4317,exp_status,"&lt;&gt;❌ Отменено")&gt;0,1,0))</f>
        <v/>
      </c>
    </row>
    <row r="4318">
      <c r="A4318" s="52" t="n"/>
      <c r="B4318" s="53">
        <f>IF(A4318="","",CHOOSE(WEEKDAY(A4318,2),"Пн","Вт","Ср","Чт","Пт","Сб","Вс"))</f>
        <v/>
      </c>
      <c r="C4318" s="53">
        <f>IF(A4318="","",YEAR(A4318))</f>
        <v/>
      </c>
      <c r="D4318" s="54">
        <f>IF(A4318="","",INDEX(lst_months,MONTH(A4318)))</f>
        <v/>
      </c>
      <c r="E4318" s="55" t="n"/>
      <c r="F4318" s="54">
        <f>IF(E4318="","",IFERROR(IF(INDEX(lst_exp_item_cat,MATCH(E4318,lst_exp_items,0))="","❔ Без категории",INDEX(lst_exp_item_cat,MATCH(E4318,lst_exp_items,0))),"❔ Без категории"))</f>
        <v/>
      </c>
      <c r="G4318" s="43" t="n"/>
      <c r="H4318" s="56" t="n"/>
      <c r="I4318" s="43" t="n"/>
      <c r="J4318" s="57">
        <f>IF(OR(A4318="",H4318=""),"",IF(COUNTIFS(exp_year,C4318,exp_month,D4318,exp_item,E4318,exp_status,"&lt;&gt;❌ Отменено")&gt;0,1,0))</f>
        <v/>
      </c>
    </row>
    <row r="4319">
      <c r="A4319" s="52" t="n"/>
      <c r="B4319" s="53">
        <f>IF(A4319="","",CHOOSE(WEEKDAY(A4319,2),"Пн","Вт","Ср","Чт","Пт","Сб","Вс"))</f>
        <v/>
      </c>
      <c r="C4319" s="53">
        <f>IF(A4319="","",YEAR(A4319))</f>
        <v/>
      </c>
      <c r="D4319" s="54">
        <f>IF(A4319="","",INDEX(lst_months,MONTH(A4319)))</f>
        <v/>
      </c>
      <c r="E4319" s="55" t="n"/>
      <c r="F4319" s="54">
        <f>IF(E4319="","",IFERROR(IF(INDEX(lst_exp_item_cat,MATCH(E4319,lst_exp_items,0))="","❔ Без категории",INDEX(lst_exp_item_cat,MATCH(E4319,lst_exp_items,0))),"❔ Без категории"))</f>
        <v/>
      </c>
      <c r="G4319" s="43" t="n"/>
      <c r="H4319" s="56" t="n"/>
      <c r="I4319" s="43" t="n"/>
      <c r="J4319" s="57">
        <f>IF(OR(A4319="",H4319=""),"",IF(COUNTIFS(exp_year,C4319,exp_month,D4319,exp_item,E4319,exp_status,"&lt;&gt;❌ Отменено")&gt;0,1,0))</f>
        <v/>
      </c>
    </row>
    <row r="4320">
      <c r="A4320" s="52" t="n"/>
      <c r="B4320" s="53">
        <f>IF(A4320="","",CHOOSE(WEEKDAY(A4320,2),"Пн","Вт","Ср","Чт","Пт","Сб","Вс"))</f>
        <v/>
      </c>
      <c r="C4320" s="53">
        <f>IF(A4320="","",YEAR(A4320))</f>
        <v/>
      </c>
      <c r="D4320" s="54">
        <f>IF(A4320="","",INDEX(lst_months,MONTH(A4320)))</f>
        <v/>
      </c>
      <c r="E4320" s="55" t="n"/>
      <c r="F4320" s="54">
        <f>IF(E4320="","",IFERROR(IF(INDEX(lst_exp_item_cat,MATCH(E4320,lst_exp_items,0))="","❔ Без категории",INDEX(lst_exp_item_cat,MATCH(E4320,lst_exp_items,0))),"❔ Без категории"))</f>
        <v/>
      </c>
      <c r="G4320" s="43" t="n"/>
      <c r="H4320" s="56" t="n"/>
      <c r="I4320" s="43" t="n"/>
      <c r="J4320" s="57">
        <f>IF(OR(A4320="",H4320=""),"",IF(COUNTIFS(exp_year,C4320,exp_month,D4320,exp_item,E4320,exp_status,"&lt;&gt;❌ Отменено")&gt;0,1,0))</f>
        <v/>
      </c>
    </row>
    <row r="4321">
      <c r="A4321" s="52" t="n"/>
      <c r="B4321" s="53">
        <f>IF(A4321="","",CHOOSE(WEEKDAY(A4321,2),"Пн","Вт","Ср","Чт","Пт","Сб","Вс"))</f>
        <v/>
      </c>
      <c r="C4321" s="53">
        <f>IF(A4321="","",YEAR(A4321))</f>
        <v/>
      </c>
      <c r="D4321" s="54">
        <f>IF(A4321="","",INDEX(lst_months,MONTH(A4321)))</f>
        <v/>
      </c>
      <c r="E4321" s="55" t="n"/>
      <c r="F4321" s="54">
        <f>IF(E4321="","",IFERROR(IF(INDEX(lst_exp_item_cat,MATCH(E4321,lst_exp_items,0))="","❔ Без категории",INDEX(lst_exp_item_cat,MATCH(E4321,lst_exp_items,0))),"❔ Без категории"))</f>
        <v/>
      </c>
      <c r="G4321" s="43" t="n"/>
      <c r="H4321" s="56" t="n"/>
      <c r="I4321" s="43" t="n"/>
      <c r="J4321" s="57">
        <f>IF(OR(A4321="",H4321=""),"",IF(COUNTIFS(exp_year,C4321,exp_month,D4321,exp_item,E4321,exp_status,"&lt;&gt;❌ Отменено")&gt;0,1,0))</f>
        <v/>
      </c>
    </row>
    <row r="4322">
      <c r="A4322" s="52" t="n"/>
      <c r="B4322" s="53">
        <f>IF(A4322="","",CHOOSE(WEEKDAY(A4322,2),"Пн","Вт","Ср","Чт","Пт","Сб","Вс"))</f>
        <v/>
      </c>
      <c r="C4322" s="53">
        <f>IF(A4322="","",YEAR(A4322))</f>
        <v/>
      </c>
      <c r="D4322" s="54">
        <f>IF(A4322="","",INDEX(lst_months,MONTH(A4322)))</f>
        <v/>
      </c>
      <c r="E4322" s="55" t="n"/>
      <c r="F4322" s="54">
        <f>IF(E4322="","",IFERROR(IF(INDEX(lst_exp_item_cat,MATCH(E4322,lst_exp_items,0))="","❔ Без категории",INDEX(lst_exp_item_cat,MATCH(E4322,lst_exp_items,0))),"❔ Без категории"))</f>
        <v/>
      </c>
      <c r="G4322" s="43" t="n"/>
      <c r="H4322" s="56" t="n"/>
      <c r="I4322" s="43" t="n"/>
      <c r="J4322" s="57">
        <f>IF(OR(A4322="",H4322=""),"",IF(COUNTIFS(exp_year,C4322,exp_month,D4322,exp_item,E4322,exp_status,"&lt;&gt;❌ Отменено")&gt;0,1,0))</f>
        <v/>
      </c>
    </row>
    <row r="4323">
      <c r="A4323" s="52" t="n"/>
      <c r="B4323" s="53">
        <f>IF(A4323="","",CHOOSE(WEEKDAY(A4323,2),"Пн","Вт","Ср","Чт","Пт","Сб","Вс"))</f>
        <v/>
      </c>
      <c r="C4323" s="53">
        <f>IF(A4323="","",YEAR(A4323))</f>
        <v/>
      </c>
      <c r="D4323" s="54">
        <f>IF(A4323="","",INDEX(lst_months,MONTH(A4323)))</f>
        <v/>
      </c>
      <c r="E4323" s="55" t="n"/>
      <c r="F4323" s="54">
        <f>IF(E4323="","",IFERROR(IF(INDEX(lst_exp_item_cat,MATCH(E4323,lst_exp_items,0))="","❔ Без категории",INDEX(lst_exp_item_cat,MATCH(E4323,lst_exp_items,0))),"❔ Без категории"))</f>
        <v/>
      </c>
      <c r="G4323" s="43" t="n"/>
      <c r="H4323" s="56" t="n"/>
      <c r="I4323" s="43" t="n"/>
      <c r="J4323" s="57">
        <f>IF(OR(A4323="",H4323=""),"",IF(COUNTIFS(exp_year,C4323,exp_month,D4323,exp_item,E4323,exp_status,"&lt;&gt;❌ Отменено")&gt;0,1,0))</f>
        <v/>
      </c>
    </row>
    <row r="4324">
      <c r="A4324" s="52" t="n"/>
      <c r="B4324" s="53">
        <f>IF(A4324="","",CHOOSE(WEEKDAY(A4324,2),"Пн","Вт","Ср","Чт","Пт","Сб","Вс"))</f>
        <v/>
      </c>
      <c r="C4324" s="53">
        <f>IF(A4324="","",YEAR(A4324))</f>
        <v/>
      </c>
      <c r="D4324" s="54">
        <f>IF(A4324="","",INDEX(lst_months,MONTH(A4324)))</f>
        <v/>
      </c>
      <c r="E4324" s="55" t="n"/>
      <c r="F4324" s="54">
        <f>IF(E4324="","",IFERROR(IF(INDEX(lst_exp_item_cat,MATCH(E4324,lst_exp_items,0))="","❔ Без категории",INDEX(lst_exp_item_cat,MATCH(E4324,lst_exp_items,0))),"❔ Без категории"))</f>
        <v/>
      </c>
      <c r="G4324" s="43" t="n"/>
      <c r="H4324" s="56" t="n"/>
      <c r="I4324" s="43" t="n"/>
      <c r="J4324" s="57">
        <f>IF(OR(A4324="",H4324=""),"",IF(COUNTIFS(exp_year,C4324,exp_month,D4324,exp_item,E4324,exp_status,"&lt;&gt;❌ Отменено")&gt;0,1,0))</f>
        <v/>
      </c>
    </row>
    <row r="4325">
      <c r="A4325" s="52" t="n"/>
      <c r="B4325" s="53">
        <f>IF(A4325="","",CHOOSE(WEEKDAY(A4325,2),"Пн","Вт","Ср","Чт","Пт","Сб","Вс"))</f>
        <v/>
      </c>
      <c r="C4325" s="53">
        <f>IF(A4325="","",YEAR(A4325))</f>
        <v/>
      </c>
      <c r="D4325" s="54">
        <f>IF(A4325="","",INDEX(lst_months,MONTH(A4325)))</f>
        <v/>
      </c>
      <c r="E4325" s="55" t="n"/>
      <c r="F4325" s="54">
        <f>IF(E4325="","",IFERROR(IF(INDEX(lst_exp_item_cat,MATCH(E4325,lst_exp_items,0))="","❔ Без категории",INDEX(lst_exp_item_cat,MATCH(E4325,lst_exp_items,0))),"❔ Без категории"))</f>
        <v/>
      </c>
      <c r="G4325" s="43" t="n"/>
      <c r="H4325" s="56" t="n"/>
      <c r="I4325" s="43" t="n"/>
      <c r="J4325" s="57">
        <f>IF(OR(A4325="",H4325=""),"",IF(COUNTIFS(exp_year,C4325,exp_month,D4325,exp_item,E4325,exp_status,"&lt;&gt;❌ Отменено")&gt;0,1,0))</f>
        <v/>
      </c>
    </row>
    <row r="4326">
      <c r="A4326" s="52" t="n"/>
      <c r="B4326" s="53">
        <f>IF(A4326="","",CHOOSE(WEEKDAY(A4326,2),"Пн","Вт","Ср","Чт","Пт","Сб","Вс"))</f>
        <v/>
      </c>
      <c r="C4326" s="53">
        <f>IF(A4326="","",YEAR(A4326))</f>
        <v/>
      </c>
      <c r="D4326" s="54">
        <f>IF(A4326="","",INDEX(lst_months,MONTH(A4326)))</f>
        <v/>
      </c>
      <c r="E4326" s="55" t="n"/>
      <c r="F4326" s="54">
        <f>IF(E4326="","",IFERROR(IF(INDEX(lst_exp_item_cat,MATCH(E4326,lst_exp_items,0))="","❔ Без категории",INDEX(lst_exp_item_cat,MATCH(E4326,lst_exp_items,0))),"❔ Без категории"))</f>
        <v/>
      </c>
      <c r="G4326" s="43" t="n"/>
      <c r="H4326" s="56" t="n"/>
      <c r="I4326" s="43" t="n"/>
      <c r="J4326" s="57">
        <f>IF(OR(A4326="",H4326=""),"",IF(COUNTIFS(exp_year,C4326,exp_month,D4326,exp_item,E4326,exp_status,"&lt;&gt;❌ Отменено")&gt;0,1,0))</f>
        <v/>
      </c>
    </row>
    <row r="4327">
      <c r="A4327" s="52" t="n"/>
      <c r="B4327" s="53">
        <f>IF(A4327="","",CHOOSE(WEEKDAY(A4327,2),"Пн","Вт","Ср","Чт","Пт","Сб","Вс"))</f>
        <v/>
      </c>
      <c r="C4327" s="53">
        <f>IF(A4327="","",YEAR(A4327))</f>
        <v/>
      </c>
      <c r="D4327" s="54">
        <f>IF(A4327="","",INDEX(lst_months,MONTH(A4327)))</f>
        <v/>
      </c>
      <c r="E4327" s="55" t="n"/>
      <c r="F4327" s="54">
        <f>IF(E4327="","",IFERROR(IF(INDEX(lst_exp_item_cat,MATCH(E4327,lst_exp_items,0))="","❔ Без категории",INDEX(lst_exp_item_cat,MATCH(E4327,lst_exp_items,0))),"❔ Без категории"))</f>
        <v/>
      </c>
      <c r="G4327" s="43" t="n"/>
      <c r="H4327" s="56" t="n"/>
      <c r="I4327" s="43" t="n"/>
      <c r="J4327" s="57">
        <f>IF(OR(A4327="",H4327=""),"",IF(COUNTIFS(exp_year,C4327,exp_month,D4327,exp_item,E4327,exp_status,"&lt;&gt;❌ Отменено")&gt;0,1,0))</f>
        <v/>
      </c>
    </row>
    <row r="4328">
      <c r="A4328" s="52" t="n"/>
      <c r="B4328" s="53">
        <f>IF(A4328="","",CHOOSE(WEEKDAY(A4328,2),"Пн","Вт","Ср","Чт","Пт","Сб","Вс"))</f>
        <v/>
      </c>
      <c r="C4328" s="53">
        <f>IF(A4328="","",YEAR(A4328))</f>
        <v/>
      </c>
      <c r="D4328" s="54">
        <f>IF(A4328="","",INDEX(lst_months,MONTH(A4328)))</f>
        <v/>
      </c>
      <c r="E4328" s="55" t="n"/>
      <c r="F4328" s="54">
        <f>IF(E4328="","",IFERROR(IF(INDEX(lst_exp_item_cat,MATCH(E4328,lst_exp_items,0))="","❔ Без категории",INDEX(lst_exp_item_cat,MATCH(E4328,lst_exp_items,0))),"❔ Без категории"))</f>
        <v/>
      </c>
      <c r="G4328" s="43" t="n"/>
      <c r="H4328" s="56" t="n"/>
      <c r="I4328" s="43" t="n"/>
      <c r="J4328" s="57">
        <f>IF(OR(A4328="",H4328=""),"",IF(COUNTIFS(exp_year,C4328,exp_month,D4328,exp_item,E4328,exp_status,"&lt;&gt;❌ Отменено")&gt;0,1,0))</f>
        <v/>
      </c>
    </row>
    <row r="4329">
      <c r="A4329" s="52" t="n"/>
      <c r="B4329" s="53">
        <f>IF(A4329="","",CHOOSE(WEEKDAY(A4329,2),"Пн","Вт","Ср","Чт","Пт","Сб","Вс"))</f>
        <v/>
      </c>
      <c r="C4329" s="53">
        <f>IF(A4329="","",YEAR(A4329))</f>
        <v/>
      </c>
      <c r="D4329" s="54">
        <f>IF(A4329="","",INDEX(lst_months,MONTH(A4329)))</f>
        <v/>
      </c>
      <c r="E4329" s="55" t="n"/>
      <c r="F4329" s="54">
        <f>IF(E4329="","",IFERROR(IF(INDEX(lst_exp_item_cat,MATCH(E4329,lst_exp_items,0))="","❔ Без категории",INDEX(lst_exp_item_cat,MATCH(E4329,lst_exp_items,0))),"❔ Без категории"))</f>
        <v/>
      </c>
      <c r="G4329" s="43" t="n"/>
      <c r="H4329" s="56" t="n"/>
      <c r="I4329" s="43" t="n"/>
      <c r="J4329" s="57">
        <f>IF(OR(A4329="",H4329=""),"",IF(COUNTIFS(exp_year,C4329,exp_month,D4329,exp_item,E4329,exp_status,"&lt;&gt;❌ Отменено")&gt;0,1,0))</f>
        <v/>
      </c>
    </row>
    <row r="4330">
      <c r="A4330" s="52" t="n"/>
      <c r="B4330" s="53">
        <f>IF(A4330="","",CHOOSE(WEEKDAY(A4330,2),"Пн","Вт","Ср","Чт","Пт","Сб","Вс"))</f>
        <v/>
      </c>
      <c r="C4330" s="53">
        <f>IF(A4330="","",YEAR(A4330))</f>
        <v/>
      </c>
      <c r="D4330" s="54">
        <f>IF(A4330="","",INDEX(lst_months,MONTH(A4330)))</f>
        <v/>
      </c>
      <c r="E4330" s="55" t="n"/>
      <c r="F4330" s="54">
        <f>IF(E4330="","",IFERROR(IF(INDEX(lst_exp_item_cat,MATCH(E4330,lst_exp_items,0))="","❔ Без категории",INDEX(lst_exp_item_cat,MATCH(E4330,lst_exp_items,0))),"❔ Без категории"))</f>
        <v/>
      </c>
      <c r="G4330" s="43" t="n"/>
      <c r="H4330" s="56" t="n"/>
      <c r="I4330" s="43" t="n"/>
      <c r="J4330" s="57">
        <f>IF(OR(A4330="",H4330=""),"",IF(COUNTIFS(exp_year,C4330,exp_month,D4330,exp_item,E4330,exp_status,"&lt;&gt;❌ Отменено")&gt;0,1,0))</f>
        <v/>
      </c>
    </row>
    <row r="4331">
      <c r="A4331" s="52" t="n"/>
      <c r="B4331" s="53">
        <f>IF(A4331="","",CHOOSE(WEEKDAY(A4331,2),"Пн","Вт","Ср","Чт","Пт","Сб","Вс"))</f>
        <v/>
      </c>
      <c r="C4331" s="53">
        <f>IF(A4331="","",YEAR(A4331))</f>
        <v/>
      </c>
      <c r="D4331" s="54">
        <f>IF(A4331="","",INDEX(lst_months,MONTH(A4331)))</f>
        <v/>
      </c>
      <c r="E4331" s="55" t="n"/>
      <c r="F4331" s="54">
        <f>IF(E4331="","",IFERROR(IF(INDEX(lst_exp_item_cat,MATCH(E4331,lst_exp_items,0))="","❔ Без категории",INDEX(lst_exp_item_cat,MATCH(E4331,lst_exp_items,0))),"❔ Без категории"))</f>
        <v/>
      </c>
      <c r="G4331" s="43" t="n"/>
      <c r="H4331" s="56" t="n"/>
      <c r="I4331" s="43" t="n"/>
      <c r="J4331" s="57">
        <f>IF(OR(A4331="",H4331=""),"",IF(COUNTIFS(exp_year,C4331,exp_month,D4331,exp_item,E4331,exp_status,"&lt;&gt;❌ Отменено")&gt;0,1,0))</f>
        <v/>
      </c>
    </row>
    <row r="4332">
      <c r="A4332" s="52" t="n"/>
      <c r="B4332" s="53">
        <f>IF(A4332="","",CHOOSE(WEEKDAY(A4332,2),"Пн","Вт","Ср","Чт","Пт","Сб","Вс"))</f>
        <v/>
      </c>
      <c r="C4332" s="53">
        <f>IF(A4332="","",YEAR(A4332))</f>
        <v/>
      </c>
      <c r="D4332" s="54">
        <f>IF(A4332="","",INDEX(lst_months,MONTH(A4332)))</f>
        <v/>
      </c>
      <c r="E4332" s="55" t="n"/>
      <c r="F4332" s="54">
        <f>IF(E4332="","",IFERROR(IF(INDEX(lst_exp_item_cat,MATCH(E4332,lst_exp_items,0))="","❔ Без категории",INDEX(lst_exp_item_cat,MATCH(E4332,lst_exp_items,0))),"❔ Без категории"))</f>
        <v/>
      </c>
      <c r="G4332" s="43" t="n"/>
      <c r="H4332" s="56" t="n"/>
      <c r="I4332" s="43" t="n"/>
      <c r="J4332" s="57">
        <f>IF(OR(A4332="",H4332=""),"",IF(COUNTIFS(exp_year,C4332,exp_month,D4332,exp_item,E4332,exp_status,"&lt;&gt;❌ Отменено")&gt;0,1,0))</f>
        <v/>
      </c>
    </row>
    <row r="4333">
      <c r="A4333" s="52" t="n"/>
      <c r="B4333" s="53">
        <f>IF(A4333="","",CHOOSE(WEEKDAY(A4333,2),"Пн","Вт","Ср","Чт","Пт","Сб","Вс"))</f>
        <v/>
      </c>
      <c r="C4333" s="53">
        <f>IF(A4333="","",YEAR(A4333))</f>
        <v/>
      </c>
      <c r="D4333" s="54">
        <f>IF(A4333="","",INDEX(lst_months,MONTH(A4333)))</f>
        <v/>
      </c>
      <c r="E4333" s="55" t="n"/>
      <c r="F4333" s="54">
        <f>IF(E4333="","",IFERROR(IF(INDEX(lst_exp_item_cat,MATCH(E4333,lst_exp_items,0))="","❔ Без категории",INDEX(lst_exp_item_cat,MATCH(E4333,lst_exp_items,0))),"❔ Без категории"))</f>
        <v/>
      </c>
      <c r="G4333" s="43" t="n"/>
      <c r="H4333" s="56" t="n"/>
      <c r="I4333" s="43" t="n"/>
      <c r="J4333" s="57">
        <f>IF(OR(A4333="",H4333=""),"",IF(COUNTIFS(exp_year,C4333,exp_month,D4333,exp_item,E4333,exp_status,"&lt;&gt;❌ Отменено")&gt;0,1,0))</f>
        <v/>
      </c>
    </row>
    <row r="4334">
      <c r="A4334" s="52" t="n"/>
      <c r="B4334" s="53">
        <f>IF(A4334="","",CHOOSE(WEEKDAY(A4334,2),"Пн","Вт","Ср","Чт","Пт","Сб","Вс"))</f>
        <v/>
      </c>
      <c r="C4334" s="53">
        <f>IF(A4334="","",YEAR(A4334))</f>
        <v/>
      </c>
      <c r="D4334" s="54">
        <f>IF(A4334="","",INDEX(lst_months,MONTH(A4334)))</f>
        <v/>
      </c>
      <c r="E4334" s="55" t="n"/>
      <c r="F4334" s="54">
        <f>IF(E4334="","",IFERROR(IF(INDEX(lst_exp_item_cat,MATCH(E4334,lst_exp_items,0))="","❔ Без категории",INDEX(lst_exp_item_cat,MATCH(E4334,lst_exp_items,0))),"❔ Без категории"))</f>
        <v/>
      </c>
      <c r="G4334" s="43" t="n"/>
      <c r="H4334" s="56" t="n"/>
      <c r="I4334" s="43" t="n"/>
      <c r="J4334" s="57">
        <f>IF(OR(A4334="",H4334=""),"",IF(COUNTIFS(exp_year,C4334,exp_month,D4334,exp_item,E4334,exp_status,"&lt;&gt;❌ Отменено")&gt;0,1,0))</f>
        <v/>
      </c>
    </row>
    <row r="4335">
      <c r="A4335" s="52" t="n"/>
      <c r="B4335" s="53">
        <f>IF(A4335="","",CHOOSE(WEEKDAY(A4335,2),"Пн","Вт","Ср","Чт","Пт","Сб","Вс"))</f>
        <v/>
      </c>
      <c r="C4335" s="53">
        <f>IF(A4335="","",YEAR(A4335))</f>
        <v/>
      </c>
      <c r="D4335" s="54">
        <f>IF(A4335="","",INDEX(lst_months,MONTH(A4335)))</f>
        <v/>
      </c>
      <c r="E4335" s="55" t="n"/>
      <c r="F4335" s="54">
        <f>IF(E4335="","",IFERROR(IF(INDEX(lst_exp_item_cat,MATCH(E4335,lst_exp_items,0))="","❔ Без категории",INDEX(lst_exp_item_cat,MATCH(E4335,lst_exp_items,0))),"❔ Без категории"))</f>
        <v/>
      </c>
      <c r="G4335" s="43" t="n"/>
      <c r="H4335" s="56" t="n"/>
      <c r="I4335" s="43" t="n"/>
      <c r="J4335" s="57">
        <f>IF(OR(A4335="",H4335=""),"",IF(COUNTIFS(exp_year,C4335,exp_month,D4335,exp_item,E4335,exp_status,"&lt;&gt;❌ Отменено")&gt;0,1,0))</f>
        <v/>
      </c>
    </row>
    <row r="4336">
      <c r="A4336" s="52" t="n"/>
      <c r="B4336" s="53">
        <f>IF(A4336="","",CHOOSE(WEEKDAY(A4336,2),"Пн","Вт","Ср","Чт","Пт","Сб","Вс"))</f>
        <v/>
      </c>
      <c r="C4336" s="53">
        <f>IF(A4336="","",YEAR(A4336))</f>
        <v/>
      </c>
      <c r="D4336" s="54">
        <f>IF(A4336="","",INDEX(lst_months,MONTH(A4336)))</f>
        <v/>
      </c>
      <c r="E4336" s="55" t="n"/>
      <c r="F4336" s="54">
        <f>IF(E4336="","",IFERROR(IF(INDEX(lst_exp_item_cat,MATCH(E4336,lst_exp_items,0))="","❔ Без категории",INDEX(lst_exp_item_cat,MATCH(E4336,lst_exp_items,0))),"❔ Без категории"))</f>
        <v/>
      </c>
      <c r="G4336" s="43" t="n"/>
      <c r="H4336" s="56" t="n"/>
      <c r="I4336" s="43" t="n"/>
      <c r="J4336" s="57">
        <f>IF(OR(A4336="",H4336=""),"",IF(COUNTIFS(exp_year,C4336,exp_month,D4336,exp_item,E4336,exp_status,"&lt;&gt;❌ Отменено")&gt;0,1,0))</f>
        <v/>
      </c>
    </row>
    <row r="4337">
      <c r="A4337" s="52" t="n"/>
      <c r="B4337" s="53">
        <f>IF(A4337="","",CHOOSE(WEEKDAY(A4337,2),"Пн","Вт","Ср","Чт","Пт","Сб","Вс"))</f>
        <v/>
      </c>
      <c r="C4337" s="53">
        <f>IF(A4337="","",YEAR(A4337))</f>
        <v/>
      </c>
      <c r="D4337" s="54">
        <f>IF(A4337="","",INDEX(lst_months,MONTH(A4337)))</f>
        <v/>
      </c>
      <c r="E4337" s="55" t="n"/>
      <c r="F4337" s="54">
        <f>IF(E4337="","",IFERROR(IF(INDEX(lst_exp_item_cat,MATCH(E4337,lst_exp_items,0))="","❔ Без категории",INDEX(lst_exp_item_cat,MATCH(E4337,lst_exp_items,0))),"❔ Без категории"))</f>
        <v/>
      </c>
      <c r="G4337" s="43" t="n"/>
      <c r="H4337" s="56" t="n"/>
      <c r="I4337" s="43" t="n"/>
      <c r="J4337" s="57">
        <f>IF(OR(A4337="",H4337=""),"",IF(COUNTIFS(exp_year,C4337,exp_month,D4337,exp_item,E4337,exp_status,"&lt;&gt;❌ Отменено")&gt;0,1,0))</f>
        <v/>
      </c>
    </row>
    <row r="4338">
      <c r="A4338" s="52" t="n"/>
      <c r="B4338" s="53">
        <f>IF(A4338="","",CHOOSE(WEEKDAY(A4338,2),"Пн","Вт","Ср","Чт","Пт","Сб","Вс"))</f>
        <v/>
      </c>
      <c r="C4338" s="53">
        <f>IF(A4338="","",YEAR(A4338))</f>
        <v/>
      </c>
      <c r="D4338" s="54">
        <f>IF(A4338="","",INDEX(lst_months,MONTH(A4338)))</f>
        <v/>
      </c>
      <c r="E4338" s="55" t="n"/>
      <c r="F4338" s="54">
        <f>IF(E4338="","",IFERROR(IF(INDEX(lst_exp_item_cat,MATCH(E4338,lst_exp_items,0))="","❔ Без категории",INDEX(lst_exp_item_cat,MATCH(E4338,lst_exp_items,0))),"❔ Без категории"))</f>
        <v/>
      </c>
      <c r="G4338" s="43" t="n"/>
      <c r="H4338" s="56" t="n"/>
      <c r="I4338" s="43" t="n"/>
      <c r="J4338" s="57">
        <f>IF(OR(A4338="",H4338=""),"",IF(COUNTIFS(exp_year,C4338,exp_month,D4338,exp_item,E4338,exp_status,"&lt;&gt;❌ Отменено")&gt;0,1,0))</f>
        <v/>
      </c>
    </row>
    <row r="4339">
      <c r="A4339" s="52" t="n"/>
      <c r="B4339" s="53">
        <f>IF(A4339="","",CHOOSE(WEEKDAY(A4339,2),"Пн","Вт","Ср","Чт","Пт","Сб","Вс"))</f>
        <v/>
      </c>
      <c r="C4339" s="53">
        <f>IF(A4339="","",YEAR(A4339))</f>
        <v/>
      </c>
      <c r="D4339" s="54">
        <f>IF(A4339="","",INDEX(lst_months,MONTH(A4339)))</f>
        <v/>
      </c>
      <c r="E4339" s="55" t="n"/>
      <c r="F4339" s="54">
        <f>IF(E4339="","",IFERROR(IF(INDEX(lst_exp_item_cat,MATCH(E4339,lst_exp_items,0))="","❔ Без категории",INDEX(lst_exp_item_cat,MATCH(E4339,lst_exp_items,0))),"❔ Без категории"))</f>
        <v/>
      </c>
      <c r="G4339" s="43" t="n"/>
      <c r="H4339" s="56" t="n"/>
      <c r="I4339" s="43" t="n"/>
      <c r="J4339" s="57">
        <f>IF(OR(A4339="",H4339=""),"",IF(COUNTIFS(exp_year,C4339,exp_month,D4339,exp_item,E4339,exp_status,"&lt;&gt;❌ Отменено")&gt;0,1,0))</f>
        <v/>
      </c>
    </row>
    <row r="4340">
      <c r="A4340" s="52" t="n"/>
      <c r="B4340" s="53">
        <f>IF(A4340="","",CHOOSE(WEEKDAY(A4340,2),"Пн","Вт","Ср","Чт","Пт","Сб","Вс"))</f>
        <v/>
      </c>
      <c r="C4340" s="53">
        <f>IF(A4340="","",YEAR(A4340))</f>
        <v/>
      </c>
      <c r="D4340" s="54">
        <f>IF(A4340="","",INDEX(lst_months,MONTH(A4340)))</f>
        <v/>
      </c>
      <c r="E4340" s="55" t="n"/>
      <c r="F4340" s="54">
        <f>IF(E4340="","",IFERROR(IF(INDEX(lst_exp_item_cat,MATCH(E4340,lst_exp_items,0))="","❔ Без категории",INDEX(lst_exp_item_cat,MATCH(E4340,lst_exp_items,0))),"❔ Без категории"))</f>
        <v/>
      </c>
      <c r="G4340" s="43" t="n"/>
      <c r="H4340" s="56" t="n"/>
      <c r="I4340" s="43" t="n"/>
      <c r="J4340" s="57">
        <f>IF(OR(A4340="",H4340=""),"",IF(COUNTIFS(exp_year,C4340,exp_month,D4340,exp_item,E4340,exp_status,"&lt;&gt;❌ Отменено")&gt;0,1,0))</f>
        <v/>
      </c>
    </row>
    <row r="4341">
      <c r="A4341" s="52" t="n"/>
      <c r="B4341" s="53">
        <f>IF(A4341="","",CHOOSE(WEEKDAY(A4341,2),"Пн","Вт","Ср","Чт","Пт","Сб","Вс"))</f>
        <v/>
      </c>
      <c r="C4341" s="53">
        <f>IF(A4341="","",YEAR(A4341))</f>
        <v/>
      </c>
      <c r="D4341" s="54">
        <f>IF(A4341="","",INDEX(lst_months,MONTH(A4341)))</f>
        <v/>
      </c>
      <c r="E4341" s="55" t="n"/>
      <c r="F4341" s="54">
        <f>IF(E4341="","",IFERROR(IF(INDEX(lst_exp_item_cat,MATCH(E4341,lst_exp_items,0))="","❔ Без категории",INDEX(lst_exp_item_cat,MATCH(E4341,lst_exp_items,0))),"❔ Без категории"))</f>
        <v/>
      </c>
      <c r="G4341" s="43" t="n"/>
      <c r="H4341" s="56" t="n"/>
      <c r="I4341" s="43" t="n"/>
      <c r="J4341" s="57">
        <f>IF(OR(A4341="",H4341=""),"",IF(COUNTIFS(exp_year,C4341,exp_month,D4341,exp_item,E4341,exp_status,"&lt;&gt;❌ Отменено")&gt;0,1,0))</f>
        <v/>
      </c>
    </row>
    <row r="4342">
      <c r="A4342" s="52" t="n"/>
      <c r="B4342" s="53">
        <f>IF(A4342="","",CHOOSE(WEEKDAY(A4342,2),"Пн","Вт","Ср","Чт","Пт","Сб","Вс"))</f>
        <v/>
      </c>
      <c r="C4342" s="53">
        <f>IF(A4342="","",YEAR(A4342))</f>
        <v/>
      </c>
      <c r="D4342" s="54">
        <f>IF(A4342="","",INDEX(lst_months,MONTH(A4342)))</f>
        <v/>
      </c>
      <c r="E4342" s="55" t="n"/>
      <c r="F4342" s="54">
        <f>IF(E4342="","",IFERROR(IF(INDEX(lst_exp_item_cat,MATCH(E4342,lst_exp_items,0))="","❔ Без категории",INDEX(lst_exp_item_cat,MATCH(E4342,lst_exp_items,0))),"❔ Без категории"))</f>
        <v/>
      </c>
      <c r="G4342" s="43" t="n"/>
      <c r="H4342" s="56" t="n"/>
      <c r="I4342" s="43" t="n"/>
      <c r="J4342" s="57">
        <f>IF(OR(A4342="",H4342=""),"",IF(COUNTIFS(exp_year,C4342,exp_month,D4342,exp_item,E4342,exp_status,"&lt;&gt;❌ Отменено")&gt;0,1,0))</f>
        <v/>
      </c>
    </row>
    <row r="4343">
      <c r="A4343" s="52" t="n"/>
      <c r="B4343" s="53">
        <f>IF(A4343="","",CHOOSE(WEEKDAY(A4343,2),"Пн","Вт","Ср","Чт","Пт","Сб","Вс"))</f>
        <v/>
      </c>
      <c r="C4343" s="53">
        <f>IF(A4343="","",YEAR(A4343))</f>
        <v/>
      </c>
      <c r="D4343" s="54">
        <f>IF(A4343="","",INDEX(lst_months,MONTH(A4343)))</f>
        <v/>
      </c>
      <c r="E4343" s="55" t="n"/>
      <c r="F4343" s="54">
        <f>IF(E4343="","",IFERROR(IF(INDEX(lst_exp_item_cat,MATCH(E4343,lst_exp_items,0))="","❔ Без категории",INDEX(lst_exp_item_cat,MATCH(E4343,lst_exp_items,0))),"❔ Без категории"))</f>
        <v/>
      </c>
      <c r="G4343" s="43" t="n"/>
      <c r="H4343" s="56" t="n"/>
      <c r="I4343" s="43" t="n"/>
      <c r="J4343" s="57">
        <f>IF(OR(A4343="",H4343=""),"",IF(COUNTIFS(exp_year,C4343,exp_month,D4343,exp_item,E4343,exp_status,"&lt;&gt;❌ Отменено")&gt;0,1,0))</f>
        <v/>
      </c>
    </row>
    <row r="4344">
      <c r="A4344" s="52" t="n"/>
      <c r="B4344" s="53">
        <f>IF(A4344="","",CHOOSE(WEEKDAY(A4344,2),"Пн","Вт","Ср","Чт","Пт","Сб","Вс"))</f>
        <v/>
      </c>
      <c r="C4344" s="53">
        <f>IF(A4344="","",YEAR(A4344))</f>
        <v/>
      </c>
      <c r="D4344" s="54">
        <f>IF(A4344="","",INDEX(lst_months,MONTH(A4344)))</f>
        <v/>
      </c>
      <c r="E4344" s="55" t="n"/>
      <c r="F4344" s="54">
        <f>IF(E4344="","",IFERROR(IF(INDEX(lst_exp_item_cat,MATCH(E4344,lst_exp_items,0))="","❔ Без категории",INDEX(lst_exp_item_cat,MATCH(E4344,lst_exp_items,0))),"❔ Без категории"))</f>
        <v/>
      </c>
      <c r="G4344" s="43" t="n"/>
      <c r="H4344" s="56" t="n"/>
      <c r="I4344" s="43" t="n"/>
      <c r="J4344" s="57">
        <f>IF(OR(A4344="",H4344=""),"",IF(COUNTIFS(exp_year,C4344,exp_month,D4344,exp_item,E4344,exp_status,"&lt;&gt;❌ Отменено")&gt;0,1,0))</f>
        <v/>
      </c>
    </row>
    <row r="4345">
      <c r="A4345" s="52" t="n"/>
      <c r="B4345" s="53">
        <f>IF(A4345="","",CHOOSE(WEEKDAY(A4345,2),"Пн","Вт","Ср","Чт","Пт","Сб","Вс"))</f>
        <v/>
      </c>
      <c r="C4345" s="53">
        <f>IF(A4345="","",YEAR(A4345))</f>
        <v/>
      </c>
      <c r="D4345" s="54">
        <f>IF(A4345="","",INDEX(lst_months,MONTH(A4345)))</f>
        <v/>
      </c>
      <c r="E4345" s="55" t="n"/>
      <c r="F4345" s="54">
        <f>IF(E4345="","",IFERROR(IF(INDEX(lst_exp_item_cat,MATCH(E4345,lst_exp_items,0))="","❔ Без категории",INDEX(lst_exp_item_cat,MATCH(E4345,lst_exp_items,0))),"❔ Без категории"))</f>
        <v/>
      </c>
      <c r="G4345" s="43" t="n"/>
      <c r="H4345" s="56" t="n"/>
      <c r="I4345" s="43" t="n"/>
      <c r="J4345" s="57">
        <f>IF(OR(A4345="",H4345=""),"",IF(COUNTIFS(exp_year,C4345,exp_month,D4345,exp_item,E4345,exp_status,"&lt;&gt;❌ Отменено")&gt;0,1,0))</f>
        <v/>
      </c>
    </row>
    <row r="4346">
      <c r="A4346" s="52" t="n"/>
      <c r="B4346" s="53">
        <f>IF(A4346="","",CHOOSE(WEEKDAY(A4346,2),"Пн","Вт","Ср","Чт","Пт","Сб","Вс"))</f>
        <v/>
      </c>
      <c r="C4346" s="53">
        <f>IF(A4346="","",YEAR(A4346))</f>
        <v/>
      </c>
      <c r="D4346" s="54">
        <f>IF(A4346="","",INDEX(lst_months,MONTH(A4346)))</f>
        <v/>
      </c>
      <c r="E4346" s="55" t="n"/>
      <c r="F4346" s="54">
        <f>IF(E4346="","",IFERROR(IF(INDEX(lst_exp_item_cat,MATCH(E4346,lst_exp_items,0))="","❔ Без категории",INDEX(lst_exp_item_cat,MATCH(E4346,lst_exp_items,0))),"❔ Без категории"))</f>
        <v/>
      </c>
      <c r="G4346" s="43" t="n"/>
      <c r="H4346" s="56" t="n"/>
      <c r="I4346" s="43" t="n"/>
      <c r="J4346" s="57">
        <f>IF(OR(A4346="",H4346=""),"",IF(COUNTIFS(exp_year,C4346,exp_month,D4346,exp_item,E4346,exp_status,"&lt;&gt;❌ Отменено")&gt;0,1,0))</f>
        <v/>
      </c>
    </row>
    <row r="4347">
      <c r="A4347" s="52" t="n"/>
      <c r="B4347" s="53">
        <f>IF(A4347="","",CHOOSE(WEEKDAY(A4347,2),"Пн","Вт","Ср","Чт","Пт","Сб","Вс"))</f>
        <v/>
      </c>
      <c r="C4347" s="53">
        <f>IF(A4347="","",YEAR(A4347))</f>
        <v/>
      </c>
      <c r="D4347" s="54">
        <f>IF(A4347="","",INDEX(lst_months,MONTH(A4347)))</f>
        <v/>
      </c>
      <c r="E4347" s="55" t="n"/>
      <c r="F4347" s="54">
        <f>IF(E4347="","",IFERROR(IF(INDEX(lst_exp_item_cat,MATCH(E4347,lst_exp_items,0))="","❔ Без категории",INDEX(lst_exp_item_cat,MATCH(E4347,lst_exp_items,0))),"❔ Без категории"))</f>
        <v/>
      </c>
      <c r="G4347" s="43" t="n"/>
      <c r="H4347" s="56" t="n"/>
      <c r="I4347" s="43" t="n"/>
      <c r="J4347" s="57">
        <f>IF(OR(A4347="",H4347=""),"",IF(COUNTIFS(exp_year,C4347,exp_month,D4347,exp_item,E4347,exp_status,"&lt;&gt;❌ Отменено")&gt;0,1,0))</f>
        <v/>
      </c>
    </row>
    <row r="4348">
      <c r="A4348" s="52" t="n"/>
      <c r="B4348" s="53">
        <f>IF(A4348="","",CHOOSE(WEEKDAY(A4348,2),"Пн","Вт","Ср","Чт","Пт","Сб","Вс"))</f>
        <v/>
      </c>
      <c r="C4348" s="53">
        <f>IF(A4348="","",YEAR(A4348))</f>
        <v/>
      </c>
      <c r="D4348" s="54">
        <f>IF(A4348="","",INDEX(lst_months,MONTH(A4348)))</f>
        <v/>
      </c>
      <c r="E4348" s="55" t="n"/>
      <c r="F4348" s="54">
        <f>IF(E4348="","",IFERROR(IF(INDEX(lst_exp_item_cat,MATCH(E4348,lst_exp_items,0))="","❔ Без категории",INDEX(lst_exp_item_cat,MATCH(E4348,lst_exp_items,0))),"❔ Без категории"))</f>
        <v/>
      </c>
      <c r="G4348" s="43" t="n"/>
      <c r="H4348" s="56" t="n"/>
      <c r="I4348" s="43" t="n"/>
      <c r="J4348" s="57">
        <f>IF(OR(A4348="",H4348=""),"",IF(COUNTIFS(exp_year,C4348,exp_month,D4348,exp_item,E4348,exp_status,"&lt;&gt;❌ Отменено")&gt;0,1,0))</f>
        <v/>
      </c>
    </row>
    <row r="4349">
      <c r="A4349" s="52" t="n"/>
      <c r="B4349" s="53">
        <f>IF(A4349="","",CHOOSE(WEEKDAY(A4349,2),"Пн","Вт","Ср","Чт","Пт","Сб","Вс"))</f>
        <v/>
      </c>
      <c r="C4349" s="53">
        <f>IF(A4349="","",YEAR(A4349))</f>
        <v/>
      </c>
      <c r="D4349" s="54">
        <f>IF(A4349="","",INDEX(lst_months,MONTH(A4349)))</f>
        <v/>
      </c>
      <c r="E4349" s="55" t="n"/>
      <c r="F4349" s="54">
        <f>IF(E4349="","",IFERROR(IF(INDEX(lst_exp_item_cat,MATCH(E4349,lst_exp_items,0))="","❔ Без категории",INDEX(lst_exp_item_cat,MATCH(E4349,lst_exp_items,0))),"❔ Без категории"))</f>
        <v/>
      </c>
      <c r="G4349" s="43" t="n"/>
      <c r="H4349" s="56" t="n"/>
      <c r="I4349" s="43" t="n"/>
      <c r="J4349" s="57">
        <f>IF(OR(A4349="",H4349=""),"",IF(COUNTIFS(exp_year,C4349,exp_month,D4349,exp_item,E4349,exp_status,"&lt;&gt;❌ Отменено")&gt;0,1,0))</f>
        <v/>
      </c>
    </row>
    <row r="4350">
      <c r="A4350" s="52" t="n"/>
      <c r="B4350" s="53">
        <f>IF(A4350="","",CHOOSE(WEEKDAY(A4350,2),"Пн","Вт","Ср","Чт","Пт","Сб","Вс"))</f>
        <v/>
      </c>
      <c r="C4350" s="53">
        <f>IF(A4350="","",YEAR(A4350))</f>
        <v/>
      </c>
      <c r="D4350" s="54">
        <f>IF(A4350="","",INDEX(lst_months,MONTH(A4350)))</f>
        <v/>
      </c>
      <c r="E4350" s="55" t="n"/>
      <c r="F4350" s="54">
        <f>IF(E4350="","",IFERROR(IF(INDEX(lst_exp_item_cat,MATCH(E4350,lst_exp_items,0))="","❔ Без категории",INDEX(lst_exp_item_cat,MATCH(E4350,lst_exp_items,0))),"❔ Без категории"))</f>
        <v/>
      </c>
      <c r="G4350" s="43" t="n"/>
      <c r="H4350" s="56" t="n"/>
      <c r="I4350" s="43" t="n"/>
      <c r="J4350" s="57">
        <f>IF(OR(A4350="",H4350=""),"",IF(COUNTIFS(exp_year,C4350,exp_month,D4350,exp_item,E4350,exp_status,"&lt;&gt;❌ Отменено")&gt;0,1,0))</f>
        <v/>
      </c>
    </row>
    <row r="4351">
      <c r="A4351" s="52" t="n"/>
      <c r="B4351" s="53">
        <f>IF(A4351="","",CHOOSE(WEEKDAY(A4351,2),"Пн","Вт","Ср","Чт","Пт","Сб","Вс"))</f>
        <v/>
      </c>
      <c r="C4351" s="53">
        <f>IF(A4351="","",YEAR(A4351))</f>
        <v/>
      </c>
      <c r="D4351" s="54">
        <f>IF(A4351="","",INDEX(lst_months,MONTH(A4351)))</f>
        <v/>
      </c>
      <c r="E4351" s="55" t="n"/>
      <c r="F4351" s="54">
        <f>IF(E4351="","",IFERROR(IF(INDEX(lst_exp_item_cat,MATCH(E4351,lst_exp_items,0))="","❔ Без категории",INDEX(lst_exp_item_cat,MATCH(E4351,lst_exp_items,0))),"❔ Без категории"))</f>
        <v/>
      </c>
      <c r="G4351" s="43" t="n"/>
      <c r="H4351" s="56" t="n"/>
      <c r="I4351" s="43" t="n"/>
      <c r="J4351" s="57">
        <f>IF(OR(A4351="",H4351=""),"",IF(COUNTIFS(exp_year,C4351,exp_month,D4351,exp_item,E4351,exp_status,"&lt;&gt;❌ Отменено")&gt;0,1,0))</f>
        <v/>
      </c>
    </row>
    <row r="4352">
      <c r="A4352" s="52" t="n"/>
      <c r="B4352" s="53">
        <f>IF(A4352="","",CHOOSE(WEEKDAY(A4352,2),"Пн","Вт","Ср","Чт","Пт","Сб","Вс"))</f>
        <v/>
      </c>
      <c r="C4352" s="53">
        <f>IF(A4352="","",YEAR(A4352))</f>
        <v/>
      </c>
      <c r="D4352" s="54">
        <f>IF(A4352="","",INDEX(lst_months,MONTH(A4352)))</f>
        <v/>
      </c>
      <c r="E4352" s="55" t="n"/>
      <c r="F4352" s="54">
        <f>IF(E4352="","",IFERROR(IF(INDEX(lst_exp_item_cat,MATCH(E4352,lst_exp_items,0))="","❔ Без категории",INDEX(lst_exp_item_cat,MATCH(E4352,lst_exp_items,0))),"❔ Без категории"))</f>
        <v/>
      </c>
      <c r="G4352" s="43" t="n"/>
      <c r="H4352" s="56" t="n"/>
      <c r="I4352" s="43" t="n"/>
      <c r="J4352" s="57">
        <f>IF(OR(A4352="",H4352=""),"",IF(COUNTIFS(exp_year,C4352,exp_month,D4352,exp_item,E4352,exp_status,"&lt;&gt;❌ Отменено")&gt;0,1,0))</f>
        <v/>
      </c>
    </row>
    <row r="4353">
      <c r="A4353" s="52" t="n"/>
      <c r="B4353" s="53">
        <f>IF(A4353="","",CHOOSE(WEEKDAY(A4353,2),"Пн","Вт","Ср","Чт","Пт","Сб","Вс"))</f>
        <v/>
      </c>
      <c r="C4353" s="53">
        <f>IF(A4353="","",YEAR(A4353))</f>
        <v/>
      </c>
      <c r="D4353" s="54">
        <f>IF(A4353="","",INDEX(lst_months,MONTH(A4353)))</f>
        <v/>
      </c>
      <c r="E4353" s="55" t="n"/>
      <c r="F4353" s="54">
        <f>IF(E4353="","",IFERROR(IF(INDEX(lst_exp_item_cat,MATCH(E4353,lst_exp_items,0))="","❔ Без категории",INDEX(lst_exp_item_cat,MATCH(E4353,lst_exp_items,0))),"❔ Без категории"))</f>
        <v/>
      </c>
      <c r="G4353" s="43" t="n"/>
      <c r="H4353" s="56" t="n"/>
      <c r="I4353" s="43" t="n"/>
      <c r="J4353" s="57">
        <f>IF(OR(A4353="",H4353=""),"",IF(COUNTIFS(exp_year,C4353,exp_month,D4353,exp_item,E4353,exp_status,"&lt;&gt;❌ Отменено")&gt;0,1,0))</f>
        <v/>
      </c>
    </row>
    <row r="4354">
      <c r="A4354" s="52" t="n"/>
      <c r="B4354" s="53">
        <f>IF(A4354="","",CHOOSE(WEEKDAY(A4354,2),"Пн","Вт","Ср","Чт","Пт","Сб","Вс"))</f>
        <v/>
      </c>
      <c r="C4354" s="53">
        <f>IF(A4354="","",YEAR(A4354))</f>
        <v/>
      </c>
      <c r="D4354" s="54">
        <f>IF(A4354="","",INDEX(lst_months,MONTH(A4354)))</f>
        <v/>
      </c>
      <c r="E4354" s="55" t="n"/>
      <c r="F4354" s="54">
        <f>IF(E4354="","",IFERROR(IF(INDEX(lst_exp_item_cat,MATCH(E4354,lst_exp_items,0))="","❔ Без категории",INDEX(lst_exp_item_cat,MATCH(E4354,lst_exp_items,0))),"❔ Без категории"))</f>
        <v/>
      </c>
      <c r="G4354" s="43" t="n"/>
      <c r="H4354" s="56" t="n"/>
      <c r="I4354" s="43" t="n"/>
      <c r="J4354" s="57">
        <f>IF(OR(A4354="",H4354=""),"",IF(COUNTIFS(exp_year,C4354,exp_month,D4354,exp_item,E4354,exp_status,"&lt;&gt;❌ Отменено")&gt;0,1,0))</f>
        <v/>
      </c>
    </row>
    <row r="4355">
      <c r="A4355" s="52" t="n"/>
      <c r="B4355" s="53">
        <f>IF(A4355="","",CHOOSE(WEEKDAY(A4355,2),"Пн","Вт","Ср","Чт","Пт","Сб","Вс"))</f>
        <v/>
      </c>
      <c r="C4355" s="53">
        <f>IF(A4355="","",YEAR(A4355))</f>
        <v/>
      </c>
      <c r="D4355" s="54">
        <f>IF(A4355="","",INDEX(lst_months,MONTH(A4355)))</f>
        <v/>
      </c>
      <c r="E4355" s="55" t="n"/>
      <c r="F4355" s="54">
        <f>IF(E4355="","",IFERROR(IF(INDEX(lst_exp_item_cat,MATCH(E4355,lst_exp_items,0))="","❔ Без категории",INDEX(lst_exp_item_cat,MATCH(E4355,lst_exp_items,0))),"❔ Без категории"))</f>
        <v/>
      </c>
      <c r="G4355" s="43" t="n"/>
      <c r="H4355" s="56" t="n"/>
      <c r="I4355" s="43" t="n"/>
      <c r="J4355" s="57">
        <f>IF(OR(A4355="",H4355=""),"",IF(COUNTIFS(exp_year,C4355,exp_month,D4355,exp_item,E4355,exp_status,"&lt;&gt;❌ Отменено")&gt;0,1,0))</f>
        <v/>
      </c>
    </row>
    <row r="4356">
      <c r="A4356" s="52" t="n"/>
      <c r="B4356" s="53">
        <f>IF(A4356="","",CHOOSE(WEEKDAY(A4356,2),"Пн","Вт","Ср","Чт","Пт","Сб","Вс"))</f>
        <v/>
      </c>
      <c r="C4356" s="53">
        <f>IF(A4356="","",YEAR(A4356))</f>
        <v/>
      </c>
      <c r="D4356" s="54">
        <f>IF(A4356="","",INDEX(lst_months,MONTH(A4356)))</f>
        <v/>
      </c>
      <c r="E4356" s="55" t="n"/>
      <c r="F4356" s="54">
        <f>IF(E4356="","",IFERROR(IF(INDEX(lst_exp_item_cat,MATCH(E4356,lst_exp_items,0))="","❔ Без категории",INDEX(lst_exp_item_cat,MATCH(E4356,lst_exp_items,0))),"❔ Без категории"))</f>
        <v/>
      </c>
      <c r="G4356" s="43" t="n"/>
      <c r="H4356" s="56" t="n"/>
      <c r="I4356" s="43" t="n"/>
      <c r="J4356" s="57">
        <f>IF(OR(A4356="",H4356=""),"",IF(COUNTIFS(exp_year,C4356,exp_month,D4356,exp_item,E4356,exp_status,"&lt;&gt;❌ Отменено")&gt;0,1,0))</f>
        <v/>
      </c>
    </row>
    <row r="4357">
      <c r="A4357" s="52" t="n"/>
      <c r="B4357" s="53">
        <f>IF(A4357="","",CHOOSE(WEEKDAY(A4357,2),"Пн","Вт","Ср","Чт","Пт","Сб","Вс"))</f>
        <v/>
      </c>
      <c r="C4357" s="53">
        <f>IF(A4357="","",YEAR(A4357))</f>
        <v/>
      </c>
      <c r="D4357" s="54">
        <f>IF(A4357="","",INDEX(lst_months,MONTH(A4357)))</f>
        <v/>
      </c>
      <c r="E4357" s="55" t="n"/>
      <c r="F4357" s="54">
        <f>IF(E4357="","",IFERROR(IF(INDEX(lst_exp_item_cat,MATCH(E4357,lst_exp_items,0))="","❔ Без категории",INDEX(lst_exp_item_cat,MATCH(E4357,lst_exp_items,0))),"❔ Без категории"))</f>
        <v/>
      </c>
      <c r="G4357" s="43" t="n"/>
      <c r="H4357" s="56" t="n"/>
      <c r="I4357" s="43" t="n"/>
      <c r="J4357" s="57">
        <f>IF(OR(A4357="",H4357=""),"",IF(COUNTIFS(exp_year,C4357,exp_month,D4357,exp_item,E4357,exp_status,"&lt;&gt;❌ Отменено")&gt;0,1,0))</f>
        <v/>
      </c>
    </row>
    <row r="4358">
      <c r="A4358" s="52" t="n"/>
      <c r="B4358" s="53">
        <f>IF(A4358="","",CHOOSE(WEEKDAY(A4358,2),"Пн","Вт","Ср","Чт","Пт","Сб","Вс"))</f>
        <v/>
      </c>
      <c r="C4358" s="53">
        <f>IF(A4358="","",YEAR(A4358))</f>
        <v/>
      </c>
      <c r="D4358" s="54">
        <f>IF(A4358="","",INDEX(lst_months,MONTH(A4358)))</f>
        <v/>
      </c>
      <c r="E4358" s="55" t="n"/>
      <c r="F4358" s="54">
        <f>IF(E4358="","",IFERROR(IF(INDEX(lst_exp_item_cat,MATCH(E4358,lst_exp_items,0))="","❔ Без категории",INDEX(lst_exp_item_cat,MATCH(E4358,lst_exp_items,0))),"❔ Без категории"))</f>
        <v/>
      </c>
      <c r="G4358" s="43" t="n"/>
      <c r="H4358" s="56" t="n"/>
      <c r="I4358" s="43" t="n"/>
      <c r="J4358" s="57">
        <f>IF(OR(A4358="",H4358=""),"",IF(COUNTIFS(exp_year,C4358,exp_month,D4358,exp_item,E4358,exp_status,"&lt;&gt;❌ Отменено")&gt;0,1,0))</f>
        <v/>
      </c>
    </row>
    <row r="4359">
      <c r="A4359" s="52" t="n"/>
      <c r="B4359" s="53">
        <f>IF(A4359="","",CHOOSE(WEEKDAY(A4359,2),"Пн","Вт","Ср","Чт","Пт","Сб","Вс"))</f>
        <v/>
      </c>
      <c r="C4359" s="53">
        <f>IF(A4359="","",YEAR(A4359))</f>
        <v/>
      </c>
      <c r="D4359" s="54">
        <f>IF(A4359="","",INDEX(lst_months,MONTH(A4359)))</f>
        <v/>
      </c>
      <c r="E4359" s="55" t="n"/>
      <c r="F4359" s="54">
        <f>IF(E4359="","",IFERROR(IF(INDEX(lst_exp_item_cat,MATCH(E4359,lst_exp_items,0))="","❔ Без категории",INDEX(lst_exp_item_cat,MATCH(E4359,lst_exp_items,0))),"❔ Без категории"))</f>
        <v/>
      </c>
      <c r="G4359" s="43" t="n"/>
      <c r="H4359" s="56" t="n"/>
      <c r="I4359" s="43" t="n"/>
      <c r="J4359" s="57">
        <f>IF(OR(A4359="",H4359=""),"",IF(COUNTIFS(exp_year,C4359,exp_month,D4359,exp_item,E4359,exp_status,"&lt;&gt;❌ Отменено")&gt;0,1,0))</f>
        <v/>
      </c>
    </row>
    <row r="4360">
      <c r="A4360" s="52" t="n"/>
      <c r="B4360" s="53">
        <f>IF(A4360="","",CHOOSE(WEEKDAY(A4360,2),"Пн","Вт","Ср","Чт","Пт","Сб","Вс"))</f>
        <v/>
      </c>
      <c r="C4360" s="53">
        <f>IF(A4360="","",YEAR(A4360))</f>
        <v/>
      </c>
      <c r="D4360" s="54">
        <f>IF(A4360="","",INDEX(lst_months,MONTH(A4360)))</f>
        <v/>
      </c>
      <c r="E4360" s="55" t="n"/>
      <c r="F4360" s="54">
        <f>IF(E4360="","",IFERROR(IF(INDEX(lst_exp_item_cat,MATCH(E4360,lst_exp_items,0))="","❔ Без категории",INDEX(lst_exp_item_cat,MATCH(E4360,lst_exp_items,0))),"❔ Без категории"))</f>
        <v/>
      </c>
      <c r="G4360" s="43" t="n"/>
      <c r="H4360" s="56" t="n"/>
      <c r="I4360" s="43" t="n"/>
      <c r="J4360" s="57">
        <f>IF(OR(A4360="",H4360=""),"",IF(COUNTIFS(exp_year,C4360,exp_month,D4360,exp_item,E4360,exp_status,"&lt;&gt;❌ Отменено")&gt;0,1,0))</f>
        <v/>
      </c>
    </row>
    <row r="4361">
      <c r="A4361" s="52" t="n"/>
      <c r="B4361" s="53">
        <f>IF(A4361="","",CHOOSE(WEEKDAY(A4361,2),"Пн","Вт","Ср","Чт","Пт","Сб","Вс"))</f>
        <v/>
      </c>
      <c r="C4361" s="53">
        <f>IF(A4361="","",YEAR(A4361))</f>
        <v/>
      </c>
      <c r="D4361" s="54">
        <f>IF(A4361="","",INDEX(lst_months,MONTH(A4361)))</f>
        <v/>
      </c>
      <c r="E4361" s="55" t="n"/>
      <c r="F4361" s="54">
        <f>IF(E4361="","",IFERROR(IF(INDEX(lst_exp_item_cat,MATCH(E4361,lst_exp_items,0))="","❔ Без категории",INDEX(lst_exp_item_cat,MATCH(E4361,lst_exp_items,0))),"❔ Без категории"))</f>
        <v/>
      </c>
      <c r="G4361" s="43" t="n"/>
      <c r="H4361" s="56" t="n"/>
      <c r="I4361" s="43" t="n"/>
      <c r="J4361" s="57">
        <f>IF(OR(A4361="",H4361=""),"",IF(COUNTIFS(exp_year,C4361,exp_month,D4361,exp_item,E4361,exp_status,"&lt;&gt;❌ Отменено")&gt;0,1,0))</f>
        <v/>
      </c>
    </row>
    <row r="4362">
      <c r="A4362" s="52" t="n"/>
      <c r="B4362" s="53">
        <f>IF(A4362="","",CHOOSE(WEEKDAY(A4362,2),"Пн","Вт","Ср","Чт","Пт","Сб","Вс"))</f>
        <v/>
      </c>
      <c r="C4362" s="53">
        <f>IF(A4362="","",YEAR(A4362))</f>
        <v/>
      </c>
      <c r="D4362" s="54">
        <f>IF(A4362="","",INDEX(lst_months,MONTH(A4362)))</f>
        <v/>
      </c>
      <c r="E4362" s="55" t="n"/>
      <c r="F4362" s="54">
        <f>IF(E4362="","",IFERROR(IF(INDEX(lst_exp_item_cat,MATCH(E4362,lst_exp_items,0))="","❔ Без категории",INDEX(lst_exp_item_cat,MATCH(E4362,lst_exp_items,0))),"❔ Без категории"))</f>
        <v/>
      </c>
      <c r="G4362" s="43" t="n"/>
      <c r="H4362" s="56" t="n"/>
      <c r="I4362" s="43" t="n"/>
      <c r="J4362" s="57">
        <f>IF(OR(A4362="",H4362=""),"",IF(COUNTIFS(exp_year,C4362,exp_month,D4362,exp_item,E4362,exp_status,"&lt;&gt;❌ Отменено")&gt;0,1,0))</f>
        <v/>
      </c>
    </row>
    <row r="4363">
      <c r="A4363" s="52" t="n"/>
      <c r="B4363" s="53">
        <f>IF(A4363="","",CHOOSE(WEEKDAY(A4363,2),"Пн","Вт","Ср","Чт","Пт","Сб","Вс"))</f>
        <v/>
      </c>
      <c r="C4363" s="53">
        <f>IF(A4363="","",YEAR(A4363))</f>
        <v/>
      </c>
      <c r="D4363" s="54">
        <f>IF(A4363="","",INDEX(lst_months,MONTH(A4363)))</f>
        <v/>
      </c>
      <c r="E4363" s="55" t="n"/>
      <c r="F4363" s="54">
        <f>IF(E4363="","",IFERROR(IF(INDEX(lst_exp_item_cat,MATCH(E4363,lst_exp_items,0))="","❔ Без категории",INDEX(lst_exp_item_cat,MATCH(E4363,lst_exp_items,0))),"❔ Без категории"))</f>
        <v/>
      </c>
      <c r="G4363" s="43" t="n"/>
      <c r="H4363" s="56" t="n"/>
      <c r="I4363" s="43" t="n"/>
      <c r="J4363" s="57">
        <f>IF(OR(A4363="",H4363=""),"",IF(COUNTIFS(exp_year,C4363,exp_month,D4363,exp_item,E4363,exp_status,"&lt;&gt;❌ Отменено")&gt;0,1,0))</f>
        <v/>
      </c>
    </row>
    <row r="4364">
      <c r="A4364" s="52" t="n"/>
      <c r="B4364" s="53">
        <f>IF(A4364="","",CHOOSE(WEEKDAY(A4364,2),"Пн","Вт","Ср","Чт","Пт","Сб","Вс"))</f>
        <v/>
      </c>
      <c r="C4364" s="53">
        <f>IF(A4364="","",YEAR(A4364))</f>
        <v/>
      </c>
      <c r="D4364" s="54">
        <f>IF(A4364="","",INDEX(lst_months,MONTH(A4364)))</f>
        <v/>
      </c>
      <c r="E4364" s="55" t="n"/>
      <c r="F4364" s="54">
        <f>IF(E4364="","",IFERROR(IF(INDEX(lst_exp_item_cat,MATCH(E4364,lst_exp_items,0))="","❔ Без категории",INDEX(lst_exp_item_cat,MATCH(E4364,lst_exp_items,0))),"❔ Без категории"))</f>
        <v/>
      </c>
      <c r="G4364" s="43" t="n"/>
      <c r="H4364" s="56" t="n"/>
      <c r="I4364" s="43" t="n"/>
      <c r="J4364" s="57">
        <f>IF(OR(A4364="",H4364=""),"",IF(COUNTIFS(exp_year,C4364,exp_month,D4364,exp_item,E4364,exp_status,"&lt;&gt;❌ Отменено")&gt;0,1,0))</f>
        <v/>
      </c>
    </row>
    <row r="4365">
      <c r="A4365" s="52" t="n"/>
      <c r="B4365" s="53">
        <f>IF(A4365="","",CHOOSE(WEEKDAY(A4365,2),"Пн","Вт","Ср","Чт","Пт","Сб","Вс"))</f>
        <v/>
      </c>
      <c r="C4365" s="53">
        <f>IF(A4365="","",YEAR(A4365))</f>
        <v/>
      </c>
      <c r="D4365" s="54">
        <f>IF(A4365="","",INDEX(lst_months,MONTH(A4365)))</f>
        <v/>
      </c>
      <c r="E4365" s="55" t="n"/>
      <c r="F4365" s="54">
        <f>IF(E4365="","",IFERROR(IF(INDEX(lst_exp_item_cat,MATCH(E4365,lst_exp_items,0))="","❔ Без категории",INDEX(lst_exp_item_cat,MATCH(E4365,lst_exp_items,0))),"❔ Без категории"))</f>
        <v/>
      </c>
      <c r="G4365" s="43" t="n"/>
      <c r="H4365" s="56" t="n"/>
      <c r="I4365" s="43" t="n"/>
      <c r="J4365" s="57">
        <f>IF(OR(A4365="",H4365=""),"",IF(COUNTIFS(exp_year,C4365,exp_month,D4365,exp_item,E4365,exp_status,"&lt;&gt;❌ Отменено")&gt;0,1,0))</f>
        <v/>
      </c>
    </row>
    <row r="4366">
      <c r="A4366" s="52" t="n"/>
      <c r="B4366" s="53">
        <f>IF(A4366="","",CHOOSE(WEEKDAY(A4366,2),"Пн","Вт","Ср","Чт","Пт","Сб","Вс"))</f>
        <v/>
      </c>
      <c r="C4366" s="53">
        <f>IF(A4366="","",YEAR(A4366))</f>
        <v/>
      </c>
      <c r="D4366" s="54">
        <f>IF(A4366="","",INDEX(lst_months,MONTH(A4366)))</f>
        <v/>
      </c>
      <c r="E4366" s="55" t="n"/>
      <c r="F4366" s="54">
        <f>IF(E4366="","",IFERROR(IF(INDEX(lst_exp_item_cat,MATCH(E4366,lst_exp_items,0))="","❔ Без категории",INDEX(lst_exp_item_cat,MATCH(E4366,lst_exp_items,0))),"❔ Без категории"))</f>
        <v/>
      </c>
      <c r="G4366" s="43" t="n"/>
      <c r="H4366" s="56" t="n"/>
      <c r="I4366" s="43" t="n"/>
      <c r="J4366" s="57">
        <f>IF(OR(A4366="",H4366=""),"",IF(COUNTIFS(exp_year,C4366,exp_month,D4366,exp_item,E4366,exp_status,"&lt;&gt;❌ Отменено")&gt;0,1,0))</f>
        <v/>
      </c>
    </row>
    <row r="4367">
      <c r="A4367" s="52" t="n"/>
      <c r="B4367" s="53">
        <f>IF(A4367="","",CHOOSE(WEEKDAY(A4367,2),"Пн","Вт","Ср","Чт","Пт","Сб","Вс"))</f>
        <v/>
      </c>
      <c r="C4367" s="53">
        <f>IF(A4367="","",YEAR(A4367))</f>
        <v/>
      </c>
      <c r="D4367" s="54">
        <f>IF(A4367="","",INDEX(lst_months,MONTH(A4367)))</f>
        <v/>
      </c>
      <c r="E4367" s="55" t="n"/>
      <c r="F4367" s="54">
        <f>IF(E4367="","",IFERROR(IF(INDEX(lst_exp_item_cat,MATCH(E4367,lst_exp_items,0))="","❔ Без категории",INDEX(lst_exp_item_cat,MATCH(E4367,lst_exp_items,0))),"❔ Без категории"))</f>
        <v/>
      </c>
      <c r="G4367" s="43" t="n"/>
      <c r="H4367" s="56" t="n"/>
      <c r="I4367" s="43" t="n"/>
      <c r="J4367" s="57">
        <f>IF(OR(A4367="",H4367=""),"",IF(COUNTIFS(exp_year,C4367,exp_month,D4367,exp_item,E4367,exp_status,"&lt;&gt;❌ Отменено")&gt;0,1,0))</f>
        <v/>
      </c>
    </row>
    <row r="4368">
      <c r="A4368" s="52" t="n"/>
      <c r="B4368" s="53">
        <f>IF(A4368="","",CHOOSE(WEEKDAY(A4368,2),"Пн","Вт","Ср","Чт","Пт","Сб","Вс"))</f>
        <v/>
      </c>
      <c r="C4368" s="53">
        <f>IF(A4368="","",YEAR(A4368))</f>
        <v/>
      </c>
      <c r="D4368" s="54">
        <f>IF(A4368="","",INDEX(lst_months,MONTH(A4368)))</f>
        <v/>
      </c>
      <c r="E4368" s="55" t="n"/>
      <c r="F4368" s="54">
        <f>IF(E4368="","",IFERROR(IF(INDEX(lst_exp_item_cat,MATCH(E4368,lst_exp_items,0))="","❔ Без категории",INDEX(lst_exp_item_cat,MATCH(E4368,lst_exp_items,0))),"❔ Без категории"))</f>
        <v/>
      </c>
      <c r="G4368" s="43" t="n"/>
      <c r="H4368" s="56" t="n"/>
      <c r="I4368" s="43" t="n"/>
      <c r="J4368" s="57">
        <f>IF(OR(A4368="",H4368=""),"",IF(COUNTIFS(exp_year,C4368,exp_month,D4368,exp_item,E4368,exp_status,"&lt;&gt;❌ Отменено")&gt;0,1,0))</f>
        <v/>
      </c>
    </row>
    <row r="4369">
      <c r="A4369" s="52" t="n"/>
      <c r="B4369" s="53">
        <f>IF(A4369="","",CHOOSE(WEEKDAY(A4369,2),"Пн","Вт","Ср","Чт","Пт","Сб","Вс"))</f>
        <v/>
      </c>
      <c r="C4369" s="53">
        <f>IF(A4369="","",YEAR(A4369))</f>
        <v/>
      </c>
      <c r="D4369" s="54">
        <f>IF(A4369="","",INDEX(lst_months,MONTH(A4369)))</f>
        <v/>
      </c>
      <c r="E4369" s="55" t="n"/>
      <c r="F4369" s="54">
        <f>IF(E4369="","",IFERROR(IF(INDEX(lst_exp_item_cat,MATCH(E4369,lst_exp_items,0))="","❔ Без категории",INDEX(lst_exp_item_cat,MATCH(E4369,lst_exp_items,0))),"❔ Без категории"))</f>
        <v/>
      </c>
      <c r="G4369" s="43" t="n"/>
      <c r="H4369" s="56" t="n"/>
      <c r="I4369" s="43" t="n"/>
      <c r="J4369" s="57">
        <f>IF(OR(A4369="",H4369=""),"",IF(COUNTIFS(exp_year,C4369,exp_month,D4369,exp_item,E4369,exp_status,"&lt;&gt;❌ Отменено")&gt;0,1,0))</f>
        <v/>
      </c>
    </row>
    <row r="4370">
      <c r="A4370" s="52" t="n"/>
      <c r="B4370" s="53">
        <f>IF(A4370="","",CHOOSE(WEEKDAY(A4370,2),"Пн","Вт","Ср","Чт","Пт","Сб","Вс"))</f>
        <v/>
      </c>
      <c r="C4370" s="53">
        <f>IF(A4370="","",YEAR(A4370))</f>
        <v/>
      </c>
      <c r="D4370" s="54">
        <f>IF(A4370="","",INDEX(lst_months,MONTH(A4370)))</f>
        <v/>
      </c>
      <c r="E4370" s="55" t="n"/>
      <c r="F4370" s="54">
        <f>IF(E4370="","",IFERROR(IF(INDEX(lst_exp_item_cat,MATCH(E4370,lst_exp_items,0))="","❔ Без категории",INDEX(lst_exp_item_cat,MATCH(E4370,lst_exp_items,0))),"❔ Без категории"))</f>
        <v/>
      </c>
      <c r="G4370" s="43" t="n"/>
      <c r="H4370" s="56" t="n"/>
      <c r="I4370" s="43" t="n"/>
      <c r="J4370" s="57">
        <f>IF(OR(A4370="",H4370=""),"",IF(COUNTIFS(exp_year,C4370,exp_month,D4370,exp_item,E4370,exp_status,"&lt;&gt;❌ Отменено")&gt;0,1,0))</f>
        <v/>
      </c>
    </row>
    <row r="4371">
      <c r="A4371" s="52" t="n"/>
      <c r="B4371" s="53">
        <f>IF(A4371="","",CHOOSE(WEEKDAY(A4371,2),"Пн","Вт","Ср","Чт","Пт","Сб","Вс"))</f>
        <v/>
      </c>
      <c r="C4371" s="53">
        <f>IF(A4371="","",YEAR(A4371))</f>
        <v/>
      </c>
      <c r="D4371" s="54">
        <f>IF(A4371="","",INDEX(lst_months,MONTH(A4371)))</f>
        <v/>
      </c>
      <c r="E4371" s="55" t="n"/>
      <c r="F4371" s="54">
        <f>IF(E4371="","",IFERROR(IF(INDEX(lst_exp_item_cat,MATCH(E4371,lst_exp_items,0))="","❔ Без категории",INDEX(lst_exp_item_cat,MATCH(E4371,lst_exp_items,0))),"❔ Без категории"))</f>
        <v/>
      </c>
      <c r="G4371" s="43" t="n"/>
      <c r="H4371" s="56" t="n"/>
      <c r="I4371" s="43" t="n"/>
      <c r="J4371" s="57">
        <f>IF(OR(A4371="",H4371=""),"",IF(COUNTIFS(exp_year,C4371,exp_month,D4371,exp_item,E4371,exp_status,"&lt;&gt;❌ Отменено")&gt;0,1,0))</f>
        <v/>
      </c>
    </row>
    <row r="4372">
      <c r="A4372" s="52" t="n"/>
      <c r="B4372" s="53">
        <f>IF(A4372="","",CHOOSE(WEEKDAY(A4372,2),"Пн","Вт","Ср","Чт","Пт","Сб","Вс"))</f>
        <v/>
      </c>
      <c r="C4372" s="53">
        <f>IF(A4372="","",YEAR(A4372))</f>
        <v/>
      </c>
      <c r="D4372" s="54">
        <f>IF(A4372="","",INDEX(lst_months,MONTH(A4372)))</f>
        <v/>
      </c>
      <c r="E4372" s="55" t="n"/>
      <c r="F4372" s="54">
        <f>IF(E4372="","",IFERROR(IF(INDEX(lst_exp_item_cat,MATCH(E4372,lst_exp_items,0))="","❔ Без категории",INDEX(lst_exp_item_cat,MATCH(E4372,lst_exp_items,0))),"❔ Без категории"))</f>
        <v/>
      </c>
      <c r="G4372" s="43" t="n"/>
      <c r="H4372" s="56" t="n"/>
      <c r="I4372" s="43" t="n"/>
      <c r="J4372" s="57">
        <f>IF(OR(A4372="",H4372=""),"",IF(COUNTIFS(exp_year,C4372,exp_month,D4372,exp_item,E4372,exp_status,"&lt;&gt;❌ Отменено")&gt;0,1,0))</f>
        <v/>
      </c>
    </row>
    <row r="4373">
      <c r="A4373" s="52" t="n"/>
      <c r="B4373" s="53">
        <f>IF(A4373="","",CHOOSE(WEEKDAY(A4373,2),"Пн","Вт","Ср","Чт","Пт","Сб","Вс"))</f>
        <v/>
      </c>
      <c r="C4373" s="53">
        <f>IF(A4373="","",YEAR(A4373))</f>
        <v/>
      </c>
      <c r="D4373" s="54">
        <f>IF(A4373="","",INDEX(lst_months,MONTH(A4373)))</f>
        <v/>
      </c>
      <c r="E4373" s="55" t="n"/>
      <c r="F4373" s="54">
        <f>IF(E4373="","",IFERROR(IF(INDEX(lst_exp_item_cat,MATCH(E4373,lst_exp_items,0))="","❔ Без категории",INDEX(lst_exp_item_cat,MATCH(E4373,lst_exp_items,0))),"❔ Без категории"))</f>
        <v/>
      </c>
      <c r="G4373" s="43" t="n"/>
      <c r="H4373" s="56" t="n"/>
      <c r="I4373" s="43" t="n"/>
      <c r="J4373" s="57">
        <f>IF(OR(A4373="",H4373=""),"",IF(COUNTIFS(exp_year,C4373,exp_month,D4373,exp_item,E4373,exp_status,"&lt;&gt;❌ Отменено")&gt;0,1,0))</f>
        <v/>
      </c>
    </row>
    <row r="4374">
      <c r="A4374" s="52" t="n"/>
      <c r="B4374" s="53">
        <f>IF(A4374="","",CHOOSE(WEEKDAY(A4374,2),"Пн","Вт","Ср","Чт","Пт","Сб","Вс"))</f>
        <v/>
      </c>
      <c r="C4374" s="53">
        <f>IF(A4374="","",YEAR(A4374))</f>
        <v/>
      </c>
      <c r="D4374" s="54">
        <f>IF(A4374="","",INDEX(lst_months,MONTH(A4374)))</f>
        <v/>
      </c>
      <c r="E4374" s="55" t="n"/>
      <c r="F4374" s="54">
        <f>IF(E4374="","",IFERROR(IF(INDEX(lst_exp_item_cat,MATCH(E4374,lst_exp_items,0))="","❔ Без категории",INDEX(lst_exp_item_cat,MATCH(E4374,lst_exp_items,0))),"❔ Без категории"))</f>
        <v/>
      </c>
      <c r="G4374" s="43" t="n"/>
      <c r="H4374" s="56" t="n"/>
      <c r="I4374" s="43" t="n"/>
      <c r="J4374" s="57">
        <f>IF(OR(A4374="",H4374=""),"",IF(COUNTIFS(exp_year,C4374,exp_month,D4374,exp_item,E4374,exp_status,"&lt;&gt;❌ Отменено")&gt;0,1,0))</f>
        <v/>
      </c>
    </row>
    <row r="4375">
      <c r="A4375" s="52" t="n"/>
      <c r="B4375" s="53">
        <f>IF(A4375="","",CHOOSE(WEEKDAY(A4375,2),"Пн","Вт","Ср","Чт","Пт","Сб","Вс"))</f>
        <v/>
      </c>
      <c r="C4375" s="53">
        <f>IF(A4375="","",YEAR(A4375))</f>
        <v/>
      </c>
      <c r="D4375" s="54">
        <f>IF(A4375="","",INDEX(lst_months,MONTH(A4375)))</f>
        <v/>
      </c>
      <c r="E4375" s="55" t="n"/>
      <c r="F4375" s="54">
        <f>IF(E4375="","",IFERROR(IF(INDEX(lst_exp_item_cat,MATCH(E4375,lst_exp_items,0))="","❔ Без категории",INDEX(lst_exp_item_cat,MATCH(E4375,lst_exp_items,0))),"❔ Без категории"))</f>
        <v/>
      </c>
      <c r="G4375" s="43" t="n"/>
      <c r="H4375" s="56" t="n"/>
      <c r="I4375" s="43" t="n"/>
      <c r="J4375" s="57">
        <f>IF(OR(A4375="",H4375=""),"",IF(COUNTIFS(exp_year,C4375,exp_month,D4375,exp_item,E4375,exp_status,"&lt;&gt;❌ Отменено")&gt;0,1,0))</f>
        <v/>
      </c>
    </row>
    <row r="4376">
      <c r="A4376" s="52" t="n"/>
      <c r="B4376" s="53">
        <f>IF(A4376="","",CHOOSE(WEEKDAY(A4376,2),"Пн","Вт","Ср","Чт","Пт","Сб","Вс"))</f>
        <v/>
      </c>
      <c r="C4376" s="53">
        <f>IF(A4376="","",YEAR(A4376))</f>
        <v/>
      </c>
      <c r="D4376" s="54">
        <f>IF(A4376="","",INDEX(lst_months,MONTH(A4376)))</f>
        <v/>
      </c>
      <c r="E4376" s="55" t="n"/>
      <c r="F4376" s="54">
        <f>IF(E4376="","",IFERROR(IF(INDEX(lst_exp_item_cat,MATCH(E4376,lst_exp_items,0))="","❔ Без категории",INDEX(lst_exp_item_cat,MATCH(E4376,lst_exp_items,0))),"❔ Без категории"))</f>
        <v/>
      </c>
      <c r="G4376" s="43" t="n"/>
      <c r="H4376" s="56" t="n"/>
      <c r="I4376" s="43" t="n"/>
      <c r="J4376" s="57">
        <f>IF(OR(A4376="",H4376=""),"",IF(COUNTIFS(exp_year,C4376,exp_month,D4376,exp_item,E4376,exp_status,"&lt;&gt;❌ Отменено")&gt;0,1,0))</f>
        <v/>
      </c>
    </row>
    <row r="4377">
      <c r="A4377" s="52" t="n"/>
      <c r="B4377" s="53">
        <f>IF(A4377="","",CHOOSE(WEEKDAY(A4377,2),"Пн","Вт","Ср","Чт","Пт","Сб","Вс"))</f>
        <v/>
      </c>
      <c r="C4377" s="53">
        <f>IF(A4377="","",YEAR(A4377))</f>
        <v/>
      </c>
      <c r="D4377" s="54">
        <f>IF(A4377="","",INDEX(lst_months,MONTH(A4377)))</f>
        <v/>
      </c>
      <c r="E4377" s="55" t="n"/>
      <c r="F4377" s="54">
        <f>IF(E4377="","",IFERROR(IF(INDEX(lst_exp_item_cat,MATCH(E4377,lst_exp_items,0))="","❔ Без категории",INDEX(lst_exp_item_cat,MATCH(E4377,lst_exp_items,0))),"❔ Без категории"))</f>
        <v/>
      </c>
      <c r="G4377" s="43" t="n"/>
      <c r="H4377" s="56" t="n"/>
      <c r="I4377" s="43" t="n"/>
      <c r="J4377" s="57">
        <f>IF(OR(A4377="",H4377=""),"",IF(COUNTIFS(exp_year,C4377,exp_month,D4377,exp_item,E4377,exp_status,"&lt;&gt;❌ Отменено")&gt;0,1,0))</f>
        <v/>
      </c>
    </row>
    <row r="4378">
      <c r="A4378" s="52" t="n"/>
      <c r="B4378" s="53">
        <f>IF(A4378="","",CHOOSE(WEEKDAY(A4378,2),"Пн","Вт","Ср","Чт","Пт","Сб","Вс"))</f>
        <v/>
      </c>
      <c r="C4378" s="53">
        <f>IF(A4378="","",YEAR(A4378))</f>
        <v/>
      </c>
      <c r="D4378" s="54">
        <f>IF(A4378="","",INDEX(lst_months,MONTH(A4378)))</f>
        <v/>
      </c>
      <c r="E4378" s="55" t="n"/>
      <c r="F4378" s="54">
        <f>IF(E4378="","",IFERROR(IF(INDEX(lst_exp_item_cat,MATCH(E4378,lst_exp_items,0))="","❔ Без категории",INDEX(lst_exp_item_cat,MATCH(E4378,lst_exp_items,0))),"❔ Без категории"))</f>
        <v/>
      </c>
      <c r="G4378" s="43" t="n"/>
      <c r="H4378" s="56" t="n"/>
      <c r="I4378" s="43" t="n"/>
      <c r="J4378" s="57">
        <f>IF(OR(A4378="",H4378=""),"",IF(COUNTIFS(exp_year,C4378,exp_month,D4378,exp_item,E4378,exp_status,"&lt;&gt;❌ Отменено")&gt;0,1,0))</f>
        <v/>
      </c>
    </row>
    <row r="4379">
      <c r="A4379" s="52" t="n"/>
      <c r="B4379" s="53">
        <f>IF(A4379="","",CHOOSE(WEEKDAY(A4379,2),"Пн","Вт","Ср","Чт","Пт","Сб","Вс"))</f>
        <v/>
      </c>
      <c r="C4379" s="53">
        <f>IF(A4379="","",YEAR(A4379))</f>
        <v/>
      </c>
      <c r="D4379" s="54">
        <f>IF(A4379="","",INDEX(lst_months,MONTH(A4379)))</f>
        <v/>
      </c>
      <c r="E4379" s="55" t="n"/>
      <c r="F4379" s="54">
        <f>IF(E4379="","",IFERROR(IF(INDEX(lst_exp_item_cat,MATCH(E4379,lst_exp_items,0))="","❔ Без категории",INDEX(lst_exp_item_cat,MATCH(E4379,lst_exp_items,0))),"❔ Без категории"))</f>
        <v/>
      </c>
      <c r="G4379" s="43" t="n"/>
      <c r="H4379" s="56" t="n"/>
      <c r="I4379" s="43" t="n"/>
      <c r="J4379" s="57">
        <f>IF(OR(A4379="",H4379=""),"",IF(COUNTIFS(exp_year,C4379,exp_month,D4379,exp_item,E4379,exp_status,"&lt;&gt;❌ Отменено")&gt;0,1,0))</f>
        <v/>
      </c>
    </row>
    <row r="4380">
      <c r="A4380" s="52" t="n"/>
      <c r="B4380" s="53">
        <f>IF(A4380="","",CHOOSE(WEEKDAY(A4380,2),"Пн","Вт","Ср","Чт","Пт","Сб","Вс"))</f>
        <v/>
      </c>
      <c r="C4380" s="53">
        <f>IF(A4380="","",YEAR(A4380))</f>
        <v/>
      </c>
      <c r="D4380" s="54">
        <f>IF(A4380="","",INDEX(lst_months,MONTH(A4380)))</f>
        <v/>
      </c>
      <c r="E4380" s="55" t="n"/>
      <c r="F4380" s="54">
        <f>IF(E4380="","",IFERROR(IF(INDEX(lst_exp_item_cat,MATCH(E4380,lst_exp_items,0))="","❔ Без категории",INDEX(lst_exp_item_cat,MATCH(E4380,lst_exp_items,0))),"❔ Без категории"))</f>
        <v/>
      </c>
      <c r="G4380" s="43" t="n"/>
      <c r="H4380" s="56" t="n"/>
      <c r="I4380" s="43" t="n"/>
      <c r="J4380" s="57">
        <f>IF(OR(A4380="",H4380=""),"",IF(COUNTIFS(exp_year,C4380,exp_month,D4380,exp_item,E4380,exp_status,"&lt;&gt;❌ Отменено")&gt;0,1,0))</f>
        <v/>
      </c>
    </row>
    <row r="4381">
      <c r="A4381" s="52" t="n"/>
      <c r="B4381" s="53">
        <f>IF(A4381="","",CHOOSE(WEEKDAY(A4381,2),"Пн","Вт","Ср","Чт","Пт","Сб","Вс"))</f>
        <v/>
      </c>
      <c r="C4381" s="53">
        <f>IF(A4381="","",YEAR(A4381))</f>
        <v/>
      </c>
      <c r="D4381" s="54">
        <f>IF(A4381="","",INDEX(lst_months,MONTH(A4381)))</f>
        <v/>
      </c>
      <c r="E4381" s="55" t="n"/>
      <c r="F4381" s="54">
        <f>IF(E4381="","",IFERROR(IF(INDEX(lst_exp_item_cat,MATCH(E4381,lst_exp_items,0))="","❔ Без категории",INDEX(lst_exp_item_cat,MATCH(E4381,lst_exp_items,0))),"❔ Без категории"))</f>
        <v/>
      </c>
      <c r="G4381" s="43" t="n"/>
      <c r="H4381" s="56" t="n"/>
      <c r="I4381" s="43" t="n"/>
      <c r="J4381" s="57">
        <f>IF(OR(A4381="",H4381=""),"",IF(COUNTIFS(exp_year,C4381,exp_month,D4381,exp_item,E4381,exp_status,"&lt;&gt;❌ Отменено")&gt;0,1,0))</f>
        <v/>
      </c>
    </row>
    <row r="4382">
      <c r="A4382" s="52" t="n"/>
      <c r="B4382" s="53">
        <f>IF(A4382="","",CHOOSE(WEEKDAY(A4382,2),"Пн","Вт","Ср","Чт","Пт","Сб","Вс"))</f>
        <v/>
      </c>
      <c r="C4382" s="53">
        <f>IF(A4382="","",YEAR(A4382))</f>
        <v/>
      </c>
      <c r="D4382" s="54">
        <f>IF(A4382="","",INDEX(lst_months,MONTH(A4382)))</f>
        <v/>
      </c>
      <c r="E4382" s="55" t="n"/>
      <c r="F4382" s="54">
        <f>IF(E4382="","",IFERROR(IF(INDEX(lst_exp_item_cat,MATCH(E4382,lst_exp_items,0))="","❔ Без категории",INDEX(lst_exp_item_cat,MATCH(E4382,lst_exp_items,0))),"❔ Без категории"))</f>
        <v/>
      </c>
      <c r="G4382" s="43" t="n"/>
      <c r="H4382" s="56" t="n"/>
      <c r="I4382" s="43" t="n"/>
      <c r="J4382" s="57">
        <f>IF(OR(A4382="",H4382=""),"",IF(COUNTIFS(exp_year,C4382,exp_month,D4382,exp_item,E4382,exp_status,"&lt;&gt;❌ Отменено")&gt;0,1,0))</f>
        <v/>
      </c>
    </row>
    <row r="4383">
      <c r="A4383" s="52" t="n"/>
      <c r="B4383" s="53">
        <f>IF(A4383="","",CHOOSE(WEEKDAY(A4383,2),"Пн","Вт","Ср","Чт","Пт","Сб","Вс"))</f>
        <v/>
      </c>
      <c r="C4383" s="53">
        <f>IF(A4383="","",YEAR(A4383))</f>
        <v/>
      </c>
      <c r="D4383" s="54">
        <f>IF(A4383="","",INDEX(lst_months,MONTH(A4383)))</f>
        <v/>
      </c>
      <c r="E4383" s="55" t="n"/>
      <c r="F4383" s="54">
        <f>IF(E4383="","",IFERROR(IF(INDEX(lst_exp_item_cat,MATCH(E4383,lst_exp_items,0))="","❔ Без категории",INDEX(lst_exp_item_cat,MATCH(E4383,lst_exp_items,0))),"❔ Без категории"))</f>
        <v/>
      </c>
      <c r="G4383" s="43" t="n"/>
      <c r="H4383" s="56" t="n"/>
      <c r="I4383" s="43" t="n"/>
      <c r="J4383" s="57">
        <f>IF(OR(A4383="",H4383=""),"",IF(COUNTIFS(exp_year,C4383,exp_month,D4383,exp_item,E4383,exp_status,"&lt;&gt;❌ Отменено")&gt;0,1,0))</f>
        <v/>
      </c>
    </row>
    <row r="4384">
      <c r="A4384" s="52" t="n"/>
      <c r="B4384" s="53">
        <f>IF(A4384="","",CHOOSE(WEEKDAY(A4384,2),"Пн","Вт","Ср","Чт","Пт","Сб","Вс"))</f>
        <v/>
      </c>
      <c r="C4384" s="53">
        <f>IF(A4384="","",YEAR(A4384))</f>
        <v/>
      </c>
      <c r="D4384" s="54">
        <f>IF(A4384="","",INDEX(lst_months,MONTH(A4384)))</f>
        <v/>
      </c>
      <c r="E4384" s="55" t="n"/>
      <c r="F4384" s="54">
        <f>IF(E4384="","",IFERROR(IF(INDEX(lst_exp_item_cat,MATCH(E4384,lst_exp_items,0))="","❔ Без категории",INDEX(lst_exp_item_cat,MATCH(E4384,lst_exp_items,0))),"❔ Без категории"))</f>
        <v/>
      </c>
      <c r="G4384" s="43" t="n"/>
      <c r="H4384" s="56" t="n"/>
      <c r="I4384" s="43" t="n"/>
      <c r="J4384" s="57">
        <f>IF(OR(A4384="",H4384=""),"",IF(COUNTIFS(exp_year,C4384,exp_month,D4384,exp_item,E4384,exp_status,"&lt;&gt;❌ Отменено")&gt;0,1,0))</f>
        <v/>
      </c>
    </row>
    <row r="4385">
      <c r="A4385" s="52" t="n"/>
      <c r="B4385" s="53">
        <f>IF(A4385="","",CHOOSE(WEEKDAY(A4385,2),"Пн","Вт","Ср","Чт","Пт","Сб","Вс"))</f>
        <v/>
      </c>
      <c r="C4385" s="53">
        <f>IF(A4385="","",YEAR(A4385))</f>
        <v/>
      </c>
      <c r="D4385" s="54">
        <f>IF(A4385="","",INDEX(lst_months,MONTH(A4385)))</f>
        <v/>
      </c>
      <c r="E4385" s="55" t="n"/>
      <c r="F4385" s="54">
        <f>IF(E4385="","",IFERROR(IF(INDEX(lst_exp_item_cat,MATCH(E4385,lst_exp_items,0))="","❔ Без категории",INDEX(lst_exp_item_cat,MATCH(E4385,lst_exp_items,0))),"❔ Без категории"))</f>
        <v/>
      </c>
      <c r="G4385" s="43" t="n"/>
      <c r="H4385" s="56" t="n"/>
      <c r="I4385" s="43" t="n"/>
      <c r="J4385" s="57">
        <f>IF(OR(A4385="",H4385=""),"",IF(COUNTIFS(exp_year,C4385,exp_month,D4385,exp_item,E4385,exp_status,"&lt;&gt;❌ Отменено")&gt;0,1,0))</f>
        <v/>
      </c>
    </row>
    <row r="4386">
      <c r="A4386" s="52" t="n"/>
      <c r="B4386" s="53">
        <f>IF(A4386="","",CHOOSE(WEEKDAY(A4386,2),"Пн","Вт","Ср","Чт","Пт","Сб","Вс"))</f>
        <v/>
      </c>
      <c r="C4386" s="53">
        <f>IF(A4386="","",YEAR(A4386))</f>
        <v/>
      </c>
      <c r="D4386" s="54">
        <f>IF(A4386="","",INDEX(lst_months,MONTH(A4386)))</f>
        <v/>
      </c>
      <c r="E4386" s="55" t="n"/>
      <c r="F4386" s="54">
        <f>IF(E4386="","",IFERROR(IF(INDEX(lst_exp_item_cat,MATCH(E4386,lst_exp_items,0))="","❔ Без категории",INDEX(lst_exp_item_cat,MATCH(E4386,lst_exp_items,0))),"❔ Без категории"))</f>
        <v/>
      </c>
      <c r="G4386" s="43" t="n"/>
      <c r="H4386" s="56" t="n"/>
      <c r="I4386" s="43" t="n"/>
      <c r="J4386" s="57">
        <f>IF(OR(A4386="",H4386=""),"",IF(COUNTIFS(exp_year,C4386,exp_month,D4386,exp_item,E4386,exp_status,"&lt;&gt;❌ Отменено")&gt;0,1,0))</f>
        <v/>
      </c>
    </row>
    <row r="4387">
      <c r="A4387" s="52" t="n"/>
      <c r="B4387" s="53">
        <f>IF(A4387="","",CHOOSE(WEEKDAY(A4387,2),"Пн","Вт","Ср","Чт","Пт","Сб","Вс"))</f>
        <v/>
      </c>
      <c r="C4387" s="53">
        <f>IF(A4387="","",YEAR(A4387))</f>
        <v/>
      </c>
      <c r="D4387" s="54">
        <f>IF(A4387="","",INDEX(lst_months,MONTH(A4387)))</f>
        <v/>
      </c>
      <c r="E4387" s="55" t="n"/>
      <c r="F4387" s="54">
        <f>IF(E4387="","",IFERROR(IF(INDEX(lst_exp_item_cat,MATCH(E4387,lst_exp_items,0))="","❔ Без категории",INDEX(lst_exp_item_cat,MATCH(E4387,lst_exp_items,0))),"❔ Без категории"))</f>
        <v/>
      </c>
      <c r="G4387" s="43" t="n"/>
      <c r="H4387" s="56" t="n"/>
      <c r="I4387" s="43" t="n"/>
      <c r="J4387" s="57">
        <f>IF(OR(A4387="",H4387=""),"",IF(COUNTIFS(exp_year,C4387,exp_month,D4387,exp_item,E4387,exp_status,"&lt;&gt;❌ Отменено")&gt;0,1,0))</f>
        <v/>
      </c>
    </row>
    <row r="4388">
      <c r="A4388" s="52" t="n"/>
      <c r="B4388" s="53">
        <f>IF(A4388="","",CHOOSE(WEEKDAY(A4388,2),"Пн","Вт","Ср","Чт","Пт","Сб","Вс"))</f>
        <v/>
      </c>
      <c r="C4388" s="53">
        <f>IF(A4388="","",YEAR(A4388))</f>
        <v/>
      </c>
      <c r="D4388" s="54">
        <f>IF(A4388="","",INDEX(lst_months,MONTH(A4388)))</f>
        <v/>
      </c>
      <c r="E4388" s="55" t="n"/>
      <c r="F4388" s="54">
        <f>IF(E4388="","",IFERROR(IF(INDEX(lst_exp_item_cat,MATCH(E4388,lst_exp_items,0))="","❔ Без категории",INDEX(lst_exp_item_cat,MATCH(E4388,lst_exp_items,0))),"❔ Без категории"))</f>
        <v/>
      </c>
      <c r="G4388" s="43" t="n"/>
      <c r="H4388" s="56" t="n"/>
      <c r="I4388" s="43" t="n"/>
      <c r="J4388" s="57">
        <f>IF(OR(A4388="",H4388=""),"",IF(COUNTIFS(exp_year,C4388,exp_month,D4388,exp_item,E4388,exp_status,"&lt;&gt;❌ Отменено")&gt;0,1,0))</f>
        <v/>
      </c>
    </row>
    <row r="4389">
      <c r="A4389" s="52" t="n"/>
      <c r="B4389" s="53">
        <f>IF(A4389="","",CHOOSE(WEEKDAY(A4389,2),"Пн","Вт","Ср","Чт","Пт","Сб","Вс"))</f>
        <v/>
      </c>
      <c r="C4389" s="53">
        <f>IF(A4389="","",YEAR(A4389))</f>
        <v/>
      </c>
      <c r="D4389" s="54">
        <f>IF(A4389="","",INDEX(lst_months,MONTH(A4389)))</f>
        <v/>
      </c>
      <c r="E4389" s="55" t="n"/>
      <c r="F4389" s="54">
        <f>IF(E4389="","",IFERROR(IF(INDEX(lst_exp_item_cat,MATCH(E4389,lst_exp_items,0))="","❔ Без категории",INDEX(lst_exp_item_cat,MATCH(E4389,lst_exp_items,0))),"❔ Без категории"))</f>
        <v/>
      </c>
      <c r="G4389" s="43" t="n"/>
      <c r="H4389" s="56" t="n"/>
      <c r="I4389" s="43" t="n"/>
      <c r="J4389" s="57">
        <f>IF(OR(A4389="",H4389=""),"",IF(COUNTIFS(exp_year,C4389,exp_month,D4389,exp_item,E4389,exp_status,"&lt;&gt;❌ Отменено")&gt;0,1,0))</f>
        <v/>
      </c>
    </row>
    <row r="4390">
      <c r="A4390" s="52" t="n"/>
      <c r="B4390" s="53">
        <f>IF(A4390="","",CHOOSE(WEEKDAY(A4390,2),"Пн","Вт","Ср","Чт","Пт","Сб","Вс"))</f>
        <v/>
      </c>
      <c r="C4390" s="53">
        <f>IF(A4390="","",YEAR(A4390))</f>
        <v/>
      </c>
      <c r="D4390" s="54">
        <f>IF(A4390="","",INDEX(lst_months,MONTH(A4390)))</f>
        <v/>
      </c>
      <c r="E4390" s="55" t="n"/>
      <c r="F4390" s="54">
        <f>IF(E4390="","",IFERROR(IF(INDEX(lst_exp_item_cat,MATCH(E4390,lst_exp_items,0))="","❔ Без категории",INDEX(lst_exp_item_cat,MATCH(E4390,lst_exp_items,0))),"❔ Без категории"))</f>
        <v/>
      </c>
      <c r="G4390" s="43" t="n"/>
      <c r="H4390" s="56" t="n"/>
      <c r="I4390" s="43" t="n"/>
      <c r="J4390" s="57">
        <f>IF(OR(A4390="",H4390=""),"",IF(COUNTIFS(exp_year,C4390,exp_month,D4390,exp_item,E4390,exp_status,"&lt;&gt;❌ Отменено")&gt;0,1,0))</f>
        <v/>
      </c>
    </row>
    <row r="4391">
      <c r="A4391" s="52" t="n"/>
      <c r="B4391" s="53">
        <f>IF(A4391="","",CHOOSE(WEEKDAY(A4391,2),"Пн","Вт","Ср","Чт","Пт","Сб","Вс"))</f>
        <v/>
      </c>
      <c r="C4391" s="53">
        <f>IF(A4391="","",YEAR(A4391))</f>
        <v/>
      </c>
      <c r="D4391" s="54">
        <f>IF(A4391="","",INDEX(lst_months,MONTH(A4391)))</f>
        <v/>
      </c>
      <c r="E4391" s="55" t="n"/>
      <c r="F4391" s="54">
        <f>IF(E4391="","",IFERROR(IF(INDEX(lst_exp_item_cat,MATCH(E4391,lst_exp_items,0))="","❔ Без категории",INDEX(lst_exp_item_cat,MATCH(E4391,lst_exp_items,0))),"❔ Без категории"))</f>
        <v/>
      </c>
      <c r="G4391" s="43" t="n"/>
      <c r="H4391" s="56" t="n"/>
      <c r="I4391" s="43" t="n"/>
      <c r="J4391" s="57">
        <f>IF(OR(A4391="",H4391=""),"",IF(COUNTIFS(exp_year,C4391,exp_month,D4391,exp_item,E4391,exp_status,"&lt;&gt;❌ Отменено")&gt;0,1,0))</f>
        <v/>
      </c>
    </row>
    <row r="4392">
      <c r="A4392" s="52" t="n"/>
      <c r="B4392" s="53">
        <f>IF(A4392="","",CHOOSE(WEEKDAY(A4392,2),"Пн","Вт","Ср","Чт","Пт","Сб","Вс"))</f>
        <v/>
      </c>
      <c r="C4392" s="53">
        <f>IF(A4392="","",YEAR(A4392))</f>
        <v/>
      </c>
      <c r="D4392" s="54">
        <f>IF(A4392="","",INDEX(lst_months,MONTH(A4392)))</f>
        <v/>
      </c>
      <c r="E4392" s="55" t="n"/>
      <c r="F4392" s="54">
        <f>IF(E4392="","",IFERROR(IF(INDEX(lst_exp_item_cat,MATCH(E4392,lst_exp_items,0))="","❔ Без категории",INDEX(lst_exp_item_cat,MATCH(E4392,lst_exp_items,0))),"❔ Без категории"))</f>
        <v/>
      </c>
      <c r="G4392" s="43" t="n"/>
      <c r="H4392" s="56" t="n"/>
      <c r="I4392" s="43" t="n"/>
      <c r="J4392" s="57">
        <f>IF(OR(A4392="",H4392=""),"",IF(COUNTIFS(exp_year,C4392,exp_month,D4392,exp_item,E4392,exp_status,"&lt;&gt;❌ Отменено")&gt;0,1,0))</f>
        <v/>
      </c>
    </row>
    <row r="4393">
      <c r="A4393" s="52" t="n"/>
      <c r="B4393" s="53">
        <f>IF(A4393="","",CHOOSE(WEEKDAY(A4393,2),"Пн","Вт","Ср","Чт","Пт","Сб","Вс"))</f>
        <v/>
      </c>
      <c r="C4393" s="53">
        <f>IF(A4393="","",YEAR(A4393))</f>
        <v/>
      </c>
      <c r="D4393" s="54">
        <f>IF(A4393="","",INDEX(lst_months,MONTH(A4393)))</f>
        <v/>
      </c>
      <c r="E4393" s="55" t="n"/>
      <c r="F4393" s="54">
        <f>IF(E4393="","",IFERROR(IF(INDEX(lst_exp_item_cat,MATCH(E4393,lst_exp_items,0))="","❔ Без категории",INDEX(lst_exp_item_cat,MATCH(E4393,lst_exp_items,0))),"❔ Без категории"))</f>
        <v/>
      </c>
      <c r="G4393" s="43" t="n"/>
      <c r="H4393" s="56" t="n"/>
      <c r="I4393" s="43" t="n"/>
      <c r="J4393" s="57">
        <f>IF(OR(A4393="",H4393=""),"",IF(COUNTIFS(exp_year,C4393,exp_month,D4393,exp_item,E4393,exp_status,"&lt;&gt;❌ Отменено")&gt;0,1,0))</f>
        <v/>
      </c>
    </row>
    <row r="4394">
      <c r="A4394" s="52" t="n"/>
      <c r="B4394" s="53">
        <f>IF(A4394="","",CHOOSE(WEEKDAY(A4394,2),"Пн","Вт","Ср","Чт","Пт","Сб","Вс"))</f>
        <v/>
      </c>
      <c r="C4394" s="53">
        <f>IF(A4394="","",YEAR(A4394))</f>
        <v/>
      </c>
      <c r="D4394" s="54">
        <f>IF(A4394="","",INDEX(lst_months,MONTH(A4394)))</f>
        <v/>
      </c>
      <c r="E4394" s="55" t="n"/>
      <c r="F4394" s="54">
        <f>IF(E4394="","",IFERROR(IF(INDEX(lst_exp_item_cat,MATCH(E4394,lst_exp_items,0))="","❔ Без категории",INDEX(lst_exp_item_cat,MATCH(E4394,lst_exp_items,0))),"❔ Без категории"))</f>
        <v/>
      </c>
      <c r="G4394" s="43" t="n"/>
      <c r="H4394" s="56" t="n"/>
      <c r="I4394" s="43" t="n"/>
      <c r="J4394" s="57">
        <f>IF(OR(A4394="",H4394=""),"",IF(COUNTIFS(exp_year,C4394,exp_month,D4394,exp_item,E4394,exp_status,"&lt;&gt;❌ Отменено")&gt;0,1,0))</f>
        <v/>
      </c>
    </row>
    <row r="4395">
      <c r="A4395" s="52" t="n"/>
      <c r="B4395" s="53">
        <f>IF(A4395="","",CHOOSE(WEEKDAY(A4395,2),"Пн","Вт","Ср","Чт","Пт","Сб","Вс"))</f>
        <v/>
      </c>
      <c r="C4395" s="53">
        <f>IF(A4395="","",YEAR(A4395))</f>
        <v/>
      </c>
      <c r="D4395" s="54">
        <f>IF(A4395="","",INDEX(lst_months,MONTH(A4395)))</f>
        <v/>
      </c>
      <c r="E4395" s="55" t="n"/>
      <c r="F4395" s="54">
        <f>IF(E4395="","",IFERROR(IF(INDEX(lst_exp_item_cat,MATCH(E4395,lst_exp_items,0))="","❔ Без категории",INDEX(lst_exp_item_cat,MATCH(E4395,lst_exp_items,0))),"❔ Без категории"))</f>
        <v/>
      </c>
      <c r="G4395" s="43" t="n"/>
      <c r="H4395" s="56" t="n"/>
      <c r="I4395" s="43" t="n"/>
      <c r="J4395" s="57">
        <f>IF(OR(A4395="",H4395=""),"",IF(COUNTIFS(exp_year,C4395,exp_month,D4395,exp_item,E4395,exp_status,"&lt;&gt;❌ Отменено")&gt;0,1,0))</f>
        <v/>
      </c>
    </row>
    <row r="4396">
      <c r="A4396" s="52" t="n"/>
      <c r="B4396" s="53">
        <f>IF(A4396="","",CHOOSE(WEEKDAY(A4396,2),"Пн","Вт","Ср","Чт","Пт","Сб","Вс"))</f>
        <v/>
      </c>
      <c r="C4396" s="53">
        <f>IF(A4396="","",YEAR(A4396))</f>
        <v/>
      </c>
      <c r="D4396" s="54">
        <f>IF(A4396="","",INDEX(lst_months,MONTH(A4396)))</f>
        <v/>
      </c>
      <c r="E4396" s="55" t="n"/>
      <c r="F4396" s="54">
        <f>IF(E4396="","",IFERROR(IF(INDEX(lst_exp_item_cat,MATCH(E4396,lst_exp_items,0))="","❔ Без категории",INDEX(lst_exp_item_cat,MATCH(E4396,lst_exp_items,0))),"❔ Без категории"))</f>
        <v/>
      </c>
      <c r="G4396" s="43" t="n"/>
      <c r="H4396" s="56" t="n"/>
      <c r="I4396" s="43" t="n"/>
      <c r="J4396" s="57">
        <f>IF(OR(A4396="",H4396=""),"",IF(COUNTIFS(exp_year,C4396,exp_month,D4396,exp_item,E4396,exp_status,"&lt;&gt;❌ Отменено")&gt;0,1,0))</f>
        <v/>
      </c>
    </row>
    <row r="4397">
      <c r="A4397" s="52" t="n"/>
      <c r="B4397" s="53">
        <f>IF(A4397="","",CHOOSE(WEEKDAY(A4397,2),"Пн","Вт","Ср","Чт","Пт","Сб","Вс"))</f>
        <v/>
      </c>
      <c r="C4397" s="53">
        <f>IF(A4397="","",YEAR(A4397))</f>
        <v/>
      </c>
      <c r="D4397" s="54">
        <f>IF(A4397="","",INDEX(lst_months,MONTH(A4397)))</f>
        <v/>
      </c>
      <c r="E4397" s="55" t="n"/>
      <c r="F4397" s="54">
        <f>IF(E4397="","",IFERROR(IF(INDEX(lst_exp_item_cat,MATCH(E4397,lst_exp_items,0))="","❔ Без категории",INDEX(lst_exp_item_cat,MATCH(E4397,lst_exp_items,0))),"❔ Без категории"))</f>
        <v/>
      </c>
      <c r="G4397" s="43" t="n"/>
      <c r="H4397" s="56" t="n"/>
      <c r="I4397" s="43" t="n"/>
      <c r="J4397" s="57">
        <f>IF(OR(A4397="",H4397=""),"",IF(COUNTIFS(exp_year,C4397,exp_month,D4397,exp_item,E4397,exp_status,"&lt;&gt;❌ Отменено")&gt;0,1,0))</f>
        <v/>
      </c>
    </row>
    <row r="4398">
      <c r="A4398" s="52" t="n"/>
      <c r="B4398" s="53">
        <f>IF(A4398="","",CHOOSE(WEEKDAY(A4398,2),"Пн","Вт","Ср","Чт","Пт","Сб","Вс"))</f>
        <v/>
      </c>
      <c r="C4398" s="53">
        <f>IF(A4398="","",YEAR(A4398))</f>
        <v/>
      </c>
      <c r="D4398" s="54">
        <f>IF(A4398="","",INDEX(lst_months,MONTH(A4398)))</f>
        <v/>
      </c>
      <c r="E4398" s="55" t="n"/>
      <c r="F4398" s="54">
        <f>IF(E4398="","",IFERROR(IF(INDEX(lst_exp_item_cat,MATCH(E4398,lst_exp_items,0))="","❔ Без категории",INDEX(lst_exp_item_cat,MATCH(E4398,lst_exp_items,0))),"❔ Без категории"))</f>
        <v/>
      </c>
      <c r="G4398" s="43" t="n"/>
      <c r="H4398" s="56" t="n"/>
      <c r="I4398" s="43" t="n"/>
      <c r="J4398" s="57">
        <f>IF(OR(A4398="",H4398=""),"",IF(COUNTIFS(exp_year,C4398,exp_month,D4398,exp_item,E4398,exp_status,"&lt;&gt;❌ Отменено")&gt;0,1,0))</f>
        <v/>
      </c>
    </row>
    <row r="4399">
      <c r="A4399" s="52" t="n"/>
      <c r="B4399" s="53">
        <f>IF(A4399="","",CHOOSE(WEEKDAY(A4399,2),"Пн","Вт","Ср","Чт","Пт","Сб","Вс"))</f>
        <v/>
      </c>
      <c r="C4399" s="53">
        <f>IF(A4399="","",YEAR(A4399))</f>
        <v/>
      </c>
      <c r="D4399" s="54">
        <f>IF(A4399="","",INDEX(lst_months,MONTH(A4399)))</f>
        <v/>
      </c>
      <c r="E4399" s="55" t="n"/>
      <c r="F4399" s="54">
        <f>IF(E4399="","",IFERROR(IF(INDEX(lst_exp_item_cat,MATCH(E4399,lst_exp_items,0))="","❔ Без категории",INDEX(lst_exp_item_cat,MATCH(E4399,lst_exp_items,0))),"❔ Без категории"))</f>
        <v/>
      </c>
      <c r="G4399" s="43" t="n"/>
      <c r="H4399" s="56" t="n"/>
      <c r="I4399" s="43" t="n"/>
      <c r="J4399" s="57">
        <f>IF(OR(A4399="",H4399=""),"",IF(COUNTIFS(exp_year,C4399,exp_month,D4399,exp_item,E4399,exp_status,"&lt;&gt;❌ Отменено")&gt;0,1,0))</f>
        <v/>
      </c>
    </row>
    <row r="4400">
      <c r="A4400" s="52" t="n"/>
      <c r="B4400" s="53">
        <f>IF(A4400="","",CHOOSE(WEEKDAY(A4400,2),"Пн","Вт","Ср","Чт","Пт","Сб","Вс"))</f>
        <v/>
      </c>
      <c r="C4400" s="53">
        <f>IF(A4400="","",YEAR(A4400))</f>
        <v/>
      </c>
      <c r="D4400" s="54">
        <f>IF(A4400="","",INDEX(lst_months,MONTH(A4400)))</f>
        <v/>
      </c>
      <c r="E4400" s="55" t="n"/>
      <c r="F4400" s="54">
        <f>IF(E4400="","",IFERROR(IF(INDEX(lst_exp_item_cat,MATCH(E4400,lst_exp_items,0))="","❔ Без категории",INDEX(lst_exp_item_cat,MATCH(E4400,lst_exp_items,0))),"❔ Без категории"))</f>
        <v/>
      </c>
      <c r="G4400" s="43" t="n"/>
      <c r="H4400" s="56" t="n"/>
      <c r="I4400" s="43" t="n"/>
      <c r="J4400" s="57">
        <f>IF(OR(A4400="",H4400=""),"",IF(COUNTIFS(exp_year,C4400,exp_month,D4400,exp_item,E4400,exp_status,"&lt;&gt;❌ Отменено")&gt;0,1,0))</f>
        <v/>
      </c>
    </row>
    <row r="4401">
      <c r="A4401" s="52" t="n"/>
      <c r="B4401" s="53">
        <f>IF(A4401="","",CHOOSE(WEEKDAY(A4401,2),"Пн","Вт","Ср","Чт","Пт","Сб","Вс"))</f>
        <v/>
      </c>
      <c r="C4401" s="53">
        <f>IF(A4401="","",YEAR(A4401))</f>
        <v/>
      </c>
      <c r="D4401" s="54">
        <f>IF(A4401="","",INDEX(lst_months,MONTH(A4401)))</f>
        <v/>
      </c>
      <c r="E4401" s="55" t="n"/>
      <c r="F4401" s="54">
        <f>IF(E4401="","",IFERROR(IF(INDEX(lst_exp_item_cat,MATCH(E4401,lst_exp_items,0))="","❔ Без категории",INDEX(lst_exp_item_cat,MATCH(E4401,lst_exp_items,0))),"❔ Без категории"))</f>
        <v/>
      </c>
      <c r="G4401" s="43" t="n"/>
      <c r="H4401" s="56" t="n"/>
      <c r="I4401" s="43" t="n"/>
      <c r="J4401" s="57">
        <f>IF(OR(A4401="",H4401=""),"",IF(COUNTIFS(exp_year,C4401,exp_month,D4401,exp_item,E4401,exp_status,"&lt;&gt;❌ Отменено")&gt;0,1,0))</f>
        <v/>
      </c>
    </row>
    <row r="4402">
      <c r="A4402" s="52" t="n"/>
      <c r="B4402" s="53">
        <f>IF(A4402="","",CHOOSE(WEEKDAY(A4402,2),"Пн","Вт","Ср","Чт","Пт","Сб","Вс"))</f>
        <v/>
      </c>
      <c r="C4402" s="53">
        <f>IF(A4402="","",YEAR(A4402))</f>
        <v/>
      </c>
      <c r="D4402" s="54">
        <f>IF(A4402="","",INDEX(lst_months,MONTH(A4402)))</f>
        <v/>
      </c>
      <c r="E4402" s="55" t="n"/>
      <c r="F4402" s="54">
        <f>IF(E4402="","",IFERROR(IF(INDEX(lst_exp_item_cat,MATCH(E4402,lst_exp_items,0))="","❔ Без категории",INDEX(lst_exp_item_cat,MATCH(E4402,lst_exp_items,0))),"❔ Без категории"))</f>
        <v/>
      </c>
      <c r="G4402" s="43" t="n"/>
      <c r="H4402" s="56" t="n"/>
      <c r="I4402" s="43" t="n"/>
      <c r="J4402" s="57">
        <f>IF(OR(A4402="",H4402=""),"",IF(COUNTIFS(exp_year,C4402,exp_month,D4402,exp_item,E4402,exp_status,"&lt;&gt;❌ Отменено")&gt;0,1,0))</f>
        <v/>
      </c>
    </row>
    <row r="4403">
      <c r="A4403" s="52" t="n"/>
      <c r="B4403" s="53">
        <f>IF(A4403="","",CHOOSE(WEEKDAY(A4403,2),"Пн","Вт","Ср","Чт","Пт","Сб","Вс"))</f>
        <v/>
      </c>
      <c r="C4403" s="53">
        <f>IF(A4403="","",YEAR(A4403))</f>
        <v/>
      </c>
      <c r="D4403" s="54">
        <f>IF(A4403="","",INDEX(lst_months,MONTH(A4403)))</f>
        <v/>
      </c>
      <c r="E4403" s="55" t="n"/>
      <c r="F4403" s="54">
        <f>IF(E4403="","",IFERROR(IF(INDEX(lst_exp_item_cat,MATCH(E4403,lst_exp_items,0))="","❔ Без категории",INDEX(lst_exp_item_cat,MATCH(E4403,lst_exp_items,0))),"❔ Без категории"))</f>
        <v/>
      </c>
      <c r="G4403" s="43" t="n"/>
      <c r="H4403" s="56" t="n"/>
      <c r="I4403" s="43" t="n"/>
      <c r="J4403" s="57">
        <f>IF(OR(A4403="",H4403=""),"",IF(COUNTIFS(exp_year,C4403,exp_month,D4403,exp_item,E4403,exp_status,"&lt;&gt;❌ Отменено")&gt;0,1,0))</f>
        <v/>
      </c>
    </row>
    <row r="4404">
      <c r="A4404" s="52" t="n"/>
      <c r="B4404" s="53">
        <f>IF(A4404="","",CHOOSE(WEEKDAY(A4404,2),"Пн","Вт","Ср","Чт","Пт","Сб","Вс"))</f>
        <v/>
      </c>
      <c r="C4404" s="53">
        <f>IF(A4404="","",YEAR(A4404))</f>
        <v/>
      </c>
      <c r="D4404" s="54">
        <f>IF(A4404="","",INDEX(lst_months,MONTH(A4404)))</f>
        <v/>
      </c>
      <c r="E4404" s="55" t="n"/>
      <c r="F4404" s="54">
        <f>IF(E4404="","",IFERROR(IF(INDEX(lst_exp_item_cat,MATCH(E4404,lst_exp_items,0))="","❔ Без категории",INDEX(lst_exp_item_cat,MATCH(E4404,lst_exp_items,0))),"❔ Без категории"))</f>
        <v/>
      </c>
      <c r="G4404" s="43" t="n"/>
      <c r="H4404" s="56" t="n"/>
      <c r="I4404" s="43" t="n"/>
      <c r="J4404" s="57">
        <f>IF(OR(A4404="",H4404=""),"",IF(COUNTIFS(exp_year,C4404,exp_month,D4404,exp_item,E4404,exp_status,"&lt;&gt;❌ Отменено")&gt;0,1,0))</f>
        <v/>
      </c>
    </row>
    <row r="4405">
      <c r="A4405" s="52" t="n"/>
      <c r="B4405" s="53">
        <f>IF(A4405="","",CHOOSE(WEEKDAY(A4405,2),"Пн","Вт","Ср","Чт","Пт","Сб","Вс"))</f>
        <v/>
      </c>
      <c r="C4405" s="53">
        <f>IF(A4405="","",YEAR(A4405))</f>
        <v/>
      </c>
      <c r="D4405" s="54">
        <f>IF(A4405="","",INDEX(lst_months,MONTH(A4405)))</f>
        <v/>
      </c>
      <c r="E4405" s="55" t="n"/>
      <c r="F4405" s="54">
        <f>IF(E4405="","",IFERROR(IF(INDEX(lst_exp_item_cat,MATCH(E4405,lst_exp_items,0))="","❔ Без категории",INDEX(lst_exp_item_cat,MATCH(E4405,lst_exp_items,0))),"❔ Без категории"))</f>
        <v/>
      </c>
      <c r="G4405" s="43" t="n"/>
      <c r="H4405" s="56" t="n"/>
      <c r="I4405" s="43" t="n"/>
      <c r="J4405" s="57">
        <f>IF(OR(A4405="",H4405=""),"",IF(COUNTIFS(exp_year,C4405,exp_month,D4405,exp_item,E4405,exp_status,"&lt;&gt;❌ Отменено")&gt;0,1,0))</f>
        <v/>
      </c>
    </row>
    <row r="4406">
      <c r="A4406" s="52" t="n"/>
      <c r="B4406" s="53">
        <f>IF(A4406="","",CHOOSE(WEEKDAY(A4406,2),"Пн","Вт","Ср","Чт","Пт","Сб","Вс"))</f>
        <v/>
      </c>
      <c r="C4406" s="53">
        <f>IF(A4406="","",YEAR(A4406))</f>
        <v/>
      </c>
      <c r="D4406" s="54">
        <f>IF(A4406="","",INDEX(lst_months,MONTH(A4406)))</f>
        <v/>
      </c>
      <c r="E4406" s="55" t="n"/>
      <c r="F4406" s="54">
        <f>IF(E4406="","",IFERROR(IF(INDEX(lst_exp_item_cat,MATCH(E4406,lst_exp_items,0))="","❔ Без категории",INDEX(lst_exp_item_cat,MATCH(E4406,lst_exp_items,0))),"❔ Без категории"))</f>
        <v/>
      </c>
      <c r="G4406" s="43" t="n"/>
      <c r="H4406" s="56" t="n"/>
      <c r="I4406" s="43" t="n"/>
      <c r="J4406" s="57">
        <f>IF(OR(A4406="",H4406=""),"",IF(COUNTIFS(exp_year,C4406,exp_month,D4406,exp_item,E4406,exp_status,"&lt;&gt;❌ Отменено")&gt;0,1,0))</f>
        <v/>
      </c>
    </row>
    <row r="4407">
      <c r="A4407" s="52" t="n"/>
      <c r="B4407" s="53">
        <f>IF(A4407="","",CHOOSE(WEEKDAY(A4407,2),"Пн","Вт","Ср","Чт","Пт","Сб","Вс"))</f>
        <v/>
      </c>
      <c r="C4407" s="53">
        <f>IF(A4407="","",YEAR(A4407))</f>
        <v/>
      </c>
      <c r="D4407" s="54">
        <f>IF(A4407="","",INDEX(lst_months,MONTH(A4407)))</f>
        <v/>
      </c>
      <c r="E4407" s="55" t="n"/>
      <c r="F4407" s="54">
        <f>IF(E4407="","",IFERROR(IF(INDEX(lst_exp_item_cat,MATCH(E4407,lst_exp_items,0))="","❔ Без категории",INDEX(lst_exp_item_cat,MATCH(E4407,lst_exp_items,0))),"❔ Без категории"))</f>
        <v/>
      </c>
      <c r="G4407" s="43" t="n"/>
      <c r="H4407" s="56" t="n"/>
      <c r="I4407" s="43" t="n"/>
      <c r="J4407" s="57">
        <f>IF(OR(A4407="",H4407=""),"",IF(COUNTIFS(exp_year,C4407,exp_month,D4407,exp_item,E4407,exp_status,"&lt;&gt;❌ Отменено")&gt;0,1,0))</f>
        <v/>
      </c>
    </row>
    <row r="4408">
      <c r="A4408" s="52" t="n"/>
      <c r="B4408" s="53">
        <f>IF(A4408="","",CHOOSE(WEEKDAY(A4408,2),"Пн","Вт","Ср","Чт","Пт","Сб","Вс"))</f>
        <v/>
      </c>
      <c r="C4408" s="53">
        <f>IF(A4408="","",YEAR(A4408))</f>
        <v/>
      </c>
      <c r="D4408" s="54">
        <f>IF(A4408="","",INDEX(lst_months,MONTH(A4408)))</f>
        <v/>
      </c>
      <c r="E4408" s="55" t="n"/>
      <c r="F4408" s="54">
        <f>IF(E4408="","",IFERROR(IF(INDEX(lst_exp_item_cat,MATCH(E4408,lst_exp_items,0))="","❔ Без категории",INDEX(lst_exp_item_cat,MATCH(E4408,lst_exp_items,0))),"❔ Без категории"))</f>
        <v/>
      </c>
      <c r="G4408" s="43" t="n"/>
      <c r="H4408" s="56" t="n"/>
      <c r="I4408" s="43" t="n"/>
      <c r="J4408" s="57">
        <f>IF(OR(A4408="",H4408=""),"",IF(COUNTIFS(exp_year,C4408,exp_month,D4408,exp_item,E4408,exp_status,"&lt;&gt;❌ Отменено")&gt;0,1,0))</f>
        <v/>
      </c>
    </row>
    <row r="4409">
      <c r="A4409" s="52" t="n"/>
      <c r="B4409" s="53">
        <f>IF(A4409="","",CHOOSE(WEEKDAY(A4409,2),"Пн","Вт","Ср","Чт","Пт","Сб","Вс"))</f>
        <v/>
      </c>
      <c r="C4409" s="53">
        <f>IF(A4409="","",YEAR(A4409))</f>
        <v/>
      </c>
      <c r="D4409" s="54">
        <f>IF(A4409="","",INDEX(lst_months,MONTH(A4409)))</f>
        <v/>
      </c>
      <c r="E4409" s="55" t="n"/>
      <c r="F4409" s="54">
        <f>IF(E4409="","",IFERROR(IF(INDEX(lst_exp_item_cat,MATCH(E4409,lst_exp_items,0))="","❔ Без категории",INDEX(lst_exp_item_cat,MATCH(E4409,lst_exp_items,0))),"❔ Без категории"))</f>
        <v/>
      </c>
      <c r="G4409" s="43" t="n"/>
      <c r="H4409" s="56" t="n"/>
      <c r="I4409" s="43" t="n"/>
      <c r="J4409" s="57">
        <f>IF(OR(A4409="",H4409=""),"",IF(COUNTIFS(exp_year,C4409,exp_month,D4409,exp_item,E4409,exp_status,"&lt;&gt;❌ Отменено")&gt;0,1,0))</f>
        <v/>
      </c>
    </row>
    <row r="4410">
      <c r="A4410" s="52" t="n"/>
      <c r="B4410" s="53">
        <f>IF(A4410="","",CHOOSE(WEEKDAY(A4410,2),"Пн","Вт","Ср","Чт","Пт","Сб","Вс"))</f>
        <v/>
      </c>
      <c r="C4410" s="53">
        <f>IF(A4410="","",YEAR(A4410))</f>
        <v/>
      </c>
      <c r="D4410" s="54">
        <f>IF(A4410="","",INDEX(lst_months,MONTH(A4410)))</f>
        <v/>
      </c>
      <c r="E4410" s="55" t="n"/>
      <c r="F4410" s="54">
        <f>IF(E4410="","",IFERROR(IF(INDEX(lst_exp_item_cat,MATCH(E4410,lst_exp_items,0))="","❔ Без категории",INDEX(lst_exp_item_cat,MATCH(E4410,lst_exp_items,0))),"❔ Без категории"))</f>
        <v/>
      </c>
      <c r="G4410" s="43" t="n"/>
      <c r="H4410" s="56" t="n"/>
      <c r="I4410" s="43" t="n"/>
      <c r="J4410" s="57">
        <f>IF(OR(A4410="",H4410=""),"",IF(COUNTIFS(exp_year,C4410,exp_month,D4410,exp_item,E4410,exp_status,"&lt;&gt;❌ Отменено")&gt;0,1,0))</f>
        <v/>
      </c>
    </row>
    <row r="4411">
      <c r="A4411" s="52" t="n"/>
      <c r="B4411" s="53">
        <f>IF(A4411="","",CHOOSE(WEEKDAY(A4411,2),"Пн","Вт","Ср","Чт","Пт","Сб","Вс"))</f>
        <v/>
      </c>
      <c r="C4411" s="53">
        <f>IF(A4411="","",YEAR(A4411))</f>
        <v/>
      </c>
      <c r="D4411" s="54">
        <f>IF(A4411="","",INDEX(lst_months,MONTH(A4411)))</f>
        <v/>
      </c>
      <c r="E4411" s="55" t="n"/>
      <c r="F4411" s="54">
        <f>IF(E4411="","",IFERROR(IF(INDEX(lst_exp_item_cat,MATCH(E4411,lst_exp_items,0))="","❔ Без категории",INDEX(lst_exp_item_cat,MATCH(E4411,lst_exp_items,0))),"❔ Без категории"))</f>
        <v/>
      </c>
      <c r="G4411" s="43" t="n"/>
      <c r="H4411" s="56" t="n"/>
      <c r="I4411" s="43" t="n"/>
      <c r="J4411" s="57">
        <f>IF(OR(A4411="",H4411=""),"",IF(COUNTIFS(exp_year,C4411,exp_month,D4411,exp_item,E4411,exp_status,"&lt;&gt;❌ Отменено")&gt;0,1,0))</f>
        <v/>
      </c>
    </row>
    <row r="4412">
      <c r="A4412" s="52" t="n"/>
      <c r="B4412" s="53">
        <f>IF(A4412="","",CHOOSE(WEEKDAY(A4412,2),"Пн","Вт","Ср","Чт","Пт","Сб","Вс"))</f>
        <v/>
      </c>
      <c r="C4412" s="53">
        <f>IF(A4412="","",YEAR(A4412))</f>
        <v/>
      </c>
      <c r="D4412" s="54">
        <f>IF(A4412="","",INDEX(lst_months,MONTH(A4412)))</f>
        <v/>
      </c>
      <c r="E4412" s="55" t="n"/>
      <c r="F4412" s="54">
        <f>IF(E4412="","",IFERROR(IF(INDEX(lst_exp_item_cat,MATCH(E4412,lst_exp_items,0))="","❔ Без категории",INDEX(lst_exp_item_cat,MATCH(E4412,lst_exp_items,0))),"❔ Без категории"))</f>
        <v/>
      </c>
      <c r="G4412" s="43" t="n"/>
      <c r="H4412" s="56" t="n"/>
      <c r="I4412" s="43" t="n"/>
      <c r="J4412" s="57">
        <f>IF(OR(A4412="",H4412=""),"",IF(COUNTIFS(exp_year,C4412,exp_month,D4412,exp_item,E4412,exp_status,"&lt;&gt;❌ Отменено")&gt;0,1,0))</f>
        <v/>
      </c>
    </row>
    <row r="4413">
      <c r="A4413" s="52" t="n"/>
      <c r="B4413" s="53">
        <f>IF(A4413="","",CHOOSE(WEEKDAY(A4413,2),"Пн","Вт","Ср","Чт","Пт","Сб","Вс"))</f>
        <v/>
      </c>
      <c r="C4413" s="53">
        <f>IF(A4413="","",YEAR(A4413))</f>
        <v/>
      </c>
      <c r="D4413" s="54">
        <f>IF(A4413="","",INDEX(lst_months,MONTH(A4413)))</f>
        <v/>
      </c>
      <c r="E4413" s="55" t="n"/>
      <c r="F4413" s="54">
        <f>IF(E4413="","",IFERROR(IF(INDEX(lst_exp_item_cat,MATCH(E4413,lst_exp_items,0))="","❔ Без категории",INDEX(lst_exp_item_cat,MATCH(E4413,lst_exp_items,0))),"❔ Без категории"))</f>
        <v/>
      </c>
      <c r="G4413" s="43" t="n"/>
      <c r="H4413" s="56" t="n"/>
      <c r="I4413" s="43" t="n"/>
      <c r="J4413" s="57">
        <f>IF(OR(A4413="",H4413=""),"",IF(COUNTIFS(exp_year,C4413,exp_month,D4413,exp_item,E4413,exp_status,"&lt;&gt;❌ Отменено")&gt;0,1,0))</f>
        <v/>
      </c>
    </row>
    <row r="4414">
      <c r="A4414" s="52" t="n"/>
      <c r="B4414" s="53">
        <f>IF(A4414="","",CHOOSE(WEEKDAY(A4414,2),"Пн","Вт","Ср","Чт","Пт","Сб","Вс"))</f>
        <v/>
      </c>
      <c r="C4414" s="53">
        <f>IF(A4414="","",YEAR(A4414))</f>
        <v/>
      </c>
      <c r="D4414" s="54">
        <f>IF(A4414="","",INDEX(lst_months,MONTH(A4414)))</f>
        <v/>
      </c>
      <c r="E4414" s="55" t="n"/>
      <c r="F4414" s="54">
        <f>IF(E4414="","",IFERROR(IF(INDEX(lst_exp_item_cat,MATCH(E4414,lst_exp_items,0))="","❔ Без категории",INDEX(lst_exp_item_cat,MATCH(E4414,lst_exp_items,0))),"❔ Без категории"))</f>
        <v/>
      </c>
      <c r="G4414" s="43" t="n"/>
      <c r="H4414" s="56" t="n"/>
      <c r="I4414" s="43" t="n"/>
      <c r="J4414" s="57">
        <f>IF(OR(A4414="",H4414=""),"",IF(COUNTIFS(exp_year,C4414,exp_month,D4414,exp_item,E4414,exp_status,"&lt;&gt;❌ Отменено")&gt;0,1,0))</f>
        <v/>
      </c>
    </row>
    <row r="4415">
      <c r="A4415" s="52" t="n"/>
      <c r="B4415" s="53">
        <f>IF(A4415="","",CHOOSE(WEEKDAY(A4415,2),"Пн","Вт","Ср","Чт","Пт","Сб","Вс"))</f>
        <v/>
      </c>
      <c r="C4415" s="53">
        <f>IF(A4415="","",YEAR(A4415))</f>
        <v/>
      </c>
      <c r="D4415" s="54">
        <f>IF(A4415="","",INDEX(lst_months,MONTH(A4415)))</f>
        <v/>
      </c>
      <c r="E4415" s="55" t="n"/>
      <c r="F4415" s="54">
        <f>IF(E4415="","",IFERROR(IF(INDEX(lst_exp_item_cat,MATCH(E4415,lst_exp_items,0))="","❔ Без категории",INDEX(lst_exp_item_cat,MATCH(E4415,lst_exp_items,0))),"❔ Без категории"))</f>
        <v/>
      </c>
      <c r="G4415" s="43" t="n"/>
      <c r="H4415" s="56" t="n"/>
      <c r="I4415" s="43" t="n"/>
      <c r="J4415" s="57">
        <f>IF(OR(A4415="",H4415=""),"",IF(COUNTIFS(exp_year,C4415,exp_month,D4415,exp_item,E4415,exp_status,"&lt;&gt;❌ Отменено")&gt;0,1,0))</f>
        <v/>
      </c>
    </row>
    <row r="4416">
      <c r="A4416" s="52" t="n"/>
      <c r="B4416" s="53">
        <f>IF(A4416="","",CHOOSE(WEEKDAY(A4416,2),"Пн","Вт","Ср","Чт","Пт","Сб","Вс"))</f>
        <v/>
      </c>
      <c r="C4416" s="53">
        <f>IF(A4416="","",YEAR(A4416))</f>
        <v/>
      </c>
      <c r="D4416" s="54">
        <f>IF(A4416="","",INDEX(lst_months,MONTH(A4416)))</f>
        <v/>
      </c>
      <c r="E4416" s="55" t="n"/>
      <c r="F4416" s="54">
        <f>IF(E4416="","",IFERROR(IF(INDEX(lst_exp_item_cat,MATCH(E4416,lst_exp_items,0))="","❔ Без категории",INDEX(lst_exp_item_cat,MATCH(E4416,lst_exp_items,0))),"❔ Без категории"))</f>
        <v/>
      </c>
      <c r="G4416" s="43" t="n"/>
      <c r="H4416" s="56" t="n"/>
      <c r="I4416" s="43" t="n"/>
      <c r="J4416" s="57">
        <f>IF(OR(A4416="",H4416=""),"",IF(COUNTIFS(exp_year,C4416,exp_month,D4416,exp_item,E4416,exp_status,"&lt;&gt;❌ Отменено")&gt;0,1,0))</f>
        <v/>
      </c>
    </row>
    <row r="4417">
      <c r="A4417" s="52" t="n"/>
      <c r="B4417" s="53">
        <f>IF(A4417="","",CHOOSE(WEEKDAY(A4417,2),"Пн","Вт","Ср","Чт","Пт","Сб","Вс"))</f>
        <v/>
      </c>
      <c r="C4417" s="53">
        <f>IF(A4417="","",YEAR(A4417))</f>
        <v/>
      </c>
      <c r="D4417" s="54">
        <f>IF(A4417="","",INDEX(lst_months,MONTH(A4417)))</f>
        <v/>
      </c>
      <c r="E4417" s="55" t="n"/>
      <c r="F4417" s="54">
        <f>IF(E4417="","",IFERROR(IF(INDEX(lst_exp_item_cat,MATCH(E4417,lst_exp_items,0))="","❔ Без категории",INDEX(lst_exp_item_cat,MATCH(E4417,lst_exp_items,0))),"❔ Без категории"))</f>
        <v/>
      </c>
      <c r="G4417" s="43" t="n"/>
      <c r="H4417" s="56" t="n"/>
      <c r="I4417" s="43" t="n"/>
      <c r="J4417" s="57">
        <f>IF(OR(A4417="",H4417=""),"",IF(COUNTIFS(exp_year,C4417,exp_month,D4417,exp_item,E4417,exp_status,"&lt;&gt;❌ Отменено")&gt;0,1,0))</f>
        <v/>
      </c>
    </row>
    <row r="4418">
      <c r="A4418" s="52" t="n"/>
      <c r="B4418" s="53">
        <f>IF(A4418="","",CHOOSE(WEEKDAY(A4418,2),"Пн","Вт","Ср","Чт","Пт","Сб","Вс"))</f>
        <v/>
      </c>
      <c r="C4418" s="53">
        <f>IF(A4418="","",YEAR(A4418))</f>
        <v/>
      </c>
      <c r="D4418" s="54">
        <f>IF(A4418="","",INDEX(lst_months,MONTH(A4418)))</f>
        <v/>
      </c>
      <c r="E4418" s="55" t="n"/>
      <c r="F4418" s="54">
        <f>IF(E4418="","",IFERROR(IF(INDEX(lst_exp_item_cat,MATCH(E4418,lst_exp_items,0))="","❔ Без категории",INDEX(lst_exp_item_cat,MATCH(E4418,lst_exp_items,0))),"❔ Без категории"))</f>
        <v/>
      </c>
      <c r="G4418" s="43" t="n"/>
      <c r="H4418" s="56" t="n"/>
      <c r="I4418" s="43" t="n"/>
      <c r="J4418" s="57">
        <f>IF(OR(A4418="",H4418=""),"",IF(COUNTIFS(exp_year,C4418,exp_month,D4418,exp_item,E4418,exp_status,"&lt;&gt;❌ Отменено")&gt;0,1,0))</f>
        <v/>
      </c>
    </row>
    <row r="4419">
      <c r="A4419" s="52" t="n"/>
      <c r="B4419" s="53">
        <f>IF(A4419="","",CHOOSE(WEEKDAY(A4419,2),"Пн","Вт","Ср","Чт","Пт","Сб","Вс"))</f>
        <v/>
      </c>
      <c r="C4419" s="53">
        <f>IF(A4419="","",YEAR(A4419))</f>
        <v/>
      </c>
      <c r="D4419" s="54">
        <f>IF(A4419="","",INDEX(lst_months,MONTH(A4419)))</f>
        <v/>
      </c>
      <c r="E4419" s="55" t="n"/>
      <c r="F4419" s="54">
        <f>IF(E4419="","",IFERROR(IF(INDEX(lst_exp_item_cat,MATCH(E4419,lst_exp_items,0))="","❔ Без категории",INDEX(lst_exp_item_cat,MATCH(E4419,lst_exp_items,0))),"❔ Без категории"))</f>
        <v/>
      </c>
      <c r="G4419" s="43" t="n"/>
      <c r="H4419" s="56" t="n"/>
      <c r="I4419" s="43" t="n"/>
      <c r="J4419" s="57">
        <f>IF(OR(A4419="",H4419=""),"",IF(COUNTIFS(exp_year,C4419,exp_month,D4419,exp_item,E4419,exp_status,"&lt;&gt;❌ Отменено")&gt;0,1,0))</f>
        <v/>
      </c>
    </row>
    <row r="4420">
      <c r="A4420" s="52" t="n"/>
      <c r="B4420" s="53">
        <f>IF(A4420="","",CHOOSE(WEEKDAY(A4420,2),"Пн","Вт","Ср","Чт","Пт","Сб","Вс"))</f>
        <v/>
      </c>
      <c r="C4420" s="53">
        <f>IF(A4420="","",YEAR(A4420))</f>
        <v/>
      </c>
      <c r="D4420" s="54">
        <f>IF(A4420="","",INDEX(lst_months,MONTH(A4420)))</f>
        <v/>
      </c>
      <c r="E4420" s="55" t="n"/>
      <c r="F4420" s="54">
        <f>IF(E4420="","",IFERROR(IF(INDEX(lst_exp_item_cat,MATCH(E4420,lst_exp_items,0))="","❔ Без категории",INDEX(lst_exp_item_cat,MATCH(E4420,lst_exp_items,0))),"❔ Без категории"))</f>
        <v/>
      </c>
      <c r="G4420" s="43" t="n"/>
      <c r="H4420" s="56" t="n"/>
      <c r="I4420" s="43" t="n"/>
      <c r="J4420" s="57">
        <f>IF(OR(A4420="",H4420=""),"",IF(COUNTIFS(exp_year,C4420,exp_month,D4420,exp_item,E4420,exp_status,"&lt;&gt;❌ Отменено")&gt;0,1,0))</f>
        <v/>
      </c>
    </row>
    <row r="4421">
      <c r="A4421" s="52" t="n"/>
      <c r="B4421" s="53">
        <f>IF(A4421="","",CHOOSE(WEEKDAY(A4421,2),"Пн","Вт","Ср","Чт","Пт","Сб","Вс"))</f>
        <v/>
      </c>
      <c r="C4421" s="53">
        <f>IF(A4421="","",YEAR(A4421))</f>
        <v/>
      </c>
      <c r="D4421" s="54">
        <f>IF(A4421="","",INDEX(lst_months,MONTH(A4421)))</f>
        <v/>
      </c>
      <c r="E4421" s="55" t="n"/>
      <c r="F4421" s="54">
        <f>IF(E4421="","",IFERROR(IF(INDEX(lst_exp_item_cat,MATCH(E4421,lst_exp_items,0))="","❔ Без категории",INDEX(lst_exp_item_cat,MATCH(E4421,lst_exp_items,0))),"❔ Без категории"))</f>
        <v/>
      </c>
      <c r="G4421" s="43" t="n"/>
      <c r="H4421" s="56" t="n"/>
      <c r="I4421" s="43" t="n"/>
      <c r="J4421" s="57">
        <f>IF(OR(A4421="",H4421=""),"",IF(COUNTIFS(exp_year,C4421,exp_month,D4421,exp_item,E4421,exp_status,"&lt;&gt;❌ Отменено")&gt;0,1,0))</f>
        <v/>
      </c>
    </row>
    <row r="4422">
      <c r="A4422" s="52" t="n"/>
      <c r="B4422" s="53">
        <f>IF(A4422="","",CHOOSE(WEEKDAY(A4422,2),"Пн","Вт","Ср","Чт","Пт","Сб","Вс"))</f>
        <v/>
      </c>
      <c r="C4422" s="53">
        <f>IF(A4422="","",YEAR(A4422))</f>
        <v/>
      </c>
      <c r="D4422" s="54">
        <f>IF(A4422="","",INDEX(lst_months,MONTH(A4422)))</f>
        <v/>
      </c>
      <c r="E4422" s="55" t="n"/>
      <c r="F4422" s="54">
        <f>IF(E4422="","",IFERROR(IF(INDEX(lst_exp_item_cat,MATCH(E4422,lst_exp_items,0))="","❔ Без категории",INDEX(lst_exp_item_cat,MATCH(E4422,lst_exp_items,0))),"❔ Без категории"))</f>
        <v/>
      </c>
      <c r="G4422" s="43" t="n"/>
      <c r="H4422" s="56" t="n"/>
      <c r="I4422" s="43" t="n"/>
      <c r="J4422" s="57">
        <f>IF(OR(A4422="",H4422=""),"",IF(COUNTIFS(exp_year,C4422,exp_month,D4422,exp_item,E4422,exp_status,"&lt;&gt;❌ Отменено")&gt;0,1,0))</f>
        <v/>
      </c>
    </row>
    <row r="4423">
      <c r="A4423" s="52" t="n"/>
      <c r="B4423" s="53">
        <f>IF(A4423="","",CHOOSE(WEEKDAY(A4423,2),"Пн","Вт","Ср","Чт","Пт","Сб","Вс"))</f>
        <v/>
      </c>
      <c r="C4423" s="53">
        <f>IF(A4423="","",YEAR(A4423))</f>
        <v/>
      </c>
      <c r="D4423" s="54">
        <f>IF(A4423="","",INDEX(lst_months,MONTH(A4423)))</f>
        <v/>
      </c>
      <c r="E4423" s="55" t="n"/>
      <c r="F4423" s="54">
        <f>IF(E4423="","",IFERROR(IF(INDEX(lst_exp_item_cat,MATCH(E4423,lst_exp_items,0))="","❔ Без категории",INDEX(lst_exp_item_cat,MATCH(E4423,lst_exp_items,0))),"❔ Без категории"))</f>
        <v/>
      </c>
      <c r="G4423" s="43" t="n"/>
      <c r="H4423" s="56" t="n"/>
      <c r="I4423" s="43" t="n"/>
      <c r="J4423" s="57">
        <f>IF(OR(A4423="",H4423=""),"",IF(COUNTIFS(exp_year,C4423,exp_month,D4423,exp_item,E4423,exp_status,"&lt;&gt;❌ Отменено")&gt;0,1,0))</f>
        <v/>
      </c>
    </row>
    <row r="4424">
      <c r="A4424" s="52" t="n"/>
      <c r="B4424" s="53">
        <f>IF(A4424="","",CHOOSE(WEEKDAY(A4424,2),"Пн","Вт","Ср","Чт","Пт","Сб","Вс"))</f>
        <v/>
      </c>
      <c r="C4424" s="53">
        <f>IF(A4424="","",YEAR(A4424))</f>
        <v/>
      </c>
      <c r="D4424" s="54">
        <f>IF(A4424="","",INDEX(lst_months,MONTH(A4424)))</f>
        <v/>
      </c>
      <c r="E4424" s="55" t="n"/>
      <c r="F4424" s="54">
        <f>IF(E4424="","",IFERROR(IF(INDEX(lst_exp_item_cat,MATCH(E4424,lst_exp_items,0))="","❔ Без категории",INDEX(lst_exp_item_cat,MATCH(E4424,lst_exp_items,0))),"❔ Без категории"))</f>
        <v/>
      </c>
      <c r="G4424" s="43" t="n"/>
      <c r="H4424" s="56" t="n"/>
      <c r="I4424" s="43" t="n"/>
      <c r="J4424" s="57">
        <f>IF(OR(A4424="",H4424=""),"",IF(COUNTIFS(exp_year,C4424,exp_month,D4424,exp_item,E4424,exp_status,"&lt;&gt;❌ Отменено")&gt;0,1,0))</f>
        <v/>
      </c>
    </row>
    <row r="4425">
      <c r="A4425" s="52" t="n"/>
      <c r="B4425" s="53">
        <f>IF(A4425="","",CHOOSE(WEEKDAY(A4425,2),"Пн","Вт","Ср","Чт","Пт","Сб","Вс"))</f>
        <v/>
      </c>
      <c r="C4425" s="53">
        <f>IF(A4425="","",YEAR(A4425))</f>
        <v/>
      </c>
      <c r="D4425" s="54">
        <f>IF(A4425="","",INDEX(lst_months,MONTH(A4425)))</f>
        <v/>
      </c>
      <c r="E4425" s="55" t="n"/>
      <c r="F4425" s="54">
        <f>IF(E4425="","",IFERROR(IF(INDEX(lst_exp_item_cat,MATCH(E4425,lst_exp_items,0))="","❔ Без категории",INDEX(lst_exp_item_cat,MATCH(E4425,lst_exp_items,0))),"❔ Без категории"))</f>
        <v/>
      </c>
      <c r="G4425" s="43" t="n"/>
      <c r="H4425" s="56" t="n"/>
      <c r="I4425" s="43" t="n"/>
      <c r="J4425" s="57">
        <f>IF(OR(A4425="",H4425=""),"",IF(COUNTIFS(exp_year,C4425,exp_month,D4425,exp_item,E4425,exp_status,"&lt;&gt;❌ Отменено")&gt;0,1,0))</f>
        <v/>
      </c>
    </row>
    <row r="4426">
      <c r="A4426" s="52" t="n"/>
      <c r="B4426" s="53">
        <f>IF(A4426="","",CHOOSE(WEEKDAY(A4426,2),"Пн","Вт","Ср","Чт","Пт","Сб","Вс"))</f>
        <v/>
      </c>
      <c r="C4426" s="53">
        <f>IF(A4426="","",YEAR(A4426))</f>
        <v/>
      </c>
      <c r="D4426" s="54">
        <f>IF(A4426="","",INDEX(lst_months,MONTH(A4426)))</f>
        <v/>
      </c>
      <c r="E4426" s="55" t="n"/>
      <c r="F4426" s="54">
        <f>IF(E4426="","",IFERROR(IF(INDEX(lst_exp_item_cat,MATCH(E4426,lst_exp_items,0))="","❔ Без категории",INDEX(lst_exp_item_cat,MATCH(E4426,lst_exp_items,0))),"❔ Без категории"))</f>
        <v/>
      </c>
      <c r="G4426" s="43" t="n"/>
      <c r="H4426" s="56" t="n"/>
      <c r="I4426" s="43" t="n"/>
      <c r="J4426" s="57">
        <f>IF(OR(A4426="",H4426=""),"",IF(COUNTIFS(exp_year,C4426,exp_month,D4426,exp_item,E4426,exp_status,"&lt;&gt;❌ Отменено")&gt;0,1,0))</f>
        <v/>
      </c>
    </row>
    <row r="4427">
      <c r="A4427" s="52" t="n"/>
      <c r="B4427" s="53">
        <f>IF(A4427="","",CHOOSE(WEEKDAY(A4427,2),"Пн","Вт","Ср","Чт","Пт","Сб","Вс"))</f>
        <v/>
      </c>
      <c r="C4427" s="53">
        <f>IF(A4427="","",YEAR(A4427))</f>
        <v/>
      </c>
      <c r="D4427" s="54">
        <f>IF(A4427="","",INDEX(lst_months,MONTH(A4427)))</f>
        <v/>
      </c>
      <c r="E4427" s="55" t="n"/>
      <c r="F4427" s="54">
        <f>IF(E4427="","",IFERROR(IF(INDEX(lst_exp_item_cat,MATCH(E4427,lst_exp_items,0))="","❔ Без категории",INDEX(lst_exp_item_cat,MATCH(E4427,lst_exp_items,0))),"❔ Без категории"))</f>
        <v/>
      </c>
      <c r="G4427" s="43" t="n"/>
      <c r="H4427" s="56" t="n"/>
      <c r="I4427" s="43" t="n"/>
      <c r="J4427" s="57">
        <f>IF(OR(A4427="",H4427=""),"",IF(COUNTIFS(exp_year,C4427,exp_month,D4427,exp_item,E4427,exp_status,"&lt;&gt;❌ Отменено")&gt;0,1,0))</f>
        <v/>
      </c>
    </row>
    <row r="4428">
      <c r="A4428" s="52" t="n"/>
      <c r="B4428" s="53">
        <f>IF(A4428="","",CHOOSE(WEEKDAY(A4428,2),"Пн","Вт","Ср","Чт","Пт","Сб","Вс"))</f>
        <v/>
      </c>
      <c r="C4428" s="53">
        <f>IF(A4428="","",YEAR(A4428))</f>
        <v/>
      </c>
      <c r="D4428" s="54">
        <f>IF(A4428="","",INDEX(lst_months,MONTH(A4428)))</f>
        <v/>
      </c>
      <c r="E4428" s="55" t="n"/>
      <c r="F4428" s="54">
        <f>IF(E4428="","",IFERROR(IF(INDEX(lst_exp_item_cat,MATCH(E4428,lst_exp_items,0))="","❔ Без категории",INDEX(lst_exp_item_cat,MATCH(E4428,lst_exp_items,0))),"❔ Без категории"))</f>
        <v/>
      </c>
      <c r="G4428" s="43" t="n"/>
      <c r="H4428" s="56" t="n"/>
      <c r="I4428" s="43" t="n"/>
      <c r="J4428" s="57">
        <f>IF(OR(A4428="",H4428=""),"",IF(COUNTIFS(exp_year,C4428,exp_month,D4428,exp_item,E4428,exp_status,"&lt;&gt;❌ Отменено")&gt;0,1,0))</f>
        <v/>
      </c>
    </row>
    <row r="4429">
      <c r="A4429" s="52" t="n"/>
      <c r="B4429" s="53">
        <f>IF(A4429="","",CHOOSE(WEEKDAY(A4429,2),"Пн","Вт","Ср","Чт","Пт","Сб","Вс"))</f>
        <v/>
      </c>
      <c r="C4429" s="53">
        <f>IF(A4429="","",YEAR(A4429))</f>
        <v/>
      </c>
      <c r="D4429" s="54">
        <f>IF(A4429="","",INDEX(lst_months,MONTH(A4429)))</f>
        <v/>
      </c>
      <c r="E4429" s="55" t="n"/>
      <c r="F4429" s="54">
        <f>IF(E4429="","",IFERROR(IF(INDEX(lst_exp_item_cat,MATCH(E4429,lst_exp_items,0))="","❔ Без категории",INDEX(lst_exp_item_cat,MATCH(E4429,lst_exp_items,0))),"❔ Без категории"))</f>
        <v/>
      </c>
      <c r="G4429" s="43" t="n"/>
      <c r="H4429" s="56" t="n"/>
      <c r="I4429" s="43" t="n"/>
      <c r="J4429" s="57">
        <f>IF(OR(A4429="",H4429=""),"",IF(COUNTIFS(exp_year,C4429,exp_month,D4429,exp_item,E4429,exp_status,"&lt;&gt;❌ Отменено")&gt;0,1,0))</f>
        <v/>
      </c>
    </row>
    <row r="4430">
      <c r="A4430" s="52" t="n"/>
      <c r="B4430" s="53">
        <f>IF(A4430="","",CHOOSE(WEEKDAY(A4430,2),"Пн","Вт","Ср","Чт","Пт","Сб","Вс"))</f>
        <v/>
      </c>
      <c r="C4430" s="53">
        <f>IF(A4430="","",YEAR(A4430))</f>
        <v/>
      </c>
      <c r="D4430" s="54">
        <f>IF(A4430="","",INDEX(lst_months,MONTH(A4430)))</f>
        <v/>
      </c>
      <c r="E4430" s="55" t="n"/>
      <c r="F4430" s="54">
        <f>IF(E4430="","",IFERROR(IF(INDEX(lst_exp_item_cat,MATCH(E4430,lst_exp_items,0))="","❔ Без категории",INDEX(lst_exp_item_cat,MATCH(E4430,lst_exp_items,0))),"❔ Без категории"))</f>
        <v/>
      </c>
      <c r="G4430" s="43" t="n"/>
      <c r="H4430" s="56" t="n"/>
      <c r="I4430" s="43" t="n"/>
      <c r="J4430" s="57">
        <f>IF(OR(A4430="",H4430=""),"",IF(COUNTIFS(exp_year,C4430,exp_month,D4430,exp_item,E4430,exp_status,"&lt;&gt;❌ Отменено")&gt;0,1,0))</f>
        <v/>
      </c>
    </row>
    <row r="4431">
      <c r="A4431" s="52" t="n"/>
      <c r="B4431" s="53">
        <f>IF(A4431="","",CHOOSE(WEEKDAY(A4431,2),"Пн","Вт","Ср","Чт","Пт","Сб","Вс"))</f>
        <v/>
      </c>
      <c r="C4431" s="53">
        <f>IF(A4431="","",YEAR(A4431))</f>
        <v/>
      </c>
      <c r="D4431" s="54">
        <f>IF(A4431="","",INDEX(lst_months,MONTH(A4431)))</f>
        <v/>
      </c>
      <c r="E4431" s="55" t="n"/>
      <c r="F4431" s="54">
        <f>IF(E4431="","",IFERROR(IF(INDEX(lst_exp_item_cat,MATCH(E4431,lst_exp_items,0))="","❔ Без категории",INDEX(lst_exp_item_cat,MATCH(E4431,lst_exp_items,0))),"❔ Без категории"))</f>
        <v/>
      </c>
      <c r="G4431" s="43" t="n"/>
      <c r="H4431" s="56" t="n"/>
      <c r="I4431" s="43" t="n"/>
      <c r="J4431" s="57">
        <f>IF(OR(A4431="",H4431=""),"",IF(COUNTIFS(exp_year,C4431,exp_month,D4431,exp_item,E4431,exp_status,"&lt;&gt;❌ Отменено")&gt;0,1,0))</f>
        <v/>
      </c>
    </row>
    <row r="4432">
      <c r="A4432" s="52" t="n"/>
      <c r="B4432" s="53">
        <f>IF(A4432="","",CHOOSE(WEEKDAY(A4432,2),"Пн","Вт","Ср","Чт","Пт","Сб","Вс"))</f>
        <v/>
      </c>
      <c r="C4432" s="53">
        <f>IF(A4432="","",YEAR(A4432))</f>
        <v/>
      </c>
      <c r="D4432" s="54">
        <f>IF(A4432="","",INDEX(lst_months,MONTH(A4432)))</f>
        <v/>
      </c>
      <c r="E4432" s="55" t="n"/>
      <c r="F4432" s="54">
        <f>IF(E4432="","",IFERROR(IF(INDEX(lst_exp_item_cat,MATCH(E4432,lst_exp_items,0))="","❔ Без категории",INDEX(lst_exp_item_cat,MATCH(E4432,lst_exp_items,0))),"❔ Без категории"))</f>
        <v/>
      </c>
      <c r="G4432" s="43" t="n"/>
      <c r="H4432" s="56" t="n"/>
      <c r="I4432" s="43" t="n"/>
      <c r="J4432" s="57">
        <f>IF(OR(A4432="",H4432=""),"",IF(COUNTIFS(exp_year,C4432,exp_month,D4432,exp_item,E4432,exp_status,"&lt;&gt;❌ Отменено")&gt;0,1,0))</f>
        <v/>
      </c>
    </row>
    <row r="4433">
      <c r="A4433" s="52" t="n"/>
      <c r="B4433" s="53">
        <f>IF(A4433="","",CHOOSE(WEEKDAY(A4433,2),"Пн","Вт","Ср","Чт","Пт","Сб","Вс"))</f>
        <v/>
      </c>
      <c r="C4433" s="53">
        <f>IF(A4433="","",YEAR(A4433))</f>
        <v/>
      </c>
      <c r="D4433" s="54">
        <f>IF(A4433="","",INDEX(lst_months,MONTH(A4433)))</f>
        <v/>
      </c>
      <c r="E4433" s="55" t="n"/>
      <c r="F4433" s="54">
        <f>IF(E4433="","",IFERROR(IF(INDEX(lst_exp_item_cat,MATCH(E4433,lst_exp_items,0))="","❔ Без категории",INDEX(lst_exp_item_cat,MATCH(E4433,lst_exp_items,0))),"❔ Без категории"))</f>
        <v/>
      </c>
      <c r="G4433" s="43" t="n"/>
      <c r="H4433" s="56" t="n"/>
      <c r="I4433" s="43" t="n"/>
      <c r="J4433" s="57">
        <f>IF(OR(A4433="",H4433=""),"",IF(COUNTIFS(exp_year,C4433,exp_month,D4433,exp_item,E4433,exp_status,"&lt;&gt;❌ Отменено")&gt;0,1,0))</f>
        <v/>
      </c>
    </row>
    <row r="4434">
      <c r="A4434" s="52" t="n"/>
      <c r="B4434" s="53">
        <f>IF(A4434="","",CHOOSE(WEEKDAY(A4434,2),"Пн","Вт","Ср","Чт","Пт","Сб","Вс"))</f>
        <v/>
      </c>
      <c r="C4434" s="53">
        <f>IF(A4434="","",YEAR(A4434))</f>
        <v/>
      </c>
      <c r="D4434" s="54">
        <f>IF(A4434="","",INDEX(lst_months,MONTH(A4434)))</f>
        <v/>
      </c>
      <c r="E4434" s="55" t="n"/>
      <c r="F4434" s="54">
        <f>IF(E4434="","",IFERROR(IF(INDEX(lst_exp_item_cat,MATCH(E4434,lst_exp_items,0))="","❔ Без категории",INDEX(lst_exp_item_cat,MATCH(E4434,lst_exp_items,0))),"❔ Без категории"))</f>
        <v/>
      </c>
      <c r="G4434" s="43" t="n"/>
      <c r="H4434" s="56" t="n"/>
      <c r="I4434" s="43" t="n"/>
      <c r="J4434" s="57">
        <f>IF(OR(A4434="",H4434=""),"",IF(COUNTIFS(exp_year,C4434,exp_month,D4434,exp_item,E4434,exp_status,"&lt;&gt;❌ Отменено")&gt;0,1,0))</f>
        <v/>
      </c>
    </row>
    <row r="4435">
      <c r="A4435" s="52" t="n"/>
      <c r="B4435" s="53">
        <f>IF(A4435="","",CHOOSE(WEEKDAY(A4435,2),"Пн","Вт","Ср","Чт","Пт","Сб","Вс"))</f>
        <v/>
      </c>
      <c r="C4435" s="53">
        <f>IF(A4435="","",YEAR(A4435))</f>
        <v/>
      </c>
      <c r="D4435" s="54">
        <f>IF(A4435="","",INDEX(lst_months,MONTH(A4435)))</f>
        <v/>
      </c>
      <c r="E4435" s="55" t="n"/>
      <c r="F4435" s="54">
        <f>IF(E4435="","",IFERROR(IF(INDEX(lst_exp_item_cat,MATCH(E4435,lst_exp_items,0))="","❔ Без категории",INDEX(lst_exp_item_cat,MATCH(E4435,lst_exp_items,0))),"❔ Без категории"))</f>
        <v/>
      </c>
      <c r="G4435" s="43" t="n"/>
      <c r="H4435" s="56" t="n"/>
      <c r="I4435" s="43" t="n"/>
      <c r="J4435" s="57">
        <f>IF(OR(A4435="",H4435=""),"",IF(COUNTIFS(exp_year,C4435,exp_month,D4435,exp_item,E4435,exp_status,"&lt;&gt;❌ Отменено")&gt;0,1,0))</f>
        <v/>
      </c>
    </row>
    <row r="4436">
      <c r="A4436" s="52" t="n"/>
      <c r="B4436" s="53">
        <f>IF(A4436="","",CHOOSE(WEEKDAY(A4436,2),"Пн","Вт","Ср","Чт","Пт","Сб","Вс"))</f>
        <v/>
      </c>
      <c r="C4436" s="53">
        <f>IF(A4436="","",YEAR(A4436))</f>
        <v/>
      </c>
      <c r="D4436" s="54">
        <f>IF(A4436="","",INDEX(lst_months,MONTH(A4436)))</f>
        <v/>
      </c>
      <c r="E4436" s="55" t="n"/>
      <c r="F4436" s="54">
        <f>IF(E4436="","",IFERROR(IF(INDEX(lst_exp_item_cat,MATCH(E4436,lst_exp_items,0))="","❔ Без категории",INDEX(lst_exp_item_cat,MATCH(E4436,lst_exp_items,0))),"❔ Без категории"))</f>
        <v/>
      </c>
      <c r="G4436" s="43" t="n"/>
      <c r="H4436" s="56" t="n"/>
      <c r="I4436" s="43" t="n"/>
      <c r="J4436" s="57">
        <f>IF(OR(A4436="",H4436=""),"",IF(COUNTIFS(exp_year,C4436,exp_month,D4436,exp_item,E4436,exp_status,"&lt;&gt;❌ Отменено")&gt;0,1,0))</f>
        <v/>
      </c>
    </row>
    <row r="4437">
      <c r="A4437" s="52" t="n"/>
      <c r="B4437" s="53">
        <f>IF(A4437="","",CHOOSE(WEEKDAY(A4437,2),"Пн","Вт","Ср","Чт","Пт","Сб","Вс"))</f>
        <v/>
      </c>
      <c r="C4437" s="53">
        <f>IF(A4437="","",YEAR(A4437))</f>
        <v/>
      </c>
      <c r="D4437" s="54">
        <f>IF(A4437="","",INDEX(lst_months,MONTH(A4437)))</f>
        <v/>
      </c>
      <c r="E4437" s="55" t="n"/>
      <c r="F4437" s="54">
        <f>IF(E4437="","",IFERROR(IF(INDEX(lst_exp_item_cat,MATCH(E4437,lst_exp_items,0))="","❔ Без категории",INDEX(lst_exp_item_cat,MATCH(E4437,lst_exp_items,0))),"❔ Без категории"))</f>
        <v/>
      </c>
      <c r="G4437" s="43" t="n"/>
      <c r="H4437" s="56" t="n"/>
      <c r="I4437" s="43" t="n"/>
      <c r="J4437" s="57">
        <f>IF(OR(A4437="",H4437=""),"",IF(COUNTIFS(exp_year,C4437,exp_month,D4437,exp_item,E4437,exp_status,"&lt;&gt;❌ Отменено")&gt;0,1,0))</f>
        <v/>
      </c>
    </row>
    <row r="4438">
      <c r="A4438" s="52" t="n"/>
      <c r="B4438" s="53">
        <f>IF(A4438="","",CHOOSE(WEEKDAY(A4438,2),"Пн","Вт","Ср","Чт","Пт","Сб","Вс"))</f>
        <v/>
      </c>
      <c r="C4438" s="53">
        <f>IF(A4438="","",YEAR(A4438))</f>
        <v/>
      </c>
      <c r="D4438" s="54">
        <f>IF(A4438="","",INDEX(lst_months,MONTH(A4438)))</f>
        <v/>
      </c>
      <c r="E4438" s="55" t="n"/>
      <c r="F4438" s="54">
        <f>IF(E4438="","",IFERROR(IF(INDEX(lst_exp_item_cat,MATCH(E4438,lst_exp_items,0))="","❔ Без категории",INDEX(lst_exp_item_cat,MATCH(E4438,lst_exp_items,0))),"❔ Без категории"))</f>
        <v/>
      </c>
      <c r="G4438" s="43" t="n"/>
      <c r="H4438" s="56" t="n"/>
      <c r="I4438" s="43" t="n"/>
      <c r="J4438" s="57">
        <f>IF(OR(A4438="",H4438=""),"",IF(COUNTIFS(exp_year,C4438,exp_month,D4438,exp_item,E4438,exp_status,"&lt;&gt;❌ Отменено")&gt;0,1,0))</f>
        <v/>
      </c>
    </row>
    <row r="4439">
      <c r="A4439" s="52" t="n"/>
      <c r="B4439" s="53">
        <f>IF(A4439="","",CHOOSE(WEEKDAY(A4439,2),"Пн","Вт","Ср","Чт","Пт","Сб","Вс"))</f>
        <v/>
      </c>
      <c r="C4439" s="53">
        <f>IF(A4439="","",YEAR(A4439))</f>
        <v/>
      </c>
      <c r="D4439" s="54">
        <f>IF(A4439="","",INDEX(lst_months,MONTH(A4439)))</f>
        <v/>
      </c>
      <c r="E4439" s="55" t="n"/>
      <c r="F4439" s="54">
        <f>IF(E4439="","",IFERROR(IF(INDEX(lst_exp_item_cat,MATCH(E4439,lst_exp_items,0))="","❔ Без категории",INDEX(lst_exp_item_cat,MATCH(E4439,lst_exp_items,0))),"❔ Без категории"))</f>
        <v/>
      </c>
      <c r="G4439" s="43" t="n"/>
      <c r="H4439" s="56" t="n"/>
      <c r="I4439" s="43" t="n"/>
      <c r="J4439" s="57">
        <f>IF(OR(A4439="",H4439=""),"",IF(COUNTIFS(exp_year,C4439,exp_month,D4439,exp_item,E4439,exp_status,"&lt;&gt;❌ Отменено")&gt;0,1,0))</f>
        <v/>
      </c>
    </row>
    <row r="4440">
      <c r="A4440" s="52" t="n"/>
      <c r="B4440" s="53">
        <f>IF(A4440="","",CHOOSE(WEEKDAY(A4440,2),"Пн","Вт","Ср","Чт","Пт","Сб","Вс"))</f>
        <v/>
      </c>
      <c r="C4440" s="53">
        <f>IF(A4440="","",YEAR(A4440))</f>
        <v/>
      </c>
      <c r="D4440" s="54">
        <f>IF(A4440="","",INDEX(lst_months,MONTH(A4440)))</f>
        <v/>
      </c>
      <c r="E4440" s="55" t="n"/>
      <c r="F4440" s="54">
        <f>IF(E4440="","",IFERROR(IF(INDEX(lst_exp_item_cat,MATCH(E4440,lst_exp_items,0))="","❔ Без категории",INDEX(lst_exp_item_cat,MATCH(E4440,lst_exp_items,0))),"❔ Без категории"))</f>
        <v/>
      </c>
      <c r="G4440" s="43" t="n"/>
      <c r="H4440" s="56" t="n"/>
      <c r="I4440" s="43" t="n"/>
      <c r="J4440" s="57">
        <f>IF(OR(A4440="",H4440=""),"",IF(COUNTIFS(exp_year,C4440,exp_month,D4440,exp_item,E4440,exp_status,"&lt;&gt;❌ Отменено")&gt;0,1,0))</f>
        <v/>
      </c>
    </row>
    <row r="4441">
      <c r="A4441" s="52" t="n"/>
      <c r="B4441" s="53">
        <f>IF(A4441="","",CHOOSE(WEEKDAY(A4441,2),"Пн","Вт","Ср","Чт","Пт","Сб","Вс"))</f>
        <v/>
      </c>
      <c r="C4441" s="53">
        <f>IF(A4441="","",YEAR(A4441))</f>
        <v/>
      </c>
      <c r="D4441" s="54">
        <f>IF(A4441="","",INDEX(lst_months,MONTH(A4441)))</f>
        <v/>
      </c>
      <c r="E4441" s="55" t="n"/>
      <c r="F4441" s="54">
        <f>IF(E4441="","",IFERROR(IF(INDEX(lst_exp_item_cat,MATCH(E4441,lst_exp_items,0))="","❔ Без категории",INDEX(lst_exp_item_cat,MATCH(E4441,lst_exp_items,0))),"❔ Без категории"))</f>
        <v/>
      </c>
      <c r="G4441" s="43" t="n"/>
      <c r="H4441" s="56" t="n"/>
      <c r="I4441" s="43" t="n"/>
      <c r="J4441" s="57">
        <f>IF(OR(A4441="",H4441=""),"",IF(COUNTIFS(exp_year,C4441,exp_month,D4441,exp_item,E4441,exp_status,"&lt;&gt;❌ Отменено")&gt;0,1,0))</f>
        <v/>
      </c>
    </row>
    <row r="4442">
      <c r="A4442" s="52" t="n"/>
      <c r="B4442" s="53">
        <f>IF(A4442="","",CHOOSE(WEEKDAY(A4442,2),"Пн","Вт","Ср","Чт","Пт","Сб","Вс"))</f>
        <v/>
      </c>
      <c r="C4442" s="53">
        <f>IF(A4442="","",YEAR(A4442))</f>
        <v/>
      </c>
      <c r="D4442" s="54">
        <f>IF(A4442="","",INDEX(lst_months,MONTH(A4442)))</f>
        <v/>
      </c>
      <c r="E4442" s="55" t="n"/>
      <c r="F4442" s="54">
        <f>IF(E4442="","",IFERROR(IF(INDEX(lst_exp_item_cat,MATCH(E4442,lst_exp_items,0))="","❔ Без категории",INDEX(lst_exp_item_cat,MATCH(E4442,lst_exp_items,0))),"❔ Без категории"))</f>
        <v/>
      </c>
      <c r="G4442" s="43" t="n"/>
      <c r="H4442" s="56" t="n"/>
      <c r="I4442" s="43" t="n"/>
      <c r="J4442" s="57">
        <f>IF(OR(A4442="",H4442=""),"",IF(COUNTIFS(exp_year,C4442,exp_month,D4442,exp_item,E4442,exp_status,"&lt;&gt;❌ Отменено")&gt;0,1,0))</f>
        <v/>
      </c>
    </row>
    <row r="4443">
      <c r="A4443" s="52" t="n"/>
      <c r="B4443" s="53">
        <f>IF(A4443="","",CHOOSE(WEEKDAY(A4443,2),"Пн","Вт","Ср","Чт","Пт","Сб","Вс"))</f>
        <v/>
      </c>
      <c r="C4443" s="53">
        <f>IF(A4443="","",YEAR(A4443))</f>
        <v/>
      </c>
      <c r="D4443" s="54">
        <f>IF(A4443="","",INDEX(lst_months,MONTH(A4443)))</f>
        <v/>
      </c>
      <c r="E4443" s="55" t="n"/>
      <c r="F4443" s="54">
        <f>IF(E4443="","",IFERROR(IF(INDEX(lst_exp_item_cat,MATCH(E4443,lst_exp_items,0))="","❔ Без категории",INDEX(lst_exp_item_cat,MATCH(E4443,lst_exp_items,0))),"❔ Без категории"))</f>
        <v/>
      </c>
      <c r="G4443" s="43" t="n"/>
      <c r="H4443" s="56" t="n"/>
      <c r="I4443" s="43" t="n"/>
      <c r="J4443" s="57">
        <f>IF(OR(A4443="",H4443=""),"",IF(COUNTIFS(exp_year,C4443,exp_month,D4443,exp_item,E4443,exp_status,"&lt;&gt;❌ Отменено")&gt;0,1,0))</f>
        <v/>
      </c>
    </row>
    <row r="4444">
      <c r="A4444" s="52" t="n"/>
      <c r="B4444" s="53">
        <f>IF(A4444="","",CHOOSE(WEEKDAY(A4444,2),"Пн","Вт","Ср","Чт","Пт","Сб","Вс"))</f>
        <v/>
      </c>
      <c r="C4444" s="53">
        <f>IF(A4444="","",YEAR(A4444))</f>
        <v/>
      </c>
      <c r="D4444" s="54">
        <f>IF(A4444="","",INDEX(lst_months,MONTH(A4444)))</f>
        <v/>
      </c>
      <c r="E4444" s="55" t="n"/>
      <c r="F4444" s="54">
        <f>IF(E4444="","",IFERROR(IF(INDEX(lst_exp_item_cat,MATCH(E4444,lst_exp_items,0))="","❔ Без категории",INDEX(lst_exp_item_cat,MATCH(E4444,lst_exp_items,0))),"❔ Без категории"))</f>
        <v/>
      </c>
      <c r="G4444" s="43" t="n"/>
      <c r="H4444" s="56" t="n"/>
      <c r="I4444" s="43" t="n"/>
      <c r="J4444" s="57">
        <f>IF(OR(A4444="",H4444=""),"",IF(COUNTIFS(exp_year,C4444,exp_month,D4444,exp_item,E4444,exp_status,"&lt;&gt;❌ Отменено")&gt;0,1,0))</f>
        <v/>
      </c>
    </row>
    <row r="4445">
      <c r="A4445" s="52" t="n"/>
      <c r="B4445" s="53">
        <f>IF(A4445="","",CHOOSE(WEEKDAY(A4445,2),"Пн","Вт","Ср","Чт","Пт","Сб","Вс"))</f>
        <v/>
      </c>
      <c r="C4445" s="53">
        <f>IF(A4445="","",YEAR(A4445))</f>
        <v/>
      </c>
      <c r="D4445" s="54">
        <f>IF(A4445="","",INDEX(lst_months,MONTH(A4445)))</f>
        <v/>
      </c>
      <c r="E4445" s="55" t="n"/>
      <c r="F4445" s="54">
        <f>IF(E4445="","",IFERROR(IF(INDEX(lst_exp_item_cat,MATCH(E4445,lst_exp_items,0))="","❔ Без категории",INDEX(lst_exp_item_cat,MATCH(E4445,lst_exp_items,0))),"❔ Без категории"))</f>
        <v/>
      </c>
      <c r="G4445" s="43" t="n"/>
      <c r="H4445" s="56" t="n"/>
      <c r="I4445" s="43" t="n"/>
      <c r="J4445" s="57">
        <f>IF(OR(A4445="",H4445=""),"",IF(COUNTIFS(exp_year,C4445,exp_month,D4445,exp_item,E4445,exp_status,"&lt;&gt;❌ Отменено")&gt;0,1,0))</f>
        <v/>
      </c>
    </row>
    <row r="4446">
      <c r="A4446" s="52" t="n"/>
      <c r="B4446" s="53">
        <f>IF(A4446="","",CHOOSE(WEEKDAY(A4446,2),"Пн","Вт","Ср","Чт","Пт","Сб","Вс"))</f>
        <v/>
      </c>
      <c r="C4446" s="53">
        <f>IF(A4446="","",YEAR(A4446))</f>
        <v/>
      </c>
      <c r="D4446" s="54">
        <f>IF(A4446="","",INDEX(lst_months,MONTH(A4446)))</f>
        <v/>
      </c>
      <c r="E4446" s="55" t="n"/>
      <c r="F4446" s="54">
        <f>IF(E4446="","",IFERROR(IF(INDEX(lst_exp_item_cat,MATCH(E4446,lst_exp_items,0))="","❔ Без категории",INDEX(lst_exp_item_cat,MATCH(E4446,lst_exp_items,0))),"❔ Без категории"))</f>
        <v/>
      </c>
      <c r="G4446" s="43" t="n"/>
      <c r="H4446" s="56" t="n"/>
      <c r="I4446" s="43" t="n"/>
      <c r="J4446" s="57">
        <f>IF(OR(A4446="",H4446=""),"",IF(COUNTIFS(exp_year,C4446,exp_month,D4446,exp_item,E4446,exp_status,"&lt;&gt;❌ Отменено")&gt;0,1,0))</f>
        <v/>
      </c>
    </row>
    <row r="4447">
      <c r="A4447" s="52" t="n"/>
      <c r="B4447" s="53">
        <f>IF(A4447="","",CHOOSE(WEEKDAY(A4447,2),"Пн","Вт","Ср","Чт","Пт","Сб","Вс"))</f>
        <v/>
      </c>
      <c r="C4447" s="53">
        <f>IF(A4447="","",YEAR(A4447))</f>
        <v/>
      </c>
      <c r="D4447" s="54">
        <f>IF(A4447="","",INDEX(lst_months,MONTH(A4447)))</f>
        <v/>
      </c>
      <c r="E4447" s="55" t="n"/>
      <c r="F4447" s="54">
        <f>IF(E4447="","",IFERROR(IF(INDEX(lst_exp_item_cat,MATCH(E4447,lst_exp_items,0))="","❔ Без категории",INDEX(lst_exp_item_cat,MATCH(E4447,lst_exp_items,0))),"❔ Без категории"))</f>
        <v/>
      </c>
      <c r="G4447" s="43" t="n"/>
      <c r="H4447" s="56" t="n"/>
      <c r="I4447" s="43" t="n"/>
      <c r="J4447" s="57">
        <f>IF(OR(A4447="",H4447=""),"",IF(COUNTIFS(exp_year,C4447,exp_month,D4447,exp_item,E4447,exp_status,"&lt;&gt;❌ Отменено")&gt;0,1,0))</f>
        <v/>
      </c>
    </row>
    <row r="4448">
      <c r="A4448" s="52" t="n"/>
      <c r="B4448" s="53">
        <f>IF(A4448="","",CHOOSE(WEEKDAY(A4448,2),"Пн","Вт","Ср","Чт","Пт","Сб","Вс"))</f>
        <v/>
      </c>
      <c r="C4448" s="53">
        <f>IF(A4448="","",YEAR(A4448))</f>
        <v/>
      </c>
      <c r="D4448" s="54">
        <f>IF(A4448="","",INDEX(lst_months,MONTH(A4448)))</f>
        <v/>
      </c>
      <c r="E4448" s="55" t="n"/>
      <c r="F4448" s="54">
        <f>IF(E4448="","",IFERROR(IF(INDEX(lst_exp_item_cat,MATCH(E4448,lst_exp_items,0))="","❔ Без категории",INDEX(lst_exp_item_cat,MATCH(E4448,lst_exp_items,0))),"❔ Без категории"))</f>
        <v/>
      </c>
      <c r="G4448" s="43" t="n"/>
      <c r="H4448" s="56" t="n"/>
      <c r="I4448" s="43" t="n"/>
      <c r="J4448" s="57">
        <f>IF(OR(A4448="",H4448=""),"",IF(COUNTIFS(exp_year,C4448,exp_month,D4448,exp_item,E4448,exp_status,"&lt;&gt;❌ Отменено")&gt;0,1,0))</f>
        <v/>
      </c>
    </row>
    <row r="4449">
      <c r="A4449" s="52" t="n"/>
      <c r="B4449" s="53">
        <f>IF(A4449="","",CHOOSE(WEEKDAY(A4449,2),"Пн","Вт","Ср","Чт","Пт","Сб","Вс"))</f>
        <v/>
      </c>
      <c r="C4449" s="53">
        <f>IF(A4449="","",YEAR(A4449))</f>
        <v/>
      </c>
      <c r="D4449" s="54">
        <f>IF(A4449="","",INDEX(lst_months,MONTH(A4449)))</f>
        <v/>
      </c>
      <c r="E4449" s="55" t="n"/>
      <c r="F4449" s="54">
        <f>IF(E4449="","",IFERROR(IF(INDEX(lst_exp_item_cat,MATCH(E4449,lst_exp_items,0))="","❔ Без категории",INDEX(lst_exp_item_cat,MATCH(E4449,lst_exp_items,0))),"❔ Без категории"))</f>
        <v/>
      </c>
      <c r="G4449" s="43" t="n"/>
      <c r="H4449" s="56" t="n"/>
      <c r="I4449" s="43" t="n"/>
      <c r="J4449" s="57">
        <f>IF(OR(A4449="",H4449=""),"",IF(COUNTIFS(exp_year,C4449,exp_month,D4449,exp_item,E4449,exp_status,"&lt;&gt;❌ Отменено")&gt;0,1,0))</f>
        <v/>
      </c>
    </row>
    <row r="4450">
      <c r="A4450" s="52" t="n"/>
      <c r="B4450" s="53">
        <f>IF(A4450="","",CHOOSE(WEEKDAY(A4450,2),"Пн","Вт","Ср","Чт","Пт","Сб","Вс"))</f>
        <v/>
      </c>
      <c r="C4450" s="53">
        <f>IF(A4450="","",YEAR(A4450))</f>
        <v/>
      </c>
      <c r="D4450" s="54">
        <f>IF(A4450="","",INDEX(lst_months,MONTH(A4450)))</f>
        <v/>
      </c>
      <c r="E4450" s="55" t="n"/>
      <c r="F4450" s="54">
        <f>IF(E4450="","",IFERROR(IF(INDEX(lst_exp_item_cat,MATCH(E4450,lst_exp_items,0))="","❔ Без категории",INDEX(lst_exp_item_cat,MATCH(E4450,lst_exp_items,0))),"❔ Без категории"))</f>
        <v/>
      </c>
      <c r="G4450" s="43" t="n"/>
      <c r="H4450" s="56" t="n"/>
      <c r="I4450" s="43" t="n"/>
      <c r="J4450" s="57">
        <f>IF(OR(A4450="",H4450=""),"",IF(COUNTIFS(exp_year,C4450,exp_month,D4450,exp_item,E4450,exp_status,"&lt;&gt;❌ Отменено")&gt;0,1,0))</f>
        <v/>
      </c>
    </row>
    <row r="4451">
      <c r="A4451" s="52" t="n"/>
      <c r="B4451" s="53">
        <f>IF(A4451="","",CHOOSE(WEEKDAY(A4451,2),"Пн","Вт","Ср","Чт","Пт","Сб","Вс"))</f>
        <v/>
      </c>
      <c r="C4451" s="53">
        <f>IF(A4451="","",YEAR(A4451))</f>
        <v/>
      </c>
      <c r="D4451" s="54">
        <f>IF(A4451="","",INDEX(lst_months,MONTH(A4451)))</f>
        <v/>
      </c>
      <c r="E4451" s="55" t="n"/>
      <c r="F4451" s="54">
        <f>IF(E4451="","",IFERROR(IF(INDEX(lst_exp_item_cat,MATCH(E4451,lst_exp_items,0))="","❔ Без категории",INDEX(lst_exp_item_cat,MATCH(E4451,lst_exp_items,0))),"❔ Без категории"))</f>
        <v/>
      </c>
      <c r="G4451" s="43" t="n"/>
      <c r="H4451" s="56" t="n"/>
      <c r="I4451" s="43" t="n"/>
      <c r="J4451" s="57">
        <f>IF(OR(A4451="",H4451=""),"",IF(COUNTIFS(exp_year,C4451,exp_month,D4451,exp_item,E4451,exp_status,"&lt;&gt;❌ Отменено")&gt;0,1,0))</f>
        <v/>
      </c>
    </row>
    <row r="4452">
      <c r="A4452" s="52" t="n"/>
      <c r="B4452" s="53">
        <f>IF(A4452="","",CHOOSE(WEEKDAY(A4452,2),"Пн","Вт","Ср","Чт","Пт","Сб","Вс"))</f>
        <v/>
      </c>
      <c r="C4452" s="53">
        <f>IF(A4452="","",YEAR(A4452))</f>
        <v/>
      </c>
      <c r="D4452" s="54">
        <f>IF(A4452="","",INDEX(lst_months,MONTH(A4452)))</f>
        <v/>
      </c>
      <c r="E4452" s="55" t="n"/>
      <c r="F4452" s="54">
        <f>IF(E4452="","",IFERROR(IF(INDEX(lst_exp_item_cat,MATCH(E4452,lst_exp_items,0))="","❔ Без категории",INDEX(lst_exp_item_cat,MATCH(E4452,lst_exp_items,0))),"❔ Без категории"))</f>
        <v/>
      </c>
      <c r="G4452" s="43" t="n"/>
      <c r="H4452" s="56" t="n"/>
      <c r="I4452" s="43" t="n"/>
      <c r="J4452" s="57">
        <f>IF(OR(A4452="",H4452=""),"",IF(COUNTIFS(exp_year,C4452,exp_month,D4452,exp_item,E4452,exp_status,"&lt;&gt;❌ Отменено")&gt;0,1,0))</f>
        <v/>
      </c>
    </row>
    <row r="4453">
      <c r="A4453" s="52" t="n"/>
      <c r="B4453" s="53">
        <f>IF(A4453="","",CHOOSE(WEEKDAY(A4453,2),"Пн","Вт","Ср","Чт","Пт","Сб","Вс"))</f>
        <v/>
      </c>
      <c r="C4453" s="53">
        <f>IF(A4453="","",YEAR(A4453))</f>
        <v/>
      </c>
      <c r="D4453" s="54">
        <f>IF(A4453="","",INDEX(lst_months,MONTH(A4453)))</f>
        <v/>
      </c>
      <c r="E4453" s="55" t="n"/>
      <c r="F4453" s="54">
        <f>IF(E4453="","",IFERROR(IF(INDEX(lst_exp_item_cat,MATCH(E4453,lst_exp_items,0))="","❔ Без категории",INDEX(lst_exp_item_cat,MATCH(E4453,lst_exp_items,0))),"❔ Без категории"))</f>
        <v/>
      </c>
      <c r="G4453" s="43" t="n"/>
      <c r="H4453" s="56" t="n"/>
      <c r="I4453" s="43" t="n"/>
      <c r="J4453" s="57">
        <f>IF(OR(A4453="",H4453=""),"",IF(COUNTIFS(exp_year,C4453,exp_month,D4453,exp_item,E4453,exp_status,"&lt;&gt;❌ Отменено")&gt;0,1,0))</f>
        <v/>
      </c>
    </row>
    <row r="4454">
      <c r="A4454" s="52" t="n"/>
      <c r="B4454" s="53">
        <f>IF(A4454="","",CHOOSE(WEEKDAY(A4454,2),"Пн","Вт","Ср","Чт","Пт","Сб","Вс"))</f>
        <v/>
      </c>
      <c r="C4454" s="53">
        <f>IF(A4454="","",YEAR(A4454))</f>
        <v/>
      </c>
      <c r="D4454" s="54">
        <f>IF(A4454="","",INDEX(lst_months,MONTH(A4454)))</f>
        <v/>
      </c>
      <c r="E4454" s="55" t="n"/>
      <c r="F4454" s="54">
        <f>IF(E4454="","",IFERROR(IF(INDEX(lst_exp_item_cat,MATCH(E4454,lst_exp_items,0))="","❔ Без категории",INDEX(lst_exp_item_cat,MATCH(E4454,lst_exp_items,0))),"❔ Без категории"))</f>
        <v/>
      </c>
      <c r="G4454" s="43" t="n"/>
      <c r="H4454" s="56" t="n"/>
      <c r="I4454" s="43" t="n"/>
      <c r="J4454" s="57">
        <f>IF(OR(A4454="",H4454=""),"",IF(COUNTIFS(exp_year,C4454,exp_month,D4454,exp_item,E4454,exp_status,"&lt;&gt;❌ Отменено")&gt;0,1,0))</f>
        <v/>
      </c>
    </row>
    <row r="4455">
      <c r="A4455" s="52" t="n"/>
      <c r="B4455" s="53">
        <f>IF(A4455="","",CHOOSE(WEEKDAY(A4455,2),"Пн","Вт","Ср","Чт","Пт","Сб","Вс"))</f>
        <v/>
      </c>
      <c r="C4455" s="53">
        <f>IF(A4455="","",YEAR(A4455))</f>
        <v/>
      </c>
      <c r="D4455" s="54">
        <f>IF(A4455="","",INDEX(lst_months,MONTH(A4455)))</f>
        <v/>
      </c>
      <c r="E4455" s="55" t="n"/>
      <c r="F4455" s="54">
        <f>IF(E4455="","",IFERROR(IF(INDEX(lst_exp_item_cat,MATCH(E4455,lst_exp_items,0))="","❔ Без категории",INDEX(lst_exp_item_cat,MATCH(E4455,lst_exp_items,0))),"❔ Без категории"))</f>
        <v/>
      </c>
      <c r="G4455" s="43" t="n"/>
      <c r="H4455" s="56" t="n"/>
      <c r="I4455" s="43" t="n"/>
      <c r="J4455" s="57">
        <f>IF(OR(A4455="",H4455=""),"",IF(COUNTIFS(exp_year,C4455,exp_month,D4455,exp_item,E4455,exp_status,"&lt;&gt;❌ Отменено")&gt;0,1,0))</f>
        <v/>
      </c>
    </row>
    <row r="4456">
      <c r="A4456" s="52" t="n"/>
      <c r="B4456" s="53">
        <f>IF(A4456="","",CHOOSE(WEEKDAY(A4456,2),"Пн","Вт","Ср","Чт","Пт","Сб","Вс"))</f>
        <v/>
      </c>
      <c r="C4456" s="53">
        <f>IF(A4456="","",YEAR(A4456))</f>
        <v/>
      </c>
      <c r="D4456" s="54">
        <f>IF(A4456="","",INDEX(lst_months,MONTH(A4456)))</f>
        <v/>
      </c>
      <c r="E4456" s="55" t="n"/>
      <c r="F4456" s="54">
        <f>IF(E4456="","",IFERROR(IF(INDEX(lst_exp_item_cat,MATCH(E4456,lst_exp_items,0))="","❔ Без категории",INDEX(lst_exp_item_cat,MATCH(E4456,lst_exp_items,0))),"❔ Без категории"))</f>
        <v/>
      </c>
      <c r="G4456" s="43" t="n"/>
      <c r="H4456" s="56" t="n"/>
      <c r="I4456" s="43" t="n"/>
      <c r="J4456" s="57">
        <f>IF(OR(A4456="",H4456=""),"",IF(COUNTIFS(exp_year,C4456,exp_month,D4456,exp_item,E4456,exp_status,"&lt;&gt;❌ Отменено")&gt;0,1,0))</f>
        <v/>
      </c>
    </row>
    <row r="4457">
      <c r="A4457" s="52" t="n"/>
      <c r="B4457" s="53">
        <f>IF(A4457="","",CHOOSE(WEEKDAY(A4457,2),"Пн","Вт","Ср","Чт","Пт","Сб","Вс"))</f>
        <v/>
      </c>
      <c r="C4457" s="53">
        <f>IF(A4457="","",YEAR(A4457))</f>
        <v/>
      </c>
      <c r="D4457" s="54">
        <f>IF(A4457="","",INDEX(lst_months,MONTH(A4457)))</f>
        <v/>
      </c>
      <c r="E4457" s="55" t="n"/>
      <c r="F4457" s="54">
        <f>IF(E4457="","",IFERROR(IF(INDEX(lst_exp_item_cat,MATCH(E4457,lst_exp_items,0))="","❔ Без категории",INDEX(lst_exp_item_cat,MATCH(E4457,lst_exp_items,0))),"❔ Без категории"))</f>
        <v/>
      </c>
      <c r="G4457" s="43" t="n"/>
      <c r="H4457" s="56" t="n"/>
      <c r="I4457" s="43" t="n"/>
      <c r="J4457" s="57">
        <f>IF(OR(A4457="",H4457=""),"",IF(COUNTIFS(exp_year,C4457,exp_month,D4457,exp_item,E4457,exp_status,"&lt;&gt;❌ Отменено")&gt;0,1,0))</f>
        <v/>
      </c>
    </row>
    <row r="4458">
      <c r="A4458" s="52" t="n"/>
      <c r="B4458" s="53">
        <f>IF(A4458="","",CHOOSE(WEEKDAY(A4458,2),"Пн","Вт","Ср","Чт","Пт","Сб","Вс"))</f>
        <v/>
      </c>
      <c r="C4458" s="53">
        <f>IF(A4458="","",YEAR(A4458))</f>
        <v/>
      </c>
      <c r="D4458" s="54">
        <f>IF(A4458="","",INDEX(lst_months,MONTH(A4458)))</f>
        <v/>
      </c>
      <c r="E4458" s="55" t="n"/>
      <c r="F4458" s="54">
        <f>IF(E4458="","",IFERROR(IF(INDEX(lst_exp_item_cat,MATCH(E4458,lst_exp_items,0))="","❔ Без категории",INDEX(lst_exp_item_cat,MATCH(E4458,lst_exp_items,0))),"❔ Без категории"))</f>
        <v/>
      </c>
      <c r="G4458" s="43" t="n"/>
      <c r="H4458" s="56" t="n"/>
      <c r="I4458" s="43" t="n"/>
      <c r="J4458" s="57">
        <f>IF(OR(A4458="",H4458=""),"",IF(COUNTIFS(exp_year,C4458,exp_month,D4458,exp_item,E4458,exp_status,"&lt;&gt;❌ Отменено")&gt;0,1,0))</f>
        <v/>
      </c>
    </row>
    <row r="4459">
      <c r="A4459" s="52" t="n"/>
      <c r="B4459" s="53">
        <f>IF(A4459="","",CHOOSE(WEEKDAY(A4459,2),"Пн","Вт","Ср","Чт","Пт","Сб","Вс"))</f>
        <v/>
      </c>
      <c r="C4459" s="53">
        <f>IF(A4459="","",YEAR(A4459))</f>
        <v/>
      </c>
      <c r="D4459" s="54">
        <f>IF(A4459="","",INDEX(lst_months,MONTH(A4459)))</f>
        <v/>
      </c>
      <c r="E4459" s="55" t="n"/>
      <c r="F4459" s="54">
        <f>IF(E4459="","",IFERROR(IF(INDEX(lst_exp_item_cat,MATCH(E4459,lst_exp_items,0))="","❔ Без категории",INDEX(lst_exp_item_cat,MATCH(E4459,lst_exp_items,0))),"❔ Без категории"))</f>
        <v/>
      </c>
      <c r="G4459" s="43" t="n"/>
      <c r="H4459" s="56" t="n"/>
      <c r="I4459" s="43" t="n"/>
      <c r="J4459" s="57">
        <f>IF(OR(A4459="",H4459=""),"",IF(COUNTIFS(exp_year,C4459,exp_month,D4459,exp_item,E4459,exp_status,"&lt;&gt;❌ Отменено")&gt;0,1,0))</f>
        <v/>
      </c>
    </row>
    <row r="4460">
      <c r="A4460" s="52" t="n"/>
      <c r="B4460" s="53">
        <f>IF(A4460="","",CHOOSE(WEEKDAY(A4460,2),"Пн","Вт","Ср","Чт","Пт","Сб","Вс"))</f>
        <v/>
      </c>
      <c r="C4460" s="53">
        <f>IF(A4460="","",YEAR(A4460))</f>
        <v/>
      </c>
      <c r="D4460" s="54">
        <f>IF(A4460="","",INDEX(lst_months,MONTH(A4460)))</f>
        <v/>
      </c>
      <c r="E4460" s="55" t="n"/>
      <c r="F4460" s="54">
        <f>IF(E4460="","",IFERROR(IF(INDEX(lst_exp_item_cat,MATCH(E4460,lst_exp_items,0))="","❔ Без категории",INDEX(lst_exp_item_cat,MATCH(E4460,lst_exp_items,0))),"❔ Без категории"))</f>
        <v/>
      </c>
      <c r="G4460" s="43" t="n"/>
      <c r="H4460" s="56" t="n"/>
      <c r="I4460" s="43" t="n"/>
      <c r="J4460" s="57">
        <f>IF(OR(A4460="",H4460=""),"",IF(COUNTIFS(exp_year,C4460,exp_month,D4460,exp_item,E4460,exp_status,"&lt;&gt;❌ Отменено")&gt;0,1,0))</f>
        <v/>
      </c>
    </row>
    <row r="4461">
      <c r="A4461" s="52" t="n"/>
      <c r="B4461" s="53">
        <f>IF(A4461="","",CHOOSE(WEEKDAY(A4461,2),"Пн","Вт","Ср","Чт","Пт","Сб","Вс"))</f>
        <v/>
      </c>
      <c r="C4461" s="53">
        <f>IF(A4461="","",YEAR(A4461))</f>
        <v/>
      </c>
      <c r="D4461" s="54">
        <f>IF(A4461="","",INDEX(lst_months,MONTH(A4461)))</f>
        <v/>
      </c>
      <c r="E4461" s="55" t="n"/>
      <c r="F4461" s="54">
        <f>IF(E4461="","",IFERROR(IF(INDEX(lst_exp_item_cat,MATCH(E4461,lst_exp_items,0))="","❔ Без категории",INDEX(lst_exp_item_cat,MATCH(E4461,lst_exp_items,0))),"❔ Без категории"))</f>
        <v/>
      </c>
      <c r="G4461" s="43" t="n"/>
      <c r="H4461" s="56" t="n"/>
      <c r="I4461" s="43" t="n"/>
      <c r="J4461" s="57">
        <f>IF(OR(A4461="",H4461=""),"",IF(COUNTIFS(exp_year,C4461,exp_month,D4461,exp_item,E4461,exp_status,"&lt;&gt;❌ Отменено")&gt;0,1,0))</f>
        <v/>
      </c>
    </row>
    <row r="4462">
      <c r="A4462" s="52" t="n"/>
      <c r="B4462" s="53">
        <f>IF(A4462="","",CHOOSE(WEEKDAY(A4462,2),"Пн","Вт","Ср","Чт","Пт","Сб","Вс"))</f>
        <v/>
      </c>
      <c r="C4462" s="53">
        <f>IF(A4462="","",YEAR(A4462))</f>
        <v/>
      </c>
      <c r="D4462" s="54">
        <f>IF(A4462="","",INDEX(lst_months,MONTH(A4462)))</f>
        <v/>
      </c>
      <c r="E4462" s="55" t="n"/>
      <c r="F4462" s="54">
        <f>IF(E4462="","",IFERROR(IF(INDEX(lst_exp_item_cat,MATCH(E4462,lst_exp_items,0))="","❔ Без категории",INDEX(lst_exp_item_cat,MATCH(E4462,lst_exp_items,0))),"❔ Без категории"))</f>
        <v/>
      </c>
      <c r="G4462" s="43" t="n"/>
      <c r="H4462" s="56" t="n"/>
      <c r="I4462" s="43" t="n"/>
      <c r="J4462" s="57">
        <f>IF(OR(A4462="",H4462=""),"",IF(COUNTIFS(exp_year,C4462,exp_month,D4462,exp_item,E4462,exp_status,"&lt;&gt;❌ Отменено")&gt;0,1,0))</f>
        <v/>
      </c>
    </row>
    <row r="4463">
      <c r="A4463" s="52" t="n"/>
      <c r="B4463" s="53">
        <f>IF(A4463="","",CHOOSE(WEEKDAY(A4463,2),"Пн","Вт","Ср","Чт","Пт","Сб","Вс"))</f>
        <v/>
      </c>
      <c r="C4463" s="53">
        <f>IF(A4463="","",YEAR(A4463))</f>
        <v/>
      </c>
      <c r="D4463" s="54">
        <f>IF(A4463="","",INDEX(lst_months,MONTH(A4463)))</f>
        <v/>
      </c>
      <c r="E4463" s="55" t="n"/>
      <c r="F4463" s="54">
        <f>IF(E4463="","",IFERROR(IF(INDEX(lst_exp_item_cat,MATCH(E4463,lst_exp_items,0))="","❔ Без категории",INDEX(lst_exp_item_cat,MATCH(E4463,lst_exp_items,0))),"❔ Без категории"))</f>
        <v/>
      </c>
      <c r="G4463" s="43" t="n"/>
      <c r="H4463" s="56" t="n"/>
      <c r="I4463" s="43" t="n"/>
      <c r="J4463" s="57">
        <f>IF(OR(A4463="",H4463=""),"",IF(COUNTIFS(exp_year,C4463,exp_month,D4463,exp_item,E4463,exp_status,"&lt;&gt;❌ Отменено")&gt;0,1,0))</f>
        <v/>
      </c>
    </row>
    <row r="4464">
      <c r="A4464" s="52" t="n"/>
      <c r="B4464" s="53">
        <f>IF(A4464="","",CHOOSE(WEEKDAY(A4464,2),"Пн","Вт","Ср","Чт","Пт","Сб","Вс"))</f>
        <v/>
      </c>
      <c r="C4464" s="53">
        <f>IF(A4464="","",YEAR(A4464))</f>
        <v/>
      </c>
      <c r="D4464" s="54">
        <f>IF(A4464="","",INDEX(lst_months,MONTH(A4464)))</f>
        <v/>
      </c>
      <c r="E4464" s="55" t="n"/>
      <c r="F4464" s="54">
        <f>IF(E4464="","",IFERROR(IF(INDEX(lst_exp_item_cat,MATCH(E4464,lst_exp_items,0))="","❔ Без категории",INDEX(lst_exp_item_cat,MATCH(E4464,lst_exp_items,0))),"❔ Без категории"))</f>
        <v/>
      </c>
      <c r="G4464" s="43" t="n"/>
      <c r="H4464" s="56" t="n"/>
      <c r="I4464" s="43" t="n"/>
      <c r="J4464" s="57">
        <f>IF(OR(A4464="",H4464=""),"",IF(COUNTIFS(exp_year,C4464,exp_month,D4464,exp_item,E4464,exp_status,"&lt;&gt;❌ Отменено")&gt;0,1,0))</f>
        <v/>
      </c>
    </row>
    <row r="4465">
      <c r="A4465" s="52" t="n"/>
      <c r="B4465" s="53">
        <f>IF(A4465="","",CHOOSE(WEEKDAY(A4465,2),"Пн","Вт","Ср","Чт","Пт","Сб","Вс"))</f>
        <v/>
      </c>
      <c r="C4465" s="53">
        <f>IF(A4465="","",YEAR(A4465))</f>
        <v/>
      </c>
      <c r="D4465" s="54">
        <f>IF(A4465="","",INDEX(lst_months,MONTH(A4465)))</f>
        <v/>
      </c>
      <c r="E4465" s="55" t="n"/>
      <c r="F4465" s="54">
        <f>IF(E4465="","",IFERROR(IF(INDEX(lst_exp_item_cat,MATCH(E4465,lst_exp_items,0))="","❔ Без категории",INDEX(lst_exp_item_cat,MATCH(E4465,lst_exp_items,0))),"❔ Без категории"))</f>
        <v/>
      </c>
      <c r="G4465" s="43" t="n"/>
      <c r="H4465" s="56" t="n"/>
      <c r="I4465" s="43" t="n"/>
      <c r="J4465" s="57">
        <f>IF(OR(A4465="",H4465=""),"",IF(COUNTIFS(exp_year,C4465,exp_month,D4465,exp_item,E4465,exp_status,"&lt;&gt;❌ Отменено")&gt;0,1,0))</f>
        <v/>
      </c>
    </row>
    <row r="4466">
      <c r="A4466" s="52" t="n"/>
      <c r="B4466" s="53">
        <f>IF(A4466="","",CHOOSE(WEEKDAY(A4466,2),"Пн","Вт","Ср","Чт","Пт","Сб","Вс"))</f>
        <v/>
      </c>
      <c r="C4466" s="53">
        <f>IF(A4466="","",YEAR(A4466))</f>
        <v/>
      </c>
      <c r="D4466" s="54">
        <f>IF(A4466="","",INDEX(lst_months,MONTH(A4466)))</f>
        <v/>
      </c>
      <c r="E4466" s="55" t="n"/>
      <c r="F4466" s="54">
        <f>IF(E4466="","",IFERROR(IF(INDEX(lst_exp_item_cat,MATCH(E4466,lst_exp_items,0))="","❔ Без категории",INDEX(lst_exp_item_cat,MATCH(E4466,lst_exp_items,0))),"❔ Без категории"))</f>
        <v/>
      </c>
      <c r="G4466" s="43" t="n"/>
      <c r="H4466" s="56" t="n"/>
      <c r="I4466" s="43" t="n"/>
      <c r="J4466" s="57">
        <f>IF(OR(A4466="",H4466=""),"",IF(COUNTIFS(exp_year,C4466,exp_month,D4466,exp_item,E4466,exp_status,"&lt;&gt;❌ Отменено")&gt;0,1,0))</f>
        <v/>
      </c>
    </row>
    <row r="4467">
      <c r="A4467" s="52" t="n"/>
      <c r="B4467" s="53">
        <f>IF(A4467="","",CHOOSE(WEEKDAY(A4467,2),"Пн","Вт","Ср","Чт","Пт","Сб","Вс"))</f>
        <v/>
      </c>
      <c r="C4467" s="53">
        <f>IF(A4467="","",YEAR(A4467))</f>
        <v/>
      </c>
      <c r="D4467" s="54">
        <f>IF(A4467="","",INDEX(lst_months,MONTH(A4467)))</f>
        <v/>
      </c>
      <c r="E4467" s="55" t="n"/>
      <c r="F4467" s="54">
        <f>IF(E4467="","",IFERROR(IF(INDEX(lst_exp_item_cat,MATCH(E4467,lst_exp_items,0))="","❔ Без категории",INDEX(lst_exp_item_cat,MATCH(E4467,lst_exp_items,0))),"❔ Без категории"))</f>
        <v/>
      </c>
      <c r="G4467" s="43" t="n"/>
      <c r="H4467" s="56" t="n"/>
      <c r="I4467" s="43" t="n"/>
      <c r="J4467" s="57">
        <f>IF(OR(A4467="",H4467=""),"",IF(COUNTIFS(exp_year,C4467,exp_month,D4467,exp_item,E4467,exp_status,"&lt;&gt;❌ Отменено")&gt;0,1,0))</f>
        <v/>
      </c>
    </row>
    <row r="4468">
      <c r="A4468" s="52" t="n"/>
      <c r="B4468" s="53">
        <f>IF(A4468="","",CHOOSE(WEEKDAY(A4468,2),"Пн","Вт","Ср","Чт","Пт","Сб","Вс"))</f>
        <v/>
      </c>
      <c r="C4468" s="53">
        <f>IF(A4468="","",YEAR(A4468))</f>
        <v/>
      </c>
      <c r="D4468" s="54">
        <f>IF(A4468="","",INDEX(lst_months,MONTH(A4468)))</f>
        <v/>
      </c>
      <c r="E4468" s="55" t="n"/>
      <c r="F4468" s="54">
        <f>IF(E4468="","",IFERROR(IF(INDEX(lst_exp_item_cat,MATCH(E4468,lst_exp_items,0))="","❔ Без категории",INDEX(lst_exp_item_cat,MATCH(E4468,lst_exp_items,0))),"❔ Без категории"))</f>
        <v/>
      </c>
      <c r="G4468" s="43" t="n"/>
      <c r="H4468" s="56" t="n"/>
      <c r="I4468" s="43" t="n"/>
      <c r="J4468" s="57">
        <f>IF(OR(A4468="",H4468=""),"",IF(COUNTIFS(exp_year,C4468,exp_month,D4468,exp_item,E4468,exp_status,"&lt;&gt;❌ Отменено")&gt;0,1,0))</f>
        <v/>
      </c>
    </row>
    <row r="4469">
      <c r="A4469" s="52" t="n"/>
      <c r="B4469" s="53">
        <f>IF(A4469="","",CHOOSE(WEEKDAY(A4469,2),"Пн","Вт","Ср","Чт","Пт","Сб","Вс"))</f>
        <v/>
      </c>
      <c r="C4469" s="53">
        <f>IF(A4469="","",YEAR(A4469))</f>
        <v/>
      </c>
      <c r="D4469" s="54">
        <f>IF(A4469="","",INDEX(lst_months,MONTH(A4469)))</f>
        <v/>
      </c>
      <c r="E4469" s="55" t="n"/>
      <c r="F4469" s="54">
        <f>IF(E4469="","",IFERROR(IF(INDEX(lst_exp_item_cat,MATCH(E4469,lst_exp_items,0))="","❔ Без категории",INDEX(lst_exp_item_cat,MATCH(E4469,lst_exp_items,0))),"❔ Без категории"))</f>
        <v/>
      </c>
      <c r="G4469" s="43" t="n"/>
      <c r="H4469" s="56" t="n"/>
      <c r="I4469" s="43" t="n"/>
      <c r="J4469" s="57">
        <f>IF(OR(A4469="",H4469=""),"",IF(COUNTIFS(exp_year,C4469,exp_month,D4469,exp_item,E4469,exp_status,"&lt;&gt;❌ Отменено")&gt;0,1,0))</f>
        <v/>
      </c>
    </row>
    <row r="4470">
      <c r="A4470" s="52" t="n"/>
      <c r="B4470" s="53">
        <f>IF(A4470="","",CHOOSE(WEEKDAY(A4470,2),"Пн","Вт","Ср","Чт","Пт","Сб","Вс"))</f>
        <v/>
      </c>
      <c r="C4470" s="53">
        <f>IF(A4470="","",YEAR(A4470))</f>
        <v/>
      </c>
      <c r="D4470" s="54">
        <f>IF(A4470="","",INDEX(lst_months,MONTH(A4470)))</f>
        <v/>
      </c>
      <c r="E4470" s="55" t="n"/>
      <c r="F4470" s="54">
        <f>IF(E4470="","",IFERROR(IF(INDEX(lst_exp_item_cat,MATCH(E4470,lst_exp_items,0))="","❔ Без категории",INDEX(lst_exp_item_cat,MATCH(E4470,lst_exp_items,0))),"❔ Без категории"))</f>
        <v/>
      </c>
      <c r="G4470" s="43" t="n"/>
      <c r="H4470" s="56" t="n"/>
      <c r="I4470" s="43" t="n"/>
      <c r="J4470" s="57">
        <f>IF(OR(A4470="",H4470=""),"",IF(COUNTIFS(exp_year,C4470,exp_month,D4470,exp_item,E4470,exp_status,"&lt;&gt;❌ Отменено")&gt;0,1,0))</f>
        <v/>
      </c>
    </row>
    <row r="4471">
      <c r="A4471" s="52" t="n"/>
      <c r="B4471" s="53">
        <f>IF(A4471="","",CHOOSE(WEEKDAY(A4471,2),"Пн","Вт","Ср","Чт","Пт","Сб","Вс"))</f>
        <v/>
      </c>
      <c r="C4471" s="53">
        <f>IF(A4471="","",YEAR(A4471))</f>
        <v/>
      </c>
      <c r="D4471" s="54">
        <f>IF(A4471="","",INDEX(lst_months,MONTH(A4471)))</f>
        <v/>
      </c>
      <c r="E4471" s="55" t="n"/>
      <c r="F4471" s="54">
        <f>IF(E4471="","",IFERROR(IF(INDEX(lst_exp_item_cat,MATCH(E4471,lst_exp_items,0))="","❔ Без категории",INDEX(lst_exp_item_cat,MATCH(E4471,lst_exp_items,0))),"❔ Без категории"))</f>
        <v/>
      </c>
      <c r="G4471" s="43" t="n"/>
      <c r="H4471" s="56" t="n"/>
      <c r="I4471" s="43" t="n"/>
      <c r="J4471" s="57">
        <f>IF(OR(A4471="",H4471=""),"",IF(COUNTIFS(exp_year,C4471,exp_month,D4471,exp_item,E4471,exp_status,"&lt;&gt;❌ Отменено")&gt;0,1,0))</f>
        <v/>
      </c>
    </row>
    <row r="4472">
      <c r="A4472" s="52" t="n"/>
      <c r="B4472" s="53">
        <f>IF(A4472="","",CHOOSE(WEEKDAY(A4472,2),"Пн","Вт","Ср","Чт","Пт","Сб","Вс"))</f>
        <v/>
      </c>
      <c r="C4472" s="53">
        <f>IF(A4472="","",YEAR(A4472))</f>
        <v/>
      </c>
      <c r="D4472" s="54">
        <f>IF(A4472="","",INDEX(lst_months,MONTH(A4472)))</f>
        <v/>
      </c>
      <c r="E4472" s="55" t="n"/>
      <c r="F4472" s="54">
        <f>IF(E4472="","",IFERROR(IF(INDEX(lst_exp_item_cat,MATCH(E4472,lst_exp_items,0))="","❔ Без категории",INDEX(lst_exp_item_cat,MATCH(E4472,lst_exp_items,0))),"❔ Без категории"))</f>
        <v/>
      </c>
      <c r="G4472" s="43" t="n"/>
      <c r="H4472" s="56" t="n"/>
      <c r="I4472" s="43" t="n"/>
      <c r="J4472" s="57">
        <f>IF(OR(A4472="",H4472=""),"",IF(COUNTIFS(exp_year,C4472,exp_month,D4472,exp_item,E4472,exp_status,"&lt;&gt;❌ Отменено")&gt;0,1,0))</f>
        <v/>
      </c>
    </row>
    <row r="4473">
      <c r="A4473" s="52" t="n"/>
      <c r="B4473" s="53">
        <f>IF(A4473="","",CHOOSE(WEEKDAY(A4473,2),"Пн","Вт","Ср","Чт","Пт","Сб","Вс"))</f>
        <v/>
      </c>
      <c r="C4473" s="53">
        <f>IF(A4473="","",YEAR(A4473))</f>
        <v/>
      </c>
      <c r="D4473" s="54">
        <f>IF(A4473="","",INDEX(lst_months,MONTH(A4473)))</f>
        <v/>
      </c>
      <c r="E4473" s="55" t="n"/>
      <c r="F4473" s="54">
        <f>IF(E4473="","",IFERROR(IF(INDEX(lst_exp_item_cat,MATCH(E4473,lst_exp_items,0))="","❔ Без категории",INDEX(lst_exp_item_cat,MATCH(E4473,lst_exp_items,0))),"❔ Без категории"))</f>
        <v/>
      </c>
      <c r="G4473" s="43" t="n"/>
      <c r="H4473" s="56" t="n"/>
      <c r="I4473" s="43" t="n"/>
      <c r="J4473" s="57">
        <f>IF(OR(A4473="",H4473=""),"",IF(COUNTIFS(exp_year,C4473,exp_month,D4473,exp_item,E4473,exp_status,"&lt;&gt;❌ Отменено")&gt;0,1,0))</f>
        <v/>
      </c>
    </row>
    <row r="4474">
      <c r="A4474" s="52" t="n"/>
      <c r="B4474" s="53">
        <f>IF(A4474="","",CHOOSE(WEEKDAY(A4474,2),"Пн","Вт","Ср","Чт","Пт","Сб","Вс"))</f>
        <v/>
      </c>
      <c r="C4474" s="53">
        <f>IF(A4474="","",YEAR(A4474))</f>
        <v/>
      </c>
      <c r="D4474" s="54">
        <f>IF(A4474="","",INDEX(lst_months,MONTH(A4474)))</f>
        <v/>
      </c>
      <c r="E4474" s="55" t="n"/>
      <c r="F4474" s="54">
        <f>IF(E4474="","",IFERROR(IF(INDEX(lst_exp_item_cat,MATCH(E4474,lst_exp_items,0))="","❔ Без категории",INDEX(lst_exp_item_cat,MATCH(E4474,lst_exp_items,0))),"❔ Без категории"))</f>
        <v/>
      </c>
      <c r="G4474" s="43" t="n"/>
      <c r="H4474" s="56" t="n"/>
      <c r="I4474" s="43" t="n"/>
      <c r="J4474" s="57">
        <f>IF(OR(A4474="",H4474=""),"",IF(COUNTIFS(exp_year,C4474,exp_month,D4474,exp_item,E4474,exp_status,"&lt;&gt;❌ Отменено")&gt;0,1,0))</f>
        <v/>
      </c>
    </row>
    <row r="4475">
      <c r="A4475" s="52" t="n"/>
      <c r="B4475" s="53">
        <f>IF(A4475="","",CHOOSE(WEEKDAY(A4475,2),"Пн","Вт","Ср","Чт","Пт","Сб","Вс"))</f>
        <v/>
      </c>
      <c r="C4475" s="53">
        <f>IF(A4475="","",YEAR(A4475))</f>
        <v/>
      </c>
      <c r="D4475" s="54">
        <f>IF(A4475="","",INDEX(lst_months,MONTH(A4475)))</f>
        <v/>
      </c>
      <c r="E4475" s="55" t="n"/>
      <c r="F4475" s="54">
        <f>IF(E4475="","",IFERROR(IF(INDEX(lst_exp_item_cat,MATCH(E4475,lst_exp_items,0))="","❔ Без категории",INDEX(lst_exp_item_cat,MATCH(E4475,lst_exp_items,0))),"❔ Без категории"))</f>
        <v/>
      </c>
      <c r="G4475" s="43" t="n"/>
      <c r="H4475" s="56" t="n"/>
      <c r="I4475" s="43" t="n"/>
      <c r="J4475" s="57">
        <f>IF(OR(A4475="",H4475=""),"",IF(COUNTIFS(exp_year,C4475,exp_month,D4475,exp_item,E4475,exp_status,"&lt;&gt;❌ Отменено")&gt;0,1,0))</f>
        <v/>
      </c>
    </row>
    <row r="4476">
      <c r="A4476" s="52" t="n"/>
      <c r="B4476" s="53">
        <f>IF(A4476="","",CHOOSE(WEEKDAY(A4476,2),"Пн","Вт","Ср","Чт","Пт","Сб","Вс"))</f>
        <v/>
      </c>
      <c r="C4476" s="53">
        <f>IF(A4476="","",YEAR(A4476))</f>
        <v/>
      </c>
      <c r="D4476" s="54">
        <f>IF(A4476="","",INDEX(lst_months,MONTH(A4476)))</f>
        <v/>
      </c>
      <c r="E4476" s="55" t="n"/>
      <c r="F4476" s="54">
        <f>IF(E4476="","",IFERROR(IF(INDEX(lst_exp_item_cat,MATCH(E4476,lst_exp_items,0))="","❔ Без категории",INDEX(lst_exp_item_cat,MATCH(E4476,lst_exp_items,0))),"❔ Без категории"))</f>
        <v/>
      </c>
      <c r="G4476" s="43" t="n"/>
      <c r="H4476" s="56" t="n"/>
      <c r="I4476" s="43" t="n"/>
      <c r="J4476" s="57">
        <f>IF(OR(A4476="",H4476=""),"",IF(COUNTIFS(exp_year,C4476,exp_month,D4476,exp_item,E4476,exp_status,"&lt;&gt;❌ Отменено")&gt;0,1,0))</f>
        <v/>
      </c>
    </row>
    <row r="4477">
      <c r="A4477" s="52" t="n"/>
      <c r="B4477" s="53">
        <f>IF(A4477="","",CHOOSE(WEEKDAY(A4477,2),"Пн","Вт","Ср","Чт","Пт","Сб","Вс"))</f>
        <v/>
      </c>
      <c r="C4477" s="53">
        <f>IF(A4477="","",YEAR(A4477))</f>
        <v/>
      </c>
      <c r="D4477" s="54">
        <f>IF(A4477="","",INDEX(lst_months,MONTH(A4477)))</f>
        <v/>
      </c>
      <c r="E4477" s="55" t="n"/>
      <c r="F4477" s="54">
        <f>IF(E4477="","",IFERROR(IF(INDEX(lst_exp_item_cat,MATCH(E4477,lst_exp_items,0))="","❔ Без категории",INDEX(lst_exp_item_cat,MATCH(E4477,lst_exp_items,0))),"❔ Без категории"))</f>
        <v/>
      </c>
      <c r="G4477" s="43" t="n"/>
      <c r="H4477" s="56" t="n"/>
      <c r="I4477" s="43" t="n"/>
      <c r="J4477" s="57">
        <f>IF(OR(A4477="",H4477=""),"",IF(COUNTIFS(exp_year,C4477,exp_month,D4477,exp_item,E4477,exp_status,"&lt;&gt;❌ Отменено")&gt;0,1,0))</f>
        <v/>
      </c>
    </row>
    <row r="4478">
      <c r="A4478" s="52" t="n"/>
      <c r="B4478" s="53">
        <f>IF(A4478="","",CHOOSE(WEEKDAY(A4478,2),"Пн","Вт","Ср","Чт","Пт","Сб","Вс"))</f>
        <v/>
      </c>
      <c r="C4478" s="53">
        <f>IF(A4478="","",YEAR(A4478))</f>
        <v/>
      </c>
      <c r="D4478" s="54">
        <f>IF(A4478="","",INDEX(lst_months,MONTH(A4478)))</f>
        <v/>
      </c>
      <c r="E4478" s="55" t="n"/>
      <c r="F4478" s="54">
        <f>IF(E4478="","",IFERROR(IF(INDEX(lst_exp_item_cat,MATCH(E4478,lst_exp_items,0))="","❔ Без категории",INDEX(lst_exp_item_cat,MATCH(E4478,lst_exp_items,0))),"❔ Без категории"))</f>
        <v/>
      </c>
      <c r="G4478" s="43" t="n"/>
      <c r="H4478" s="56" t="n"/>
      <c r="I4478" s="43" t="n"/>
      <c r="J4478" s="57">
        <f>IF(OR(A4478="",H4478=""),"",IF(COUNTIFS(exp_year,C4478,exp_month,D4478,exp_item,E4478,exp_status,"&lt;&gt;❌ Отменено")&gt;0,1,0))</f>
        <v/>
      </c>
    </row>
    <row r="4479">
      <c r="A4479" s="52" t="n"/>
      <c r="B4479" s="53">
        <f>IF(A4479="","",CHOOSE(WEEKDAY(A4479,2),"Пн","Вт","Ср","Чт","Пт","Сб","Вс"))</f>
        <v/>
      </c>
      <c r="C4479" s="53">
        <f>IF(A4479="","",YEAR(A4479))</f>
        <v/>
      </c>
      <c r="D4479" s="54">
        <f>IF(A4479="","",INDEX(lst_months,MONTH(A4479)))</f>
        <v/>
      </c>
      <c r="E4479" s="55" t="n"/>
      <c r="F4479" s="54">
        <f>IF(E4479="","",IFERROR(IF(INDEX(lst_exp_item_cat,MATCH(E4479,lst_exp_items,0))="","❔ Без категории",INDEX(lst_exp_item_cat,MATCH(E4479,lst_exp_items,0))),"❔ Без категории"))</f>
        <v/>
      </c>
      <c r="G4479" s="43" t="n"/>
      <c r="H4479" s="56" t="n"/>
      <c r="I4479" s="43" t="n"/>
      <c r="J4479" s="57">
        <f>IF(OR(A4479="",H4479=""),"",IF(COUNTIFS(exp_year,C4479,exp_month,D4479,exp_item,E4479,exp_status,"&lt;&gt;❌ Отменено")&gt;0,1,0))</f>
        <v/>
      </c>
    </row>
    <row r="4480">
      <c r="A4480" s="52" t="n"/>
      <c r="B4480" s="53">
        <f>IF(A4480="","",CHOOSE(WEEKDAY(A4480,2),"Пн","Вт","Ср","Чт","Пт","Сб","Вс"))</f>
        <v/>
      </c>
      <c r="C4480" s="53">
        <f>IF(A4480="","",YEAR(A4480))</f>
        <v/>
      </c>
      <c r="D4480" s="54">
        <f>IF(A4480="","",INDEX(lst_months,MONTH(A4480)))</f>
        <v/>
      </c>
      <c r="E4480" s="55" t="n"/>
      <c r="F4480" s="54">
        <f>IF(E4480="","",IFERROR(IF(INDEX(lst_exp_item_cat,MATCH(E4480,lst_exp_items,0))="","❔ Без категории",INDEX(lst_exp_item_cat,MATCH(E4480,lst_exp_items,0))),"❔ Без категории"))</f>
        <v/>
      </c>
      <c r="G4480" s="43" t="n"/>
      <c r="H4480" s="56" t="n"/>
      <c r="I4480" s="43" t="n"/>
      <c r="J4480" s="57">
        <f>IF(OR(A4480="",H4480=""),"",IF(COUNTIFS(exp_year,C4480,exp_month,D4480,exp_item,E4480,exp_status,"&lt;&gt;❌ Отменено")&gt;0,1,0))</f>
        <v/>
      </c>
    </row>
    <row r="4481">
      <c r="A4481" s="52" t="n"/>
      <c r="B4481" s="53">
        <f>IF(A4481="","",CHOOSE(WEEKDAY(A4481,2),"Пн","Вт","Ср","Чт","Пт","Сб","Вс"))</f>
        <v/>
      </c>
      <c r="C4481" s="53">
        <f>IF(A4481="","",YEAR(A4481))</f>
        <v/>
      </c>
      <c r="D4481" s="54">
        <f>IF(A4481="","",INDEX(lst_months,MONTH(A4481)))</f>
        <v/>
      </c>
      <c r="E4481" s="55" t="n"/>
      <c r="F4481" s="54">
        <f>IF(E4481="","",IFERROR(IF(INDEX(lst_exp_item_cat,MATCH(E4481,lst_exp_items,0))="","❔ Без категории",INDEX(lst_exp_item_cat,MATCH(E4481,lst_exp_items,0))),"❔ Без категории"))</f>
        <v/>
      </c>
      <c r="G4481" s="43" t="n"/>
      <c r="H4481" s="56" t="n"/>
      <c r="I4481" s="43" t="n"/>
      <c r="J4481" s="57">
        <f>IF(OR(A4481="",H4481=""),"",IF(COUNTIFS(exp_year,C4481,exp_month,D4481,exp_item,E4481,exp_status,"&lt;&gt;❌ Отменено")&gt;0,1,0))</f>
        <v/>
      </c>
    </row>
    <row r="4482">
      <c r="A4482" s="52" t="n"/>
      <c r="B4482" s="53">
        <f>IF(A4482="","",CHOOSE(WEEKDAY(A4482,2),"Пн","Вт","Ср","Чт","Пт","Сб","Вс"))</f>
        <v/>
      </c>
      <c r="C4482" s="53">
        <f>IF(A4482="","",YEAR(A4482))</f>
        <v/>
      </c>
      <c r="D4482" s="54">
        <f>IF(A4482="","",INDEX(lst_months,MONTH(A4482)))</f>
        <v/>
      </c>
      <c r="E4482" s="55" t="n"/>
      <c r="F4482" s="54">
        <f>IF(E4482="","",IFERROR(IF(INDEX(lst_exp_item_cat,MATCH(E4482,lst_exp_items,0))="","❔ Без категории",INDEX(lst_exp_item_cat,MATCH(E4482,lst_exp_items,0))),"❔ Без категории"))</f>
        <v/>
      </c>
      <c r="G4482" s="43" t="n"/>
      <c r="H4482" s="56" t="n"/>
      <c r="I4482" s="43" t="n"/>
      <c r="J4482" s="57">
        <f>IF(OR(A4482="",H4482=""),"",IF(COUNTIFS(exp_year,C4482,exp_month,D4482,exp_item,E4482,exp_status,"&lt;&gt;❌ Отменено")&gt;0,1,0))</f>
        <v/>
      </c>
    </row>
    <row r="4483">
      <c r="A4483" s="52" t="n"/>
      <c r="B4483" s="53">
        <f>IF(A4483="","",CHOOSE(WEEKDAY(A4483,2),"Пн","Вт","Ср","Чт","Пт","Сб","Вс"))</f>
        <v/>
      </c>
      <c r="C4483" s="53">
        <f>IF(A4483="","",YEAR(A4483))</f>
        <v/>
      </c>
      <c r="D4483" s="54">
        <f>IF(A4483="","",INDEX(lst_months,MONTH(A4483)))</f>
        <v/>
      </c>
      <c r="E4483" s="55" t="n"/>
      <c r="F4483" s="54">
        <f>IF(E4483="","",IFERROR(IF(INDEX(lst_exp_item_cat,MATCH(E4483,lst_exp_items,0))="","❔ Без категории",INDEX(lst_exp_item_cat,MATCH(E4483,lst_exp_items,0))),"❔ Без категории"))</f>
        <v/>
      </c>
      <c r="G4483" s="43" t="n"/>
      <c r="H4483" s="56" t="n"/>
      <c r="I4483" s="43" t="n"/>
      <c r="J4483" s="57">
        <f>IF(OR(A4483="",H4483=""),"",IF(COUNTIFS(exp_year,C4483,exp_month,D4483,exp_item,E4483,exp_status,"&lt;&gt;❌ Отменено")&gt;0,1,0))</f>
        <v/>
      </c>
    </row>
    <row r="4484">
      <c r="A4484" s="52" t="n"/>
      <c r="B4484" s="53">
        <f>IF(A4484="","",CHOOSE(WEEKDAY(A4484,2),"Пн","Вт","Ср","Чт","Пт","Сб","Вс"))</f>
        <v/>
      </c>
      <c r="C4484" s="53">
        <f>IF(A4484="","",YEAR(A4484))</f>
        <v/>
      </c>
      <c r="D4484" s="54">
        <f>IF(A4484="","",INDEX(lst_months,MONTH(A4484)))</f>
        <v/>
      </c>
      <c r="E4484" s="55" t="n"/>
      <c r="F4484" s="54">
        <f>IF(E4484="","",IFERROR(IF(INDEX(lst_exp_item_cat,MATCH(E4484,lst_exp_items,0))="","❔ Без категории",INDEX(lst_exp_item_cat,MATCH(E4484,lst_exp_items,0))),"❔ Без категории"))</f>
        <v/>
      </c>
      <c r="G4484" s="43" t="n"/>
      <c r="H4484" s="56" t="n"/>
      <c r="I4484" s="43" t="n"/>
      <c r="J4484" s="57">
        <f>IF(OR(A4484="",H4484=""),"",IF(COUNTIFS(exp_year,C4484,exp_month,D4484,exp_item,E4484,exp_status,"&lt;&gt;❌ Отменено")&gt;0,1,0))</f>
        <v/>
      </c>
    </row>
    <row r="4485">
      <c r="A4485" s="52" t="n"/>
      <c r="B4485" s="53">
        <f>IF(A4485="","",CHOOSE(WEEKDAY(A4485,2),"Пн","Вт","Ср","Чт","Пт","Сб","Вс"))</f>
        <v/>
      </c>
      <c r="C4485" s="53">
        <f>IF(A4485="","",YEAR(A4485))</f>
        <v/>
      </c>
      <c r="D4485" s="54">
        <f>IF(A4485="","",INDEX(lst_months,MONTH(A4485)))</f>
        <v/>
      </c>
      <c r="E4485" s="55" t="n"/>
      <c r="F4485" s="54">
        <f>IF(E4485="","",IFERROR(IF(INDEX(lst_exp_item_cat,MATCH(E4485,lst_exp_items,0))="","❔ Без категории",INDEX(lst_exp_item_cat,MATCH(E4485,lst_exp_items,0))),"❔ Без категории"))</f>
        <v/>
      </c>
      <c r="G4485" s="43" t="n"/>
      <c r="H4485" s="56" t="n"/>
      <c r="I4485" s="43" t="n"/>
      <c r="J4485" s="57">
        <f>IF(OR(A4485="",H4485=""),"",IF(COUNTIFS(exp_year,C4485,exp_month,D4485,exp_item,E4485,exp_status,"&lt;&gt;❌ Отменено")&gt;0,1,0))</f>
        <v/>
      </c>
    </row>
    <row r="4486">
      <c r="A4486" s="52" t="n"/>
      <c r="B4486" s="53">
        <f>IF(A4486="","",CHOOSE(WEEKDAY(A4486,2),"Пн","Вт","Ср","Чт","Пт","Сб","Вс"))</f>
        <v/>
      </c>
      <c r="C4486" s="53">
        <f>IF(A4486="","",YEAR(A4486))</f>
        <v/>
      </c>
      <c r="D4486" s="54">
        <f>IF(A4486="","",INDEX(lst_months,MONTH(A4486)))</f>
        <v/>
      </c>
      <c r="E4486" s="55" t="n"/>
      <c r="F4486" s="54">
        <f>IF(E4486="","",IFERROR(IF(INDEX(lst_exp_item_cat,MATCH(E4486,lst_exp_items,0))="","❔ Без категории",INDEX(lst_exp_item_cat,MATCH(E4486,lst_exp_items,0))),"❔ Без категории"))</f>
        <v/>
      </c>
      <c r="G4486" s="43" t="n"/>
      <c r="H4486" s="56" t="n"/>
      <c r="I4486" s="43" t="n"/>
      <c r="J4486" s="57">
        <f>IF(OR(A4486="",H4486=""),"",IF(COUNTIFS(exp_year,C4486,exp_month,D4486,exp_item,E4486,exp_status,"&lt;&gt;❌ Отменено")&gt;0,1,0))</f>
        <v/>
      </c>
    </row>
    <row r="4487">
      <c r="A4487" s="52" t="n"/>
      <c r="B4487" s="53">
        <f>IF(A4487="","",CHOOSE(WEEKDAY(A4487,2),"Пн","Вт","Ср","Чт","Пт","Сб","Вс"))</f>
        <v/>
      </c>
      <c r="C4487" s="53">
        <f>IF(A4487="","",YEAR(A4487))</f>
        <v/>
      </c>
      <c r="D4487" s="54">
        <f>IF(A4487="","",INDEX(lst_months,MONTH(A4487)))</f>
        <v/>
      </c>
      <c r="E4487" s="55" t="n"/>
      <c r="F4487" s="54">
        <f>IF(E4487="","",IFERROR(IF(INDEX(lst_exp_item_cat,MATCH(E4487,lst_exp_items,0))="","❔ Без категории",INDEX(lst_exp_item_cat,MATCH(E4487,lst_exp_items,0))),"❔ Без категории"))</f>
        <v/>
      </c>
      <c r="G4487" s="43" t="n"/>
      <c r="H4487" s="56" t="n"/>
      <c r="I4487" s="43" t="n"/>
      <c r="J4487" s="57">
        <f>IF(OR(A4487="",H4487=""),"",IF(COUNTIFS(exp_year,C4487,exp_month,D4487,exp_item,E4487,exp_status,"&lt;&gt;❌ Отменено")&gt;0,1,0))</f>
        <v/>
      </c>
    </row>
    <row r="4488">
      <c r="A4488" s="52" t="n"/>
      <c r="B4488" s="53">
        <f>IF(A4488="","",CHOOSE(WEEKDAY(A4488,2),"Пн","Вт","Ср","Чт","Пт","Сб","Вс"))</f>
        <v/>
      </c>
      <c r="C4488" s="53">
        <f>IF(A4488="","",YEAR(A4488))</f>
        <v/>
      </c>
      <c r="D4488" s="54">
        <f>IF(A4488="","",INDEX(lst_months,MONTH(A4488)))</f>
        <v/>
      </c>
      <c r="E4488" s="55" t="n"/>
      <c r="F4488" s="54">
        <f>IF(E4488="","",IFERROR(IF(INDEX(lst_exp_item_cat,MATCH(E4488,lst_exp_items,0))="","❔ Без категории",INDEX(lst_exp_item_cat,MATCH(E4488,lst_exp_items,0))),"❔ Без категории"))</f>
        <v/>
      </c>
      <c r="G4488" s="43" t="n"/>
      <c r="H4488" s="56" t="n"/>
      <c r="I4488" s="43" t="n"/>
      <c r="J4488" s="57">
        <f>IF(OR(A4488="",H4488=""),"",IF(COUNTIFS(exp_year,C4488,exp_month,D4488,exp_item,E4488,exp_status,"&lt;&gt;❌ Отменено")&gt;0,1,0))</f>
        <v/>
      </c>
    </row>
    <row r="4489">
      <c r="A4489" s="52" t="n"/>
      <c r="B4489" s="53">
        <f>IF(A4489="","",CHOOSE(WEEKDAY(A4489,2),"Пн","Вт","Ср","Чт","Пт","Сб","Вс"))</f>
        <v/>
      </c>
      <c r="C4489" s="53">
        <f>IF(A4489="","",YEAR(A4489))</f>
        <v/>
      </c>
      <c r="D4489" s="54">
        <f>IF(A4489="","",INDEX(lst_months,MONTH(A4489)))</f>
        <v/>
      </c>
      <c r="E4489" s="55" t="n"/>
      <c r="F4489" s="54">
        <f>IF(E4489="","",IFERROR(IF(INDEX(lst_exp_item_cat,MATCH(E4489,lst_exp_items,0))="","❔ Без категории",INDEX(lst_exp_item_cat,MATCH(E4489,lst_exp_items,0))),"❔ Без категории"))</f>
        <v/>
      </c>
      <c r="G4489" s="43" t="n"/>
      <c r="H4489" s="56" t="n"/>
      <c r="I4489" s="43" t="n"/>
      <c r="J4489" s="57">
        <f>IF(OR(A4489="",H4489=""),"",IF(COUNTIFS(exp_year,C4489,exp_month,D4489,exp_item,E4489,exp_status,"&lt;&gt;❌ Отменено")&gt;0,1,0))</f>
        <v/>
      </c>
    </row>
    <row r="4490">
      <c r="A4490" s="52" t="n"/>
      <c r="B4490" s="53">
        <f>IF(A4490="","",CHOOSE(WEEKDAY(A4490,2),"Пн","Вт","Ср","Чт","Пт","Сб","Вс"))</f>
        <v/>
      </c>
      <c r="C4490" s="53">
        <f>IF(A4490="","",YEAR(A4490))</f>
        <v/>
      </c>
      <c r="D4490" s="54">
        <f>IF(A4490="","",INDEX(lst_months,MONTH(A4490)))</f>
        <v/>
      </c>
      <c r="E4490" s="55" t="n"/>
      <c r="F4490" s="54">
        <f>IF(E4490="","",IFERROR(IF(INDEX(lst_exp_item_cat,MATCH(E4490,lst_exp_items,0))="","❔ Без категории",INDEX(lst_exp_item_cat,MATCH(E4490,lst_exp_items,0))),"❔ Без категории"))</f>
        <v/>
      </c>
      <c r="G4490" s="43" t="n"/>
      <c r="H4490" s="56" t="n"/>
      <c r="I4490" s="43" t="n"/>
      <c r="J4490" s="57">
        <f>IF(OR(A4490="",H4490=""),"",IF(COUNTIFS(exp_year,C4490,exp_month,D4490,exp_item,E4490,exp_status,"&lt;&gt;❌ Отменено")&gt;0,1,0))</f>
        <v/>
      </c>
    </row>
    <row r="4491">
      <c r="A4491" s="52" t="n"/>
      <c r="B4491" s="53">
        <f>IF(A4491="","",CHOOSE(WEEKDAY(A4491,2),"Пн","Вт","Ср","Чт","Пт","Сб","Вс"))</f>
        <v/>
      </c>
      <c r="C4491" s="53">
        <f>IF(A4491="","",YEAR(A4491))</f>
        <v/>
      </c>
      <c r="D4491" s="54">
        <f>IF(A4491="","",INDEX(lst_months,MONTH(A4491)))</f>
        <v/>
      </c>
      <c r="E4491" s="55" t="n"/>
      <c r="F4491" s="54">
        <f>IF(E4491="","",IFERROR(IF(INDEX(lst_exp_item_cat,MATCH(E4491,lst_exp_items,0))="","❔ Без категории",INDEX(lst_exp_item_cat,MATCH(E4491,lst_exp_items,0))),"❔ Без категории"))</f>
        <v/>
      </c>
      <c r="G4491" s="43" t="n"/>
      <c r="H4491" s="56" t="n"/>
      <c r="I4491" s="43" t="n"/>
      <c r="J4491" s="57">
        <f>IF(OR(A4491="",H4491=""),"",IF(COUNTIFS(exp_year,C4491,exp_month,D4491,exp_item,E4491,exp_status,"&lt;&gt;❌ Отменено")&gt;0,1,0))</f>
        <v/>
      </c>
    </row>
    <row r="4492">
      <c r="A4492" s="52" t="n"/>
      <c r="B4492" s="53">
        <f>IF(A4492="","",CHOOSE(WEEKDAY(A4492,2),"Пн","Вт","Ср","Чт","Пт","Сб","Вс"))</f>
        <v/>
      </c>
      <c r="C4492" s="53">
        <f>IF(A4492="","",YEAR(A4492))</f>
        <v/>
      </c>
      <c r="D4492" s="54">
        <f>IF(A4492="","",INDEX(lst_months,MONTH(A4492)))</f>
        <v/>
      </c>
      <c r="E4492" s="55" t="n"/>
      <c r="F4492" s="54">
        <f>IF(E4492="","",IFERROR(IF(INDEX(lst_exp_item_cat,MATCH(E4492,lst_exp_items,0))="","❔ Без категории",INDEX(lst_exp_item_cat,MATCH(E4492,lst_exp_items,0))),"❔ Без категории"))</f>
        <v/>
      </c>
      <c r="G4492" s="43" t="n"/>
      <c r="H4492" s="56" t="n"/>
      <c r="I4492" s="43" t="n"/>
      <c r="J4492" s="57">
        <f>IF(OR(A4492="",H4492=""),"",IF(COUNTIFS(exp_year,C4492,exp_month,D4492,exp_item,E4492,exp_status,"&lt;&gt;❌ Отменено")&gt;0,1,0))</f>
        <v/>
      </c>
    </row>
    <row r="4493">
      <c r="A4493" s="52" t="n"/>
      <c r="B4493" s="53">
        <f>IF(A4493="","",CHOOSE(WEEKDAY(A4493,2),"Пн","Вт","Ср","Чт","Пт","Сб","Вс"))</f>
        <v/>
      </c>
      <c r="C4493" s="53">
        <f>IF(A4493="","",YEAR(A4493))</f>
        <v/>
      </c>
      <c r="D4493" s="54">
        <f>IF(A4493="","",INDEX(lst_months,MONTH(A4493)))</f>
        <v/>
      </c>
      <c r="E4493" s="55" t="n"/>
      <c r="F4493" s="54">
        <f>IF(E4493="","",IFERROR(IF(INDEX(lst_exp_item_cat,MATCH(E4493,lst_exp_items,0))="","❔ Без категории",INDEX(lst_exp_item_cat,MATCH(E4493,lst_exp_items,0))),"❔ Без категории"))</f>
        <v/>
      </c>
      <c r="G4493" s="43" t="n"/>
      <c r="H4493" s="56" t="n"/>
      <c r="I4493" s="43" t="n"/>
      <c r="J4493" s="57">
        <f>IF(OR(A4493="",H4493=""),"",IF(COUNTIFS(exp_year,C4493,exp_month,D4493,exp_item,E4493,exp_status,"&lt;&gt;❌ Отменено")&gt;0,1,0))</f>
        <v/>
      </c>
    </row>
    <row r="4494">
      <c r="A4494" s="52" t="n"/>
      <c r="B4494" s="53">
        <f>IF(A4494="","",CHOOSE(WEEKDAY(A4494,2),"Пн","Вт","Ср","Чт","Пт","Сб","Вс"))</f>
        <v/>
      </c>
      <c r="C4494" s="53">
        <f>IF(A4494="","",YEAR(A4494))</f>
        <v/>
      </c>
      <c r="D4494" s="54">
        <f>IF(A4494="","",INDEX(lst_months,MONTH(A4494)))</f>
        <v/>
      </c>
      <c r="E4494" s="55" t="n"/>
      <c r="F4494" s="54">
        <f>IF(E4494="","",IFERROR(IF(INDEX(lst_exp_item_cat,MATCH(E4494,lst_exp_items,0))="","❔ Без категории",INDEX(lst_exp_item_cat,MATCH(E4494,lst_exp_items,0))),"❔ Без категории"))</f>
        <v/>
      </c>
      <c r="G4494" s="43" t="n"/>
      <c r="H4494" s="56" t="n"/>
      <c r="I4494" s="43" t="n"/>
      <c r="J4494" s="57">
        <f>IF(OR(A4494="",H4494=""),"",IF(COUNTIFS(exp_year,C4494,exp_month,D4494,exp_item,E4494,exp_status,"&lt;&gt;❌ Отменено")&gt;0,1,0))</f>
        <v/>
      </c>
    </row>
    <row r="4495">
      <c r="A4495" s="52" t="n"/>
      <c r="B4495" s="53">
        <f>IF(A4495="","",CHOOSE(WEEKDAY(A4495,2),"Пн","Вт","Ср","Чт","Пт","Сб","Вс"))</f>
        <v/>
      </c>
      <c r="C4495" s="53">
        <f>IF(A4495="","",YEAR(A4495))</f>
        <v/>
      </c>
      <c r="D4495" s="54">
        <f>IF(A4495="","",INDEX(lst_months,MONTH(A4495)))</f>
        <v/>
      </c>
      <c r="E4495" s="55" t="n"/>
      <c r="F4495" s="54">
        <f>IF(E4495="","",IFERROR(IF(INDEX(lst_exp_item_cat,MATCH(E4495,lst_exp_items,0))="","❔ Без категории",INDEX(lst_exp_item_cat,MATCH(E4495,lst_exp_items,0))),"❔ Без категории"))</f>
        <v/>
      </c>
      <c r="G4495" s="43" t="n"/>
      <c r="H4495" s="56" t="n"/>
      <c r="I4495" s="43" t="n"/>
      <c r="J4495" s="57">
        <f>IF(OR(A4495="",H4495=""),"",IF(COUNTIFS(exp_year,C4495,exp_month,D4495,exp_item,E4495,exp_status,"&lt;&gt;❌ Отменено")&gt;0,1,0))</f>
        <v/>
      </c>
    </row>
    <row r="4496">
      <c r="A4496" s="52" t="n"/>
      <c r="B4496" s="53">
        <f>IF(A4496="","",CHOOSE(WEEKDAY(A4496,2),"Пн","Вт","Ср","Чт","Пт","Сб","Вс"))</f>
        <v/>
      </c>
      <c r="C4496" s="53">
        <f>IF(A4496="","",YEAR(A4496))</f>
        <v/>
      </c>
      <c r="D4496" s="54">
        <f>IF(A4496="","",INDEX(lst_months,MONTH(A4496)))</f>
        <v/>
      </c>
      <c r="E4496" s="55" t="n"/>
      <c r="F4496" s="54">
        <f>IF(E4496="","",IFERROR(IF(INDEX(lst_exp_item_cat,MATCH(E4496,lst_exp_items,0))="","❔ Без категории",INDEX(lst_exp_item_cat,MATCH(E4496,lst_exp_items,0))),"❔ Без категории"))</f>
        <v/>
      </c>
      <c r="G4496" s="43" t="n"/>
      <c r="H4496" s="56" t="n"/>
      <c r="I4496" s="43" t="n"/>
      <c r="J4496" s="57">
        <f>IF(OR(A4496="",H4496=""),"",IF(COUNTIFS(exp_year,C4496,exp_month,D4496,exp_item,E4496,exp_status,"&lt;&gt;❌ Отменено")&gt;0,1,0))</f>
        <v/>
      </c>
    </row>
    <row r="4497">
      <c r="A4497" s="52" t="n"/>
      <c r="B4497" s="53">
        <f>IF(A4497="","",CHOOSE(WEEKDAY(A4497,2),"Пн","Вт","Ср","Чт","Пт","Сб","Вс"))</f>
        <v/>
      </c>
      <c r="C4497" s="53">
        <f>IF(A4497="","",YEAR(A4497))</f>
        <v/>
      </c>
      <c r="D4497" s="54">
        <f>IF(A4497="","",INDEX(lst_months,MONTH(A4497)))</f>
        <v/>
      </c>
      <c r="E4497" s="55" t="n"/>
      <c r="F4497" s="54">
        <f>IF(E4497="","",IFERROR(IF(INDEX(lst_exp_item_cat,MATCH(E4497,lst_exp_items,0))="","❔ Без категории",INDEX(lst_exp_item_cat,MATCH(E4497,lst_exp_items,0))),"❔ Без категории"))</f>
        <v/>
      </c>
      <c r="G4497" s="43" t="n"/>
      <c r="H4497" s="56" t="n"/>
      <c r="I4497" s="43" t="n"/>
      <c r="J4497" s="57">
        <f>IF(OR(A4497="",H4497=""),"",IF(COUNTIFS(exp_year,C4497,exp_month,D4497,exp_item,E4497,exp_status,"&lt;&gt;❌ Отменено")&gt;0,1,0))</f>
        <v/>
      </c>
    </row>
    <row r="4498">
      <c r="A4498" s="52" t="n"/>
      <c r="B4498" s="53">
        <f>IF(A4498="","",CHOOSE(WEEKDAY(A4498,2),"Пн","Вт","Ср","Чт","Пт","Сб","Вс"))</f>
        <v/>
      </c>
      <c r="C4498" s="53">
        <f>IF(A4498="","",YEAR(A4498))</f>
        <v/>
      </c>
      <c r="D4498" s="54">
        <f>IF(A4498="","",INDEX(lst_months,MONTH(A4498)))</f>
        <v/>
      </c>
      <c r="E4498" s="55" t="n"/>
      <c r="F4498" s="54">
        <f>IF(E4498="","",IFERROR(IF(INDEX(lst_exp_item_cat,MATCH(E4498,lst_exp_items,0))="","❔ Без категории",INDEX(lst_exp_item_cat,MATCH(E4498,lst_exp_items,0))),"❔ Без категории"))</f>
        <v/>
      </c>
      <c r="G4498" s="43" t="n"/>
      <c r="H4498" s="56" t="n"/>
      <c r="I4498" s="43" t="n"/>
      <c r="J4498" s="57">
        <f>IF(OR(A4498="",H4498=""),"",IF(COUNTIFS(exp_year,C4498,exp_month,D4498,exp_item,E4498,exp_status,"&lt;&gt;❌ Отменено")&gt;0,1,0))</f>
        <v/>
      </c>
    </row>
    <row r="4499">
      <c r="A4499" s="52" t="n"/>
      <c r="B4499" s="53">
        <f>IF(A4499="","",CHOOSE(WEEKDAY(A4499,2),"Пн","Вт","Ср","Чт","Пт","Сб","Вс"))</f>
        <v/>
      </c>
      <c r="C4499" s="53">
        <f>IF(A4499="","",YEAR(A4499))</f>
        <v/>
      </c>
      <c r="D4499" s="54">
        <f>IF(A4499="","",INDEX(lst_months,MONTH(A4499)))</f>
        <v/>
      </c>
      <c r="E4499" s="55" t="n"/>
      <c r="F4499" s="54">
        <f>IF(E4499="","",IFERROR(IF(INDEX(lst_exp_item_cat,MATCH(E4499,lst_exp_items,0))="","❔ Без категории",INDEX(lst_exp_item_cat,MATCH(E4499,lst_exp_items,0))),"❔ Без категории"))</f>
        <v/>
      </c>
      <c r="G4499" s="43" t="n"/>
      <c r="H4499" s="56" t="n"/>
      <c r="I4499" s="43" t="n"/>
      <c r="J4499" s="57">
        <f>IF(OR(A4499="",H4499=""),"",IF(COUNTIFS(exp_year,C4499,exp_month,D4499,exp_item,E4499,exp_status,"&lt;&gt;❌ Отменено")&gt;0,1,0))</f>
        <v/>
      </c>
    </row>
    <row r="4500">
      <c r="A4500" s="52" t="n"/>
      <c r="B4500" s="53">
        <f>IF(A4500="","",CHOOSE(WEEKDAY(A4500,2),"Пн","Вт","Ср","Чт","Пт","Сб","Вс"))</f>
        <v/>
      </c>
      <c r="C4500" s="53">
        <f>IF(A4500="","",YEAR(A4500))</f>
        <v/>
      </c>
      <c r="D4500" s="54">
        <f>IF(A4500="","",INDEX(lst_months,MONTH(A4500)))</f>
        <v/>
      </c>
      <c r="E4500" s="55" t="n"/>
      <c r="F4500" s="54">
        <f>IF(E4500="","",IFERROR(IF(INDEX(lst_exp_item_cat,MATCH(E4500,lst_exp_items,0))="","❔ Без категории",INDEX(lst_exp_item_cat,MATCH(E4500,lst_exp_items,0))),"❔ Без категории"))</f>
        <v/>
      </c>
      <c r="G4500" s="43" t="n"/>
      <c r="H4500" s="56" t="n"/>
      <c r="I4500" s="43" t="n"/>
      <c r="J4500" s="57">
        <f>IF(OR(A4500="",H4500=""),"",IF(COUNTIFS(exp_year,C4500,exp_month,D4500,exp_item,E4500,exp_status,"&lt;&gt;❌ Отменено")&gt;0,1,0))</f>
        <v/>
      </c>
    </row>
    <row r="4501">
      <c r="A4501" s="52" t="n"/>
      <c r="B4501" s="53">
        <f>IF(A4501="","",CHOOSE(WEEKDAY(A4501,2),"Пн","Вт","Ср","Чт","Пт","Сб","Вс"))</f>
        <v/>
      </c>
      <c r="C4501" s="53">
        <f>IF(A4501="","",YEAR(A4501))</f>
        <v/>
      </c>
      <c r="D4501" s="54">
        <f>IF(A4501="","",INDEX(lst_months,MONTH(A4501)))</f>
        <v/>
      </c>
      <c r="E4501" s="55" t="n"/>
      <c r="F4501" s="54">
        <f>IF(E4501="","",IFERROR(IF(INDEX(lst_exp_item_cat,MATCH(E4501,lst_exp_items,0))="","❔ Без категории",INDEX(lst_exp_item_cat,MATCH(E4501,lst_exp_items,0))),"❔ Без категории"))</f>
        <v/>
      </c>
      <c r="G4501" s="43" t="n"/>
      <c r="H4501" s="56" t="n"/>
      <c r="I4501" s="43" t="n"/>
      <c r="J4501" s="57">
        <f>IF(OR(A4501="",H4501=""),"",IF(COUNTIFS(exp_year,C4501,exp_month,D4501,exp_item,E4501,exp_status,"&lt;&gt;❌ Отменено")&gt;0,1,0))</f>
        <v/>
      </c>
    </row>
    <row r="4502">
      <c r="A4502" s="52" t="n"/>
      <c r="B4502" s="53">
        <f>IF(A4502="","",CHOOSE(WEEKDAY(A4502,2),"Пн","Вт","Ср","Чт","Пт","Сб","Вс"))</f>
        <v/>
      </c>
      <c r="C4502" s="53">
        <f>IF(A4502="","",YEAR(A4502))</f>
        <v/>
      </c>
      <c r="D4502" s="54">
        <f>IF(A4502="","",INDEX(lst_months,MONTH(A4502)))</f>
        <v/>
      </c>
      <c r="E4502" s="55" t="n"/>
      <c r="F4502" s="54">
        <f>IF(E4502="","",IFERROR(IF(INDEX(lst_exp_item_cat,MATCH(E4502,lst_exp_items,0))="","❔ Без категории",INDEX(lst_exp_item_cat,MATCH(E4502,lst_exp_items,0))),"❔ Без категории"))</f>
        <v/>
      </c>
      <c r="G4502" s="43" t="n"/>
      <c r="H4502" s="56" t="n"/>
      <c r="I4502" s="43" t="n"/>
      <c r="J4502" s="57">
        <f>IF(OR(A4502="",H4502=""),"",IF(COUNTIFS(exp_year,C4502,exp_month,D4502,exp_item,E4502,exp_status,"&lt;&gt;❌ Отменено")&gt;0,1,0))</f>
        <v/>
      </c>
    </row>
    <row r="4503">
      <c r="A4503" s="52" t="n"/>
      <c r="B4503" s="53">
        <f>IF(A4503="","",CHOOSE(WEEKDAY(A4503,2),"Пн","Вт","Ср","Чт","Пт","Сб","Вс"))</f>
        <v/>
      </c>
      <c r="C4503" s="53">
        <f>IF(A4503="","",YEAR(A4503))</f>
        <v/>
      </c>
      <c r="D4503" s="54">
        <f>IF(A4503="","",INDEX(lst_months,MONTH(A4503)))</f>
        <v/>
      </c>
      <c r="E4503" s="55" t="n"/>
      <c r="F4503" s="54">
        <f>IF(E4503="","",IFERROR(IF(INDEX(lst_exp_item_cat,MATCH(E4503,lst_exp_items,0))="","❔ Без категории",INDEX(lst_exp_item_cat,MATCH(E4503,lst_exp_items,0))),"❔ Без категории"))</f>
        <v/>
      </c>
      <c r="G4503" s="43" t="n"/>
      <c r="H4503" s="56" t="n"/>
      <c r="I4503" s="43" t="n"/>
      <c r="J4503" s="57">
        <f>IF(OR(A4503="",H4503=""),"",IF(COUNTIFS(exp_year,C4503,exp_month,D4503,exp_item,E4503,exp_status,"&lt;&gt;❌ Отменено")&gt;0,1,0))</f>
        <v/>
      </c>
    </row>
    <row r="4504">
      <c r="A4504" s="52" t="n"/>
      <c r="B4504" s="53">
        <f>IF(A4504="","",CHOOSE(WEEKDAY(A4504,2),"Пн","Вт","Ср","Чт","Пт","Сб","Вс"))</f>
        <v/>
      </c>
      <c r="C4504" s="53">
        <f>IF(A4504="","",YEAR(A4504))</f>
        <v/>
      </c>
      <c r="D4504" s="54">
        <f>IF(A4504="","",INDEX(lst_months,MONTH(A4504)))</f>
        <v/>
      </c>
      <c r="E4504" s="55" t="n"/>
      <c r="F4504" s="54">
        <f>IF(E4504="","",IFERROR(IF(INDEX(lst_exp_item_cat,MATCH(E4504,lst_exp_items,0))="","❔ Без категории",INDEX(lst_exp_item_cat,MATCH(E4504,lst_exp_items,0))),"❔ Без категории"))</f>
        <v/>
      </c>
      <c r="G4504" s="43" t="n"/>
      <c r="H4504" s="56" t="n"/>
      <c r="I4504" s="43" t="n"/>
      <c r="J4504" s="57">
        <f>IF(OR(A4504="",H4504=""),"",IF(COUNTIFS(exp_year,C4504,exp_month,D4504,exp_item,E4504,exp_status,"&lt;&gt;❌ Отменено")&gt;0,1,0))</f>
        <v/>
      </c>
    </row>
    <row r="4505">
      <c r="A4505" s="52" t="n"/>
      <c r="B4505" s="53">
        <f>IF(A4505="","",CHOOSE(WEEKDAY(A4505,2),"Пн","Вт","Ср","Чт","Пт","Сб","Вс"))</f>
        <v/>
      </c>
      <c r="C4505" s="53">
        <f>IF(A4505="","",YEAR(A4505))</f>
        <v/>
      </c>
      <c r="D4505" s="54">
        <f>IF(A4505="","",INDEX(lst_months,MONTH(A4505)))</f>
        <v/>
      </c>
      <c r="E4505" s="55" t="n"/>
      <c r="F4505" s="54">
        <f>IF(E4505="","",IFERROR(IF(INDEX(lst_exp_item_cat,MATCH(E4505,lst_exp_items,0))="","❔ Без категории",INDEX(lst_exp_item_cat,MATCH(E4505,lst_exp_items,0))),"❔ Без категории"))</f>
        <v/>
      </c>
      <c r="G4505" s="43" t="n"/>
      <c r="H4505" s="56" t="n"/>
      <c r="I4505" s="43" t="n"/>
      <c r="J4505" s="57">
        <f>IF(OR(A4505="",H4505=""),"",IF(COUNTIFS(exp_year,C4505,exp_month,D4505,exp_item,E4505,exp_status,"&lt;&gt;❌ Отменено")&gt;0,1,0))</f>
        <v/>
      </c>
    </row>
    <row r="4506">
      <c r="A4506" s="52" t="n"/>
      <c r="B4506" s="53">
        <f>IF(A4506="","",CHOOSE(WEEKDAY(A4506,2),"Пн","Вт","Ср","Чт","Пт","Сб","Вс"))</f>
        <v/>
      </c>
      <c r="C4506" s="53">
        <f>IF(A4506="","",YEAR(A4506))</f>
        <v/>
      </c>
      <c r="D4506" s="54">
        <f>IF(A4506="","",INDEX(lst_months,MONTH(A4506)))</f>
        <v/>
      </c>
      <c r="E4506" s="55" t="n"/>
      <c r="F4506" s="54">
        <f>IF(E4506="","",IFERROR(IF(INDEX(lst_exp_item_cat,MATCH(E4506,lst_exp_items,0))="","❔ Без категории",INDEX(lst_exp_item_cat,MATCH(E4506,lst_exp_items,0))),"❔ Без категории"))</f>
        <v/>
      </c>
      <c r="G4506" s="43" t="n"/>
      <c r="H4506" s="56" t="n"/>
      <c r="I4506" s="43" t="n"/>
      <c r="J4506" s="57">
        <f>IF(OR(A4506="",H4506=""),"",IF(COUNTIFS(exp_year,C4506,exp_month,D4506,exp_item,E4506,exp_status,"&lt;&gt;❌ Отменено")&gt;0,1,0))</f>
        <v/>
      </c>
    </row>
    <row r="4507">
      <c r="A4507" s="52" t="n"/>
      <c r="B4507" s="53">
        <f>IF(A4507="","",CHOOSE(WEEKDAY(A4507,2),"Пн","Вт","Ср","Чт","Пт","Сб","Вс"))</f>
        <v/>
      </c>
      <c r="C4507" s="53">
        <f>IF(A4507="","",YEAR(A4507))</f>
        <v/>
      </c>
      <c r="D4507" s="54">
        <f>IF(A4507="","",INDEX(lst_months,MONTH(A4507)))</f>
        <v/>
      </c>
      <c r="E4507" s="55" t="n"/>
      <c r="F4507" s="54">
        <f>IF(E4507="","",IFERROR(IF(INDEX(lst_exp_item_cat,MATCH(E4507,lst_exp_items,0))="","❔ Без категории",INDEX(lst_exp_item_cat,MATCH(E4507,lst_exp_items,0))),"❔ Без категории"))</f>
        <v/>
      </c>
      <c r="G4507" s="43" t="n"/>
      <c r="H4507" s="56" t="n"/>
      <c r="I4507" s="43" t="n"/>
      <c r="J4507" s="57">
        <f>IF(OR(A4507="",H4507=""),"",IF(COUNTIFS(exp_year,C4507,exp_month,D4507,exp_item,E4507,exp_status,"&lt;&gt;❌ Отменено")&gt;0,1,0))</f>
        <v/>
      </c>
    </row>
    <row r="4508">
      <c r="A4508" s="52" t="n"/>
      <c r="B4508" s="53">
        <f>IF(A4508="","",CHOOSE(WEEKDAY(A4508,2),"Пн","Вт","Ср","Чт","Пт","Сб","Вс"))</f>
        <v/>
      </c>
      <c r="C4508" s="53">
        <f>IF(A4508="","",YEAR(A4508))</f>
        <v/>
      </c>
      <c r="D4508" s="54">
        <f>IF(A4508="","",INDEX(lst_months,MONTH(A4508)))</f>
        <v/>
      </c>
      <c r="E4508" s="55" t="n"/>
      <c r="F4508" s="54">
        <f>IF(E4508="","",IFERROR(IF(INDEX(lst_exp_item_cat,MATCH(E4508,lst_exp_items,0))="","❔ Без категории",INDEX(lst_exp_item_cat,MATCH(E4508,lst_exp_items,0))),"❔ Без категории"))</f>
        <v/>
      </c>
      <c r="G4508" s="43" t="n"/>
      <c r="H4508" s="56" t="n"/>
      <c r="I4508" s="43" t="n"/>
      <c r="J4508" s="57">
        <f>IF(OR(A4508="",H4508=""),"",IF(COUNTIFS(exp_year,C4508,exp_month,D4508,exp_item,E4508,exp_status,"&lt;&gt;❌ Отменено")&gt;0,1,0))</f>
        <v/>
      </c>
    </row>
    <row r="4509">
      <c r="A4509" s="52" t="n"/>
      <c r="B4509" s="53">
        <f>IF(A4509="","",CHOOSE(WEEKDAY(A4509,2),"Пн","Вт","Ср","Чт","Пт","Сб","Вс"))</f>
        <v/>
      </c>
      <c r="C4509" s="53">
        <f>IF(A4509="","",YEAR(A4509))</f>
        <v/>
      </c>
      <c r="D4509" s="54">
        <f>IF(A4509="","",INDEX(lst_months,MONTH(A4509)))</f>
        <v/>
      </c>
      <c r="E4509" s="55" t="n"/>
      <c r="F4509" s="54">
        <f>IF(E4509="","",IFERROR(IF(INDEX(lst_exp_item_cat,MATCH(E4509,lst_exp_items,0))="","❔ Без категории",INDEX(lst_exp_item_cat,MATCH(E4509,lst_exp_items,0))),"❔ Без категории"))</f>
        <v/>
      </c>
      <c r="G4509" s="43" t="n"/>
      <c r="H4509" s="56" t="n"/>
      <c r="I4509" s="43" t="n"/>
      <c r="J4509" s="57">
        <f>IF(OR(A4509="",H4509=""),"",IF(COUNTIFS(exp_year,C4509,exp_month,D4509,exp_item,E4509,exp_status,"&lt;&gt;❌ Отменено")&gt;0,1,0))</f>
        <v/>
      </c>
    </row>
    <row r="4510">
      <c r="A4510" s="52" t="n"/>
      <c r="B4510" s="53">
        <f>IF(A4510="","",CHOOSE(WEEKDAY(A4510,2),"Пн","Вт","Ср","Чт","Пт","Сб","Вс"))</f>
        <v/>
      </c>
      <c r="C4510" s="53">
        <f>IF(A4510="","",YEAR(A4510))</f>
        <v/>
      </c>
      <c r="D4510" s="54">
        <f>IF(A4510="","",INDEX(lst_months,MONTH(A4510)))</f>
        <v/>
      </c>
      <c r="E4510" s="55" t="n"/>
      <c r="F4510" s="54">
        <f>IF(E4510="","",IFERROR(IF(INDEX(lst_exp_item_cat,MATCH(E4510,lst_exp_items,0))="","❔ Без категории",INDEX(lst_exp_item_cat,MATCH(E4510,lst_exp_items,0))),"❔ Без категории"))</f>
        <v/>
      </c>
      <c r="G4510" s="43" t="n"/>
      <c r="H4510" s="56" t="n"/>
      <c r="I4510" s="43" t="n"/>
      <c r="J4510" s="57">
        <f>IF(OR(A4510="",H4510=""),"",IF(COUNTIFS(exp_year,C4510,exp_month,D4510,exp_item,E4510,exp_status,"&lt;&gt;❌ Отменено")&gt;0,1,0))</f>
        <v/>
      </c>
    </row>
    <row r="4511">
      <c r="A4511" s="52" t="n"/>
      <c r="B4511" s="53">
        <f>IF(A4511="","",CHOOSE(WEEKDAY(A4511,2),"Пн","Вт","Ср","Чт","Пт","Сб","Вс"))</f>
        <v/>
      </c>
      <c r="C4511" s="53">
        <f>IF(A4511="","",YEAR(A4511))</f>
        <v/>
      </c>
      <c r="D4511" s="54">
        <f>IF(A4511="","",INDEX(lst_months,MONTH(A4511)))</f>
        <v/>
      </c>
      <c r="E4511" s="55" t="n"/>
      <c r="F4511" s="54">
        <f>IF(E4511="","",IFERROR(IF(INDEX(lst_exp_item_cat,MATCH(E4511,lst_exp_items,0))="","❔ Без категории",INDEX(lst_exp_item_cat,MATCH(E4511,lst_exp_items,0))),"❔ Без категории"))</f>
        <v/>
      </c>
      <c r="G4511" s="43" t="n"/>
      <c r="H4511" s="56" t="n"/>
      <c r="I4511" s="43" t="n"/>
      <c r="J4511" s="57">
        <f>IF(OR(A4511="",H4511=""),"",IF(COUNTIFS(exp_year,C4511,exp_month,D4511,exp_item,E4511,exp_status,"&lt;&gt;❌ Отменено")&gt;0,1,0))</f>
        <v/>
      </c>
    </row>
    <row r="4512">
      <c r="A4512" s="52" t="n"/>
      <c r="B4512" s="53">
        <f>IF(A4512="","",CHOOSE(WEEKDAY(A4512,2),"Пн","Вт","Ср","Чт","Пт","Сб","Вс"))</f>
        <v/>
      </c>
      <c r="C4512" s="53">
        <f>IF(A4512="","",YEAR(A4512))</f>
        <v/>
      </c>
      <c r="D4512" s="54">
        <f>IF(A4512="","",INDEX(lst_months,MONTH(A4512)))</f>
        <v/>
      </c>
      <c r="E4512" s="55" t="n"/>
      <c r="F4512" s="54">
        <f>IF(E4512="","",IFERROR(IF(INDEX(lst_exp_item_cat,MATCH(E4512,lst_exp_items,0))="","❔ Без категории",INDEX(lst_exp_item_cat,MATCH(E4512,lst_exp_items,0))),"❔ Без категории"))</f>
        <v/>
      </c>
      <c r="G4512" s="43" t="n"/>
      <c r="H4512" s="56" t="n"/>
      <c r="I4512" s="43" t="n"/>
      <c r="J4512" s="57">
        <f>IF(OR(A4512="",H4512=""),"",IF(COUNTIFS(exp_year,C4512,exp_month,D4512,exp_item,E4512,exp_status,"&lt;&gt;❌ Отменено")&gt;0,1,0))</f>
        <v/>
      </c>
    </row>
    <row r="4513">
      <c r="A4513" s="52" t="n"/>
      <c r="B4513" s="53">
        <f>IF(A4513="","",CHOOSE(WEEKDAY(A4513,2),"Пн","Вт","Ср","Чт","Пт","Сб","Вс"))</f>
        <v/>
      </c>
      <c r="C4513" s="53">
        <f>IF(A4513="","",YEAR(A4513))</f>
        <v/>
      </c>
      <c r="D4513" s="54">
        <f>IF(A4513="","",INDEX(lst_months,MONTH(A4513)))</f>
        <v/>
      </c>
      <c r="E4513" s="55" t="n"/>
      <c r="F4513" s="54">
        <f>IF(E4513="","",IFERROR(IF(INDEX(lst_exp_item_cat,MATCH(E4513,lst_exp_items,0))="","❔ Без категории",INDEX(lst_exp_item_cat,MATCH(E4513,lst_exp_items,0))),"❔ Без категории"))</f>
        <v/>
      </c>
      <c r="G4513" s="43" t="n"/>
      <c r="H4513" s="56" t="n"/>
      <c r="I4513" s="43" t="n"/>
      <c r="J4513" s="57">
        <f>IF(OR(A4513="",H4513=""),"",IF(COUNTIFS(exp_year,C4513,exp_month,D4513,exp_item,E4513,exp_status,"&lt;&gt;❌ Отменено")&gt;0,1,0))</f>
        <v/>
      </c>
    </row>
    <row r="4514">
      <c r="A4514" s="52" t="n"/>
      <c r="B4514" s="53">
        <f>IF(A4514="","",CHOOSE(WEEKDAY(A4514,2),"Пн","Вт","Ср","Чт","Пт","Сб","Вс"))</f>
        <v/>
      </c>
      <c r="C4514" s="53">
        <f>IF(A4514="","",YEAR(A4514))</f>
        <v/>
      </c>
      <c r="D4514" s="54">
        <f>IF(A4514="","",INDEX(lst_months,MONTH(A4514)))</f>
        <v/>
      </c>
      <c r="E4514" s="55" t="n"/>
      <c r="F4514" s="54">
        <f>IF(E4514="","",IFERROR(IF(INDEX(lst_exp_item_cat,MATCH(E4514,lst_exp_items,0))="","❔ Без категории",INDEX(lst_exp_item_cat,MATCH(E4514,lst_exp_items,0))),"❔ Без категории"))</f>
        <v/>
      </c>
      <c r="G4514" s="43" t="n"/>
      <c r="H4514" s="56" t="n"/>
      <c r="I4514" s="43" t="n"/>
      <c r="J4514" s="57">
        <f>IF(OR(A4514="",H4514=""),"",IF(COUNTIFS(exp_year,C4514,exp_month,D4514,exp_item,E4514,exp_status,"&lt;&gt;❌ Отменено")&gt;0,1,0))</f>
        <v/>
      </c>
    </row>
    <row r="4515">
      <c r="A4515" s="52" t="n"/>
      <c r="B4515" s="53">
        <f>IF(A4515="","",CHOOSE(WEEKDAY(A4515,2),"Пн","Вт","Ср","Чт","Пт","Сб","Вс"))</f>
        <v/>
      </c>
      <c r="C4515" s="53">
        <f>IF(A4515="","",YEAR(A4515))</f>
        <v/>
      </c>
      <c r="D4515" s="54">
        <f>IF(A4515="","",INDEX(lst_months,MONTH(A4515)))</f>
        <v/>
      </c>
      <c r="E4515" s="55" t="n"/>
      <c r="F4515" s="54">
        <f>IF(E4515="","",IFERROR(IF(INDEX(lst_exp_item_cat,MATCH(E4515,lst_exp_items,0))="","❔ Без категории",INDEX(lst_exp_item_cat,MATCH(E4515,lst_exp_items,0))),"❔ Без категории"))</f>
        <v/>
      </c>
      <c r="G4515" s="43" t="n"/>
      <c r="H4515" s="56" t="n"/>
      <c r="I4515" s="43" t="n"/>
      <c r="J4515" s="57">
        <f>IF(OR(A4515="",H4515=""),"",IF(COUNTIFS(exp_year,C4515,exp_month,D4515,exp_item,E4515,exp_status,"&lt;&gt;❌ Отменено")&gt;0,1,0))</f>
        <v/>
      </c>
    </row>
    <row r="4516">
      <c r="A4516" s="52" t="n"/>
      <c r="B4516" s="53">
        <f>IF(A4516="","",CHOOSE(WEEKDAY(A4516,2),"Пн","Вт","Ср","Чт","Пт","Сб","Вс"))</f>
        <v/>
      </c>
      <c r="C4516" s="53">
        <f>IF(A4516="","",YEAR(A4516))</f>
        <v/>
      </c>
      <c r="D4516" s="54">
        <f>IF(A4516="","",INDEX(lst_months,MONTH(A4516)))</f>
        <v/>
      </c>
      <c r="E4516" s="55" t="n"/>
      <c r="F4516" s="54">
        <f>IF(E4516="","",IFERROR(IF(INDEX(lst_exp_item_cat,MATCH(E4516,lst_exp_items,0))="","❔ Без категории",INDEX(lst_exp_item_cat,MATCH(E4516,lst_exp_items,0))),"❔ Без категории"))</f>
        <v/>
      </c>
      <c r="G4516" s="43" t="n"/>
      <c r="H4516" s="56" t="n"/>
      <c r="I4516" s="43" t="n"/>
      <c r="J4516" s="57">
        <f>IF(OR(A4516="",H4516=""),"",IF(COUNTIFS(exp_year,C4516,exp_month,D4516,exp_item,E4516,exp_status,"&lt;&gt;❌ Отменено")&gt;0,1,0))</f>
        <v/>
      </c>
    </row>
    <row r="4517">
      <c r="A4517" s="52" t="n"/>
      <c r="B4517" s="53">
        <f>IF(A4517="","",CHOOSE(WEEKDAY(A4517,2),"Пн","Вт","Ср","Чт","Пт","Сб","Вс"))</f>
        <v/>
      </c>
      <c r="C4517" s="53">
        <f>IF(A4517="","",YEAR(A4517))</f>
        <v/>
      </c>
      <c r="D4517" s="54">
        <f>IF(A4517="","",INDEX(lst_months,MONTH(A4517)))</f>
        <v/>
      </c>
      <c r="E4517" s="55" t="n"/>
      <c r="F4517" s="54">
        <f>IF(E4517="","",IFERROR(IF(INDEX(lst_exp_item_cat,MATCH(E4517,lst_exp_items,0))="","❔ Без категории",INDEX(lst_exp_item_cat,MATCH(E4517,lst_exp_items,0))),"❔ Без категории"))</f>
        <v/>
      </c>
      <c r="G4517" s="43" t="n"/>
      <c r="H4517" s="56" t="n"/>
      <c r="I4517" s="43" t="n"/>
      <c r="J4517" s="57">
        <f>IF(OR(A4517="",H4517=""),"",IF(COUNTIFS(exp_year,C4517,exp_month,D4517,exp_item,E4517,exp_status,"&lt;&gt;❌ Отменено")&gt;0,1,0))</f>
        <v/>
      </c>
    </row>
    <row r="4518">
      <c r="A4518" s="52" t="n"/>
      <c r="B4518" s="53">
        <f>IF(A4518="","",CHOOSE(WEEKDAY(A4518,2),"Пн","Вт","Ср","Чт","Пт","Сб","Вс"))</f>
        <v/>
      </c>
      <c r="C4518" s="53">
        <f>IF(A4518="","",YEAR(A4518))</f>
        <v/>
      </c>
      <c r="D4518" s="54">
        <f>IF(A4518="","",INDEX(lst_months,MONTH(A4518)))</f>
        <v/>
      </c>
      <c r="E4518" s="55" t="n"/>
      <c r="F4518" s="54">
        <f>IF(E4518="","",IFERROR(IF(INDEX(lst_exp_item_cat,MATCH(E4518,lst_exp_items,0))="","❔ Без категории",INDEX(lst_exp_item_cat,MATCH(E4518,lst_exp_items,0))),"❔ Без категории"))</f>
        <v/>
      </c>
      <c r="G4518" s="43" t="n"/>
      <c r="H4518" s="56" t="n"/>
      <c r="I4518" s="43" t="n"/>
      <c r="J4518" s="57">
        <f>IF(OR(A4518="",H4518=""),"",IF(COUNTIFS(exp_year,C4518,exp_month,D4518,exp_item,E4518,exp_status,"&lt;&gt;❌ Отменено")&gt;0,1,0))</f>
        <v/>
      </c>
    </row>
    <row r="4519">
      <c r="A4519" s="52" t="n"/>
      <c r="B4519" s="53">
        <f>IF(A4519="","",CHOOSE(WEEKDAY(A4519,2),"Пн","Вт","Ср","Чт","Пт","Сб","Вс"))</f>
        <v/>
      </c>
      <c r="C4519" s="53">
        <f>IF(A4519="","",YEAR(A4519))</f>
        <v/>
      </c>
      <c r="D4519" s="54">
        <f>IF(A4519="","",INDEX(lst_months,MONTH(A4519)))</f>
        <v/>
      </c>
      <c r="E4519" s="55" t="n"/>
      <c r="F4519" s="54">
        <f>IF(E4519="","",IFERROR(IF(INDEX(lst_exp_item_cat,MATCH(E4519,lst_exp_items,0))="","❔ Без категории",INDEX(lst_exp_item_cat,MATCH(E4519,lst_exp_items,0))),"❔ Без категории"))</f>
        <v/>
      </c>
      <c r="G4519" s="43" t="n"/>
      <c r="H4519" s="56" t="n"/>
      <c r="I4519" s="43" t="n"/>
      <c r="J4519" s="57">
        <f>IF(OR(A4519="",H4519=""),"",IF(COUNTIFS(exp_year,C4519,exp_month,D4519,exp_item,E4519,exp_status,"&lt;&gt;❌ Отменено")&gt;0,1,0))</f>
        <v/>
      </c>
    </row>
    <row r="4520">
      <c r="A4520" s="52" t="n"/>
      <c r="B4520" s="53">
        <f>IF(A4520="","",CHOOSE(WEEKDAY(A4520,2),"Пн","Вт","Ср","Чт","Пт","Сб","Вс"))</f>
        <v/>
      </c>
      <c r="C4520" s="53">
        <f>IF(A4520="","",YEAR(A4520))</f>
        <v/>
      </c>
      <c r="D4520" s="54">
        <f>IF(A4520="","",INDEX(lst_months,MONTH(A4520)))</f>
        <v/>
      </c>
      <c r="E4520" s="55" t="n"/>
      <c r="F4520" s="54">
        <f>IF(E4520="","",IFERROR(IF(INDEX(lst_exp_item_cat,MATCH(E4520,lst_exp_items,0))="","❔ Без категории",INDEX(lst_exp_item_cat,MATCH(E4520,lst_exp_items,0))),"❔ Без категории"))</f>
        <v/>
      </c>
      <c r="G4520" s="43" t="n"/>
      <c r="H4520" s="56" t="n"/>
      <c r="I4520" s="43" t="n"/>
      <c r="J4520" s="57">
        <f>IF(OR(A4520="",H4520=""),"",IF(COUNTIFS(exp_year,C4520,exp_month,D4520,exp_item,E4520,exp_status,"&lt;&gt;❌ Отменено")&gt;0,1,0))</f>
        <v/>
      </c>
    </row>
    <row r="4521">
      <c r="A4521" s="52" t="n"/>
      <c r="B4521" s="53">
        <f>IF(A4521="","",CHOOSE(WEEKDAY(A4521,2),"Пн","Вт","Ср","Чт","Пт","Сб","Вс"))</f>
        <v/>
      </c>
      <c r="C4521" s="53">
        <f>IF(A4521="","",YEAR(A4521))</f>
        <v/>
      </c>
      <c r="D4521" s="54">
        <f>IF(A4521="","",INDEX(lst_months,MONTH(A4521)))</f>
        <v/>
      </c>
      <c r="E4521" s="55" t="n"/>
      <c r="F4521" s="54">
        <f>IF(E4521="","",IFERROR(IF(INDEX(lst_exp_item_cat,MATCH(E4521,lst_exp_items,0))="","❔ Без категории",INDEX(lst_exp_item_cat,MATCH(E4521,lst_exp_items,0))),"❔ Без категории"))</f>
        <v/>
      </c>
      <c r="G4521" s="43" t="n"/>
      <c r="H4521" s="56" t="n"/>
      <c r="I4521" s="43" t="n"/>
      <c r="J4521" s="57">
        <f>IF(OR(A4521="",H4521=""),"",IF(COUNTIFS(exp_year,C4521,exp_month,D4521,exp_item,E4521,exp_status,"&lt;&gt;❌ Отменено")&gt;0,1,0))</f>
        <v/>
      </c>
    </row>
    <row r="4522">
      <c r="A4522" s="52" t="n"/>
      <c r="B4522" s="53">
        <f>IF(A4522="","",CHOOSE(WEEKDAY(A4522,2),"Пн","Вт","Ср","Чт","Пт","Сб","Вс"))</f>
        <v/>
      </c>
      <c r="C4522" s="53">
        <f>IF(A4522="","",YEAR(A4522))</f>
        <v/>
      </c>
      <c r="D4522" s="54">
        <f>IF(A4522="","",INDEX(lst_months,MONTH(A4522)))</f>
        <v/>
      </c>
      <c r="E4522" s="55" t="n"/>
      <c r="F4522" s="54">
        <f>IF(E4522="","",IFERROR(IF(INDEX(lst_exp_item_cat,MATCH(E4522,lst_exp_items,0))="","❔ Без категории",INDEX(lst_exp_item_cat,MATCH(E4522,lst_exp_items,0))),"❔ Без категории"))</f>
        <v/>
      </c>
      <c r="G4522" s="43" t="n"/>
      <c r="H4522" s="56" t="n"/>
      <c r="I4522" s="43" t="n"/>
      <c r="J4522" s="57">
        <f>IF(OR(A4522="",H4522=""),"",IF(COUNTIFS(exp_year,C4522,exp_month,D4522,exp_item,E4522,exp_status,"&lt;&gt;❌ Отменено")&gt;0,1,0))</f>
        <v/>
      </c>
    </row>
    <row r="4523">
      <c r="A4523" s="52" t="n"/>
      <c r="B4523" s="53">
        <f>IF(A4523="","",CHOOSE(WEEKDAY(A4523,2),"Пн","Вт","Ср","Чт","Пт","Сб","Вс"))</f>
        <v/>
      </c>
      <c r="C4523" s="53">
        <f>IF(A4523="","",YEAR(A4523))</f>
        <v/>
      </c>
      <c r="D4523" s="54">
        <f>IF(A4523="","",INDEX(lst_months,MONTH(A4523)))</f>
        <v/>
      </c>
      <c r="E4523" s="55" t="n"/>
      <c r="F4523" s="54">
        <f>IF(E4523="","",IFERROR(IF(INDEX(lst_exp_item_cat,MATCH(E4523,lst_exp_items,0))="","❔ Без категории",INDEX(lst_exp_item_cat,MATCH(E4523,lst_exp_items,0))),"❔ Без категории"))</f>
        <v/>
      </c>
      <c r="G4523" s="43" t="n"/>
      <c r="H4523" s="56" t="n"/>
      <c r="I4523" s="43" t="n"/>
      <c r="J4523" s="57">
        <f>IF(OR(A4523="",H4523=""),"",IF(COUNTIFS(exp_year,C4523,exp_month,D4523,exp_item,E4523,exp_status,"&lt;&gt;❌ Отменено")&gt;0,1,0))</f>
        <v/>
      </c>
    </row>
    <row r="4524">
      <c r="A4524" s="52" t="n"/>
      <c r="B4524" s="53">
        <f>IF(A4524="","",CHOOSE(WEEKDAY(A4524,2),"Пн","Вт","Ср","Чт","Пт","Сб","Вс"))</f>
        <v/>
      </c>
      <c r="C4524" s="53">
        <f>IF(A4524="","",YEAR(A4524))</f>
        <v/>
      </c>
      <c r="D4524" s="54">
        <f>IF(A4524="","",INDEX(lst_months,MONTH(A4524)))</f>
        <v/>
      </c>
      <c r="E4524" s="55" t="n"/>
      <c r="F4524" s="54">
        <f>IF(E4524="","",IFERROR(IF(INDEX(lst_exp_item_cat,MATCH(E4524,lst_exp_items,0))="","❔ Без категории",INDEX(lst_exp_item_cat,MATCH(E4524,lst_exp_items,0))),"❔ Без категории"))</f>
        <v/>
      </c>
      <c r="G4524" s="43" t="n"/>
      <c r="H4524" s="56" t="n"/>
      <c r="I4524" s="43" t="n"/>
      <c r="J4524" s="57">
        <f>IF(OR(A4524="",H4524=""),"",IF(COUNTIFS(exp_year,C4524,exp_month,D4524,exp_item,E4524,exp_status,"&lt;&gt;❌ Отменено")&gt;0,1,0))</f>
        <v/>
      </c>
    </row>
    <row r="4525">
      <c r="A4525" s="52" t="n"/>
      <c r="B4525" s="53">
        <f>IF(A4525="","",CHOOSE(WEEKDAY(A4525,2),"Пн","Вт","Ср","Чт","Пт","Сб","Вс"))</f>
        <v/>
      </c>
      <c r="C4525" s="53">
        <f>IF(A4525="","",YEAR(A4525))</f>
        <v/>
      </c>
      <c r="D4525" s="54">
        <f>IF(A4525="","",INDEX(lst_months,MONTH(A4525)))</f>
        <v/>
      </c>
      <c r="E4525" s="55" t="n"/>
      <c r="F4525" s="54">
        <f>IF(E4525="","",IFERROR(IF(INDEX(lst_exp_item_cat,MATCH(E4525,lst_exp_items,0))="","❔ Без категории",INDEX(lst_exp_item_cat,MATCH(E4525,lst_exp_items,0))),"❔ Без категории"))</f>
        <v/>
      </c>
      <c r="G4525" s="43" t="n"/>
      <c r="H4525" s="56" t="n"/>
      <c r="I4525" s="43" t="n"/>
      <c r="J4525" s="57">
        <f>IF(OR(A4525="",H4525=""),"",IF(COUNTIFS(exp_year,C4525,exp_month,D4525,exp_item,E4525,exp_status,"&lt;&gt;❌ Отменено")&gt;0,1,0))</f>
        <v/>
      </c>
    </row>
    <row r="4526">
      <c r="A4526" s="52" t="n"/>
      <c r="B4526" s="53">
        <f>IF(A4526="","",CHOOSE(WEEKDAY(A4526,2),"Пн","Вт","Ср","Чт","Пт","Сб","Вс"))</f>
        <v/>
      </c>
      <c r="C4526" s="53">
        <f>IF(A4526="","",YEAR(A4526))</f>
        <v/>
      </c>
      <c r="D4526" s="54">
        <f>IF(A4526="","",INDEX(lst_months,MONTH(A4526)))</f>
        <v/>
      </c>
      <c r="E4526" s="55" t="n"/>
      <c r="F4526" s="54">
        <f>IF(E4526="","",IFERROR(IF(INDEX(lst_exp_item_cat,MATCH(E4526,lst_exp_items,0))="","❔ Без категории",INDEX(lst_exp_item_cat,MATCH(E4526,lst_exp_items,0))),"❔ Без категории"))</f>
        <v/>
      </c>
      <c r="G4526" s="43" t="n"/>
      <c r="H4526" s="56" t="n"/>
      <c r="I4526" s="43" t="n"/>
      <c r="J4526" s="57">
        <f>IF(OR(A4526="",H4526=""),"",IF(COUNTIFS(exp_year,C4526,exp_month,D4526,exp_item,E4526,exp_status,"&lt;&gt;❌ Отменено")&gt;0,1,0))</f>
        <v/>
      </c>
    </row>
    <row r="4527">
      <c r="A4527" s="52" t="n"/>
      <c r="B4527" s="53">
        <f>IF(A4527="","",CHOOSE(WEEKDAY(A4527,2),"Пн","Вт","Ср","Чт","Пт","Сб","Вс"))</f>
        <v/>
      </c>
      <c r="C4527" s="53">
        <f>IF(A4527="","",YEAR(A4527))</f>
        <v/>
      </c>
      <c r="D4527" s="54">
        <f>IF(A4527="","",INDEX(lst_months,MONTH(A4527)))</f>
        <v/>
      </c>
      <c r="E4527" s="55" t="n"/>
      <c r="F4527" s="54">
        <f>IF(E4527="","",IFERROR(IF(INDEX(lst_exp_item_cat,MATCH(E4527,lst_exp_items,0))="","❔ Без категории",INDEX(lst_exp_item_cat,MATCH(E4527,lst_exp_items,0))),"❔ Без категории"))</f>
        <v/>
      </c>
      <c r="G4527" s="43" t="n"/>
      <c r="H4527" s="56" t="n"/>
      <c r="I4527" s="43" t="n"/>
      <c r="J4527" s="57">
        <f>IF(OR(A4527="",H4527=""),"",IF(COUNTIFS(exp_year,C4527,exp_month,D4527,exp_item,E4527,exp_status,"&lt;&gt;❌ Отменено")&gt;0,1,0))</f>
        <v/>
      </c>
    </row>
    <row r="4528">
      <c r="A4528" s="52" t="n"/>
      <c r="B4528" s="53">
        <f>IF(A4528="","",CHOOSE(WEEKDAY(A4528,2),"Пн","Вт","Ср","Чт","Пт","Сб","Вс"))</f>
        <v/>
      </c>
      <c r="C4528" s="53">
        <f>IF(A4528="","",YEAR(A4528))</f>
        <v/>
      </c>
      <c r="D4528" s="54">
        <f>IF(A4528="","",INDEX(lst_months,MONTH(A4528)))</f>
        <v/>
      </c>
      <c r="E4528" s="55" t="n"/>
      <c r="F4528" s="54">
        <f>IF(E4528="","",IFERROR(IF(INDEX(lst_exp_item_cat,MATCH(E4528,lst_exp_items,0))="","❔ Без категории",INDEX(lst_exp_item_cat,MATCH(E4528,lst_exp_items,0))),"❔ Без категории"))</f>
        <v/>
      </c>
      <c r="G4528" s="43" t="n"/>
      <c r="H4528" s="56" t="n"/>
      <c r="I4528" s="43" t="n"/>
      <c r="J4528" s="57">
        <f>IF(OR(A4528="",H4528=""),"",IF(COUNTIFS(exp_year,C4528,exp_month,D4528,exp_item,E4528,exp_status,"&lt;&gt;❌ Отменено")&gt;0,1,0))</f>
        <v/>
      </c>
    </row>
    <row r="4529">
      <c r="A4529" s="52" t="n"/>
      <c r="B4529" s="53">
        <f>IF(A4529="","",CHOOSE(WEEKDAY(A4529,2),"Пн","Вт","Ср","Чт","Пт","Сб","Вс"))</f>
        <v/>
      </c>
      <c r="C4529" s="53">
        <f>IF(A4529="","",YEAR(A4529))</f>
        <v/>
      </c>
      <c r="D4529" s="54">
        <f>IF(A4529="","",INDEX(lst_months,MONTH(A4529)))</f>
        <v/>
      </c>
      <c r="E4529" s="55" t="n"/>
      <c r="F4529" s="54">
        <f>IF(E4529="","",IFERROR(IF(INDEX(lst_exp_item_cat,MATCH(E4529,lst_exp_items,0))="","❔ Без категории",INDEX(lst_exp_item_cat,MATCH(E4529,lst_exp_items,0))),"❔ Без категории"))</f>
        <v/>
      </c>
      <c r="G4529" s="43" t="n"/>
      <c r="H4529" s="56" t="n"/>
      <c r="I4529" s="43" t="n"/>
      <c r="J4529" s="57">
        <f>IF(OR(A4529="",H4529=""),"",IF(COUNTIFS(exp_year,C4529,exp_month,D4529,exp_item,E4529,exp_status,"&lt;&gt;❌ Отменено")&gt;0,1,0))</f>
        <v/>
      </c>
    </row>
    <row r="4530">
      <c r="A4530" s="52" t="n"/>
      <c r="B4530" s="53">
        <f>IF(A4530="","",CHOOSE(WEEKDAY(A4530,2),"Пн","Вт","Ср","Чт","Пт","Сб","Вс"))</f>
        <v/>
      </c>
      <c r="C4530" s="53">
        <f>IF(A4530="","",YEAR(A4530))</f>
        <v/>
      </c>
      <c r="D4530" s="54">
        <f>IF(A4530="","",INDEX(lst_months,MONTH(A4530)))</f>
        <v/>
      </c>
      <c r="E4530" s="55" t="n"/>
      <c r="F4530" s="54">
        <f>IF(E4530="","",IFERROR(IF(INDEX(lst_exp_item_cat,MATCH(E4530,lst_exp_items,0))="","❔ Без категории",INDEX(lst_exp_item_cat,MATCH(E4530,lst_exp_items,0))),"❔ Без категории"))</f>
        <v/>
      </c>
      <c r="G4530" s="43" t="n"/>
      <c r="H4530" s="56" t="n"/>
      <c r="I4530" s="43" t="n"/>
      <c r="J4530" s="57">
        <f>IF(OR(A4530="",H4530=""),"",IF(COUNTIFS(exp_year,C4530,exp_month,D4530,exp_item,E4530,exp_status,"&lt;&gt;❌ Отменено")&gt;0,1,0))</f>
        <v/>
      </c>
    </row>
    <row r="4531">
      <c r="A4531" s="52" t="n"/>
      <c r="B4531" s="53">
        <f>IF(A4531="","",CHOOSE(WEEKDAY(A4531,2),"Пн","Вт","Ср","Чт","Пт","Сб","Вс"))</f>
        <v/>
      </c>
      <c r="C4531" s="53">
        <f>IF(A4531="","",YEAR(A4531))</f>
        <v/>
      </c>
      <c r="D4531" s="54">
        <f>IF(A4531="","",INDEX(lst_months,MONTH(A4531)))</f>
        <v/>
      </c>
      <c r="E4531" s="55" t="n"/>
      <c r="F4531" s="54">
        <f>IF(E4531="","",IFERROR(IF(INDEX(lst_exp_item_cat,MATCH(E4531,lst_exp_items,0))="","❔ Без категории",INDEX(lst_exp_item_cat,MATCH(E4531,lst_exp_items,0))),"❔ Без категории"))</f>
        <v/>
      </c>
      <c r="G4531" s="43" t="n"/>
      <c r="H4531" s="56" t="n"/>
      <c r="I4531" s="43" t="n"/>
      <c r="J4531" s="57">
        <f>IF(OR(A4531="",H4531=""),"",IF(COUNTIFS(exp_year,C4531,exp_month,D4531,exp_item,E4531,exp_status,"&lt;&gt;❌ Отменено")&gt;0,1,0))</f>
        <v/>
      </c>
    </row>
    <row r="4532">
      <c r="A4532" s="52" t="n"/>
      <c r="B4532" s="53">
        <f>IF(A4532="","",CHOOSE(WEEKDAY(A4532,2),"Пн","Вт","Ср","Чт","Пт","Сб","Вс"))</f>
        <v/>
      </c>
      <c r="C4532" s="53">
        <f>IF(A4532="","",YEAR(A4532))</f>
        <v/>
      </c>
      <c r="D4532" s="54">
        <f>IF(A4532="","",INDEX(lst_months,MONTH(A4532)))</f>
        <v/>
      </c>
      <c r="E4532" s="55" t="n"/>
      <c r="F4532" s="54">
        <f>IF(E4532="","",IFERROR(IF(INDEX(lst_exp_item_cat,MATCH(E4532,lst_exp_items,0))="","❔ Без категории",INDEX(lst_exp_item_cat,MATCH(E4532,lst_exp_items,0))),"❔ Без категории"))</f>
        <v/>
      </c>
      <c r="G4532" s="43" t="n"/>
      <c r="H4532" s="56" t="n"/>
      <c r="I4532" s="43" t="n"/>
      <c r="J4532" s="57">
        <f>IF(OR(A4532="",H4532=""),"",IF(COUNTIFS(exp_year,C4532,exp_month,D4532,exp_item,E4532,exp_status,"&lt;&gt;❌ Отменено")&gt;0,1,0))</f>
        <v/>
      </c>
    </row>
    <row r="4533">
      <c r="A4533" s="52" t="n"/>
      <c r="B4533" s="53">
        <f>IF(A4533="","",CHOOSE(WEEKDAY(A4533,2),"Пн","Вт","Ср","Чт","Пт","Сб","Вс"))</f>
        <v/>
      </c>
      <c r="C4533" s="53">
        <f>IF(A4533="","",YEAR(A4533))</f>
        <v/>
      </c>
      <c r="D4533" s="54">
        <f>IF(A4533="","",INDEX(lst_months,MONTH(A4533)))</f>
        <v/>
      </c>
      <c r="E4533" s="55" t="n"/>
      <c r="F4533" s="54">
        <f>IF(E4533="","",IFERROR(IF(INDEX(lst_exp_item_cat,MATCH(E4533,lst_exp_items,0))="","❔ Без категории",INDEX(lst_exp_item_cat,MATCH(E4533,lst_exp_items,0))),"❔ Без категории"))</f>
        <v/>
      </c>
      <c r="G4533" s="43" t="n"/>
      <c r="H4533" s="56" t="n"/>
      <c r="I4533" s="43" t="n"/>
      <c r="J4533" s="57">
        <f>IF(OR(A4533="",H4533=""),"",IF(COUNTIFS(exp_year,C4533,exp_month,D4533,exp_item,E4533,exp_status,"&lt;&gt;❌ Отменено")&gt;0,1,0))</f>
        <v/>
      </c>
    </row>
    <row r="4534">
      <c r="A4534" s="52" t="n"/>
      <c r="B4534" s="53">
        <f>IF(A4534="","",CHOOSE(WEEKDAY(A4534,2),"Пн","Вт","Ср","Чт","Пт","Сб","Вс"))</f>
        <v/>
      </c>
      <c r="C4534" s="53">
        <f>IF(A4534="","",YEAR(A4534))</f>
        <v/>
      </c>
      <c r="D4534" s="54">
        <f>IF(A4534="","",INDEX(lst_months,MONTH(A4534)))</f>
        <v/>
      </c>
      <c r="E4534" s="55" t="n"/>
      <c r="F4534" s="54">
        <f>IF(E4534="","",IFERROR(IF(INDEX(lst_exp_item_cat,MATCH(E4534,lst_exp_items,0))="","❔ Без категории",INDEX(lst_exp_item_cat,MATCH(E4534,lst_exp_items,0))),"❔ Без категории"))</f>
        <v/>
      </c>
      <c r="G4534" s="43" t="n"/>
      <c r="H4534" s="56" t="n"/>
      <c r="I4534" s="43" t="n"/>
      <c r="J4534" s="57">
        <f>IF(OR(A4534="",H4534=""),"",IF(COUNTIFS(exp_year,C4534,exp_month,D4534,exp_item,E4534,exp_status,"&lt;&gt;❌ Отменено")&gt;0,1,0))</f>
        <v/>
      </c>
    </row>
    <row r="4535">
      <c r="A4535" s="52" t="n"/>
      <c r="B4535" s="53">
        <f>IF(A4535="","",CHOOSE(WEEKDAY(A4535,2),"Пн","Вт","Ср","Чт","Пт","Сб","Вс"))</f>
        <v/>
      </c>
      <c r="C4535" s="53">
        <f>IF(A4535="","",YEAR(A4535))</f>
        <v/>
      </c>
      <c r="D4535" s="54">
        <f>IF(A4535="","",INDEX(lst_months,MONTH(A4535)))</f>
        <v/>
      </c>
      <c r="E4535" s="55" t="n"/>
      <c r="F4535" s="54">
        <f>IF(E4535="","",IFERROR(IF(INDEX(lst_exp_item_cat,MATCH(E4535,lst_exp_items,0))="","❔ Без категории",INDEX(lst_exp_item_cat,MATCH(E4535,lst_exp_items,0))),"❔ Без категории"))</f>
        <v/>
      </c>
      <c r="G4535" s="43" t="n"/>
      <c r="H4535" s="56" t="n"/>
      <c r="I4535" s="43" t="n"/>
      <c r="J4535" s="57">
        <f>IF(OR(A4535="",H4535=""),"",IF(COUNTIFS(exp_year,C4535,exp_month,D4535,exp_item,E4535,exp_status,"&lt;&gt;❌ Отменено")&gt;0,1,0))</f>
        <v/>
      </c>
    </row>
    <row r="4536">
      <c r="A4536" s="52" t="n"/>
      <c r="B4536" s="53">
        <f>IF(A4536="","",CHOOSE(WEEKDAY(A4536,2),"Пн","Вт","Ср","Чт","Пт","Сб","Вс"))</f>
        <v/>
      </c>
      <c r="C4536" s="53">
        <f>IF(A4536="","",YEAR(A4536))</f>
        <v/>
      </c>
      <c r="D4536" s="54">
        <f>IF(A4536="","",INDEX(lst_months,MONTH(A4536)))</f>
        <v/>
      </c>
      <c r="E4536" s="55" t="n"/>
      <c r="F4536" s="54">
        <f>IF(E4536="","",IFERROR(IF(INDEX(lst_exp_item_cat,MATCH(E4536,lst_exp_items,0))="","❔ Без категории",INDEX(lst_exp_item_cat,MATCH(E4536,lst_exp_items,0))),"❔ Без категории"))</f>
        <v/>
      </c>
      <c r="G4536" s="43" t="n"/>
      <c r="H4536" s="56" t="n"/>
      <c r="I4536" s="43" t="n"/>
      <c r="J4536" s="57">
        <f>IF(OR(A4536="",H4536=""),"",IF(COUNTIFS(exp_year,C4536,exp_month,D4536,exp_item,E4536,exp_status,"&lt;&gt;❌ Отменено")&gt;0,1,0))</f>
        <v/>
      </c>
    </row>
    <row r="4537">
      <c r="A4537" s="52" t="n"/>
      <c r="B4537" s="53">
        <f>IF(A4537="","",CHOOSE(WEEKDAY(A4537,2),"Пн","Вт","Ср","Чт","Пт","Сб","Вс"))</f>
        <v/>
      </c>
      <c r="C4537" s="53">
        <f>IF(A4537="","",YEAR(A4537))</f>
        <v/>
      </c>
      <c r="D4537" s="54">
        <f>IF(A4537="","",INDEX(lst_months,MONTH(A4537)))</f>
        <v/>
      </c>
      <c r="E4537" s="55" t="n"/>
      <c r="F4537" s="54">
        <f>IF(E4537="","",IFERROR(IF(INDEX(lst_exp_item_cat,MATCH(E4537,lst_exp_items,0))="","❔ Без категории",INDEX(lst_exp_item_cat,MATCH(E4537,lst_exp_items,0))),"❔ Без категории"))</f>
        <v/>
      </c>
      <c r="G4537" s="43" t="n"/>
      <c r="H4537" s="56" t="n"/>
      <c r="I4537" s="43" t="n"/>
      <c r="J4537" s="57">
        <f>IF(OR(A4537="",H4537=""),"",IF(COUNTIFS(exp_year,C4537,exp_month,D4537,exp_item,E4537,exp_status,"&lt;&gt;❌ Отменено")&gt;0,1,0))</f>
        <v/>
      </c>
    </row>
    <row r="4538">
      <c r="A4538" s="52" t="n"/>
      <c r="B4538" s="53">
        <f>IF(A4538="","",CHOOSE(WEEKDAY(A4538,2),"Пн","Вт","Ср","Чт","Пт","Сб","Вс"))</f>
        <v/>
      </c>
      <c r="C4538" s="53">
        <f>IF(A4538="","",YEAR(A4538))</f>
        <v/>
      </c>
      <c r="D4538" s="54">
        <f>IF(A4538="","",INDEX(lst_months,MONTH(A4538)))</f>
        <v/>
      </c>
      <c r="E4538" s="55" t="n"/>
      <c r="F4538" s="54">
        <f>IF(E4538="","",IFERROR(IF(INDEX(lst_exp_item_cat,MATCH(E4538,lst_exp_items,0))="","❔ Без категории",INDEX(lst_exp_item_cat,MATCH(E4538,lst_exp_items,0))),"❔ Без категории"))</f>
        <v/>
      </c>
      <c r="G4538" s="43" t="n"/>
      <c r="H4538" s="56" t="n"/>
      <c r="I4538" s="43" t="n"/>
      <c r="J4538" s="57">
        <f>IF(OR(A4538="",H4538=""),"",IF(COUNTIFS(exp_year,C4538,exp_month,D4538,exp_item,E4538,exp_status,"&lt;&gt;❌ Отменено")&gt;0,1,0))</f>
        <v/>
      </c>
    </row>
    <row r="4539">
      <c r="A4539" s="52" t="n"/>
      <c r="B4539" s="53">
        <f>IF(A4539="","",CHOOSE(WEEKDAY(A4539,2),"Пн","Вт","Ср","Чт","Пт","Сб","Вс"))</f>
        <v/>
      </c>
      <c r="C4539" s="53">
        <f>IF(A4539="","",YEAR(A4539))</f>
        <v/>
      </c>
      <c r="D4539" s="54">
        <f>IF(A4539="","",INDEX(lst_months,MONTH(A4539)))</f>
        <v/>
      </c>
      <c r="E4539" s="55" t="n"/>
      <c r="F4539" s="54">
        <f>IF(E4539="","",IFERROR(IF(INDEX(lst_exp_item_cat,MATCH(E4539,lst_exp_items,0))="","❔ Без категории",INDEX(lst_exp_item_cat,MATCH(E4539,lst_exp_items,0))),"❔ Без категории"))</f>
        <v/>
      </c>
      <c r="G4539" s="43" t="n"/>
      <c r="H4539" s="56" t="n"/>
      <c r="I4539" s="43" t="n"/>
      <c r="J4539" s="57">
        <f>IF(OR(A4539="",H4539=""),"",IF(COUNTIFS(exp_year,C4539,exp_month,D4539,exp_item,E4539,exp_status,"&lt;&gt;❌ Отменено")&gt;0,1,0))</f>
        <v/>
      </c>
    </row>
    <row r="4540">
      <c r="A4540" s="52" t="n"/>
      <c r="B4540" s="53">
        <f>IF(A4540="","",CHOOSE(WEEKDAY(A4540,2),"Пн","Вт","Ср","Чт","Пт","Сб","Вс"))</f>
        <v/>
      </c>
      <c r="C4540" s="53">
        <f>IF(A4540="","",YEAR(A4540))</f>
        <v/>
      </c>
      <c r="D4540" s="54">
        <f>IF(A4540="","",INDEX(lst_months,MONTH(A4540)))</f>
        <v/>
      </c>
      <c r="E4540" s="55" t="n"/>
      <c r="F4540" s="54">
        <f>IF(E4540="","",IFERROR(IF(INDEX(lst_exp_item_cat,MATCH(E4540,lst_exp_items,0))="","❔ Без категории",INDEX(lst_exp_item_cat,MATCH(E4540,lst_exp_items,0))),"❔ Без категории"))</f>
        <v/>
      </c>
      <c r="G4540" s="43" t="n"/>
      <c r="H4540" s="56" t="n"/>
      <c r="I4540" s="43" t="n"/>
      <c r="J4540" s="57">
        <f>IF(OR(A4540="",H4540=""),"",IF(COUNTIFS(exp_year,C4540,exp_month,D4540,exp_item,E4540,exp_status,"&lt;&gt;❌ Отменено")&gt;0,1,0))</f>
        <v/>
      </c>
    </row>
    <row r="4541">
      <c r="A4541" s="52" t="n"/>
      <c r="B4541" s="53">
        <f>IF(A4541="","",CHOOSE(WEEKDAY(A4541,2),"Пн","Вт","Ср","Чт","Пт","Сб","Вс"))</f>
        <v/>
      </c>
      <c r="C4541" s="53">
        <f>IF(A4541="","",YEAR(A4541))</f>
        <v/>
      </c>
      <c r="D4541" s="54">
        <f>IF(A4541="","",INDEX(lst_months,MONTH(A4541)))</f>
        <v/>
      </c>
      <c r="E4541" s="55" t="n"/>
      <c r="F4541" s="54">
        <f>IF(E4541="","",IFERROR(IF(INDEX(lst_exp_item_cat,MATCH(E4541,lst_exp_items,0))="","❔ Без категории",INDEX(lst_exp_item_cat,MATCH(E4541,lst_exp_items,0))),"❔ Без категории"))</f>
        <v/>
      </c>
      <c r="G4541" s="43" t="n"/>
      <c r="H4541" s="56" t="n"/>
      <c r="I4541" s="43" t="n"/>
      <c r="J4541" s="57">
        <f>IF(OR(A4541="",H4541=""),"",IF(COUNTIFS(exp_year,C4541,exp_month,D4541,exp_item,E4541,exp_status,"&lt;&gt;❌ Отменено")&gt;0,1,0))</f>
        <v/>
      </c>
    </row>
    <row r="4542">
      <c r="A4542" s="52" t="n"/>
      <c r="B4542" s="53">
        <f>IF(A4542="","",CHOOSE(WEEKDAY(A4542,2),"Пн","Вт","Ср","Чт","Пт","Сб","Вс"))</f>
        <v/>
      </c>
      <c r="C4542" s="53">
        <f>IF(A4542="","",YEAR(A4542))</f>
        <v/>
      </c>
      <c r="D4542" s="54">
        <f>IF(A4542="","",INDEX(lst_months,MONTH(A4542)))</f>
        <v/>
      </c>
      <c r="E4542" s="55" t="n"/>
      <c r="F4542" s="54">
        <f>IF(E4542="","",IFERROR(IF(INDEX(lst_exp_item_cat,MATCH(E4542,lst_exp_items,0))="","❔ Без категории",INDEX(lst_exp_item_cat,MATCH(E4542,lst_exp_items,0))),"❔ Без категории"))</f>
        <v/>
      </c>
      <c r="G4542" s="43" t="n"/>
      <c r="H4542" s="56" t="n"/>
      <c r="I4542" s="43" t="n"/>
      <c r="J4542" s="57">
        <f>IF(OR(A4542="",H4542=""),"",IF(COUNTIFS(exp_year,C4542,exp_month,D4542,exp_item,E4542,exp_status,"&lt;&gt;❌ Отменено")&gt;0,1,0))</f>
        <v/>
      </c>
    </row>
    <row r="4543">
      <c r="A4543" s="52" t="n"/>
      <c r="B4543" s="53">
        <f>IF(A4543="","",CHOOSE(WEEKDAY(A4543,2),"Пн","Вт","Ср","Чт","Пт","Сб","Вс"))</f>
        <v/>
      </c>
      <c r="C4543" s="53">
        <f>IF(A4543="","",YEAR(A4543))</f>
        <v/>
      </c>
      <c r="D4543" s="54">
        <f>IF(A4543="","",INDEX(lst_months,MONTH(A4543)))</f>
        <v/>
      </c>
      <c r="E4543" s="55" t="n"/>
      <c r="F4543" s="54">
        <f>IF(E4543="","",IFERROR(IF(INDEX(lst_exp_item_cat,MATCH(E4543,lst_exp_items,0))="","❔ Без категории",INDEX(lst_exp_item_cat,MATCH(E4543,lst_exp_items,0))),"❔ Без категории"))</f>
        <v/>
      </c>
      <c r="G4543" s="43" t="n"/>
      <c r="H4543" s="56" t="n"/>
      <c r="I4543" s="43" t="n"/>
      <c r="J4543" s="57">
        <f>IF(OR(A4543="",H4543=""),"",IF(COUNTIFS(exp_year,C4543,exp_month,D4543,exp_item,E4543,exp_status,"&lt;&gt;❌ Отменено")&gt;0,1,0))</f>
        <v/>
      </c>
    </row>
    <row r="4544">
      <c r="A4544" s="52" t="n"/>
      <c r="B4544" s="53">
        <f>IF(A4544="","",CHOOSE(WEEKDAY(A4544,2),"Пн","Вт","Ср","Чт","Пт","Сб","Вс"))</f>
        <v/>
      </c>
      <c r="C4544" s="53">
        <f>IF(A4544="","",YEAR(A4544))</f>
        <v/>
      </c>
      <c r="D4544" s="54">
        <f>IF(A4544="","",INDEX(lst_months,MONTH(A4544)))</f>
        <v/>
      </c>
      <c r="E4544" s="55" t="n"/>
      <c r="F4544" s="54">
        <f>IF(E4544="","",IFERROR(IF(INDEX(lst_exp_item_cat,MATCH(E4544,lst_exp_items,0))="","❔ Без категории",INDEX(lst_exp_item_cat,MATCH(E4544,lst_exp_items,0))),"❔ Без категории"))</f>
        <v/>
      </c>
      <c r="G4544" s="43" t="n"/>
      <c r="H4544" s="56" t="n"/>
      <c r="I4544" s="43" t="n"/>
      <c r="J4544" s="57">
        <f>IF(OR(A4544="",H4544=""),"",IF(COUNTIFS(exp_year,C4544,exp_month,D4544,exp_item,E4544,exp_status,"&lt;&gt;❌ Отменено")&gt;0,1,0))</f>
        <v/>
      </c>
    </row>
    <row r="4545">
      <c r="A4545" s="52" t="n"/>
      <c r="B4545" s="53">
        <f>IF(A4545="","",CHOOSE(WEEKDAY(A4545,2),"Пн","Вт","Ср","Чт","Пт","Сб","Вс"))</f>
        <v/>
      </c>
      <c r="C4545" s="53">
        <f>IF(A4545="","",YEAR(A4545))</f>
        <v/>
      </c>
      <c r="D4545" s="54">
        <f>IF(A4545="","",INDEX(lst_months,MONTH(A4545)))</f>
        <v/>
      </c>
      <c r="E4545" s="55" t="n"/>
      <c r="F4545" s="54">
        <f>IF(E4545="","",IFERROR(IF(INDEX(lst_exp_item_cat,MATCH(E4545,lst_exp_items,0))="","❔ Без категории",INDEX(lst_exp_item_cat,MATCH(E4545,lst_exp_items,0))),"❔ Без категории"))</f>
        <v/>
      </c>
      <c r="G4545" s="43" t="n"/>
      <c r="H4545" s="56" t="n"/>
      <c r="I4545" s="43" t="n"/>
      <c r="J4545" s="57">
        <f>IF(OR(A4545="",H4545=""),"",IF(COUNTIFS(exp_year,C4545,exp_month,D4545,exp_item,E4545,exp_status,"&lt;&gt;❌ Отменено")&gt;0,1,0))</f>
        <v/>
      </c>
    </row>
    <row r="4546">
      <c r="A4546" s="52" t="n"/>
      <c r="B4546" s="53">
        <f>IF(A4546="","",CHOOSE(WEEKDAY(A4546,2),"Пн","Вт","Ср","Чт","Пт","Сб","Вс"))</f>
        <v/>
      </c>
      <c r="C4546" s="53">
        <f>IF(A4546="","",YEAR(A4546))</f>
        <v/>
      </c>
      <c r="D4546" s="54">
        <f>IF(A4546="","",INDEX(lst_months,MONTH(A4546)))</f>
        <v/>
      </c>
      <c r="E4546" s="55" t="n"/>
      <c r="F4546" s="54">
        <f>IF(E4546="","",IFERROR(IF(INDEX(lst_exp_item_cat,MATCH(E4546,lst_exp_items,0))="","❔ Без категории",INDEX(lst_exp_item_cat,MATCH(E4546,lst_exp_items,0))),"❔ Без категории"))</f>
        <v/>
      </c>
      <c r="G4546" s="43" t="n"/>
      <c r="H4546" s="56" t="n"/>
      <c r="I4546" s="43" t="n"/>
      <c r="J4546" s="57">
        <f>IF(OR(A4546="",H4546=""),"",IF(COUNTIFS(exp_year,C4546,exp_month,D4546,exp_item,E4546,exp_status,"&lt;&gt;❌ Отменено")&gt;0,1,0))</f>
        <v/>
      </c>
    </row>
    <row r="4547">
      <c r="A4547" s="52" t="n"/>
      <c r="B4547" s="53">
        <f>IF(A4547="","",CHOOSE(WEEKDAY(A4547,2),"Пн","Вт","Ср","Чт","Пт","Сб","Вс"))</f>
        <v/>
      </c>
      <c r="C4547" s="53">
        <f>IF(A4547="","",YEAR(A4547))</f>
        <v/>
      </c>
      <c r="D4547" s="54">
        <f>IF(A4547="","",INDEX(lst_months,MONTH(A4547)))</f>
        <v/>
      </c>
      <c r="E4547" s="55" t="n"/>
      <c r="F4547" s="54">
        <f>IF(E4547="","",IFERROR(IF(INDEX(lst_exp_item_cat,MATCH(E4547,lst_exp_items,0))="","❔ Без категории",INDEX(lst_exp_item_cat,MATCH(E4547,lst_exp_items,0))),"❔ Без категории"))</f>
        <v/>
      </c>
      <c r="G4547" s="43" t="n"/>
      <c r="H4547" s="56" t="n"/>
      <c r="I4547" s="43" t="n"/>
      <c r="J4547" s="57">
        <f>IF(OR(A4547="",H4547=""),"",IF(COUNTIFS(exp_year,C4547,exp_month,D4547,exp_item,E4547,exp_status,"&lt;&gt;❌ Отменено")&gt;0,1,0))</f>
        <v/>
      </c>
    </row>
    <row r="4548">
      <c r="A4548" s="52" t="n"/>
      <c r="B4548" s="53">
        <f>IF(A4548="","",CHOOSE(WEEKDAY(A4548,2),"Пн","Вт","Ср","Чт","Пт","Сб","Вс"))</f>
        <v/>
      </c>
      <c r="C4548" s="53">
        <f>IF(A4548="","",YEAR(A4548))</f>
        <v/>
      </c>
      <c r="D4548" s="54">
        <f>IF(A4548="","",INDEX(lst_months,MONTH(A4548)))</f>
        <v/>
      </c>
      <c r="E4548" s="55" t="n"/>
      <c r="F4548" s="54">
        <f>IF(E4548="","",IFERROR(IF(INDEX(lst_exp_item_cat,MATCH(E4548,lst_exp_items,0))="","❔ Без категории",INDEX(lst_exp_item_cat,MATCH(E4548,lst_exp_items,0))),"❔ Без категории"))</f>
        <v/>
      </c>
      <c r="G4548" s="43" t="n"/>
      <c r="H4548" s="56" t="n"/>
      <c r="I4548" s="43" t="n"/>
      <c r="J4548" s="57">
        <f>IF(OR(A4548="",H4548=""),"",IF(COUNTIFS(exp_year,C4548,exp_month,D4548,exp_item,E4548,exp_status,"&lt;&gt;❌ Отменено")&gt;0,1,0))</f>
        <v/>
      </c>
    </row>
    <row r="4549">
      <c r="A4549" s="52" t="n"/>
      <c r="B4549" s="53">
        <f>IF(A4549="","",CHOOSE(WEEKDAY(A4549,2),"Пн","Вт","Ср","Чт","Пт","Сб","Вс"))</f>
        <v/>
      </c>
      <c r="C4549" s="53">
        <f>IF(A4549="","",YEAR(A4549))</f>
        <v/>
      </c>
      <c r="D4549" s="54">
        <f>IF(A4549="","",INDEX(lst_months,MONTH(A4549)))</f>
        <v/>
      </c>
      <c r="E4549" s="55" t="n"/>
      <c r="F4549" s="54">
        <f>IF(E4549="","",IFERROR(IF(INDEX(lst_exp_item_cat,MATCH(E4549,lst_exp_items,0))="","❔ Без категории",INDEX(lst_exp_item_cat,MATCH(E4549,lst_exp_items,0))),"❔ Без категории"))</f>
        <v/>
      </c>
      <c r="G4549" s="43" t="n"/>
      <c r="H4549" s="56" t="n"/>
      <c r="I4549" s="43" t="n"/>
      <c r="J4549" s="57">
        <f>IF(OR(A4549="",H4549=""),"",IF(COUNTIFS(exp_year,C4549,exp_month,D4549,exp_item,E4549,exp_status,"&lt;&gt;❌ Отменено")&gt;0,1,0))</f>
        <v/>
      </c>
    </row>
    <row r="4550">
      <c r="A4550" s="52" t="n"/>
      <c r="B4550" s="53">
        <f>IF(A4550="","",CHOOSE(WEEKDAY(A4550,2),"Пн","Вт","Ср","Чт","Пт","Сб","Вс"))</f>
        <v/>
      </c>
      <c r="C4550" s="53">
        <f>IF(A4550="","",YEAR(A4550))</f>
        <v/>
      </c>
      <c r="D4550" s="54">
        <f>IF(A4550="","",INDEX(lst_months,MONTH(A4550)))</f>
        <v/>
      </c>
      <c r="E4550" s="55" t="n"/>
      <c r="F4550" s="54">
        <f>IF(E4550="","",IFERROR(IF(INDEX(lst_exp_item_cat,MATCH(E4550,lst_exp_items,0))="","❔ Без категории",INDEX(lst_exp_item_cat,MATCH(E4550,lst_exp_items,0))),"❔ Без категории"))</f>
        <v/>
      </c>
      <c r="G4550" s="43" t="n"/>
      <c r="H4550" s="56" t="n"/>
      <c r="I4550" s="43" t="n"/>
      <c r="J4550" s="57">
        <f>IF(OR(A4550="",H4550=""),"",IF(COUNTIFS(exp_year,C4550,exp_month,D4550,exp_item,E4550,exp_status,"&lt;&gt;❌ Отменено")&gt;0,1,0))</f>
        <v/>
      </c>
    </row>
    <row r="4551">
      <c r="A4551" s="52" t="n"/>
      <c r="B4551" s="53">
        <f>IF(A4551="","",CHOOSE(WEEKDAY(A4551,2),"Пн","Вт","Ср","Чт","Пт","Сб","Вс"))</f>
        <v/>
      </c>
      <c r="C4551" s="53">
        <f>IF(A4551="","",YEAR(A4551))</f>
        <v/>
      </c>
      <c r="D4551" s="54">
        <f>IF(A4551="","",INDEX(lst_months,MONTH(A4551)))</f>
        <v/>
      </c>
      <c r="E4551" s="55" t="n"/>
      <c r="F4551" s="54">
        <f>IF(E4551="","",IFERROR(IF(INDEX(lst_exp_item_cat,MATCH(E4551,lst_exp_items,0))="","❔ Без категории",INDEX(lst_exp_item_cat,MATCH(E4551,lst_exp_items,0))),"❔ Без категории"))</f>
        <v/>
      </c>
      <c r="G4551" s="43" t="n"/>
      <c r="H4551" s="56" t="n"/>
      <c r="I4551" s="43" t="n"/>
      <c r="J4551" s="57">
        <f>IF(OR(A4551="",H4551=""),"",IF(COUNTIFS(exp_year,C4551,exp_month,D4551,exp_item,E4551,exp_status,"&lt;&gt;❌ Отменено")&gt;0,1,0))</f>
        <v/>
      </c>
    </row>
    <row r="4552">
      <c r="A4552" s="52" t="n"/>
      <c r="B4552" s="53">
        <f>IF(A4552="","",CHOOSE(WEEKDAY(A4552,2),"Пн","Вт","Ср","Чт","Пт","Сб","Вс"))</f>
        <v/>
      </c>
      <c r="C4552" s="53">
        <f>IF(A4552="","",YEAR(A4552))</f>
        <v/>
      </c>
      <c r="D4552" s="54">
        <f>IF(A4552="","",INDEX(lst_months,MONTH(A4552)))</f>
        <v/>
      </c>
      <c r="E4552" s="55" t="n"/>
      <c r="F4552" s="54">
        <f>IF(E4552="","",IFERROR(IF(INDEX(lst_exp_item_cat,MATCH(E4552,lst_exp_items,0))="","❔ Без категории",INDEX(lst_exp_item_cat,MATCH(E4552,lst_exp_items,0))),"❔ Без категории"))</f>
        <v/>
      </c>
      <c r="G4552" s="43" t="n"/>
      <c r="H4552" s="56" t="n"/>
      <c r="I4552" s="43" t="n"/>
      <c r="J4552" s="57">
        <f>IF(OR(A4552="",H4552=""),"",IF(COUNTIFS(exp_year,C4552,exp_month,D4552,exp_item,E4552,exp_status,"&lt;&gt;❌ Отменено")&gt;0,1,0))</f>
        <v/>
      </c>
    </row>
    <row r="4553">
      <c r="A4553" s="52" t="n"/>
      <c r="B4553" s="53">
        <f>IF(A4553="","",CHOOSE(WEEKDAY(A4553,2),"Пн","Вт","Ср","Чт","Пт","Сб","Вс"))</f>
        <v/>
      </c>
      <c r="C4553" s="53">
        <f>IF(A4553="","",YEAR(A4553))</f>
        <v/>
      </c>
      <c r="D4553" s="54">
        <f>IF(A4553="","",INDEX(lst_months,MONTH(A4553)))</f>
        <v/>
      </c>
      <c r="E4553" s="55" t="n"/>
      <c r="F4553" s="54">
        <f>IF(E4553="","",IFERROR(IF(INDEX(lst_exp_item_cat,MATCH(E4553,lst_exp_items,0))="","❔ Без категории",INDEX(lst_exp_item_cat,MATCH(E4553,lst_exp_items,0))),"❔ Без категории"))</f>
        <v/>
      </c>
      <c r="G4553" s="43" t="n"/>
      <c r="H4553" s="56" t="n"/>
      <c r="I4553" s="43" t="n"/>
      <c r="J4553" s="57">
        <f>IF(OR(A4553="",H4553=""),"",IF(COUNTIFS(exp_year,C4553,exp_month,D4553,exp_item,E4553,exp_status,"&lt;&gt;❌ Отменено")&gt;0,1,0))</f>
        <v/>
      </c>
    </row>
    <row r="4554">
      <c r="A4554" s="52" t="n"/>
      <c r="B4554" s="53">
        <f>IF(A4554="","",CHOOSE(WEEKDAY(A4554,2),"Пн","Вт","Ср","Чт","Пт","Сб","Вс"))</f>
        <v/>
      </c>
      <c r="C4554" s="53">
        <f>IF(A4554="","",YEAR(A4554))</f>
        <v/>
      </c>
      <c r="D4554" s="54">
        <f>IF(A4554="","",INDEX(lst_months,MONTH(A4554)))</f>
        <v/>
      </c>
      <c r="E4554" s="55" t="n"/>
      <c r="F4554" s="54">
        <f>IF(E4554="","",IFERROR(IF(INDEX(lst_exp_item_cat,MATCH(E4554,lst_exp_items,0))="","❔ Без категории",INDEX(lst_exp_item_cat,MATCH(E4554,lst_exp_items,0))),"❔ Без категории"))</f>
        <v/>
      </c>
      <c r="G4554" s="43" t="n"/>
      <c r="H4554" s="56" t="n"/>
      <c r="I4554" s="43" t="n"/>
      <c r="J4554" s="57">
        <f>IF(OR(A4554="",H4554=""),"",IF(COUNTIFS(exp_year,C4554,exp_month,D4554,exp_item,E4554,exp_status,"&lt;&gt;❌ Отменено")&gt;0,1,0))</f>
        <v/>
      </c>
    </row>
    <row r="4555">
      <c r="A4555" s="52" t="n"/>
      <c r="B4555" s="53">
        <f>IF(A4555="","",CHOOSE(WEEKDAY(A4555,2),"Пн","Вт","Ср","Чт","Пт","Сб","Вс"))</f>
        <v/>
      </c>
      <c r="C4555" s="53">
        <f>IF(A4555="","",YEAR(A4555))</f>
        <v/>
      </c>
      <c r="D4555" s="54">
        <f>IF(A4555="","",INDEX(lst_months,MONTH(A4555)))</f>
        <v/>
      </c>
      <c r="E4555" s="55" t="n"/>
      <c r="F4555" s="54">
        <f>IF(E4555="","",IFERROR(IF(INDEX(lst_exp_item_cat,MATCH(E4555,lst_exp_items,0))="","❔ Без категории",INDEX(lst_exp_item_cat,MATCH(E4555,lst_exp_items,0))),"❔ Без категории"))</f>
        <v/>
      </c>
      <c r="G4555" s="43" t="n"/>
      <c r="H4555" s="56" t="n"/>
      <c r="I4555" s="43" t="n"/>
      <c r="J4555" s="57">
        <f>IF(OR(A4555="",H4555=""),"",IF(COUNTIFS(exp_year,C4555,exp_month,D4555,exp_item,E4555,exp_status,"&lt;&gt;❌ Отменено")&gt;0,1,0))</f>
        <v/>
      </c>
    </row>
    <row r="4556">
      <c r="A4556" s="52" t="n"/>
      <c r="B4556" s="53">
        <f>IF(A4556="","",CHOOSE(WEEKDAY(A4556,2),"Пн","Вт","Ср","Чт","Пт","Сб","Вс"))</f>
        <v/>
      </c>
      <c r="C4556" s="53">
        <f>IF(A4556="","",YEAR(A4556))</f>
        <v/>
      </c>
      <c r="D4556" s="54">
        <f>IF(A4556="","",INDEX(lst_months,MONTH(A4556)))</f>
        <v/>
      </c>
      <c r="E4556" s="55" t="n"/>
      <c r="F4556" s="54">
        <f>IF(E4556="","",IFERROR(IF(INDEX(lst_exp_item_cat,MATCH(E4556,lst_exp_items,0))="","❔ Без категории",INDEX(lst_exp_item_cat,MATCH(E4556,lst_exp_items,0))),"❔ Без категории"))</f>
        <v/>
      </c>
      <c r="G4556" s="43" t="n"/>
      <c r="H4556" s="56" t="n"/>
      <c r="I4556" s="43" t="n"/>
      <c r="J4556" s="57">
        <f>IF(OR(A4556="",H4556=""),"",IF(COUNTIFS(exp_year,C4556,exp_month,D4556,exp_item,E4556,exp_status,"&lt;&gt;❌ Отменено")&gt;0,1,0))</f>
        <v/>
      </c>
    </row>
    <row r="4557">
      <c r="A4557" s="52" t="n"/>
      <c r="B4557" s="53">
        <f>IF(A4557="","",CHOOSE(WEEKDAY(A4557,2),"Пн","Вт","Ср","Чт","Пт","Сб","Вс"))</f>
        <v/>
      </c>
      <c r="C4557" s="53">
        <f>IF(A4557="","",YEAR(A4557))</f>
        <v/>
      </c>
      <c r="D4557" s="54">
        <f>IF(A4557="","",INDEX(lst_months,MONTH(A4557)))</f>
        <v/>
      </c>
      <c r="E4557" s="55" t="n"/>
      <c r="F4557" s="54">
        <f>IF(E4557="","",IFERROR(IF(INDEX(lst_exp_item_cat,MATCH(E4557,lst_exp_items,0))="","❔ Без категории",INDEX(lst_exp_item_cat,MATCH(E4557,lst_exp_items,0))),"❔ Без категории"))</f>
        <v/>
      </c>
      <c r="G4557" s="43" t="n"/>
      <c r="H4557" s="56" t="n"/>
      <c r="I4557" s="43" t="n"/>
      <c r="J4557" s="57">
        <f>IF(OR(A4557="",H4557=""),"",IF(COUNTIFS(exp_year,C4557,exp_month,D4557,exp_item,E4557,exp_status,"&lt;&gt;❌ Отменено")&gt;0,1,0))</f>
        <v/>
      </c>
    </row>
    <row r="4558">
      <c r="A4558" s="52" t="n"/>
      <c r="B4558" s="53">
        <f>IF(A4558="","",CHOOSE(WEEKDAY(A4558,2),"Пн","Вт","Ср","Чт","Пт","Сб","Вс"))</f>
        <v/>
      </c>
      <c r="C4558" s="53">
        <f>IF(A4558="","",YEAR(A4558))</f>
        <v/>
      </c>
      <c r="D4558" s="54">
        <f>IF(A4558="","",INDEX(lst_months,MONTH(A4558)))</f>
        <v/>
      </c>
      <c r="E4558" s="55" t="n"/>
      <c r="F4558" s="54">
        <f>IF(E4558="","",IFERROR(IF(INDEX(lst_exp_item_cat,MATCH(E4558,lst_exp_items,0))="","❔ Без категории",INDEX(lst_exp_item_cat,MATCH(E4558,lst_exp_items,0))),"❔ Без категории"))</f>
        <v/>
      </c>
      <c r="G4558" s="43" t="n"/>
      <c r="H4558" s="56" t="n"/>
      <c r="I4558" s="43" t="n"/>
      <c r="J4558" s="57">
        <f>IF(OR(A4558="",H4558=""),"",IF(COUNTIFS(exp_year,C4558,exp_month,D4558,exp_item,E4558,exp_status,"&lt;&gt;❌ Отменено")&gt;0,1,0))</f>
        <v/>
      </c>
    </row>
    <row r="4559">
      <c r="A4559" s="52" t="n"/>
      <c r="B4559" s="53">
        <f>IF(A4559="","",CHOOSE(WEEKDAY(A4559,2),"Пн","Вт","Ср","Чт","Пт","Сб","Вс"))</f>
        <v/>
      </c>
      <c r="C4559" s="53">
        <f>IF(A4559="","",YEAR(A4559))</f>
        <v/>
      </c>
      <c r="D4559" s="54">
        <f>IF(A4559="","",INDEX(lst_months,MONTH(A4559)))</f>
        <v/>
      </c>
      <c r="E4559" s="55" t="n"/>
      <c r="F4559" s="54">
        <f>IF(E4559="","",IFERROR(IF(INDEX(lst_exp_item_cat,MATCH(E4559,lst_exp_items,0))="","❔ Без категории",INDEX(lst_exp_item_cat,MATCH(E4559,lst_exp_items,0))),"❔ Без категории"))</f>
        <v/>
      </c>
      <c r="G4559" s="43" t="n"/>
      <c r="H4559" s="56" t="n"/>
      <c r="I4559" s="43" t="n"/>
      <c r="J4559" s="57">
        <f>IF(OR(A4559="",H4559=""),"",IF(COUNTIFS(exp_year,C4559,exp_month,D4559,exp_item,E4559,exp_status,"&lt;&gt;❌ Отменено")&gt;0,1,0))</f>
        <v/>
      </c>
    </row>
    <row r="4560">
      <c r="A4560" s="52" t="n"/>
      <c r="B4560" s="53">
        <f>IF(A4560="","",CHOOSE(WEEKDAY(A4560,2),"Пн","Вт","Ср","Чт","Пт","Сб","Вс"))</f>
        <v/>
      </c>
      <c r="C4560" s="53">
        <f>IF(A4560="","",YEAR(A4560))</f>
        <v/>
      </c>
      <c r="D4560" s="54">
        <f>IF(A4560="","",INDEX(lst_months,MONTH(A4560)))</f>
        <v/>
      </c>
      <c r="E4560" s="55" t="n"/>
      <c r="F4560" s="54">
        <f>IF(E4560="","",IFERROR(IF(INDEX(lst_exp_item_cat,MATCH(E4560,lst_exp_items,0))="","❔ Без категории",INDEX(lst_exp_item_cat,MATCH(E4560,lst_exp_items,0))),"❔ Без категории"))</f>
        <v/>
      </c>
      <c r="G4560" s="43" t="n"/>
      <c r="H4560" s="56" t="n"/>
      <c r="I4560" s="43" t="n"/>
      <c r="J4560" s="57">
        <f>IF(OR(A4560="",H4560=""),"",IF(COUNTIFS(exp_year,C4560,exp_month,D4560,exp_item,E4560,exp_status,"&lt;&gt;❌ Отменено")&gt;0,1,0))</f>
        <v/>
      </c>
    </row>
    <row r="4561">
      <c r="A4561" s="52" t="n"/>
      <c r="B4561" s="53">
        <f>IF(A4561="","",CHOOSE(WEEKDAY(A4561,2),"Пн","Вт","Ср","Чт","Пт","Сб","Вс"))</f>
        <v/>
      </c>
      <c r="C4561" s="53">
        <f>IF(A4561="","",YEAR(A4561))</f>
        <v/>
      </c>
      <c r="D4561" s="54">
        <f>IF(A4561="","",INDEX(lst_months,MONTH(A4561)))</f>
        <v/>
      </c>
      <c r="E4561" s="55" t="n"/>
      <c r="F4561" s="54">
        <f>IF(E4561="","",IFERROR(IF(INDEX(lst_exp_item_cat,MATCH(E4561,lst_exp_items,0))="","❔ Без категории",INDEX(lst_exp_item_cat,MATCH(E4561,lst_exp_items,0))),"❔ Без категории"))</f>
        <v/>
      </c>
      <c r="G4561" s="43" t="n"/>
      <c r="H4561" s="56" t="n"/>
      <c r="I4561" s="43" t="n"/>
      <c r="J4561" s="57">
        <f>IF(OR(A4561="",H4561=""),"",IF(COUNTIFS(exp_year,C4561,exp_month,D4561,exp_item,E4561,exp_status,"&lt;&gt;❌ Отменено")&gt;0,1,0))</f>
        <v/>
      </c>
    </row>
    <row r="4562">
      <c r="A4562" s="52" t="n"/>
      <c r="B4562" s="53">
        <f>IF(A4562="","",CHOOSE(WEEKDAY(A4562,2),"Пн","Вт","Ср","Чт","Пт","Сб","Вс"))</f>
        <v/>
      </c>
      <c r="C4562" s="53">
        <f>IF(A4562="","",YEAR(A4562))</f>
        <v/>
      </c>
      <c r="D4562" s="54">
        <f>IF(A4562="","",INDEX(lst_months,MONTH(A4562)))</f>
        <v/>
      </c>
      <c r="E4562" s="55" t="n"/>
      <c r="F4562" s="54">
        <f>IF(E4562="","",IFERROR(IF(INDEX(lst_exp_item_cat,MATCH(E4562,lst_exp_items,0))="","❔ Без категории",INDEX(lst_exp_item_cat,MATCH(E4562,lst_exp_items,0))),"❔ Без категории"))</f>
        <v/>
      </c>
      <c r="G4562" s="43" t="n"/>
      <c r="H4562" s="56" t="n"/>
      <c r="I4562" s="43" t="n"/>
      <c r="J4562" s="57">
        <f>IF(OR(A4562="",H4562=""),"",IF(COUNTIFS(exp_year,C4562,exp_month,D4562,exp_item,E4562,exp_status,"&lt;&gt;❌ Отменено")&gt;0,1,0))</f>
        <v/>
      </c>
    </row>
    <row r="4563">
      <c r="A4563" s="52" t="n"/>
      <c r="B4563" s="53">
        <f>IF(A4563="","",CHOOSE(WEEKDAY(A4563,2),"Пн","Вт","Ср","Чт","Пт","Сб","Вс"))</f>
        <v/>
      </c>
      <c r="C4563" s="53">
        <f>IF(A4563="","",YEAR(A4563))</f>
        <v/>
      </c>
      <c r="D4563" s="54">
        <f>IF(A4563="","",INDEX(lst_months,MONTH(A4563)))</f>
        <v/>
      </c>
      <c r="E4563" s="55" t="n"/>
      <c r="F4563" s="54">
        <f>IF(E4563="","",IFERROR(IF(INDEX(lst_exp_item_cat,MATCH(E4563,lst_exp_items,0))="","❔ Без категории",INDEX(lst_exp_item_cat,MATCH(E4563,lst_exp_items,0))),"❔ Без категории"))</f>
        <v/>
      </c>
      <c r="G4563" s="43" t="n"/>
      <c r="H4563" s="56" t="n"/>
      <c r="I4563" s="43" t="n"/>
      <c r="J4563" s="57">
        <f>IF(OR(A4563="",H4563=""),"",IF(COUNTIFS(exp_year,C4563,exp_month,D4563,exp_item,E4563,exp_status,"&lt;&gt;❌ Отменено")&gt;0,1,0))</f>
        <v/>
      </c>
    </row>
    <row r="4564">
      <c r="A4564" s="52" t="n"/>
      <c r="B4564" s="53">
        <f>IF(A4564="","",CHOOSE(WEEKDAY(A4564,2),"Пн","Вт","Ср","Чт","Пт","Сб","Вс"))</f>
        <v/>
      </c>
      <c r="C4564" s="53">
        <f>IF(A4564="","",YEAR(A4564))</f>
        <v/>
      </c>
      <c r="D4564" s="54">
        <f>IF(A4564="","",INDEX(lst_months,MONTH(A4564)))</f>
        <v/>
      </c>
      <c r="E4564" s="55" t="n"/>
      <c r="F4564" s="54">
        <f>IF(E4564="","",IFERROR(IF(INDEX(lst_exp_item_cat,MATCH(E4564,lst_exp_items,0))="","❔ Без категории",INDEX(lst_exp_item_cat,MATCH(E4564,lst_exp_items,0))),"❔ Без категории"))</f>
        <v/>
      </c>
      <c r="G4564" s="43" t="n"/>
      <c r="H4564" s="56" t="n"/>
      <c r="I4564" s="43" t="n"/>
      <c r="J4564" s="57">
        <f>IF(OR(A4564="",H4564=""),"",IF(COUNTIFS(exp_year,C4564,exp_month,D4564,exp_item,E4564,exp_status,"&lt;&gt;❌ Отменено")&gt;0,1,0))</f>
        <v/>
      </c>
    </row>
    <row r="4565">
      <c r="A4565" s="52" t="n"/>
      <c r="B4565" s="53">
        <f>IF(A4565="","",CHOOSE(WEEKDAY(A4565,2),"Пн","Вт","Ср","Чт","Пт","Сб","Вс"))</f>
        <v/>
      </c>
      <c r="C4565" s="53">
        <f>IF(A4565="","",YEAR(A4565))</f>
        <v/>
      </c>
      <c r="D4565" s="54">
        <f>IF(A4565="","",INDEX(lst_months,MONTH(A4565)))</f>
        <v/>
      </c>
      <c r="E4565" s="55" t="n"/>
      <c r="F4565" s="54">
        <f>IF(E4565="","",IFERROR(IF(INDEX(lst_exp_item_cat,MATCH(E4565,lst_exp_items,0))="","❔ Без категории",INDEX(lst_exp_item_cat,MATCH(E4565,lst_exp_items,0))),"❔ Без категории"))</f>
        <v/>
      </c>
      <c r="G4565" s="43" t="n"/>
      <c r="H4565" s="56" t="n"/>
      <c r="I4565" s="43" t="n"/>
      <c r="J4565" s="57">
        <f>IF(OR(A4565="",H4565=""),"",IF(COUNTIFS(exp_year,C4565,exp_month,D4565,exp_item,E4565,exp_status,"&lt;&gt;❌ Отменено")&gt;0,1,0))</f>
        <v/>
      </c>
    </row>
    <row r="4566">
      <c r="A4566" s="52" t="n"/>
      <c r="B4566" s="53">
        <f>IF(A4566="","",CHOOSE(WEEKDAY(A4566,2),"Пн","Вт","Ср","Чт","Пт","Сб","Вс"))</f>
        <v/>
      </c>
      <c r="C4566" s="53">
        <f>IF(A4566="","",YEAR(A4566))</f>
        <v/>
      </c>
      <c r="D4566" s="54">
        <f>IF(A4566="","",INDEX(lst_months,MONTH(A4566)))</f>
        <v/>
      </c>
      <c r="E4566" s="55" t="n"/>
      <c r="F4566" s="54">
        <f>IF(E4566="","",IFERROR(IF(INDEX(lst_exp_item_cat,MATCH(E4566,lst_exp_items,0))="","❔ Без категории",INDEX(lst_exp_item_cat,MATCH(E4566,lst_exp_items,0))),"❔ Без категории"))</f>
        <v/>
      </c>
      <c r="G4566" s="43" t="n"/>
      <c r="H4566" s="56" t="n"/>
      <c r="I4566" s="43" t="n"/>
      <c r="J4566" s="57">
        <f>IF(OR(A4566="",H4566=""),"",IF(COUNTIFS(exp_year,C4566,exp_month,D4566,exp_item,E4566,exp_status,"&lt;&gt;❌ Отменено")&gt;0,1,0))</f>
        <v/>
      </c>
    </row>
    <row r="4567">
      <c r="A4567" s="52" t="n"/>
      <c r="B4567" s="53">
        <f>IF(A4567="","",CHOOSE(WEEKDAY(A4567,2),"Пн","Вт","Ср","Чт","Пт","Сб","Вс"))</f>
        <v/>
      </c>
      <c r="C4567" s="53">
        <f>IF(A4567="","",YEAR(A4567))</f>
        <v/>
      </c>
      <c r="D4567" s="54">
        <f>IF(A4567="","",INDEX(lst_months,MONTH(A4567)))</f>
        <v/>
      </c>
      <c r="E4567" s="55" t="n"/>
      <c r="F4567" s="54">
        <f>IF(E4567="","",IFERROR(IF(INDEX(lst_exp_item_cat,MATCH(E4567,lst_exp_items,0))="","❔ Без категории",INDEX(lst_exp_item_cat,MATCH(E4567,lst_exp_items,0))),"❔ Без категории"))</f>
        <v/>
      </c>
      <c r="G4567" s="43" t="n"/>
      <c r="H4567" s="56" t="n"/>
      <c r="I4567" s="43" t="n"/>
      <c r="J4567" s="57">
        <f>IF(OR(A4567="",H4567=""),"",IF(COUNTIFS(exp_year,C4567,exp_month,D4567,exp_item,E4567,exp_status,"&lt;&gt;❌ Отменено")&gt;0,1,0))</f>
        <v/>
      </c>
    </row>
    <row r="4568">
      <c r="A4568" s="52" t="n"/>
      <c r="B4568" s="53">
        <f>IF(A4568="","",CHOOSE(WEEKDAY(A4568,2),"Пн","Вт","Ср","Чт","Пт","Сб","Вс"))</f>
        <v/>
      </c>
      <c r="C4568" s="53">
        <f>IF(A4568="","",YEAR(A4568))</f>
        <v/>
      </c>
      <c r="D4568" s="54">
        <f>IF(A4568="","",INDEX(lst_months,MONTH(A4568)))</f>
        <v/>
      </c>
      <c r="E4568" s="55" t="n"/>
      <c r="F4568" s="54">
        <f>IF(E4568="","",IFERROR(IF(INDEX(lst_exp_item_cat,MATCH(E4568,lst_exp_items,0))="","❔ Без категории",INDEX(lst_exp_item_cat,MATCH(E4568,lst_exp_items,0))),"❔ Без категории"))</f>
        <v/>
      </c>
      <c r="G4568" s="43" t="n"/>
      <c r="H4568" s="56" t="n"/>
      <c r="I4568" s="43" t="n"/>
      <c r="J4568" s="57">
        <f>IF(OR(A4568="",H4568=""),"",IF(COUNTIFS(exp_year,C4568,exp_month,D4568,exp_item,E4568,exp_status,"&lt;&gt;❌ Отменено")&gt;0,1,0))</f>
        <v/>
      </c>
    </row>
    <row r="4569">
      <c r="A4569" s="52" t="n"/>
      <c r="B4569" s="53">
        <f>IF(A4569="","",CHOOSE(WEEKDAY(A4569,2),"Пн","Вт","Ср","Чт","Пт","Сб","Вс"))</f>
        <v/>
      </c>
      <c r="C4569" s="53">
        <f>IF(A4569="","",YEAR(A4569))</f>
        <v/>
      </c>
      <c r="D4569" s="54">
        <f>IF(A4569="","",INDEX(lst_months,MONTH(A4569)))</f>
        <v/>
      </c>
      <c r="E4569" s="55" t="n"/>
      <c r="F4569" s="54">
        <f>IF(E4569="","",IFERROR(IF(INDEX(lst_exp_item_cat,MATCH(E4569,lst_exp_items,0))="","❔ Без категории",INDEX(lst_exp_item_cat,MATCH(E4569,lst_exp_items,0))),"❔ Без категории"))</f>
        <v/>
      </c>
      <c r="G4569" s="43" t="n"/>
      <c r="H4569" s="56" t="n"/>
      <c r="I4569" s="43" t="n"/>
      <c r="J4569" s="57">
        <f>IF(OR(A4569="",H4569=""),"",IF(COUNTIFS(exp_year,C4569,exp_month,D4569,exp_item,E4569,exp_status,"&lt;&gt;❌ Отменено")&gt;0,1,0))</f>
        <v/>
      </c>
    </row>
    <row r="4570">
      <c r="A4570" s="52" t="n"/>
      <c r="B4570" s="53">
        <f>IF(A4570="","",CHOOSE(WEEKDAY(A4570,2),"Пн","Вт","Ср","Чт","Пт","Сб","Вс"))</f>
        <v/>
      </c>
      <c r="C4570" s="53">
        <f>IF(A4570="","",YEAR(A4570))</f>
        <v/>
      </c>
      <c r="D4570" s="54">
        <f>IF(A4570="","",INDEX(lst_months,MONTH(A4570)))</f>
        <v/>
      </c>
      <c r="E4570" s="55" t="n"/>
      <c r="F4570" s="54">
        <f>IF(E4570="","",IFERROR(IF(INDEX(lst_exp_item_cat,MATCH(E4570,lst_exp_items,0))="","❔ Без категории",INDEX(lst_exp_item_cat,MATCH(E4570,lst_exp_items,0))),"❔ Без категории"))</f>
        <v/>
      </c>
      <c r="G4570" s="43" t="n"/>
      <c r="H4570" s="56" t="n"/>
      <c r="I4570" s="43" t="n"/>
      <c r="J4570" s="57">
        <f>IF(OR(A4570="",H4570=""),"",IF(COUNTIFS(exp_year,C4570,exp_month,D4570,exp_item,E4570,exp_status,"&lt;&gt;❌ Отменено")&gt;0,1,0))</f>
        <v/>
      </c>
    </row>
    <row r="4571">
      <c r="A4571" s="52" t="n"/>
      <c r="B4571" s="53">
        <f>IF(A4571="","",CHOOSE(WEEKDAY(A4571,2),"Пн","Вт","Ср","Чт","Пт","Сб","Вс"))</f>
        <v/>
      </c>
      <c r="C4571" s="53">
        <f>IF(A4571="","",YEAR(A4571))</f>
        <v/>
      </c>
      <c r="D4571" s="54">
        <f>IF(A4571="","",INDEX(lst_months,MONTH(A4571)))</f>
        <v/>
      </c>
      <c r="E4571" s="55" t="n"/>
      <c r="F4571" s="54">
        <f>IF(E4571="","",IFERROR(IF(INDEX(lst_exp_item_cat,MATCH(E4571,lst_exp_items,0))="","❔ Без категории",INDEX(lst_exp_item_cat,MATCH(E4571,lst_exp_items,0))),"❔ Без категории"))</f>
        <v/>
      </c>
      <c r="G4571" s="43" t="n"/>
      <c r="H4571" s="56" t="n"/>
      <c r="I4571" s="43" t="n"/>
      <c r="J4571" s="57">
        <f>IF(OR(A4571="",H4571=""),"",IF(COUNTIFS(exp_year,C4571,exp_month,D4571,exp_item,E4571,exp_status,"&lt;&gt;❌ Отменено")&gt;0,1,0))</f>
        <v/>
      </c>
    </row>
    <row r="4572">
      <c r="A4572" s="52" t="n"/>
      <c r="B4572" s="53">
        <f>IF(A4572="","",CHOOSE(WEEKDAY(A4572,2),"Пн","Вт","Ср","Чт","Пт","Сб","Вс"))</f>
        <v/>
      </c>
      <c r="C4572" s="53">
        <f>IF(A4572="","",YEAR(A4572))</f>
        <v/>
      </c>
      <c r="D4572" s="54">
        <f>IF(A4572="","",INDEX(lst_months,MONTH(A4572)))</f>
        <v/>
      </c>
      <c r="E4572" s="55" t="n"/>
      <c r="F4572" s="54">
        <f>IF(E4572="","",IFERROR(IF(INDEX(lst_exp_item_cat,MATCH(E4572,lst_exp_items,0))="","❔ Без категории",INDEX(lst_exp_item_cat,MATCH(E4572,lst_exp_items,0))),"❔ Без категории"))</f>
        <v/>
      </c>
      <c r="G4572" s="43" t="n"/>
      <c r="H4572" s="56" t="n"/>
      <c r="I4572" s="43" t="n"/>
      <c r="J4572" s="57">
        <f>IF(OR(A4572="",H4572=""),"",IF(COUNTIFS(exp_year,C4572,exp_month,D4572,exp_item,E4572,exp_status,"&lt;&gt;❌ Отменено")&gt;0,1,0))</f>
        <v/>
      </c>
    </row>
    <row r="4573">
      <c r="A4573" s="52" t="n"/>
      <c r="B4573" s="53">
        <f>IF(A4573="","",CHOOSE(WEEKDAY(A4573,2),"Пн","Вт","Ср","Чт","Пт","Сб","Вс"))</f>
        <v/>
      </c>
      <c r="C4573" s="53">
        <f>IF(A4573="","",YEAR(A4573))</f>
        <v/>
      </c>
      <c r="D4573" s="54">
        <f>IF(A4573="","",INDEX(lst_months,MONTH(A4573)))</f>
        <v/>
      </c>
      <c r="E4573" s="55" t="n"/>
      <c r="F4573" s="54">
        <f>IF(E4573="","",IFERROR(IF(INDEX(lst_exp_item_cat,MATCH(E4573,lst_exp_items,0))="","❔ Без категории",INDEX(lst_exp_item_cat,MATCH(E4573,lst_exp_items,0))),"❔ Без категории"))</f>
        <v/>
      </c>
      <c r="G4573" s="43" t="n"/>
      <c r="H4573" s="56" t="n"/>
      <c r="I4573" s="43" t="n"/>
      <c r="J4573" s="57">
        <f>IF(OR(A4573="",H4573=""),"",IF(COUNTIFS(exp_year,C4573,exp_month,D4573,exp_item,E4573,exp_status,"&lt;&gt;❌ Отменено")&gt;0,1,0))</f>
        <v/>
      </c>
    </row>
    <row r="4574">
      <c r="A4574" s="52" t="n"/>
      <c r="B4574" s="53">
        <f>IF(A4574="","",CHOOSE(WEEKDAY(A4574,2),"Пн","Вт","Ср","Чт","Пт","Сб","Вс"))</f>
        <v/>
      </c>
      <c r="C4574" s="53">
        <f>IF(A4574="","",YEAR(A4574))</f>
        <v/>
      </c>
      <c r="D4574" s="54">
        <f>IF(A4574="","",INDEX(lst_months,MONTH(A4574)))</f>
        <v/>
      </c>
      <c r="E4574" s="55" t="n"/>
      <c r="F4574" s="54">
        <f>IF(E4574="","",IFERROR(IF(INDEX(lst_exp_item_cat,MATCH(E4574,lst_exp_items,0))="","❔ Без категории",INDEX(lst_exp_item_cat,MATCH(E4574,lst_exp_items,0))),"❔ Без категории"))</f>
        <v/>
      </c>
      <c r="G4574" s="43" t="n"/>
      <c r="H4574" s="56" t="n"/>
      <c r="I4574" s="43" t="n"/>
      <c r="J4574" s="57">
        <f>IF(OR(A4574="",H4574=""),"",IF(COUNTIFS(exp_year,C4574,exp_month,D4574,exp_item,E4574,exp_status,"&lt;&gt;❌ Отменено")&gt;0,1,0))</f>
        <v/>
      </c>
    </row>
    <row r="4575">
      <c r="A4575" s="52" t="n"/>
      <c r="B4575" s="53">
        <f>IF(A4575="","",CHOOSE(WEEKDAY(A4575,2),"Пн","Вт","Ср","Чт","Пт","Сб","Вс"))</f>
        <v/>
      </c>
      <c r="C4575" s="53">
        <f>IF(A4575="","",YEAR(A4575))</f>
        <v/>
      </c>
      <c r="D4575" s="54">
        <f>IF(A4575="","",INDEX(lst_months,MONTH(A4575)))</f>
        <v/>
      </c>
      <c r="E4575" s="55" t="n"/>
      <c r="F4575" s="54">
        <f>IF(E4575="","",IFERROR(IF(INDEX(lst_exp_item_cat,MATCH(E4575,lst_exp_items,0))="","❔ Без категории",INDEX(lst_exp_item_cat,MATCH(E4575,lst_exp_items,0))),"❔ Без категории"))</f>
        <v/>
      </c>
      <c r="G4575" s="43" t="n"/>
      <c r="H4575" s="56" t="n"/>
      <c r="I4575" s="43" t="n"/>
      <c r="J4575" s="57">
        <f>IF(OR(A4575="",H4575=""),"",IF(COUNTIFS(exp_year,C4575,exp_month,D4575,exp_item,E4575,exp_status,"&lt;&gt;❌ Отменено")&gt;0,1,0))</f>
        <v/>
      </c>
    </row>
    <row r="4576">
      <c r="A4576" s="52" t="n"/>
      <c r="B4576" s="53">
        <f>IF(A4576="","",CHOOSE(WEEKDAY(A4576,2),"Пн","Вт","Ср","Чт","Пт","Сб","Вс"))</f>
        <v/>
      </c>
      <c r="C4576" s="53">
        <f>IF(A4576="","",YEAR(A4576))</f>
        <v/>
      </c>
      <c r="D4576" s="54">
        <f>IF(A4576="","",INDEX(lst_months,MONTH(A4576)))</f>
        <v/>
      </c>
      <c r="E4576" s="55" t="n"/>
      <c r="F4576" s="54">
        <f>IF(E4576="","",IFERROR(IF(INDEX(lst_exp_item_cat,MATCH(E4576,lst_exp_items,0))="","❔ Без категории",INDEX(lst_exp_item_cat,MATCH(E4576,lst_exp_items,0))),"❔ Без категории"))</f>
        <v/>
      </c>
      <c r="G4576" s="43" t="n"/>
      <c r="H4576" s="56" t="n"/>
      <c r="I4576" s="43" t="n"/>
      <c r="J4576" s="57">
        <f>IF(OR(A4576="",H4576=""),"",IF(COUNTIFS(exp_year,C4576,exp_month,D4576,exp_item,E4576,exp_status,"&lt;&gt;❌ Отменено")&gt;0,1,0))</f>
        <v/>
      </c>
    </row>
    <row r="4577">
      <c r="A4577" s="52" t="n"/>
      <c r="B4577" s="53">
        <f>IF(A4577="","",CHOOSE(WEEKDAY(A4577,2),"Пн","Вт","Ср","Чт","Пт","Сб","Вс"))</f>
        <v/>
      </c>
      <c r="C4577" s="53">
        <f>IF(A4577="","",YEAR(A4577))</f>
        <v/>
      </c>
      <c r="D4577" s="54">
        <f>IF(A4577="","",INDEX(lst_months,MONTH(A4577)))</f>
        <v/>
      </c>
      <c r="E4577" s="55" t="n"/>
      <c r="F4577" s="54">
        <f>IF(E4577="","",IFERROR(IF(INDEX(lst_exp_item_cat,MATCH(E4577,lst_exp_items,0))="","❔ Без категории",INDEX(lst_exp_item_cat,MATCH(E4577,lst_exp_items,0))),"❔ Без категории"))</f>
        <v/>
      </c>
      <c r="G4577" s="43" t="n"/>
      <c r="H4577" s="56" t="n"/>
      <c r="I4577" s="43" t="n"/>
      <c r="J4577" s="57">
        <f>IF(OR(A4577="",H4577=""),"",IF(COUNTIFS(exp_year,C4577,exp_month,D4577,exp_item,E4577,exp_status,"&lt;&gt;❌ Отменено")&gt;0,1,0))</f>
        <v/>
      </c>
    </row>
    <row r="4578">
      <c r="A4578" s="52" t="n"/>
      <c r="B4578" s="53">
        <f>IF(A4578="","",CHOOSE(WEEKDAY(A4578,2),"Пн","Вт","Ср","Чт","Пт","Сб","Вс"))</f>
        <v/>
      </c>
      <c r="C4578" s="53">
        <f>IF(A4578="","",YEAR(A4578))</f>
        <v/>
      </c>
      <c r="D4578" s="54">
        <f>IF(A4578="","",INDEX(lst_months,MONTH(A4578)))</f>
        <v/>
      </c>
      <c r="E4578" s="55" t="n"/>
      <c r="F4578" s="54">
        <f>IF(E4578="","",IFERROR(IF(INDEX(lst_exp_item_cat,MATCH(E4578,lst_exp_items,0))="","❔ Без категории",INDEX(lst_exp_item_cat,MATCH(E4578,lst_exp_items,0))),"❔ Без категории"))</f>
        <v/>
      </c>
      <c r="G4578" s="43" t="n"/>
      <c r="H4578" s="56" t="n"/>
      <c r="I4578" s="43" t="n"/>
      <c r="J4578" s="57">
        <f>IF(OR(A4578="",H4578=""),"",IF(COUNTIFS(exp_year,C4578,exp_month,D4578,exp_item,E4578,exp_status,"&lt;&gt;❌ Отменено")&gt;0,1,0))</f>
        <v/>
      </c>
    </row>
    <row r="4579">
      <c r="A4579" s="52" t="n"/>
      <c r="B4579" s="53">
        <f>IF(A4579="","",CHOOSE(WEEKDAY(A4579,2),"Пн","Вт","Ср","Чт","Пт","Сб","Вс"))</f>
        <v/>
      </c>
      <c r="C4579" s="53">
        <f>IF(A4579="","",YEAR(A4579))</f>
        <v/>
      </c>
      <c r="D4579" s="54">
        <f>IF(A4579="","",INDEX(lst_months,MONTH(A4579)))</f>
        <v/>
      </c>
      <c r="E4579" s="55" t="n"/>
      <c r="F4579" s="54">
        <f>IF(E4579="","",IFERROR(IF(INDEX(lst_exp_item_cat,MATCH(E4579,lst_exp_items,0))="","❔ Без категории",INDEX(lst_exp_item_cat,MATCH(E4579,lst_exp_items,0))),"❔ Без категории"))</f>
        <v/>
      </c>
      <c r="G4579" s="43" t="n"/>
      <c r="H4579" s="56" t="n"/>
      <c r="I4579" s="43" t="n"/>
      <c r="J4579" s="57">
        <f>IF(OR(A4579="",H4579=""),"",IF(COUNTIFS(exp_year,C4579,exp_month,D4579,exp_item,E4579,exp_status,"&lt;&gt;❌ Отменено")&gt;0,1,0))</f>
        <v/>
      </c>
    </row>
    <row r="4580">
      <c r="A4580" s="52" t="n"/>
      <c r="B4580" s="53">
        <f>IF(A4580="","",CHOOSE(WEEKDAY(A4580,2),"Пн","Вт","Ср","Чт","Пт","Сб","Вс"))</f>
        <v/>
      </c>
      <c r="C4580" s="53">
        <f>IF(A4580="","",YEAR(A4580))</f>
        <v/>
      </c>
      <c r="D4580" s="54">
        <f>IF(A4580="","",INDEX(lst_months,MONTH(A4580)))</f>
        <v/>
      </c>
      <c r="E4580" s="55" t="n"/>
      <c r="F4580" s="54">
        <f>IF(E4580="","",IFERROR(IF(INDEX(lst_exp_item_cat,MATCH(E4580,lst_exp_items,0))="","❔ Без категории",INDEX(lst_exp_item_cat,MATCH(E4580,lst_exp_items,0))),"❔ Без категории"))</f>
        <v/>
      </c>
      <c r="G4580" s="43" t="n"/>
      <c r="H4580" s="56" t="n"/>
      <c r="I4580" s="43" t="n"/>
      <c r="J4580" s="57">
        <f>IF(OR(A4580="",H4580=""),"",IF(COUNTIFS(exp_year,C4580,exp_month,D4580,exp_item,E4580,exp_status,"&lt;&gt;❌ Отменено")&gt;0,1,0))</f>
        <v/>
      </c>
    </row>
    <row r="4581">
      <c r="A4581" s="52" t="n"/>
      <c r="B4581" s="53">
        <f>IF(A4581="","",CHOOSE(WEEKDAY(A4581,2),"Пн","Вт","Ср","Чт","Пт","Сб","Вс"))</f>
        <v/>
      </c>
      <c r="C4581" s="53">
        <f>IF(A4581="","",YEAR(A4581))</f>
        <v/>
      </c>
      <c r="D4581" s="54">
        <f>IF(A4581="","",INDEX(lst_months,MONTH(A4581)))</f>
        <v/>
      </c>
      <c r="E4581" s="55" t="n"/>
      <c r="F4581" s="54">
        <f>IF(E4581="","",IFERROR(IF(INDEX(lst_exp_item_cat,MATCH(E4581,lst_exp_items,0))="","❔ Без категории",INDEX(lst_exp_item_cat,MATCH(E4581,lst_exp_items,0))),"❔ Без категории"))</f>
        <v/>
      </c>
      <c r="G4581" s="43" t="n"/>
      <c r="H4581" s="56" t="n"/>
      <c r="I4581" s="43" t="n"/>
      <c r="J4581" s="57">
        <f>IF(OR(A4581="",H4581=""),"",IF(COUNTIFS(exp_year,C4581,exp_month,D4581,exp_item,E4581,exp_status,"&lt;&gt;❌ Отменено")&gt;0,1,0))</f>
        <v/>
      </c>
    </row>
    <row r="4582">
      <c r="A4582" s="52" t="n"/>
      <c r="B4582" s="53">
        <f>IF(A4582="","",CHOOSE(WEEKDAY(A4582,2),"Пн","Вт","Ср","Чт","Пт","Сб","Вс"))</f>
        <v/>
      </c>
      <c r="C4582" s="53">
        <f>IF(A4582="","",YEAR(A4582))</f>
        <v/>
      </c>
      <c r="D4582" s="54">
        <f>IF(A4582="","",INDEX(lst_months,MONTH(A4582)))</f>
        <v/>
      </c>
      <c r="E4582" s="55" t="n"/>
      <c r="F4582" s="54">
        <f>IF(E4582="","",IFERROR(IF(INDEX(lst_exp_item_cat,MATCH(E4582,lst_exp_items,0))="","❔ Без категории",INDEX(lst_exp_item_cat,MATCH(E4582,lst_exp_items,0))),"❔ Без категории"))</f>
        <v/>
      </c>
      <c r="G4582" s="43" t="n"/>
      <c r="H4582" s="56" t="n"/>
      <c r="I4582" s="43" t="n"/>
      <c r="J4582" s="57">
        <f>IF(OR(A4582="",H4582=""),"",IF(COUNTIFS(exp_year,C4582,exp_month,D4582,exp_item,E4582,exp_status,"&lt;&gt;❌ Отменено")&gt;0,1,0))</f>
        <v/>
      </c>
    </row>
    <row r="4583">
      <c r="A4583" s="52" t="n"/>
      <c r="B4583" s="53">
        <f>IF(A4583="","",CHOOSE(WEEKDAY(A4583,2),"Пн","Вт","Ср","Чт","Пт","Сб","Вс"))</f>
        <v/>
      </c>
      <c r="C4583" s="53">
        <f>IF(A4583="","",YEAR(A4583))</f>
        <v/>
      </c>
      <c r="D4583" s="54">
        <f>IF(A4583="","",INDEX(lst_months,MONTH(A4583)))</f>
        <v/>
      </c>
      <c r="E4583" s="55" t="n"/>
      <c r="F4583" s="54">
        <f>IF(E4583="","",IFERROR(IF(INDEX(lst_exp_item_cat,MATCH(E4583,lst_exp_items,0))="","❔ Без категории",INDEX(lst_exp_item_cat,MATCH(E4583,lst_exp_items,0))),"❔ Без категории"))</f>
        <v/>
      </c>
      <c r="G4583" s="43" t="n"/>
      <c r="H4583" s="56" t="n"/>
      <c r="I4583" s="43" t="n"/>
      <c r="J4583" s="57">
        <f>IF(OR(A4583="",H4583=""),"",IF(COUNTIFS(exp_year,C4583,exp_month,D4583,exp_item,E4583,exp_status,"&lt;&gt;❌ Отменено")&gt;0,1,0))</f>
        <v/>
      </c>
    </row>
    <row r="4584">
      <c r="A4584" s="52" t="n"/>
      <c r="B4584" s="53">
        <f>IF(A4584="","",CHOOSE(WEEKDAY(A4584,2),"Пн","Вт","Ср","Чт","Пт","Сб","Вс"))</f>
        <v/>
      </c>
      <c r="C4584" s="53">
        <f>IF(A4584="","",YEAR(A4584))</f>
        <v/>
      </c>
      <c r="D4584" s="54">
        <f>IF(A4584="","",INDEX(lst_months,MONTH(A4584)))</f>
        <v/>
      </c>
      <c r="E4584" s="55" t="n"/>
      <c r="F4584" s="54">
        <f>IF(E4584="","",IFERROR(IF(INDEX(lst_exp_item_cat,MATCH(E4584,lst_exp_items,0))="","❔ Без категории",INDEX(lst_exp_item_cat,MATCH(E4584,lst_exp_items,0))),"❔ Без категории"))</f>
        <v/>
      </c>
      <c r="G4584" s="43" t="n"/>
      <c r="H4584" s="56" t="n"/>
      <c r="I4584" s="43" t="n"/>
      <c r="J4584" s="57">
        <f>IF(OR(A4584="",H4584=""),"",IF(COUNTIFS(exp_year,C4584,exp_month,D4584,exp_item,E4584,exp_status,"&lt;&gt;❌ Отменено")&gt;0,1,0))</f>
        <v/>
      </c>
    </row>
    <row r="4585">
      <c r="A4585" s="52" t="n"/>
      <c r="B4585" s="53">
        <f>IF(A4585="","",CHOOSE(WEEKDAY(A4585,2),"Пн","Вт","Ср","Чт","Пт","Сб","Вс"))</f>
        <v/>
      </c>
      <c r="C4585" s="53">
        <f>IF(A4585="","",YEAR(A4585))</f>
        <v/>
      </c>
      <c r="D4585" s="54">
        <f>IF(A4585="","",INDEX(lst_months,MONTH(A4585)))</f>
        <v/>
      </c>
      <c r="E4585" s="55" t="n"/>
      <c r="F4585" s="54">
        <f>IF(E4585="","",IFERROR(IF(INDEX(lst_exp_item_cat,MATCH(E4585,lst_exp_items,0))="","❔ Без категории",INDEX(lst_exp_item_cat,MATCH(E4585,lst_exp_items,0))),"❔ Без категории"))</f>
        <v/>
      </c>
      <c r="G4585" s="43" t="n"/>
      <c r="H4585" s="56" t="n"/>
      <c r="I4585" s="43" t="n"/>
      <c r="J4585" s="57">
        <f>IF(OR(A4585="",H4585=""),"",IF(COUNTIFS(exp_year,C4585,exp_month,D4585,exp_item,E4585,exp_status,"&lt;&gt;❌ Отменено")&gt;0,1,0))</f>
        <v/>
      </c>
    </row>
    <row r="4586">
      <c r="A4586" s="52" t="n"/>
      <c r="B4586" s="53">
        <f>IF(A4586="","",CHOOSE(WEEKDAY(A4586,2),"Пн","Вт","Ср","Чт","Пт","Сб","Вс"))</f>
        <v/>
      </c>
      <c r="C4586" s="53">
        <f>IF(A4586="","",YEAR(A4586))</f>
        <v/>
      </c>
      <c r="D4586" s="54">
        <f>IF(A4586="","",INDEX(lst_months,MONTH(A4586)))</f>
        <v/>
      </c>
      <c r="E4586" s="55" t="n"/>
      <c r="F4586" s="54">
        <f>IF(E4586="","",IFERROR(IF(INDEX(lst_exp_item_cat,MATCH(E4586,lst_exp_items,0))="","❔ Без категории",INDEX(lst_exp_item_cat,MATCH(E4586,lst_exp_items,0))),"❔ Без категории"))</f>
        <v/>
      </c>
      <c r="G4586" s="43" t="n"/>
      <c r="H4586" s="56" t="n"/>
      <c r="I4586" s="43" t="n"/>
      <c r="J4586" s="57">
        <f>IF(OR(A4586="",H4586=""),"",IF(COUNTIFS(exp_year,C4586,exp_month,D4586,exp_item,E4586,exp_status,"&lt;&gt;❌ Отменено")&gt;0,1,0))</f>
        <v/>
      </c>
    </row>
    <row r="4587">
      <c r="A4587" s="52" t="n"/>
      <c r="B4587" s="53">
        <f>IF(A4587="","",CHOOSE(WEEKDAY(A4587,2),"Пн","Вт","Ср","Чт","Пт","Сб","Вс"))</f>
        <v/>
      </c>
      <c r="C4587" s="53">
        <f>IF(A4587="","",YEAR(A4587))</f>
        <v/>
      </c>
      <c r="D4587" s="54">
        <f>IF(A4587="","",INDEX(lst_months,MONTH(A4587)))</f>
        <v/>
      </c>
      <c r="E4587" s="55" t="n"/>
      <c r="F4587" s="54">
        <f>IF(E4587="","",IFERROR(IF(INDEX(lst_exp_item_cat,MATCH(E4587,lst_exp_items,0))="","❔ Без категории",INDEX(lst_exp_item_cat,MATCH(E4587,lst_exp_items,0))),"❔ Без категории"))</f>
        <v/>
      </c>
      <c r="G4587" s="43" t="n"/>
      <c r="H4587" s="56" t="n"/>
      <c r="I4587" s="43" t="n"/>
      <c r="J4587" s="57">
        <f>IF(OR(A4587="",H4587=""),"",IF(COUNTIFS(exp_year,C4587,exp_month,D4587,exp_item,E4587,exp_status,"&lt;&gt;❌ Отменено")&gt;0,1,0))</f>
        <v/>
      </c>
    </row>
    <row r="4588">
      <c r="A4588" s="52" t="n"/>
      <c r="B4588" s="53">
        <f>IF(A4588="","",CHOOSE(WEEKDAY(A4588,2),"Пн","Вт","Ср","Чт","Пт","Сб","Вс"))</f>
        <v/>
      </c>
      <c r="C4588" s="53">
        <f>IF(A4588="","",YEAR(A4588))</f>
        <v/>
      </c>
      <c r="D4588" s="54">
        <f>IF(A4588="","",INDEX(lst_months,MONTH(A4588)))</f>
        <v/>
      </c>
      <c r="E4588" s="55" t="n"/>
      <c r="F4588" s="54">
        <f>IF(E4588="","",IFERROR(IF(INDEX(lst_exp_item_cat,MATCH(E4588,lst_exp_items,0))="","❔ Без категории",INDEX(lst_exp_item_cat,MATCH(E4588,lst_exp_items,0))),"❔ Без категории"))</f>
        <v/>
      </c>
      <c r="G4588" s="43" t="n"/>
      <c r="H4588" s="56" t="n"/>
      <c r="I4588" s="43" t="n"/>
      <c r="J4588" s="57">
        <f>IF(OR(A4588="",H4588=""),"",IF(COUNTIFS(exp_year,C4588,exp_month,D4588,exp_item,E4588,exp_status,"&lt;&gt;❌ Отменено")&gt;0,1,0))</f>
        <v/>
      </c>
    </row>
    <row r="4589">
      <c r="A4589" s="52" t="n"/>
      <c r="B4589" s="53">
        <f>IF(A4589="","",CHOOSE(WEEKDAY(A4589,2),"Пн","Вт","Ср","Чт","Пт","Сб","Вс"))</f>
        <v/>
      </c>
      <c r="C4589" s="53">
        <f>IF(A4589="","",YEAR(A4589))</f>
        <v/>
      </c>
      <c r="D4589" s="54">
        <f>IF(A4589="","",INDEX(lst_months,MONTH(A4589)))</f>
        <v/>
      </c>
      <c r="E4589" s="55" t="n"/>
      <c r="F4589" s="54">
        <f>IF(E4589="","",IFERROR(IF(INDEX(lst_exp_item_cat,MATCH(E4589,lst_exp_items,0))="","❔ Без категории",INDEX(lst_exp_item_cat,MATCH(E4589,lst_exp_items,0))),"❔ Без категории"))</f>
        <v/>
      </c>
      <c r="G4589" s="43" t="n"/>
      <c r="H4589" s="56" t="n"/>
      <c r="I4589" s="43" t="n"/>
      <c r="J4589" s="57">
        <f>IF(OR(A4589="",H4589=""),"",IF(COUNTIFS(exp_year,C4589,exp_month,D4589,exp_item,E4589,exp_status,"&lt;&gt;❌ Отменено")&gt;0,1,0))</f>
        <v/>
      </c>
    </row>
    <row r="4590">
      <c r="A4590" s="52" t="n"/>
      <c r="B4590" s="53">
        <f>IF(A4590="","",CHOOSE(WEEKDAY(A4590,2),"Пн","Вт","Ср","Чт","Пт","Сб","Вс"))</f>
        <v/>
      </c>
      <c r="C4590" s="53">
        <f>IF(A4590="","",YEAR(A4590))</f>
        <v/>
      </c>
      <c r="D4590" s="54">
        <f>IF(A4590="","",INDEX(lst_months,MONTH(A4590)))</f>
        <v/>
      </c>
      <c r="E4590" s="55" t="n"/>
      <c r="F4590" s="54">
        <f>IF(E4590="","",IFERROR(IF(INDEX(lst_exp_item_cat,MATCH(E4590,lst_exp_items,0))="","❔ Без категории",INDEX(lst_exp_item_cat,MATCH(E4590,lst_exp_items,0))),"❔ Без категории"))</f>
        <v/>
      </c>
      <c r="G4590" s="43" t="n"/>
      <c r="H4590" s="56" t="n"/>
      <c r="I4590" s="43" t="n"/>
      <c r="J4590" s="57">
        <f>IF(OR(A4590="",H4590=""),"",IF(COUNTIFS(exp_year,C4590,exp_month,D4590,exp_item,E4590,exp_status,"&lt;&gt;❌ Отменено")&gt;0,1,0))</f>
        <v/>
      </c>
    </row>
    <row r="4591">
      <c r="A4591" s="52" t="n"/>
      <c r="B4591" s="53">
        <f>IF(A4591="","",CHOOSE(WEEKDAY(A4591,2),"Пн","Вт","Ср","Чт","Пт","Сб","Вс"))</f>
        <v/>
      </c>
      <c r="C4591" s="53">
        <f>IF(A4591="","",YEAR(A4591))</f>
        <v/>
      </c>
      <c r="D4591" s="54">
        <f>IF(A4591="","",INDEX(lst_months,MONTH(A4591)))</f>
        <v/>
      </c>
      <c r="E4591" s="55" t="n"/>
      <c r="F4591" s="54">
        <f>IF(E4591="","",IFERROR(IF(INDEX(lst_exp_item_cat,MATCH(E4591,lst_exp_items,0))="","❔ Без категории",INDEX(lst_exp_item_cat,MATCH(E4591,lst_exp_items,0))),"❔ Без категории"))</f>
        <v/>
      </c>
      <c r="G4591" s="43" t="n"/>
      <c r="H4591" s="56" t="n"/>
      <c r="I4591" s="43" t="n"/>
      <c r="J4591" s="57">
        <f>IF(OR(A4591="",H4591=""),"",IF(COUNTIFS(exp_year,C4591,exp_month,D4591,exp_item,E4591,exp_status,"&lt;&gt;❌ Отменено")&gt;0,1,0))</f>
        <v/>
      </c>
    </row>
    <row r="4592">
      <c r="A4592" s="52" t="n"/>
      <c r="B4592" s="53">
        <f>IF(A4592="","",CHOOSE(WEEKDAY(A4592,2),"Пн","Вт","Ср","Чт","Пт","Сб","Вс"))</f>
        <v/>
      </c>
      <c r="C4592" s="53">
        <f>IF(A4592="","",YEAR(A4592))</f>
        <v/>
      </c>
      <c r="D4592" s="54">
        <f>IF(A4592="","",INDEX(lst_months,MONTH(A4592)))</f>
        <v/>
      </c>
      <c r="E4592" s="55" t="n"/>
      <c r="F4592" s="54">
        <f>IF(E4592="","",IFERROR(IF(INDEX(lst_exp_item_cat,MATCH(E4592,lst_exp_items,0))="","❔ Без категории",INDEX(lst_exp_item_cat,MATCH(E4592,lst_exp_items,0))),"❔ Без категории"))</f>
        <v/>
      </c>
      <c r="G4592" s="43" t="n"/>
      <c r="H4592" s="56" t="n"/>
      <c r="I4592" s="43" t="n"/>
      <c r="J4592" s="57">
        <f>IF(OR(A4592="",H4592=""),"",IF(COUNTIFS(exp_year,C4592,exp_month,D4592,exp_item,E4592,exp_status,"&lt;&gt;❌ Отменено")&gt;0,1,0))</f>
        <v/>
      </c>
    </row>
    <row r="4593">
      <c r="A4593" s="52" t="n"/>
      <c r="B4593" s="53">
        <f>IF(A4593="","",CHOOSE(WEEKDAY(A4593,2),"Пн","Вт","Ср","Чт","Пт","Сб","Вс"))</f>
        <v/>
      </c>
      <c r="C4593" s="53">
        <f>IF(A4593="","",YEAR(A4593))</f>
        <v/>
      </c>
      <c r="D4593" s="54">
        <f>IF(A4593="","",INDEX(lst_months,MONTH(A4593)))</f>
        <v/>
      </c>
      <c r="E4593" s="55" t="n"/>
      <c r="F4593" s="54">
        <f>IF(E4593="","",IFERROR(IF(INDEX(lst_exp_item_cat,MATCH(E4593,lst_exp_items,0))="","❔ Без категории",INDEX(lst_exp_item_cat,MATCH(E4593,lst_exp_items,0))),"❔ Без категории"))</f>
        <v/>
      </c>
      <c r="G4593" s="43" t="n"/>
      <c r="H4593" s="56" t="n"/>
      <c r="I4593" s="43" t="n"/>
      <c r="J4593" s="57">
        <f>IF(OR(A4593="",H4593=""),"",IF(COUNTIFS(exp_year,C4593,exp_month,D4593,exp_item,E4593,exp_status,"&lt;&gt;❌ Отменено")&gt;0,1,0))</f>
        <v/>
      </c>
    </row>
    <row r="4594">
      <c r="A4594" s="52" t="n"/>
      <c r="B4594" s="53">
        <f>IF(A4594="","",CHOOSE(WEEKDAY(A4594,2),"Пн","Вт","Ср","Чт","Пт","Сб","Вс"))</f>
        <v/>
      </c>
      <c r="C4594" s="53">
        <f>IF(A4594="","",YEAR(A4594))</f>
        <v/>
      </c>
      <c r="D4594" s="54">
        <f>IF(A4594="","",INDEX(lst_months,MONTH(A4594)))</f>
        <v/>
      </c>
      <c r="E4594" s="55" t="n"/>
      <c r="F4594" s="54">
        <f>IF(E4594="","",IFERROR(IF(INDEX(lst_exp_item_cat,MATCH(E4594,lst_exp_items,0))="","❔ Без категории",INDEX(lst_exp_item_cat,MATCH(E4594,lst_exp_items,0))),"❔ Без категории"))</f>
        <v/>
      </c>
      <c r="G4594" s="43" t="n"/>
      <c r="H4594" s="56" t="n"/>
      <c r="I4594" s="43" t="n"/>
      <c r="J4594" s="57">
        <f>IF(OR(A4594="",H4594=""),"",IF(COUNTIFS(exp_year,C4594,exp_month,D4594,exp_item,E4594,exp_status,"&lt;&gt;❌ Отменено")&gt;0,1,0))</f>
        <v/>
      </c>
    </row>
    <row r="4595">
      <c r="A4595" s="52" t="n"/>
      <c r="B4595" s="53">
        <f>IF(A4595="","",CHOOSE(WEEKDAY(A4595,2),"Пн","Вт","Ср","Чт","Пт","Сб","Вс"))</f>
        <v/>
      </c>
      <c r="C4595" s="53">
        <f>IF(A4595="","",YEAR(A4595))</f>
        <v/>
      </c>
      <c r="D4595" s="54">
        <f>IF(A4595="","",INDEX(lst_months,MONTH(A4595)))</f>
        <v/>
      </c>
      <c r="E4595" s="55" t="n"/>
      <c r="F4595" s="54">
        <f>IF(E4595="","",IFERROR(IF(INDEX(lst_exp_item_cat,MATCH(E4595,lst_exp_items,0))="","❔ Без категории",INDEX(lst_exp_item_cat,MATCH(E4595,lst_exp_items,0))),"❔ Без категории"))</f>
        <v/>
      </c>
      <c r="G4595" s="43" t="n"/>
      <c r="H4595" s="56" t="n"/>
      <c r="I4595" s="43" t="n"/>
      <c r="J4595" s="57">
        <f>IF(OR(A4595="",H4595=""),"",IF(COUNTIFS(exp_year,C4595,exp_month,D4595,exp_item,E4595,exp_status,"&lt;&gt;❌ Отменено")&gt;0,1,0))</f>
        <v/>
      </c>
    </row>
    <row r="4596">
      <c r="A4596" s="52" t="n"/>
      <c r="B4596" s="53">
        <f>IF(A4596="","",CHOOSE(WEEKDAY(A4596,2),"Пн","Вт","Ср","Чт","Пт","Сб","Вс"))</f>
        <v/>
      </c>
      <c r="C4596" s="53">
        <f>IF(A4596="","",YEAR(A4596))</f>
        <v/>
      </c>
      <c r="D4596" s="54">
        <f>IF(A4596="","",INDEX(lst_months,MONTH(A4596)))</f>
        <v/>
      </c>
      <c r="E4596" s="55" t="n"/>
      <c r="F4596" s="54">
        <f>IF(E4596="","",IFERROR(IF(INDEX(lst_exp_item_cat,MATCH(E4596,lst_exp_items,0))="","❔ Без категории",INDEX(lst_exp_item_cat,MATCH(E4596,lst_exp_items,0))),"❔ Без категории"))</f>
        <v/>
      </c>
      <c r="G4596" s="43" t="n"/>
      <c r="H4596" s="56" t="n"/>
      <c r="I4596" s="43" t="n"/>
      <c r="J4596" s="57">
        <f>IF(OR(A4596="",H4596=""),"",IF(COUNTIFS(exp_year,C4596,exp_month,D4596,exp_item,E4596,exp_status,"&lt;&gt;❌ Отменено")&gt;0,1,0))</f>
        <v/>
      </c>
    </row>
    <row r="4597">
      <c r="A4597" s="52" t="n"/>
      <c r="B4597" s="53">
        <f>IF(A4597="","",CHOOSE(WEEKDAY(A4597,2),"Пн","Вт","Ср","Чт","Пт","Сб","Вс"))</f>
        <v/>
      </c>
      <c r="C4597" s="53">
        <f>IF(A4597="","",YEAR(A4597))</f>
        <v/>
      </c>
      <c r="D4597" s="54">
        <f>IF(A4597="","",INDEX(lst_months,MONTH(A4597)))</f>
        <v/>
      </c>
      <c r="E4597" s="55" t="n"/>
      <c r="F4597" s="54">
        <f>IF(E4597="","",IFERROR(IF(INDEX(lst_exp_item_cat,MATCH(E4597,lst_exp_items,0))="","❔ Без категории",INDEX(lst_exp_item_cat,MATCH(E4597,lst_exp_items,0))),"❔ Без категории"))</f>
        <v/>
      </c>
      <c r="G4597" s="43" t="n"/>
      <c r="H4597" s="56" t="n"/>
      <c r="I4597" s="43" t="n"/>
      <c r="J4597" s="57">
        <f>IF(OR(A4597="",H4597=""),"",IF(COUNTIFS(exp_year,C4597,exp_month,D4597,exp_item,E4597,exp_status,"&lt;&gt;❌ Отменено")&gt;0,1,0))</f>
        <v/>
      </c>
    </row>
    <row r="4598">
      <c r="A4598" s="52" t="n"/>
      <c r="B4598" s="53">
        <f>IF(A4598="","",CHOOSE(WEEKDAY(A4598,2),"Пн","Вт","Ср","Чт","Пт","Сб","Вс"))</f>
        <v/>
      </c>
      <c r="C4598" s="53">
        <f>IF(A4598="","",YEAR(A4598))</f>
        <v/>
      </c>
      <c r="D4598" s="54">
        <f>IF(A4598="","",INDEX(lst_months,MONTH(A4598)))</f>
        <v/>
      </c>
      <c r="E4598" s="55" t="n"/>
      <c r="F4598" s="54">
        <f>IF(E4598="","",IFERROR(IF(INDEX(lst_exp_item_cat,MATCH(E4598,lst_exp_items,0))="","❔ Без категории",INDEX(lst_exp_item_cat,MATCH(E4598,lst_exp_items,0))),"❔ Без категории"))</f>
        <v/>
      </c>
      <c r="G4598" s="43" t="n"/>
      <c r="H4598" s="56" t="n"/>
      <c r="I4598" s="43" t="n"/>
      <c r="J4598" s="57">
        <f>IF(OR(A4598="",H4598=""),"",IF(COUNTIFS(exp_year,C4598,exp_month,D4598,exp_item,E4598,exp_status,"&lt;&gt;❌ Отменено")&gt;0,1,0))</f>
        <v/>
      </c>
    </row>
    <row r="4599">
      <c r="A4599" s="52" t="n"/>
      <c r="B4599" s="53">
        <f>IF(A4599="","",CHOOSE(WEEKDAY(A4599,2),"Пн","Вт","Ср","Чт","Пт","Сб","Вс"))</f>
        <v/>
      </c>
      <c r="C4599" s="53">
        <f>IF(A4599="","",YEAR(A4599))</f>
        <v/>
      </c>
      <c r="D4599" s="54">
        <f>IF(A4599="","",INDEX(lst_months,MONTH(A4599)))</f>
        <v/>
      </c>
      <c r="E4599" s="55" t="n"/>
      <c r="F4599" s="54">
        <f>IF(E4599="","",IFERROR(IF(INDEX(lst_exp_item_cat,MATCH(E4599,lst_exp_items,0))="","❔ Без категории",INDEX(lst_exp_item_cat,MATCH(E4599,lst_exp_items,0))),"❔ Без категории"))</f>
        <v/>
      </c>
      <c r="G4599" s="43" t="n"/>
      <c r="H4599" s="56" t="n"/>
      <c r="I4599" s="43" t="n"/>
      <c r="J4599" s="57">
        <f>IF(OR(A4599="",H4599=""),"",IF(COUNTIFS(exp_year,C4599,exp_month,D4599,exp_item,E4599,exp_status,"&lt;&gt;❌ Отменено")&gt;0,1,0))</f>
        <v/>
      </c>
    </row>
    <row r="4600">
      <c r="A4600" s="52" t="n"/>
      <c r="B4600" s="53">
        <f>IF(A4600="","",CHOOSE(WEEKDAY(A4600,2),"Пн","Вт","Ср","Чт","Пт","Сб","Вс"))</f>
        <v/>
      </c>
      <c r="C4600" s="53">
        <f>IF(A4600="","",YEAR(A4600))</f>
        <v/>
      </c>
      <c r="D4600" s="54">
        <f>IF(A4600="","",INDEX(lst_months,MONTH(A4600)))</f>
        <v/>
      </c>
      <c r="E4600" s="55" t="n"/>
      <c r="F4600" s="54">
        <f>IF(E4600="","",IFERROR(IF(INDEX(lst_exp_item_cat,MATCH(E4600,lst_exp_items,0))="","❔ Без категории",INDEX(lst_exp_item_cat,MATCH(E4600,lst_exp_items,0))),"❔ Без категории"))</f>
        <v/>
      </c>
      <c r="G4600" s="43" t="n"/>
      <c r="H4600" s="56" t="n"/>
      <c r="I4600" s="43" t="n"/>
      <c r="J4600" s="57">
        <f>IF(OR(A4600="",H4600=""),"",IF(COUNTIFS(exp_year,C4600,exp_month,D4600,exp_item,E4600,exp_status,"&lt;&gt;❌ Отменено")&gt;0,1,0))</f>
        <v/>
      </c>
    </row>
    <row r="4601">
      <c r="A4601" s="52" t="n"/>
      <c r="B4601" s="53">
        <f>IF(A4601="","",CHOOSE(WEEKDAY(A4601,2),"Пн","Вт","Ср","Чт","Пт","Сб","Вс"))</f>
        <v/>
      </c>
      <c r="C4601" s="53">
        <f>IF(A4601="","",YEAR(A4601))</f>
        <v/>
      </c>
      <c r="D4601" s="54">
        <f>IF(A4601="","",INDEX(lst_months,MONTH(A4601)))</f>
        <v/>
      </c>
      <c r="E4601" s="55" t="n"/>
      <c r="F4601" s="54">
        <f>IF(E4601="","",IFERROR(IF(INDEX(lst_exp_item_cat,MATCH(E4601,lst_exp_items,0))="","❔ Без категории",INDEX(lst_exp_item_cat,MATCH(E4601,lst_exp_items,0))),"❔ Без категории"))</f>
        <v/>
      </c>
      <c r="G4601" s="43" t="n"/>
      <c r="H4601" s="56" t="n"/>
      <c r="I4601" s="43" t="n"/>
      <c r="J4601" s="57">
        <f>IF(OR(A4601="",H4601=""),"",IF(COUNTIFS(exp_year,C4601,exp_month,D4601,exp_item,E4601,exp_status,"&lt;&gt;❌ Отменено")&gt;0,1,0))</f>
        <v/>
      </c>
    </row>
    <row r="4602">
      <c r="A4602" s="52" t="n"/>
      <c r="B4602" s="53">
        <f>IF(A4602="","",CHOOSE(WEEKDAY(A4602,2),"Пн","Вт","Ср","Чт","Пт","Сб","Вс"))</f>
        <v/>
      </c>
      <c r="C4602" s="53">
        <f>IF(A4602="","",YEAR(A4602))</f>
        <v/>
      </c>
      <c r="D4602" s="54">
        <f>IF(A4602="","",INDEX(lst_months,MONTH(A4602)))</f>
        <v/>
      </c>
      <c r="E4602" s="55" t="n"/>
      <c r="F4602" s="54">
        <f>IF(E4602="","",IFERROR(IF(INDEX(lst_exp_item_cat,MATCH(E4602,lst_exp_items,0))="","❔ Без категории",INDEX(lst_exp_item_cat,MATCH(E4602,lst_exp_items,0))),"❔ Без категории"))</f>
        <v/>
      </c>
      <c r="G4602" s="43" t="n"/>
      <c r="H4602" s="56" t="n"/>
      <c r="I4602" s="43" t="n"/>
      <c r="J4602" s="57">
        <f>IF(OR(A4602="",H4602=""),"",IF(COUNTIFS(exp_year,C4602,exp_month,D4602,exp_item,E4602,exp_status,"&lt;&gt;❌ Отменено")&gt;0,1,0))</f>
        <v/>
      </c>
    </row>
    <row r="4603">
      <c r="A4603" s="52" t="n"/>
      <c r="B4603" s="53">
        <f>IF(A4603="","",CHOOSE(WEEKDAY(A4603,2),"Пн","Вт","Ср","Чт","Пт","Сб","Вс"))</f>
        <v/>
      </c>
      <c r="C4603" s="53">
        <f>IF(A4603="","",YEAR(A4603))</f>
        <v/>
      </c>
      <c r="D4603" s="54">
        <f>IF(A4603="","",INDEX(lst_months,MONTH(A4603)))</f>
        <v/>
      </c>
      <c r="E4603" s="55" t="n"/>
      <c r="F4603" s="54">
        <f>IF(E4603="","",IFERROR(IF(INDEX(lst_exp_item_cat,MATCH(E4603,lst_exp_items,0))="","❔ Без категории",INDEX(lst_exp_item_cat,MATCH(E4603,lst_exp_items,0))),"❔ Без категории"))</f>
        <v/>
      </c>
      <c r="G4603" s="43" t="n"/>
      <c r="H4603" s="56" t="n"/>
      <c r="I4603" s="43" t="n"/>
      <c r="J4603" s="57">
        <f>IF(OR(A4603="",H4603=""),"",IF(COUNTIFS(exp_year,C4603,exp_month,D4603,exp_item,E4603,exp_status,"&lt;&gt;❌ Отменено")&gt;0,1,0))</f>
        <v/>
      </c>
    </row>
    <row r="4604">
      <c r="A4604" s="52" t="n"/>
      <c r="B4604" s="53">
        <f>IF(A4604="","",CHOOSE(WEEKDAY(A4604,2),"Пн","Вт","Ср","Чт","Пт","Сб","Вс"))</f>
        <v/>
      </c>
      <c r="C4604" s="53">
        <f>IF(A4604="","",YEAR(A4604))</f>
        <v/>
      </c>
      <c r="D4604" s="54">
        <f>IF(A4604="","",INDEX(lst_months,MONTH(A4604)))</f>
        <v/>
      </c>
      <c r="E4604" s="55" t="n"/>
      <c r="F4604" s="54">
        <f>IF(E4604="","",IFERROR(IF(INDEX(lst_exp_item_cat,MATCH(E4604,lst_exp_items,0))="","❔ Без категории",INDEX(lst_exp_item_cat,MATCH(E4604,lst_exp_items,0))),"❔ Без категории"))</f>
        <v/>
      </c>
      <c r="G4604" s="43" t="n"/>
      <c r="H4604" s="56" t="n"/>
      <c r="I4604" s="43" t="n"/>
      <c r="J4604" s="57">
        <f>IF(OR(A4604="",H4604=""),"",IF(COUNTIFS(exp_year,C4604,exp_month,D4604,exp_item,E4604,exp_status,"&lt;&gt;❌ Отменено")&gt;0,1,0))</f>
        <v/>
      </c>
    </row>
    <row r="4605">
      <c r="A4605" s="52" t="n"/>
      <c r="B4605" s="53">
        <f>IF(A4605="","",CHOOSE(WEEKDAY(A4605,2),"Пн","Вт","Ср","Чт","Пт","Сб","Вс"))</f>
        <v/>
      </c>
      <c r="C4605" s="53">
        <f>IF(A4605="","",YEAR(A4605))</f>
        <v/>
      </c>
      <c r="D4605" s="54">
        <f>IF(A4605="","",INDEX(lst_months,MONTH(A4605)))</f>
        <v/>
      </c>
      <c r="E4605" s="55" t="n"/>
      <c r="F4605" s="54">
        <f>IF(E4605="","",IFERROR(IF(INDEX(lst_exp_item_cat,MATCH(E4605,lst_exp_items,0))="","❔ Без категории",INDEX(lst_exp_item_cat,MATCH(E4605,lst_exp_items,0))),"❔ Без категории"))</f>
        <v/>
      </c>
      <c r="G4605" s="43" t="n"/>
      <c r="H4605" s="56" t="n"/>
      <c r="I4605" s="43" t="n"/>
      <c r="J4605" s="57">
        <f>IF(OR(A4605="",H4605=""),"",IF(COUNTIFS(exp_year,C4605,exp_month,D4605,exp_item,E4605,exp_status,"&lt;&gt;❌ Отменено")&gt;0,1,0))</f>
        <v/>
      </c>
    </row>
    <row r="4606">
      <c r="A4606" s="52" t="n"/>
      <c r="B4606" s="53">
        <f>IF(A4606="","",CHOOSE(WEEKDAY(A4606,2),"Пн","Вт","Ср","Чт","Пт","Сб","Вс"))</f>
        <v/>
      </c>
      <c r="C4606" s="53">
        <f>IF(A4606="","",YEAR(A4606))</f>
        <v/>
      </c>
      <c r="D4606" s="54">
        <f>IF(A4606="","",INDEX(lst_months,MONTH(A4606)))</f>
        <v/>
      </c>
      <c r="E4606" s="55" t="n"/>
      <c r="F4606" s="54">
        <f>IF(E4606="","",IFERROR(IF(INDEX(lst_exp_item_cat,MATCH(E4606,lst_exp_items,0))="","❔ Без категории",INDEX(lst_exp_item_cat,MATCH(E4606,lst_exp_items,0))),"❔ Без категории"))</f>
        <v/>
      </c>
      <c r="G4606" s="43" t="n"/>
      <c r="H4606" s="56" t="n"/>
      <c r="I4606" s="43" t="n"/>
      <c r="J4606" s="57">
        <f>IF(OR(A4606="",H4606=""),"",IF(COUNTIFS(exp_year,C4606,exp_month,D4606,exp_item,E4606,exp_status,"&lt;&gt;❌ Отменено")&gt;0,1,0))</f>
        <v/>
      </c>
    </row>
    <row r="4607">
      <c r="A4607" s="52" t="n"/>
      <c r="B4607" s="53">
        <f>IF(A4607="","",CHOOSE(WEEKDAY(A4607,2),"Пн","Вт","Ср","Чт","Пт","Сб","Вс"))</f>
        <v/>
      </c>
      <c r="C4607" s="53">
        <f>IF(A4607="","",YEAR(A4607))</f>
        <v/>
      </c>
      <c r="D4607" s="54">
        <f>IF(A4607="","",INDEX(lst_months,MONTH(A4607)))</f>
        <v/>
      </c>
      <c r="E4607" s="55" t="n"/>
      <c r="F4607" s="54">
        <f>IF(E4607="","",IFERROR(IF(INDEX(lst_exp_item_cat,MATCH(E4607,lst_exp_items,0))="","❔ Без категории",INDEX(lst_exp_item_cat,MATCH(E4607,lst_exp_items,0))),"❔ Без категории"))</f>
        <v/>
      </c>
      <c r="G4607" s="43" t="n"/>
      <c r="H4607" s="56" t="n"/>
      <c r="I4607" s="43" t="n"/>
      <c r="J4607" s="57">
        <f>IF(OR(A4607="",H4607=""),"",IF(COUNTIFS(exp_year,C4607,exp_month,D4607,exp_item,E4607,exp_status,"&lt;&gt;❌ Отменено")&gt;0,1,0))</f>
        <v/>
      </c>
    </row>
    <row r="4608">
      <c r="A4608" s="52" t="n"/>
      <c r="B4608" s="53">
        <f>IF(A4608="","",CHOOSE(WEEKDAY(A4608,2),"Пн","Вт","Ср","Чт","Пт","Сб","Вс"))</f>
        <v/>
      </c>
      <c r="C4608" s="53">
        <f>IF(A4608="","",YEAR(A4608))</f>
        <v/>
      </c>
      <c r="D4608" s="54">
        <f>IF(A4608="","",INDEX(lst_months,MONTH(A4608)))</f>
        <v/>
      </c>
      <c r="E4608" s="55" t="n"/>
      <c r="F4608" s="54">
        <f>IF(E4608="","",IFERROR(IF(INDEX(lst_exp_item_cat,MATCH(E4608,lst_exp_items,0))="","❔ Без категории",INDEX(lst_exp_item_cat,MATCH(E4608,lst_exp_items,0))),"❔ Без категории"))</f>
        <v/>
      </c>
      <c r="G4608" s="43" t="n"/>
      <c r="H4608" s="56" t="n"/>
      <c r="I4608" s="43" t="n"/>
      <c r="J4608" s="57">
        <f>IF(OR(A4608="",H4608=""),"",IF(COUNTIFS(exp_year,C4608,exp_month,D4608,exp_item,E4608,exp_status,"&lt;&gt;❌ Отменено")&gt;0,1,0))</f>
        <v/>
      </c>
    </row>
    <row r="4609">
      <c r="A4609" s="52" t="n"/>
      <c r="B4609" s="53">
        <f>IF(A4609="","",CHOOSE(WEEKDAY(A4609,2),"Пн","Вт","Ср","Чт","Пт","Сб","Вс"))</f>
        <v/>
      </c>
      <c r="C4609" s="53">
        <f>IF(A4609="","",YEAR(A4609))</f>
        <v/>
      </c>
      <c r="D4609" s="54">
        <f>IF(A4609="","",INDEX(lst_months,MONTH(A4609)))</f>
        <v/>
      </c>
      <c r="E4609" s="55" t="n"/>
      <c r="F4609" s="54">
        <f>IF(E4609="","",IFERROR(IF(INDEX(lst_exp_item_cat,MATCH(E4609,lst_exp_items,0))="","❔ Без категории",INDEX(lst_exp_item_cat,MATCH(E4609,lst_exp_items,0))),"❔ Без категории"))</f>
        <v/>
      </c>
      <c r="G4609" s="43" t="n"/>
      <c r="H4609" s="56" t="n"/>
      <c r="I4609" s="43" t="n"/>
      <c r="J4609" s="57">
        <f>IF(OR(A4609="",H4609=""),"",IF(COUNTIFS(exp_year,C4609,exp_month,D4609,exp_item,E4609,exp_status,"&lt;&gt;❌ Отменено")&gt;0,1,0))</f>
        <v/>
      </c>
    </row>
    <row r="4610">
      <c r="A4610" s="52" t="n"/>
      <c r="B4610" s="53">
        <f>IF(A4610="","",CHOOSE(WEEKDAY(A4610,2),"Пн","Вт","Ср","Чт","Пт","Сб","Вс"))</f>
        <v/>
      </c>
      <c r="C4610" s="53">
        <f>IF(A4610="","",YEAR(A4610))</f>
        <v/>
      </c>
      <c r="D4610" s="54">
        <f>IF(A4610="","",INDEX(lst_months,MONTH(A4610)))</f>
        <v/>
      </c>
      <c r="E4610" s="55" t="n"/>
      <c r="F4610" s="54">
        <f>IF(E4610="","",IFERROR(IF(INDEX(lst_exp_item_cat,MATCH(E4610,lst_exp_items,0))="","❔ Без категории",INDEX(lst_exp_item_cat,MATCH(E4610,lst_exp_items,0))),"❔ Без категории"))</f>
        <v/>
      </c>
      <c r="G4610" s="43" t="n"/>
      <c r="H4610" s="56" t="n"/>
      <c r="I4610" s="43" t="n"/>
      <c r="J4610" s="57">
        <f>IF(OR(A4610="",H4610=""),"",IF(COUNTIFS(exp_year,C4610,exp_month,D4610,exp_item,E4610,exp_status,"&lt;&gt;❌ Отменено")&gt;0,1,0))</f>
        <v/>
      </c>
    </row>
    <row r="4611">
      <c r="A4611" s="52" t="n"/>
      <c r="B4611" s="53">
        <f>IF(A4611="","",CHOOSE(WEEKDAY(A4611,2),"Пн","Вт","Ср","Чт","Пт","Сб","Вс"))</f>
        <v/>
      </c>
      <c r="C4611" s="53">
        <f>IF(A4611="","",YEAR(A4611))</f>
        <v/>
      </c>
      <c r="D4611" s="54">
        <f>IF(A4611="","",INDEX(lst_months,MONTH(A4611)))</f>
        <v/>
      </c>
      <c r="E4611" s="55" t="n"/>
      <c r="F4611" s="54">
        <f>IF(E4611="","",IFERROR(IF(INDEX(lst_exp_item_cat,MATCH(E4611,lst_exp_items,0))="","❔ Без категории",INDEX(lst_exp_item_cat,MATCH(E4611,lst_exp_items,0))),"❔ Без категории"))</f>
        <v/>
      </c>
      <c r="G4611" s="43" t="n"/>
      <c r="H4611" s="56" t="n"/>
      <c r="I4611" s="43" t="n"/>
      <c r="J4611" s="57">
        <f>IF(OR(A4611="",H4611=""),"",IF(COUNTIFS(exp_year,C4611,exp_month,D4611,exp_item,E4611,exp_status,"&lt;&gt;❌ Отменено")&gt;0,1,0))</f>
        <v/>
      </c>
    </row>
    <row r="4612">
      <c r="A4612" s="52" t="n"/>
      <c r="B4612" s="53">
        <f>IF(A4612="","",CHOOSE(WEEKDAY(A4612,2),"Пн","Вт","Ср","Чт","Пт","Сб","Вс"))</f>
        <v/>
      </c>
      <c r="C4612" s="53">
        <f>IF(A4612="","",YEAR(A4612))</f>
        <v/>
      </c>
      <c r="D4612" s="54">
        <f>IF(A4612="","",INDEX(lst_months,MONTH(A4612)))</f>
        <v/>
      </c>
      <c r="E4612" s="55" t="n"/>
      <c r="F4612" s="54">
        <f>IF(E4612="","",IFERROR(IF(INDEX(lst_exp_item_cat,MATCH(E4612,lst_exp_items,0))="","❔ Без категории",INDEX(lst_exp_item_cat,MATCH(E4612,lst_exp_items,0))),"❔ Без категории"))</f>
        <v/>
      </c>
      <c r="G4612" s="43" t="n"/>
      <c r="H4612" s="56" t="n"/>
      <c r="I4612" s="43" t="n"/>
      <c r="J4612" s="57">
        <f>IF(OR(A4612="",H4612=""),"",IF(COUNTIFS(exp_year,C4612,exp_month,D4612,exp_item,E4612,exp_status,"&lt;&gt;❌ Отменено")&gt;0,1,0))</f>
        <v/>
      </c>
    </row>
    <row r="4613">
      <c r="A4613" s="52" t="n"/>
      <c r="B4613" s="53">
        <f>IF(A4613="","",CHOOSE(WEEKDAY(A4613,2),"Пн","Вт","Ср","Чт","Пт","Сб","Вс"))</f>
        <v/>
      </c>
      <c r="C4613" s="53">
        <f>IF(A4613="","",YEAR(A4613))</f>
        <v/>
      </c>
      <c r="D4613" s="54">
        <f>IF(A4613="","",INDEX(lst_months,MONTH(A4613)))</f>
        <v/>
      </c>
      <c r="E4613" s="55" t="n"/>
      <c r="F4613" s="54">
        <f>IF(E4613="","",IFERROR(IF(INDEX(lst_exp_item_cat,MATCH(E4613,lst_exp_items,0))="","❔ Без категории",INDEX(lst_exp_item_cat,MATCH(E4613,lst_exp_items,0))),"❔ Без категории"))</f>
        <v/>
      </c>
      <c r="G4613" s="43" t="n"/>
      <c r="H4613" s="56" t="n"/>
      <c r="I4613" s="43" t="n"/>
      <c r="J4613" s="57">
        <f>IF(OR(A4613="",H4613=""),"",IF(COUNTIFS(exp_year,C4613,exp_month,D4613,exp_item,E4613,exp_status,"&lt;&gt;❌ Отменено")&gt;0,1,0))</f>
        <v/>
      </c>
    </row>
    <row r="4614">
      <c r="A4614" s="52" t="n"/>
      <c r="B4614" s="53">
        <f>IF(A4614="","",CHOOSE(WEEKDAY(A4614,2),"Пн","Вт","Ср","Чт","Пт","Сб","Вс"))</f>
        <v/>
      </c>
      <c r="C4614" s="53">
        <f>IF(A4614="","",YEAR(A4614))</f>
        <v/>
      </c>
      <c r="D4614" s="54">
        <f>IF(A4614="","",INDEX(lst_months,MONTH(A4614)))</f>
        <v/>
      </c>
      <c r="E4614" s="55" t="n"/>
      <c r="F4614" s="54">
        <f>IF(E4614="","",IFERROR(IF(INDEX(lst_exp_item_cat,MATCH(E4614,lst_exp_items,0))="","❔ Без категории",INDEX(lst_exp_item_cat,MATCH(E4614,lst_exp_items,0))),"❔ Без категории"))</f>
        <v/>
      </c>
      <c r="G4614" s="43" t="n"/>
      <c r="H4614" s="56" t="n"/>
      <c r="I4614" s="43" t="n"/>
      <c r="J4614" s="57">
        <f>IF(OR(A4614="",H4614=""),"",IF(COUNTIFS(exp_year,C4614,exp_month,D4614,exp_item,E4614,exp_status,"&lt;&gt;❌ Отменено")&gt;0,1,0))</f>
        <v/>
      </c>
    </row>
    <row r="4615">
      <c r="A4615" s="52" t="n"/>
      <c r="B4615" s="53">
        <f>IF(A4615="","",CHOOSE(WEEKDAY(A4615,2),"Пн","Вт","Ср","Чт","Пт","Сб","Вс"))</f>
        <v/>
      </c>
      <c r="C4615" s="53">
        <f>IF(A4615="","",YEAR(A4615))</f>
        <v/>
      </c>
      <c r="D4615" s="54">
        <f>IF(A4615="","",INDEX(lst_months,MONTH(A4615)))</f>
        <v/>
      </c>
      <c r="E4615" s="55" t="n"/>
      <c r="F4615" s="54">
        <f>IF(E4615="","",IFERROR(IF(INDEX(lst_exp_item_cat,MATCH(E4615,lst_exp_items,0))="","❔ Без категории",INDEX(lst_exp_item_cat,MATCH(E4615,lst_exp_items,0))),"❔ Без категории"))</f>
        <v/>
      </c>
      <c r="G4615" s="43" t="n"/>
      <c r="H4615" s="56" t="n"/>
      <c r="I4615" s="43" t="n"/>
      <c r="J4615" s="57">
        <f>IF(OR(A4615="",H4615=""),"",IF(COUNTIFS(exp_year,C4615,exp_month,D4615,exp_item,E4615,exp_status,"&lt;&gt;❌ Отменено")&gt;0,1,0))</f>
        <v/>
      </c>
    </row>
    <row r="4616">
      <c r="A4616" s="52" t="n"/>
      <c r="B4616" s="53">
        <f>IF(A4616="","",CHOOSE(WEEKDAY(A4616,2),"Пн","Вт","Ср","Чт","Пт","Сб","Вс"))</f>
        <v/>
      </c>
      <c r="C4616" s="53">
        <f>IF(A4616="","",YEAR(A4616))</f>
        <v/>
      </c>
      <c r="D4616" s="54">
        <f>IF(A4616="","",INDEX(lst_months,MONTH(A4616)))</f>
        <v/>
      </c>
      <c r="E4616" s="55" t="n"/>
      <c r="F4616" s="54">
        <f>IF(E4616="","",IFERROR(IF(INDEX(lst_exp_item_cat,MATCH(E4616,lst_exp_items,0))="","❔ Без категории",INDEX(lst_exp_item_cat,MATCH(E4616,lst_exp_items,0))),"❔ Без категории"))</f>
        <v/>
      </c>
      <c r="G4616" s="43" t="n"/>
      <c r="H4616" s="56" t="n"/>
      <c r="I4616" s="43" t="n"/>
      <c r="J4616" s="57">
        <f>IF(OR(A4616="",H4616=""),"",IF(COUNTIFS(exp_year,C4616,exp_month,D4616,exp_item,E4616,exp_status,"&lt;&gt;❌ Отменено")&gt;0,1,0))</f>
        <v/>
      </c>
    </row>
    <row r="4617">
      <c r="A4617" s="52" t="n"/>
      <c r="B4617" s="53">
        <f>IF(A4617="","",CHOOSE(WEEKDAY(A4617,2),"Пн","Вт","Ср","Чт","Пт","Сб","Вс"))</f>
        <v/>
      </c>
      <c r="C4617" s="53">
        <f>IF(A4617="","",YEAR(A4617))</f>
        <v/>
      </c>
      <c r="D4617" s="54">
        <f>IF(A4617="","",INDEX(lst_months,MONTH(A4617)))</f>
        <v/>
      </c>
      <c r="E4617" s="55" t="n"/>
      <c r="F4617" s="54">
        <f>IF(E4617="","",IFERROR(IF(INDEX(lst_exp_item_cat,MATCH(E4617,lst_exp_items,0))="","❔ Без категории",INDEX(lst_exp_item_cat,MATCH(E4617,lst_exp_items,0))),"❔ Без категории"))</f>
        <v/>
      </c>
      <c r="G4617" s="43" t="n"/>
      <c r="H4617" s="56" t="n"/>
      <c r="I4617" s="43" t="n"/>
      <c r="J4617" s="57">
        <f>IF(OR(A4617="",H4617=""),"",IF(COUNTIFS(exp_year,C4617,exp_month,D4617,exp_item,E4617,exp_status,"&lt;&gt;❌ Отменено")&gt;0,1,0))</f>
        <v/>
      </c>
    </row>
    <row r="4618">
      <c r="A4618" s="52" t="n"/>
      <c r="B4618" s="53">
        <f>IF(A4618="","",CHOOSE(WEEKDAY(A4618,2),"Пн","Вт","Ср","Чт","Пт","Сб","Вс"))</f>
        <v/>
      </c>
      <c r="C4618" s="53">
        <f>IF(A4618="","",YEAR(A4618))</f>
        <v/>
      </c>
      <c r="D4618" s="54">
        <f>IF(A4618="","",INDEX(lst_months,MONTH(A4618)))</f>
        <v/>
      </c>
      <c r="E4618" s="55" t="n"/>
      <c r="F4618" s="54">
        <f>IF(E4618="","",IFERROR(IF(INDEX(lst_exp_item_cat,MATCH(E4618,lst_exp_items,0))="","❔ Без категории",INDEX(lst_exp_item_cat,MATCH(E4618,lst_exp_items,0))),"❔ Без категории"))</f>
        <v/>
      </c>
      <c r="G4618" s="43" t="n"/>
      <c r="H4618" s="56" t="n"/>
      <c r="I4618" s="43" t="n"/>
      <c r="J4618" s="57">
        <f>IF(OR(A4618="",H4618=""),"",IF(COUNTIFS(exp_year,C4618,exp_month,D4618,exp_item,E4618,exp_status,"&lt;&gt;❌ Отменено")&gt;0,1,0))</f>
        <v/>
      </c>
    </row>
    <row r="4619">
      <c r="A4619" s="52" t="n"/>
      <c r="B4619" s="53">
        <f>IF(A4619="","",CHOOSE(WEEKDAY(A4619,2),"Пн","Вт","Ср","Чт","Пт","Сб","Вс"))</f>
        <v/>
      </c>
      <c r="C4619" s="53">
        <f>IF(A4619="","",YEAR(A4619))</f>
        <v/>
      </c>
      <c r="D4619" s="54">
        <f>IF(A4619="","",INDEX(lst_months,MONTH(A4619)))</f>
        <v/>
      </c>
      <c r="E4619" s="55" t="n"/>
      <c r="F4619" s="54">
        <f>IF(E4619="","",IFERROR(IF(INDEX(lst_exp_item_cat,MATCH(E4619,lst_exp_items,0))="","❔ Без категории",INDEX(lst_exp_item_cat,MATCH(E4619,lst_exp_items,0))),"❔ Без категории"))</f>
        <v/>
      </c>
      <c r="G4619" s="43" t="n"/>
      <c r="H4619" s="56" t="n"/>
      <c r="I4619" s="43" t="n"/>
      <c r="J4619" s="57">
        <f>IF(OR(A4619="",H4619=""),"",IF(COUNTIFS(exp_year,C4619,exp_month,D4619,exp_item,E4619,exp_status,"&lt;&gt;❌ Отменено")&gt;0,1,0))</f>
        <v/>
      </c>
    </row>
    <row r="4620">
      <c r="A4620" s="52" t="n"/>
      <c r="B4620" s="53">
        <f>IF(A4620="","",CHOOSE(WEEKDAY(A4620,2),"Пн","Вт","Ср","Чт","Пт","Сб","Вс"))</f>
        <v/>
      </c>
      <c r="C4620" s="53">
        <f>IF(A4620="","",YEAR(A4620))</f>
        <v/>
      </c>
      <c r="D4620" s="54">
        <f>IF(A4620="","",INDEX(lst_months,MONTH(A4620)))</f>
        <v/>
      </c>
      <c r="E4620" s="55" t="n"/>
      <c r="F4620" s="54">
        <f>IF(E4620="","",IFERROR(IF(INDEX(lst_exp_item_cat,MATCH(E4620,lst_exp_items,0))="","❔ Без категории",INDEX(lst_exp_item_cat,MATCH(E4620,lst_exp_items,0))),"❔ Без категории"))</f>
        <v/>
      </c>
      <c r="G4620" s="43" t="n"/>
      <c r="H4620" s="56" t="n"/>
      <c r="I4620" s="43" t="n"/>
      <c r="J4620" s="57">
        <f>IF(OR(A4620="",H4620=""),"",IF(COUNTIFS(exp_year,C4620,exp_month,D4620,exp_item,E4620,exp_status,"&lt;&gt;❌ Отменено")&gt;0,1,0))</f>
        <v/>
      </c>
    </row>
    <row r="4621">
      <c r="A4621" s="52" t="n"/>
      <c r="B4621" s="53">
        <f>IF(A4621="","",CHOOSE(WEEKDAY(A4621,2),"Пн","Вт","Ср","Чт","Пт","Сб","Вс"))</f>
        <v/>
      </c>
      <c r="C4621" s="53">
        <f>IF(A4621="","",YEAR(A4621))</f>
        <v/>
      </c>
      <c r="D4621" s="54">
        <f>IF(A4621="","",INDEX(lst_months,MONTH(A4621)))</f>
        <v/>
      </c>
      <c r="E4621" s="55" t="n"/>
      <c r="F4621" s="54">
        <f>IF(E4621="","",IFERROR(IF(INDEX(lst_exp_item_cat,MATCH(E4621,lst_exp_items,0))="","❔ Без категории",INDEX(lst_exp_item_cat,MATCH(E4621,lst_exp_items,0))),"❔ Без категории"))</f>
        <v/>
      </c>
      <c r="G4621" s="43" t="n"/>
      <c r="H4621" s="56" t="n"/>
      <c r="I4621" s="43" t="n"/>
      <c r="J4621" s="57">
        <f>IF(OR(A4621="",H4621=""),"",IF(COUNTIFS(exp_year,C4621,exp_month,D4621,exp_item,E4621,exp_status,"&lt;&gt;❌ Отменено")&gt;0,1,0))</f>
        <v/>
      </c>
    </row>
    <row r="4622">
      <c r="A4622" s="52" t="n"/>
      <c r="B4622" s="53">
        <f>IF(A4622="","",CHOOSE(WEEKDAY(A4622,2),"Пн","Вт","Ср","Чт","Пт","Сб","Вс"))</f>
        <v/>
      </c>
      <c r="C4622" s="53">
        <f>IF(A4622="","",YEAR(A4622))</f>
        <v/>
      </c>
      <c r="D4622" s="54">
        <f>IF(A4622="","",INDEX(lst_months,MONTH(A4622)))</f>
        <v/>
      </c>
      <c r="E4622" s="55" t="n"/>
      <c r="F4622" s="54">
        <f>IF(E4622="","",IFERROR(IF(INDEX(lst_exp_item_cat,MATCH(E4622,lst_exp_items,0))="","❔ Без категории",INDEX(lst_exp_item_cat,MATCH(E4622,lst_exp_items,0))),"❔ Без категории"))</f>
        <v/>
      </c>
      <c r="G4622" s="43" t="n"/>
      <c r="H4622" s="56" t="n"/>
      <c r="I4622" s="43" t="n"/>
      <c r="J4622" s="57">
        <f>IF(OR(A4622="",H4622=""),"",IF(COUNTIFS(exp_year,C4622,exp_month,D4622,exp_item,E4622,exp_status,"&lt;&gt;❌ Отменено")&gt;0,1,0))</f>
        <v/>
      </c>
    </row>
    <row r="4623">
      <c r="A4623" s="52" t="n"/>
      <c r="B4623" s="53">
        <f>IF(A4623="","",CHOOSE(WEEKDAY(A4623,2),"Пн","Вт","Ср","Чт","Пт","Сб","Вс"))</f>
        <v/>
      </c>
      <c r="C4623" s="53">
        <f>IF(A4623="","",YEAR(A4623))</f>
        <v/>
      </c>
      <c r="D4623" s="54">
        <f>IF(A4623="","",INDEX(lst_months,MONTH(A4623)))</f>
        <v/>
      </c>
      <c r="E4623" s="55" t="n"/>
      <c r="F4623" s="54">
        <f>IF(E4623="","",IFERROR(IF(INDEX(lst_exp_item_cat,MATCH(E4623,lst_exp_items,0))="","❔ Без категории",INDEX(lst_exp_item_cat,MATCH(E4623,lst_exp_items,0))),"❔ Без категории"))</f>
        <v/>
      </c>
      <c r="G4623" s="43" t="n"/>
      <c r="H4623" s="56" t="n"/>
      <c r="I4623" s="43" t="n"/>
      <c r="J4623" s="57">
        <f>IF(OR(A4623="",H4623=""),"",IF(COUNTIFS(exp_year,C4623,exp_month,D4623,exp_item,E4623,exp_status,"&lt;&gt;❌ Отменено")&gt;0,1,0))</f>
        <v/>
      </c>
    </row>
    <row r="4624">
      <c r="A4624" s="52" t="n"/>
      <c r="B4624" s="53">
        <f>IF(A4624="","",CHOOSE(WEEKDAY(A4624,2),"Пн","Вт","Ср","Чт","Пт","Сб","Вс"))</f>
        <v/>
      </c>
      <c r="C4624" s="53">
        <f>IF(A4624="","",YEAR(A4624))</f>
        <v/>
      </c>
      <c r="D4624" s="54">
        <f>IF(A4624="","",INDEX(lst_months,MONTH(A4624)))</f>
        <v/>
      </c>
      <c r="E4624" s="55" t="n"/>
      <c r="F4624" s="54">
        <f>IF(E4624="","",IFERROR(IF(INDEX(lst_exp_item_cat,MATCH(E4624,lst_exp_items,0))="","❔ Без категории",INDEX(lst_exp_item_cat,MATCH(E4624,lst_exp_items,0))),"❔ Без категории"))</f>
        <v/>
      </c>
      <c r="G4624" s="43" t="n"/>
      <c r="H4624" s="56" t="n"/>
      <c r="I4624" s="43" t="n"/>
      <c r="J4624" s="57">
        <f>IF(OR(A4624="",H4624=""),"",IF(COUNTIFS(exp_year,C4624,exp_month,D4624,exp_item,E4624,exp_status,"&lt;&gt;❌ Отменено")&gt;0,1,0))</f>
        <v/>
      </c>
    </row>
    <row r="4625">
      <c r="A4625" s="52" t="n"/>
      <c r="B4625" s="53">
        <f>IF(A4625="","",CHOOSE(WEEKDAY(A4625,2),"Пн","Вт","Ср","Чт","Пт","Сб","Вс"))</f>
        <v/>
      </c>
      <c r="C4625" s="53">
        <f>IF(A4625="","",YEAR(A4625))</f>
        <v/>
      </c>
      <c r="D4625" s="54">
        <f>IF(A4625="","",INDEX(lst_months,MONTH(A4625)))</f>
        <v/>
      </c>
      <c r="E4625" s="55" t="n"/>
      <c r="F4625" s="54">
        <f>IF(E4625="","",IFERROR(IF(INDEX(lst_exp_item_cat,MATCH(E4625,lst_exp_items,0))="","❔ Без категории",INDEX(lst_exp_item_cat,MATCH(E4625,lst_exp_items,0))),"❔ Без категории"))</f>
        <v/>
      </c>
      <c r="G4625" s="43" t="n"/>
      <c r="H4625" s="56" t="n"/>
      <c r="I4625" s="43" t="n"/>
      <c r="J4625" s="57">
        <f>IF(OR(A4625="",H4625=""),"",IF(COUNTIFS(exp_year,C4625,exp_month,D4625,exp_item,E4625,exp_status,"&lt;&gt;❌ Отменено")&gt;0,1,0))</f>
        <v/>
      </c>
    </row>
    <row r="4626">
      <c r="A4626" s="52" t="n"/>
      <c r="B4626" s="53">
        <f>IF(A4626="","",CHOOSE(WEEKDAY(A4626,2),"Пн","Вт","Ср","Чт","Пт","Сб","Вс"))</f>
        <v/>
      </c>
      <c r="C4626" s="53">
        <f>IF(A4626="","",YEAR(A4626))</f>
        <v/>
      </c>
      <c r="D4626" s="54">
        <f>IF(A4626="","",INDEX(lst_months,MONTH(A4626)))</f>
        <v/>
      </c>
      <c r="E4626" s="55" t="n"/>
      <c r="F4626" s="54">
        <f>IF(E4626="","",IFERROR(IF(INDEX(lst_exp_item_cat,MATCH(E4626,lst_exp_items,0))="","❔ Без категории",INDEX(lst_exp_item_cat,MATCH(E4626,lst_exp_items,0))),"❔ Без категории"))</f>
        <v/>
      </c>
      <c r="G4626" s="43" t="n"/>
      <c r="H4626" s="56" t="n"/>
      <c r="I4626" s="43" t="n"/>
      <c r="J4626" s="57">
        <f>IF(OR(A4626="",H4626=""),"",IF(COUNTIFS(exp_year,C4626,exp_month,D4626,exp_item,E4626,exp_status,"&lt;&gt;❌ Отменено")&gt;0,1,0))</f>
        <v/>
      </c>
    </row>
    <row r="4627">
      <c r="A4627" s="52" t="n"/>
      <c r="B4627" s="53">
        <f>IF(A4627="","",CHOOSE(WEEKDAY(A4627,2),"Пн","Вт","Ср","Чт","Пт","Сб","Вс"))</f>
        <v/>
      </c>
      <c r="C4627" s="53">
        <f>IF(A4627="","",YEAR(A4627))</f>
        <v/>
      </c>
      <c r="D4627" s="54">
        <f>IF(A4627="","",INDEX(lst_months,MONTH(A4627)))</f>
        <v/>
      </c>
      <c r="E4627" s="55" t="n"/>
      <c r="F4627" s="54">
        <f>IF(E4627="","",IFERROR(IF(INDEX(lst_exp_item_cat,MATCH(E4627,lst_exp_items,0))="","❔ Без категории",INDEX(lst_exp_item_cat,MATCH(E4627,lst_exp_items,0))),"❔ Без категории"))</f>
        <v/>
      </c>
      <c r="G4627" s="43" t="n"/>
      <c r="H4627" s="56" t="n"/>
      <c r="I4627" s="43" t="n"/>
      <c r="J4627" s="57">
        <f>IF(OR(A4627="",H4627=""),"",IF(COUNTIFS(exp_year,C4627,exp_month,D4627,exp_item,E4627,exp_status,"&lt;&gt;❌ Отменено")&gt;0,1,0))</f>
        <v/>
      </c>
    </row>
    <row r="4628">
      <c r="A4628" s="52" t="n"/>
      <c r="B4628" s="53">
        <f>IF(A4628="","",CHOOSE(WEEKDAY(A4628,2),"Пн","Вт","Ср","Чт","Пт","Сб","Вс"))</f>
        <v/>
      </c>
      <c r="C4628" s="53">
        <f>IF(A4628="","",YEAR(A4628))</f>
        <v/>
      </c>
      <c r="D4628" s="54">
        <f>IF(A4628="","",INDEX(lst_months,MONTH(A4628)))</f>
        <v/>
      </c>
      <c r="E4628" s="55" t="n"/>
      <c r="F4628" s="54">
        <f>IF(E4628="","",IFERROR(IF(INDEX(lst_exp_item_cat,MATCH(E4628,lst_exp_items,0))="","❔ Без категории",INDEX(lst_exp_item_cat,MATCH(E4628,lst_exp_items,0))),"❔ Без категории"))</f>
        <v/>
      </c>
      <c r="G4628" s="43" t="n"/>
      <c r="H4628" s="56" t="n"/>
      <c r="I4628" s="43" t="n"/>
      <c r="J4628" s="57">
        <f>IF(OR(A4628="",H4628=""),"",IF(COUNTIFS(exp_year,C4628,exp_month,D4628,exp_item,E4628,exp_status,"&lt;&gt;❌ Отменено")&gt;0,1,0))</f>
        <v/>
      </c>
    </row>
    <row r="4629">
      <c r="A4629" s="52" t="n"/>
      <c r="B4629" s="53">
        <f>IF(A4629="","",CHOOSE(WEEKDAY(A4629,2),"Пн","Вт","Ср","Чт","Пт","Сб","Вс"))</f>
        <v/>
      </c>
      <c r="C4629" s="53">
        <f>IF(A4629="","",YEAR(A4629))</f>
        <v/>
      </c>
      <c r="D4629" s="54">
        <f>IF(A4629="","",INDEX(lst_months,MONTH(A4629)))</f>
        <v/>
      </c>
      <c r="E4629" s="55" t="n"/>
      <c r="F4629" s="54">
        <f>IF(E4629="","",IFERROR(IF(INDEX(lst_exp_item_cat,MATCH(E4629,lst_exp_items,0))="","❔ Без категории",INDEX(lst_exp_item_cat,MATCH(E4629,lst_exp_items,0))),"❔ Без категории"))</f>
        <v/>
      </c>
      <c r="G4629" s="43" t="n"/>
      <c r="H4629" s="56" t="n"/>
      <c r="I4629" s="43" t="n"/>
      <c r="J4629" s="57">
        <f>IF(OR(A4629="",H4629=""),"",IF(COUNTIFS(exp_year,C4629,exp_month,D4629,exp_item,E4629,exp_status,"&lt;&gt;❌ Отменено")&gt;0,1,0))</f>
        <v/>
      </c>
    </row>
    <row r="4630">
      <c r="A4630" s="52" t="n"/>
      <c r="B4630" s="53">
        <f>IF(A4630="","",CHOOSE(WEEKDAY(A4630,2),"Пн","Вт","Ср","Чт","Пт","Сб","Вс"))</f>
        <v/>
      </c>
      <c r="C4630" s="53">
        <f>IF(A4630="","",YEAR(A4630))</f>
        <v/>
      </c>
      <c r="D4630" s="54">
        <f>IF(A4630="","",INDEX(lst_months,MONTH(A4630)))</f>
        <v/>
      </c>
      <c r="E4630" s="55" t="n"/>
      <c r="F4630" s="54">
        <f>IF(E4630="","",IFERROR(IF(INDEX(lst_exp_item_cat,MATCH(E4630,lst_exp_items,0))="","❔ Без категории",INDEX(lst_exp_item_cat,MATCH(E4630,lst_exp_items,0))),"❔ Без категории"))</f>
        <v/>
      </c>
      <c r="G4630" s="43" t="n"/>
      <c r="H4630" s="56" t="n"/>
      <c r="I4630" s="43" t="n"/>
      <c r="J4630" s="57">
        <f>IF(OR(A4630="",H4630=""),"",IF(COUNTIFS(exp_year,C4630,exp_month,D4630,exp_item,E4630,exp_status,"&lt;&gt;❌ Отменено")&gt;0,1,0))</f>
        <v/>
      </c>
    </row>
    <row r="4631">
      <c r="A4631" s="52" t="n"/>
      <c r="B4631" s="53">
        <f>IF(A4631="","",CHOOSE(WEEKDAY(A4631,2),"Пн","Вт","Ср","Чт","Пт","Сб","Вс"))</f>
        <v/>
      </c>
      <c r="C4631" s="53">
        <f>IF(A4631="","",YEAR(A4631))</f>
        <v/>
      </c>
      <c r="D4631" s="54">
        <f>IF(A4631="","",INDEX(lst_months,MONTH(A4631)))</f>
        <v/>
      </c>
      <c r="E4631" s="55" t="n"/>
      <c r="F4631" s="54">
        <f>IF(E4631="","",IFERROR(IF(INDEX(lst_exp_item_cat,MATCH(E4631,lst_exp_items,0))="","❔ Без категории",INDEX(lst_exp_item_cat,MATCH(E4631,lst_exp_items,0))),"❔ Без категории"))</f>
        <v/>
      </c>
      <c r="G4631" s="43" t="n"/>
      <c r="H4631" s="56" t="n"/>
      <c r="I4631" s="43" t="n"/>
      <c r="J4631" s="57">
        <f>IF(OR(A4631="",H4631=""),"",IF(COUNTIFS(exp_year,C4631,exp_month,D4631,exp_item,E4631,exp_status,"&lt;&gt;❌ Отменено")&gt;0,1,0))</f>
        <v/>
      </c>
    </row>
    <row r="4632">
      <c r="A4632" s="52" t="n"/>
      <c r="B4632" s="53">
        <f>IF(A4632="","",CHOOSE(WEEKDAY(A4632,2),"Пн","Вт","Ср","Чт","Пт","Сб","Вс"))</f>
        <v/>
      </c>
      <c r="C4632" s="53">
        <f>IF(A4632="","",YEAR(A4632))</f>
        <v/>
      </c>
      <c r="D4632" s="54">
        <f>IF(A4632="","",INDEX(lst_months,MONTH(A4632)))</f>
        <v/>
      </c>
      <c r="E4632" s="55" t="n"/>
      <c r="F4632" s="54">
        <f>IF(E4632="","",IFERROR(IF(INDEX(lst_exp_item_cat,MATCH(E4632,lst_exp_items,0))="","❔ Без категории",INDEX(lst_exp_item_cat,MATCH(E4632,lst_exp_items,0))),"❔ Без категории"))</f>
        <v/>
      </c>
      <c r="G4632" s="43" t="n"/>
      <c r="H4632" s="56" t="n"/>
      <c r="I4632" s="43" t="n"/>
      <c r="J4632" s="57">
        <f>IF(OR(A4632="",H4632=""),"",IF(COUNTIFS(exp_year,C4632,exp_month,D4632,exp_item,E4632,exp_status,"&lt;&gt;❌ Отменено")&gt;0,1,0))</f>
        <v/>
      </c>
    </row>
    <row r="4633">
      <c r="A4633" s="52" t="n"/>
      <c r="B4633" s="53">
        <f>IF(A4633="","",CHOOSE(WEEKDAY(A4633,2),"Пн","Вт","Ср","Чт","Пт","Сб","Вс"))</f>
        <v/>
      </c>
      <c r="C4633" s="53">
        <f>IF(A4633="","",YEAR(A4633))</f>
        <v/>
      </c>
      <c r="D4633" s="54">
        <f>IF(A4633="","",INDEX(lst_months,MONTH(A4633)))</f>
        <v/>
      </c>
      <c r="E4633" s="55" t="n"/>
      <c r="F4633" s="54">
        <f>IF(E4633="","",IFERROR(IF(INDEX(lst_exp_item_cat,MATCH(E4633,lst_exp_items,0))="","❔ Без категории",INDEX(lst_exp_item_cat,MATCH(E4633,lst_exp_items,0))),"❔ Без категории"))</f>
        <v/>
      </c>
      <c r="G4633" s="43" t="n"/>
      <c r="H4633" s="56" t="n"/>
      <c r="I4633" s="43" t="n"/>
      <c r="J4633" s="57">
        <f>IF(OR(A4633="",H4633=""),"",IF(COUNTIFS(exp_year,C4633,exp_month,D4633,exp_item,E4633,exp_status,"&lt;&gt;❌ Отменено")&gt;0,1,0))</f>
        <v/>
      </c>
    </row>
    <row r="4634">
      <c r="A4634" s="52" t="n"/>
      <c r="B4634" s="53">
        <f>IF(A4634="","",CHOOSE(WEEKDAY(A4634,2),"Пн","Вт","Ср","Чт","Пт","Сб","Вс"))</f>
        <v/>
      </c>
      <c r="C4634" s="53">
        <f>IF(A4634="","",YEAR(A4634))</f>
        <v/>
      </c>
      <c r="D4634" s="54">
        <f>IF(A4634="","",INDEX(lst_months,MONTH(A4634)))</f>
        <v/>
      </c>
      <c r="E4634" s="55" t="n"/>
      <c r="F4634" s="54">
        <f>IF(E4634="","",IFERROR(IF(INDEX(lst_exp_item_cat,MATCH(E4634,lst_exp_items,0))="","❔ Без категории",INDEX(lst_exp_item_cat,MATCH(E4634,lst_exp_items,0))),"❔ Без категории"))</f>
        <v/>
      </c>
      <c r="G4634" s="43" t="n"/>
      <c r="H4634" s="56" t="n"/>
      <c r="I4634" s="43" t="n"/>
      <c r="J4634" s="57">
        <f>IF(OR(A4634="",H4634=""),"",IF(COUNTIFS(exp_year,C4634,exp_month,D4634,exp_item,E4634,exp_status,"&lt;&gt;❌ Отменено")&gt;0,1,0))</f>
        <v/>
      </c>
    </row>
    <row r="4635">
      <c r="A4635" s="52" t="n"/>
      <c r="B4635" s="53">
        <f>IF(A4635="","",CHOOSE(WEEKDAY(A4635,2),"Пн","Вт","Ср","Чт","Пт","Сб","Вс"))</f>
        <v/>
      </c>
      <c r="C4635" s="53">
        <f>IF(A4635="","",YEAR(A4635))</f>
        <v/>
      </c>
      <c r="D4635" s="54">
        <f>IF(A4635="","",INDEX(lst_months,MONTH(A4635)))</f>
        <v/>
      </c>
      <c r="E4635" s="55" t="n"/>
      <c r="F4635" s="54">
        <f>IF(E4635="","",IFERROR(IF(INDEX(lst_exp_item_cat,MATCH(E4635,lst_exp_items,0))="","❔ Без категории",INDEX(lst_exp_item_cat,MATCH(E4635,lst_exp_items,0))),"❔ Без категории"))</f>
        <v/>
      </c>
      <c r="G4635" s="43" t="n"/>
      <c r="H4635" s="56" t="n"/>
      <c r="I4635" s="43" t="n"/>
      <c r="J4635" s="57">
        <f>IF(OR(A4635="",H4635=""),"",IF(COUNTIFS(exp_year,C4635,exp_month,D4635,exp_item,E4635,exp_status,"&lt;&gt;❌ Отменено")&gt;0,1,0))</f>
        <v/>
      </c>
    </row>
    <row r="4636">
      <c r="A4636" s="52" t="n"/>
      <c r="B4636" s="53">
        <f>IF(A4636="","",CHOOSE(WEEKDAY(A4636,2),"Пн","Вт","Ср","Чт","Пт","Сб","Вс"))</f>
        <v/>
      </c>
      <c r="C4636" s="53">
        <f>IF(A4636="","",YEAR(A4636))</f>
        <v/>
      </c>
      <c r="D4636" s="54">
        <f>IF(A4636="","",INDEX(lst_months,MONTH(A4636)))</f>
        <v/>
      </c>
      <c r="E4636" s="55" t="n"/>
      <c r="F4636" s="54">
        <f>IF(E4636="","",IFERROR(IF(INDEX(lst_exp_item_cat,MATCH(E4636,lst_exp_items,0))="","❔ Без категории",INDEX(lst_exp_item_cat,MATCH(E4636,lst_exp_items,0))),"❔ Без категории"))</f>
        <v/>
      </c>
      <c r="G4636" s="43" t="n"/>
      <c r="H4636" s="56" t="n"/>
      <c r="I4636" s="43" t="n"/>
      <c r="J4636" s="57">
        <f>IF(OR(A4636="",H4636=""),"",IF(COUNTIFS(exp_year,C4636,exp_month,D4636,exp_item,E4636,exp_status,"&lt;&gt;❌ Отменено")&gt;0,1,0))</f>
        <v/>
      </c>
    </row>
    <row r="4637">
      <c r="A4637" s="52" t="n"/>
      <c r="B4637" s="53">
        <f>IF(A4637="","",CHOOSE(WEEKDAY(A4637,2),"Пн","Вт","Ср","Чт","Пт","Сб","Вс"))</f>
        <v/>
      </c>
      <c r="C4637" s="53">
        <f>IF(A4637="","",YEAR(A4637))</f>
        <v/>
      </c>
      <c r="D4637" s="54">
        <f>IF(A4637="","",INDEX(lst_months,MONTH(A4637)))</f>
        <v/>
      </c>
      <c r="E4637" s="55" t="n"/>
      <c r="F4637" s="54">
        <f>IF(E4637="","",IFERROR(IF(INDEX(lst_exp_item_cat,MATCH(E4637,lst_exp_items,0))="","❔ Без категории",INDEX(lst_exp_item_cat,MATCH(E4637,lst_exp_items,0))),"❔ Без категории"))</f>
        <v/>
      </c>
      <c r="G4637" s="43" t="n"/>
      <c r="H4637" s="56" t="n"/>
      <c r="I4637" s="43" t="n"/>
      <c r="J4637" s="57">
        <f>IF(OR(A4637="",H4637=""),"",IF(COUNTIFS(exp_year,C4637,exp_month,D4637,exp_item,E4637,exp_status,"&lt;&gt;❌ Отменено")&gt;0,1,0))</f>
        <v/>
      </c>
    </row>
    <row r="4638">
      <c r="A4638" s="52" t="n"/>
      <c r="B4638" s="53">
        <f>IF(A4638="","",CHOOSE(WEEKDAY(A4638,2),"Пн","Вт","Ср","Чт","Пт","Сб","Вс"))</f>
        <v/>
      </c>
      <c r="C4638" s="53">
        <f>IF(A4638="","",YEAR(A4638))</f>
        <v/>
      </c>
      <c r="D4638" s="54">
        <f>IF(A4638="","",INDEX(lst_months,MONTH(A4638)))</f>
        <v/>
      </c>
      <c r="E4638" s="55" t="n"/>
      <c r="F4638" s="54">
        <f>IF(E4638="","",IFERROR(IF(INDEX(lst_exp_item_cat,MATCH(E4638,lst_exp_items,0))="","❔ Без категории",INDEX(lst_exp_item_cat,MATCH(E4638,lst_exp_items,0))),"❔ Без категории"))</f>
        <v/>
      </c>
      <c r="G4638" s="43" t="n"/>
      <c r="H4638" s="56" t="n"/>
      <c r="I4638" s="43" t="n"/>
      <c r="J4638" s="57">
        <f>IF(OR(A4638="",H4638=""),"",IF(COUNTIFS(exp_year,C4638,exp_month,D4638,exp_item,E4638,exp_status,"&lt;&gt;❌ Отменено")&gt;0,1,0))</f>
        <v/>
      </c>
    </row>
    <row r="4639">
      <c r="A4639" s="52" t="n"/>
      <c r="B4639" s="53">
        <f>IF(A4639="","",CHOOSE(WEEKDAY(A4639,2),"Пн","Вт","Ср","Чт","Пт","Сб","Вс"))</f>
        <v/>
      </c>
      <c r="C4639" s="53">
        <f>IF(A4639="","",YEAR(A4639))</f>
        <v/>
      </c>
      <c r="D4639" s="54">
        <f>IF(A4639="","",INDEX(lst_months,MONTH(A4639)))</f>
        <v/>
      </c>
      <c r="E4639" s="55" t="n"/>
      <c r="F4639" s="54">
        <f>IF(E4639="","",IFERROR(IF(INDEX(lst_exp_item_cat,MATCH(E4639,lst_exp_items,0))="","❔ Без категории",INDEX(lst_exp_item_cat,MATCH(E4639,lst_exp_items,0))),"❔ Без категории"))</f>
        <v/>
      </c>
      <c r="G4639" s="43" t="n"/>
      <c r="H4639" s="56" t="n"/>
      <c r="I4639" s="43" t="n"/>
      <c r="J4639" s="57">
        <f>IF(OR(A4639="",H4639=""),"",IF(COUNTIFS(exp_year,C4639,exp_month,D4639,exp_item,E4639,exp_status,"&lt;&gt;❌ Отменено")&gt;0,1,0))</f>
        <v/>
      </c>
    </row>
    <row r="4640">
      <c r="A4640" s="52" t="n"/>
      <c r="B4640" s="53">
        <f>IF(A4640="","",CHOOSE(WEEKDAY(A4640,2),"Пн","Вт","Ср","Чт","Пт","Сб","Вс"))</f>
        <v/>
      </c>
      <c r="C4640" s="53">
        <f>IF(A4640="","",YEAR(A4640))</f>
        <v/>
      </c>
      <c r="D4640" s="54">
        <f>IF(A4640="","",INDEX(lst_months,MONTH(A4640)))</f>
        <v/>
      </c>
      <c r="E4640" s="55" t="n"/>
      <c r="F4640" s="54">
        <f>IF(E4640="","",IFERROR(IF(INDEX(lst_exp_item_cat,MATCH(E4640,lst_exp_items,0))="","❔ Без категории",INDEX(lst_exp_item_cat,MATCH(E4640,lst_exp_items,0))),"❔ Без категории"))</f>
        <v/>
      </c>
      <c r="G4640" s="43" t="n"/>
      <c r="H4640" s="56" t="n"/>
      <c r="I4640" s="43" t="n"/>
      <c r="J4640" s="57">
        <f>IF(OR(A4640="",H4640=""),"",IF(COUNTIFS(exp_year,C4640,exp_month,D4640,exp_item,E4640,exp_status,"&lt;&gt;❌ Отменено")&gt;0,1,0))</f>
        <v/>
      </c>
    </row>
    <row r="4641">
      <c r="A4641" s="52" t="n"/>
      <c r="B4641" s="53">
        <f>IF(A4641="","",CHOOSE(WEEKDAY(A4641,2),"Пн","Вт","Ср","Чт","Пт","Сб","Вс"))</f>
        <v/>
      </c>
      <c r="C4641" s="53">
        <f>IF(A4641="","",YEAR(A4641))</f>
        <v/>
      </c>
      <c r="D4641" s="54">
        <f>IF(A4641="","",INDEX(lst_months,MONTH(A4641)))</f>
        <v/>
      </c>
      <c r="E4641" s="55" t="n"/>
      <c r="F4641" s="54">
        <f>IF(E4641="","",IFERROR(IF(INDEX(lst_exp_item_cat,MATCH(E4641,lst_exp_items,0))="","❔ Без категории",INDEX(lst_exp_item_cat,MATCH(E4641,lst_exp_items,0))),"❔ Без категории"))</f>
        <v/>
      </c>
      <c r="G4641" s="43" t="n"/>
      <c r="H4641" s="56" t="n"/>
      <c r="I4641" s="43" t="n"/>
      <c r="J4641" s="57">
        <f>IF(OR(A4641="",H4641=""),"",IF(COUNTIFS(exp_year,C4641,exp_month,D4641,exp_item,E4641,exp_status,"&lt;&gt;❌ Отменено")&gt;0,1,0))</f>
        <v/>
      </c>
    </row>
    <row r="4642">
      <c r="A4642" s="52" t="n"/>
      <c r="B4642" s="53">
        <f>IF(A4642="","",CHOOSE(WEEKDAY(A4642,2),"Пн","Вт","Ср","Чт","Пт","Сб","Вс"))</f>
        <v/>
      </c>
      <c r="C4642" s="53">
        <f>IF(A4642="","",YEAR(A4642))</f>
        <v/>
      </c>
      <c r="D4642" s="54">
        <f>IF(A4642="","",INDEX(lst_months,MONTH(A4642)))</f>
        <v/>
      </c>
      <c r="E4642" s="55" t="n"/>
      <c r="F4642" s="54">
        <f>IF(E4642="","",IFERROR(IF(INDEX(lst_exp_item_cat,MATCH(E4642,lst_exp_items,0))="","❔ Без категории",INDEX(lst_exp_item_cat,MATCH(E4642,lst_exp_items,0))),"❔ Без категории"))</f>
        <v/>
      </c>
      <c r="G4642" s="43" t="n"/>
      <c r="H4642" s="56" t="n"/>
      <c r="I4642" s="43" t="n"/>
      <c r="J4642" s="57">
        <f>IF(OR(A4642="",H4642=""),"",IF(COUNTIFS(exp_year,C4642,exp_month,D4642,exp_item,E4642,exp_status,"&lt;&gt;❌ Отменено")&gt;0,1,0))</f>
        <v/>
      </c>
    </row>
    <row r="4643">
      <c r="A4643" s="52" t="n"/>
      <c r="B4643" s="53">
        <f>IF(A4643="","",CHOOSE(WEEKDAY(A4643,2),"Пн","Вт","Ср","Чт","Пт","Сб","Вс"))</f>
        <v/>
      </c>
      <c r="C4643" s="53">
        <f>IF(A4643="","",YEAR(A4643))</f>
        <v/>
      </c>
      <c r="D4643" s="54">
        <f>IF(A4643="","",INDEX(lst_months,MONTH(A4643)))</f>
        <v/>
      </c>
      <c r="E4643" s="55" t="n"/>
      <c r="F4643" s="54">
        <f>IF(E4643="","",IFERROR(IF(INDEX(lst_exp_item_cat,MATCH(E4643,lst_exp_items,0))="","❔ Без категории",INDEX(lst_exp_item_cat,MATCH(E4643,lst_exp_items,0))),"❔ Без категории"))</f>
        <v/>
      </c>
      <c r="G4643" s="43" t="n"/>
      <c r="H4643" s="56" t="n"/>
      <c r="I4643" s="43" t="n"/>
      <c r="J4643" s="57">
        <f>IF(OR(A4643="",H4643=""),"",IF(COUNTIFS(exp_year,C4643,exp_month,D4643,exp_item,E4643,exp_status,"&lt;&gt;❌ Отменено")&gt;0,1,0))</f>
        <v/>
      </c>
    </row>
    <row r="4644">
      <c r="A4644" s="52" t="n"/>
      <c r="B4644" s="53">
        <f>IF(A4644="","",CHOOSE(WEEKDAY(A4644,2),"Пн","Вт","Ср","Чт","Пт","Сб","Вс"))</f>
        <v/>
      </c>
      <c r="C4644" s="53">
        <f>IF(A4644="","",YEAR(A4644))</f>
        <v/>
      </c>
      <c r="D4644" s="54">
        <f>IF(A4644="","",INDEX(lst_months,MONTH(A4644)))</f>
        <v/>
      </c>
      <c r="E4644" s="55" t="n"/>
      <c r="F4644" s="54">
        <f>IF(E4644="","",IFERROR(IF(INDEX(lst_exp_item_cat,MATCH(E4644,lst_exp_items,0))="","❔ Без категории",INDEX(lst_exp_item_cat,MATCH(E4644,lst_exp_items,0))),"❔ Без категории"))</f>
        <v/>
      </c>
      <c r="G4644" s="43" t="n"/>
      <c r="H4644" s="56" t="n"/>
      <c r="I4644" s="43" t="n"/>
      <c r="J4644" s="57">
        <f>IF(OR(A4644="",H4644=""),"",IF(COUNTIFS(exp_year,C4644,exp_month,D4644,exp_item,E4644,exp_status,"&lt;&gt;❌ Отменено")&gt;0,1,0))</f>
        <v/>
      </c>
    </row>
    <row r="4645">
      <c r="A4645" s="52" t="n"/>
      <c r="B4645" s="53">
        <f>IF(A4645="","",CHOOSE(WEEKDAY(A4645,2),"Пн","Вт","Ср","Чт","Пт","Сб","Вс"))</f>
        <v/>
      </c>
      <c r="C4645" s="53">
        <f>IF(A4645="","",YEAR(A4645))</f>
        <v/>
      </c>
      <c r="D4645" s="54">
        <f>IF(A4645="","",INDEX(lst_months,MONTH(A4645)))</f>
        <v/>
      </c>
      <c r="E4645" s="55" t="n"/>
      <c r="F4645" s="54">
        <f>IF(E4645="","",IFERROR(IF(INDEX(lst_exp_item_cat,MATCH(E4645,lst_exp_items,0))="","❔ Без категории",INDEX(lst_exp_item_cat,MATCH(E4645,lst_exp_items,0))),"❔ Без категории"))</f>
        <v/>
      </c>
      <c r="G4645" s="43" t="n"/>
      <c r="H4645" s="56" t="n"/>
      <c r="I4645" s="43" t="n"/>
      <c r="J4645" s="57">
        <f>IF(OR(A4645="",H4645=""),"",IF(COUNTIFS(exp_year,C4645,exp_month,D4645,exp_item,E4645,exp_status,"&lt;&gt;❌ Отменено")&gt;0,1,0))</f>
        <v/>
      </c>
    </row>
    <row r="4646">
      <c r="A4646" s="52" t="n"/>
      <c r="B4646" s="53">
        <f>IF(A4646="","",CHOOSE(WEEKDAY(A4646,2),"Пн","Вт","Ср","Чт","Пт","Сб","Вс"))</f>
        <v/>
      </c>
      <c r="C4646" s="53">
        <f>IF(A4646="","",YEAR(A4646))</f>
        <v/>
      </c>
      <c r="D4646" s="54">
        <f>IF(A4646="","",INDEX(lst_months,MONTH(A4646)))</f>
        <v/>
      </c>
      <c r="E4646" s="55" t="n"/>
      <c r="F4646" s="54">
        <f>IF(E4646="","",IFERROR(IF(INDEX(lst_exp_item_cat,MATCH(E4646,lst_exp_items,0))="","❔ Без категории",INDEX(lst_exp_item_cat,MATCH(E4646,lst_exp_items,0))),"❔ Без категории"))</f>
        <v/>
      </c>
      <c r="G4646" s="43" t="n"/>
      <c r="H4646" s="56" t="n"/>
      <c r="I4646" s="43" t="n"/>
      <c r="J4646" s="57">
        <f>IF(OR(A4646="",H4646=""),"",IF(COUNTIFS(exp_year,C4646,exp_month,D4646,exp_item,E4646,exp_status,"&lt;&gt;❌ Отменено")&gt;0,1,0))</f>
        <v/>
      </c>
    </row>
    <row r="4647">
      <c r="A4647" s="52" t="n"/>
      <c r="B4647" s="53">
        <f>IF(A4647="","",CHOOSE(WEEKDAY(A4647,2),"Пн","Вт","Ср","Чт","Пт","Сб","Вс"))</f>
        <v/>
      </c>
      <c r="C4647" s="53">
        <f>IF(A4647="","",YEAR(A4647))</f>
        <v/>
      </c>
      <c r="D4647" s="54">
        <f>IF(A4647="","",INDEX(lst_months,MONTH(A4647)))</f>
        <v/>
      </c>
      <c r="E4647" s="55" t="n"/>
      <c r="F4647" s="54">
        <f>IF(E4647="","",IFERROR(IF(INDEX(lst_exp_item_cat,MATCH(E4647,lst_exp_items,0))="","❔ Без категории",INDEX(lst_exp_item_cat,MATCH(E4647,lst_exp_items,0))),"❔ Без категории"))</f>
        <v/>
      </c>
      <c r="G4647" s="43" t="n"/>
      <c r="H4647" s="56" t="n"/>
      <c r="I4647" s="43" t="n"/>
      <c r="J4647" s="57">
        <f>IF(OR(A4647="",H4647=""),"",IF(COUNTIFS(exp_year,C4647,exp_month,D4647,exp_item,E4647,exp_status,"&lt;&gt;❌ Отменено")&gt;0,1,0))</f>
        <v/>
      </c>
    </row>
    <row r="4648">
      <c r="A4648" s="52" t="n"/>
      <c r="B4648" s="53">
        <f>IF(A4648="","",CHOOSE(WEEKDAY(A4648,2),"Пн","Вт","Ср","Чт","Пт","Сб","Вс"))</f>
        <v/>
      </c>
      <c r="C4648" s="53">
        <f>IF(A4648="","",YEAR(A4648))</f>
        <v/>
      </c>
      <c r="D4648" s="54">
        <f>IF(A4648="","",INDEX(lst_months,MONTH(A4648)))</f>
        <v/>
      </c>
      <c r="E4648" s="55" t="n"/>
      <c r="F4648" s="54">
        <f>IF(E4648="","",IFERROR(IF(INDEX(lst_exp_item_cat,MATCH(E4648,lst_exp_items,0))="","❔ Без категории",INDEX(lst_exp_item_cat,MATCH(E4648,lst_exp_items,0))),"❔ Без категории"))</f>
        <v/>
      </c>
      <c r="G4648" s="43" t="n"/>
      <c r="H4648" s="56" t="n"/>
      <c r="I4648" s="43" t="n"/>
      <c r="J4648" s="57">
        <f>IF(OR(A4648="",H4648=""),"",IF(COUNTIFS(exp_year,C4648,exp_month,D4648,exp_item,E4648,exp_status,"&lt;&gt;❌ Отменено")&gt;0,1,0))</f>
        <v/>
      </c>
    </row>
    <row r="4649">
      <c r="A4649" s="52" t="n"/>
      <c r="B4649" s="53">
        <f>IF(A4649="","",CHOOSE(WEEKDAY(A4649,2),"Пн","Вт","Ср","Чт","Пт","Сб","Вс"))</f>
        <v/>
      </c>
      <c r="C4649" s="53">
        <f>IF(A4649="","",YEAR(A4649))</f>
        <v/>
      </c>
      <c r="D4649" s="54">
        <f>IF(A4649="","",INDEX(lst_months,MONTH(A4649)))</f>
        <v/>
      </c>
      <c r="E4649" s="55" t="n"/>
      <c r="F4649" s="54">
        <f>IF(E4649="","",IFERROR(IF(INDEX(lst_exp_item_cat,MATCH(E4649,lst_exp_items,0))="","❔ Без категории",INDEX(lst_exp_item_cat,MATCH(E4649,lst_exp_items,0))),"❔ Без категории"))</f>
        <v/>
      </c>
      <c r="G4649" s="43" t="n"/>
      <c r="H4649" s="56" t="n"/>
      <c r="I4649" s="43" t="n"/>
      <c r="J4649" s="57">
        <f>IF(OR(A4649="",H4649=""),"",IF(COUNTIFS(exp_year,C4649,exp_month,D4649,exp_item,E4649,exp_status,"&lt;&gt;❌ Отменено")&gt;0,1,0))</f>
        <v/>
      </c>
    </row>
    <row r="4650">
      <c r="A4650" s="52" t="n"/>
      <c r="B4650" s="53">
        <f>IF(A4650="","",CHOOSE(WEEKDAY(A4650,2),"Пн","Вт","Ср","Чт","Пт","Сб","Вс"))</f>
        <v/>
      </c>
      <c r="C4650" s="53">
        <f>IF(A4650="","",YEAR(A4650))</f>
        <v/>
      </c>
      <c r="D4650" s="54">
        <f>IF(A4650="","",INDEX(lst_months,MONTH(A4650)))</f>
        <v/>
      </c>
      <c r="E4650" s="55" t="n"/>
      <c r="F4650" s="54">
        <f>IF(E4650="","",IFERROR(IF(INDEX(lst_exp_item_cat,MATCH(E4650,lst_exp_items,0))="","❔ Без категории",INDEX(lst_exp_item_cat,MATCH(E4650,lst_exp_items,0))),"❔ Без категории"))</f>
        <v/>
      </c>
      <c r="G4650" s="43" t="n"/>
      <c r="H4650" s="56" t="n"/>
      <c r="I4650" s="43" t="n"/>
      <c r="J4650" s="57">
        <f>IF(OR(A4650="",H4650=""),"",IF(COUNTIFS(exp_year,C4650,exp_month,D4650,exp_item,E4650,exp_status,"&lt;&gt;❌ Отменено")&gt;0,1,0))</f>
        <v/>
      </c>
    </row>
    <row r="4651">
      <c r="A4651" s="52" t="n"/>
      <c r="B4651" s="53">
        <f>IF(A4651="","",CHOOSE(WEEKDAY(A4651,2),"Пн","Вт","Ср","Чт","Пт","Сб","Вс"))</f>
        <v/>
      </c>
      <c r="C4651" s="53">
        <f>IF(A4651="","",YEAR(A4651))</f>
        <v/>
      </c>
      <c r="D4651" s="54">
        <f>IF(A4651="","",INDEX(lst_months,MONTH(A4651)))</f>
        <v/>
      </c>
      <c r="E4651" s="55" t="n"/>
      <c r="F4651" s="54">
        <f>IF(E4651="","",IFERROR(IF(INDEX(lst_exp_item_cat,MATCH(E4651,lst_exp_items,0))="","❔ Без категории",INDEX(lst_exp_item_cat,MATCH(E4651,lst_exp_items,0))),"❔ Без категории"))</f>
        <v/>
      </c>
      <c r="G4651" s="43" t="n"/>
      <c r="H4651" s="56" t="n"/>
      <c r="I4651" s="43" t="n"/>
      <c r="J4651" s="57">
        <f>IF(OR(A4651="",H4651=""),"",IF(COUNTIFS(exp_year,C4651,exp_month,D4651,exp_item,E4651,exp_status,"&lt;&gt;❌ Отменено")&gt;0,1,0))</f>
        <v/>
      </c>
    </row>
    <row r="4652">
      <c r="A4652" s="52" t="n"/>
      <c r="B4652" s="53">
        <f>IF(A4652="","",CHOOSE(WEEKDAY(A4652,2),"Пн","Вт","Ср","Чт","Пт","Сб","Вс"))</f>
        <v/>
      </c>
      <c r="C4652" s="53">
        <f>IF(A4652="","",YEAR(A4652))</f>
        <v/>
      </c>
      <c r="D4652" s="54">
        <f>IF(A4652="","",INDEX(lst_months,MONTH(A4652)))</f>
        <v/>
      </c>
      <c r="E4652" s="55" t="n"/>
      <c r="F4652" s="54">
        <f>IF(E4652="","",IFERROR(IF(INDEX(lst_exp_item_cat,MATCH(E4652,lst_exp_items,0))="","❔ Без категории",INDEX(lst_exp_item_cat,MATCH(E4652,lst_exp_items,0))),"❔ Без категории"))</f>
        <v/>
      </c>
      <c r="G4652" s="43" t="n"/>
      <c r="H4652" s="56" t="n"/>
      <c r="I4652" s="43" t="n"/>
      <c r="J4652" s="57">
        <f>IF(OR(A4652="",H4652=""),"",IF(COUNTIFS(exp_year,C4652,exp_month,D4652,exp_item,E4652,exp_status,"&lt;&gt;❌ Отменено")&gt;0,1,0))</f>
        <v/>
      </c>
    </row>
    <row r="4653">
      <c r="A4653" s="52" t="n"/>
      <c r="B4653" s="53">
        <f>IF(A4653="","",CHOOSE(WEEKDAY(A4653,2),"Пн","Вт","Ср","Чт","Пт","Сб","Вс"))</f>
        <v/>
      </c>
      <c r="C4653" s="53">
        <f>IF(A4653="","",YEAR(A4653))</f>
        <v/>
      </c>
      <c r="D4653" s="54">
        <f>IF(A4653="","",INDEX(lst_months,MONTH(A4653)))</f>
        <v/>
      </c>
      <c r="E4653" s="55" t="n"/>
      <c r="F4653" s="54">
        <f>IF(E4653="","",IFERROR(IF(INDEX(lst_exp_item_cat,MATCH(E4653,lst_exp_items,0))="","❔ Без категории",INDEX(lst_exp_item_cat,MATCH(E4653,lst_exp_items,0))),"❔ Без категории"))</f>
        <v/>
      </c>
      <c r="G4653" s="43" t="n"/>
      <c r="H4653" s="56" t="n"/>
      <c r="I4653" s="43" t="n"/>
      <c r="J4653" s="57">
        <f>IF(OR(A4653="",H4653=""),"",IF(COUNTIFS(exp_year,C4653,exp_month,D4653,exp_item,E4653,exp_status,"&lt;&gt;❌ Отменено")&gt;0,1,0))</f>
        <v/>
      </c>
    </row>
    <row r="4654">
      <c r="A4654" s="52" t="n"/>
      <c r="B4654" s="53">
        <f>IF(A4654="","",CHOOSE(WEEKDAY(A4654,2),"Пн","Вт","Ср","Чт","Пт","Сб","Вс"))</f>
        <v/>
      </c>
      <c r="C4654" s="53">
        <f>IF(A4654="","",YEAR(A4654))</f>
        <v/>
      </c>
      <c r="D4654" s="54">
        <f>IF(A4654="","",INDEX(lst_months,MONTH(A4654)))</f>
        <v/>
      </c>
      <c r="E4654" s="55" t="n"/>
      <c r="F4654" s="54">
        <f>IF(E4654="","",IFERROR(IF(INDEX(lst_exp_item_cat,MATCH(E4654,lst_exp_items,0))="","❔ Без категории",INDEX(lst_exp_item_cat,MATCH(E4654,lst_exp_items,0))),"❔ Без категории"))</f>
        <v/>
      </c>
      <c r="G4654" s="43" t="n"/>
      <c r="H4654" s="56" t="n"/>
      <c r="I4654" s="43" t="n"/>
      <c r="J4654" s="57">
        <f>IF(OR(A4654="",H4654=""),"",IF(COUNTIFS(exp_year,C4654,exp_month,D4654,exp_item,E4654,exp_status,"&lt;&gt;❌ Отменено")&gt;0,1,0))</f>
        <v/>
      </c>
    </row>
    <row r="4655">
      <c r="A4655" s="52" t="n"/>
      <c r="B4655" s="53">
        <f>IF(A4655="","",CHOOSE(WEEKDAY(A4655,2),"Пн","Вт","Ср","Чт","Пт","Сб","Вс"))</f>
        <v/>
      </c>
      <c r="C4655" s="53">
        <f>IF(A4655="","",YEAR(A4655))</f>
        <v/>
      </c>
      <c r="D4655" s="54">
        <f>IF(A4655="","",INDEX(lst_months,MONTH(A4655)))</f>
        <v/>
      </c>
      <c r="E4655" s="55" t="n"/>
      <c r="F4655" s="54">
        <f>IF(E4655="","",IFERROR(IF(INDEX(lst_exp_item_cat,MATCH(E4655,lst_exp_items,0))="","❔ Без категории",INDEX(lst_exp_item_cat,MATCH(E4655,lst_exp_items,0))),"❔ Без категории"))</f>
        <v/>
      </c>
      <c r="G4655" s="43" t="n"/>
      <c r="H4655" s="56" t="n"/>
      <c r="I4655" s="43" t="n"/>
      <c r="J4655" s="57">
        <f>IF(OR(A4655="",H4655=""),"",IF(COUNTIFS(exp_year,C4655,exp_month,D4655,exp_item,E4655,exp_status,"&lt;&gt;❌ Отменено")&gt;0,1,0))</f>
        <v/>
      </c>
    </row>
    <row r="4656">
      <c r="A4656" s="52" t="n"/>
      <c r="B4656" s="53">
        <f>IF(A4656="","",CHOOSE(WEEKDAY(A4656,2),"Пн","Вт","Ср","Чт","Пт","Сб","Вс"))</f>
        <v/>
      </c>
      <c r="C4656" s="53">
        <f>IF(A4656="","",YEAR(A4656))</f>
        <v/>
      </c>
      <c r="D4656" s="54">
        <f>IF(A4656="","",INDEX(lst_months,MONTH(A4656)))</f>
        <v/>
      </c>
      <c r="E4656" s="55" t="n"/>
      <c r="F4656" s="54">
        <f>IF(E4656="","",IFERROR(IF(INDEX(lst_exp_item_cat,MATCH(E4656,lst_exp_items,0))="","❔ Без категории",INDEX(lst_exp_item_cat,MATCH(E4656,lst_exp_items,0))),"❔ Без категории"))</f>
        <v/>
      </c>
      <c r="G4656" s="43" t="n"/>
      <c r="H4656" s="56" t="n"/>
      <c r="I4656" s="43" t="n"/>
      <c r="J4656" s="57">
        <f>IF(OR(A4656="",H4656=""),"",IF(COUNTIFS(exp_year,C4656,exp_month,D4656,exp_item,E4656,exp_status,"&lt;&gt;❌ Отменено")&gt;0,1,0))</f>
        <v/>
      </c>
    </row>
    <row r="4657">
      <c r="A4657" s="52" t="n"/>
      <c r="B4657" s="53">
        <f>IF(A4657="","",CHOOSE(WEEKDAY(A4657,2),"Пн","Вт","Ср","Чт","Пт","Сб","Вс"))</f>
        <v/>
      </c>
      <c r="C4657" s="53">
        <f>IF(A4657="","",YEAR(A4657))</f>
        <v/>
      </c>
      <c r="D4657" s="54">
        <f>IF(A4657="","",INDEX(lst_months,MONTH(A4657)))</f>
        <v/>
      </c>
      <c r="E4657" s="55" t="n"/>
      <c r="F4657" s="54">
        <f>IF(E4657="","",IFERROR(IF(INDEX(lst_exp_item_cat,MATCH(E4657,lst_exp_items,0))="","❔ Без категории",INDEX(lst_exp_item_cat,MATCH(E4657,lst_exp_items,0))),"❔ Без категории"))</f>
        <v/>
      </c>
      <c r="G4657" s="43" t="n"/>
      <c r="H4657" s="56" t="n"/>
      <c r="I4657" s="43" t="n"/>
      <c r="J4657" s="57">
        <f>IF(OR(A4657="",H4657=""),"",IF(COUNTIFS(exp_year,C4657,exp_month,D4657,exp_item,E4657,exp_status,"&lt;&gt;❌ Отменено")&gt;0,1,0))</f>
        <v/>
      </c>
    </row>
    <row r="4658">
      <c r="A4658" s="52" t="n"/>
      <c r="B4658" s="53">
        <f>IF(A4658="","",CHOOSE(WEEKDAY(A4658,2),"Пн","Вт","Ср","Чт","Пт","Сб","Вс"))</f>
        <v/>
      </c>
      <c r="C4658" s="53">
        <f>IF(A4658="","",YEAR(A4658))</f>
        <v/>
      </c>
      <c r="D4658" s="54">
        <f>IF(A4658="","",INDEX(lst_months,MONTH(A4658)))</f>
        <v/>
      </c>
      <c r="E4658" s="55" t="n"/>
      <c r="F4658" s="54">
        <f>IF(E4658="","",IFERROR(IF(INDEX(lst_exp_item_cat,MATCH(E4658,lst_exp_items,0))="","❔ Без категории",INDEX(lst_exp_item_cat,MATCH(E4658,lst_exp_items,0))),"❔ Без категории"))</f>
        <v/>
      </c>
      <c r="G4658" s="43" t="n"/>
      <c r="H4658" s="56" t="n"/>
      <c r="I4658" s="43" t="n"/>
      <c r="J4658" s="57">
        <f>IF(OR(A4658="",H4658=""),"",IF(COUNTIFS(exp_year,C4658,exp_month,D4658,exp_item,E4658,exp_status,"&lt;&gt;❌ Отменено")&gt;0,1,0))</f>
        <v/>
      </c>
    </row>
    <row r="4659">
      <c r="A4659" s="52" t="n"/>
      <c r="B4659" s="53">
        <f>IF(A4659="","",CHOOSE(WEEKDAY(A4659,2),"Пн","Вт","Ср","Чт","Пт","Сб","Вс"))</f>
        <v/>
      </c>
      <c r="C4659" s="53">
        <f>IF(A4659="","",YEAR(A4659))</f>
        <v/>
      </c>
      <c r="D4659" s="54">
        <f>IF(A4659="","",INDEX(lst_months,MONTH(A4659)))</f>
        <v/>
      </c>
      <c r="E4659" s="55" t="n"/>
      <c r="F4659" s="54">
        <f>IF(E4659="","",IFERROR(IF(INDEX(lst_exp_item_cat,MATCH(E4659,lst_exp_items,0))="","❔ Без категории",INDEX(lst_exp_item_cat,MATCH(E4659,lst_exp_items,0))),"❔ Без категории"))</f>
        <v/>
      </c>
      <c r="G4659" s="43" t="n"/>
      <c r="H4659" s="56" t="n"/>
      <c r="I4659" s="43" t="n"/>
      <c r="J4659" s="57">
        <f>IF(OR(A4659="",H4659=""),"",IF(COUNTIFS(exp_year,C4659,exp_month,D4659,exp_item,E4659,exp_status,"&lt;&gt;❌ Отменено")&gt;0,1,0))</f>
        <v/>
      </c>
    </row>
    <row r="4660">
      <c r="A4660" s="52" t="n"/>
      <c r="B4660" s="53">
        <f>IF(A4660="","",CHOOSE(WEEKDAY(A4660,2),"Пн","Вт","Ср","Чт","Пт","Сб","Вс"))</f>
        <v/>
      </c>
      <c r="C4660" s="53">
        <f>IF(A4660="","",YEAR(A4660))</f>
        <v/>
      </c>
      <c r="D4660" s="54">
        <f>IF(A4660="","",INDEX(lst_months,MONTH(A4660)))</f>
        <v/>
      </c>
      <c r="E4660" s="55" t="n"/>
      <c r="F4660" s="54">
        <f>IF(E4660="","",IFERROR(IF(INDEX(lst_exp_item_cat,MATCH(E4660,lst_exp_items,0))="","❔ Без категории",INDEX(lst_exp_item_cat,MATCH(E4660,lst_exp_items,0))),"❔ Без категории"))</f>
        <v/>
      </c>
      <c r="G4660" s="43" t="n"/>
      <c r="H4660" s="56" t="n"/>
      <c r="I4660" s="43" t="n"/>
      <c r="J4660" s="57">
        <f>IF(OR(A4660="",H4660=""),"",IF(COUNTIFS(exp_year,C4660,exp_month,D4660,exp_item,E4660,exp_status,"&lt;&gt;❌ Отменено")&gt;0,1,0))</f>
        <v/>
      </c>
    </row>
    <row r="4661">
      <c r="A4661" s="52" t="n"/>
      <c r="B4661" s="53">
        <f>IF(A4661="","",CHOOSE(WEEKDAY(A4661,2),"Пн","Вт","Ср","Чт","Пт","Сб","Вс"))</f>
        <v/>
      </c>
      <c r="C4661" s="53">
        <f>IF(A4661="","",YEAR(A4661))</f>
        <v/>
      </c>
      <c r="D4661" s="54">
        <f>IF(A4661="","",INDEX(lst_months,MONTH(A4661)))</f>
        <v/>
      </c>
      <c r="E4661" s="55" t="n"/>
      <c r="F4661" s="54">
        <f>IF(E4661="","",IFERROR(IF(INDEX(lst_exp_item_cat,MATCH(E4661,lst_exp_items,0))="","❔ Без категории",INDEX(lst_exp_item_cat,MATCH(E4661,lst_exp_items,0))),"❔ Без категории"))</f>
        <v/>
      </c>
      <c r="G4661" s="43" t="n"/>
      <c r="H4661" s="56" t="n"/>
      <c r="I4661" s="43" t="n"/>
      <c r="J4661" s="57">
        <f>IF(OR(A4661="",H4661=""),"",IF(COUNTIFS(exp_year,C4661,exp_month,D4661,exp_item,E4661,exp_status,"&lt;&gt;❌ Отменено")&gt;0,1,0))</f>
        <v/>
      </c>
    </row>
    <row r="4662">
      <c r="A4662" s="52" t="n"/>
      <c r="B4662" s="53">
        <f>IF(A4662="","",CHOOSE(WEEKDAY(A4662,2),"Пн","Вт","Ср","Чт","Пт","Сб","Вс"))</f>
        <v/>
      </c>
      <c r="C4662" s="53">
        <f>IF(A4662="","",YEAR(A4662))</f>
        <v/>
      </c>
      <c r="D4662" s="54">
        <f>IF(A4662="","",INDEX(lst_months,MONTH(A4662)))</f>
        <v/>
      </c>
      <c r="E4662" s="55" t="n"/>
      <c r="F4662" s="54">
        <f>IF(E4662="","",IFERROR(IF(INDEX(lst_exp_item_cat,MATCH(E4662,lst_exp_items,0))="","❔ Без категории",INDEX(lst_exp_item_cat,MATCH(E4662,lst_exp_items,0))),"❔ Без категории"))</f>
        <v/>
      </c>
      <c r="G4662" s="43" t="n"/>
      <c r="H4662" s="56" t="n"/>
      <c r="I4662" s="43" t="n"/>
      <c r="J4662" s="57">
        <f>IF(OR(A4662="",H4662=""),"",IF(COUNTIFS(exp_year,C4662,exp_month,D4662,exp_item,E4662,exp_status,"&lt;&gt;❌ Отменено")&gt;0,1,0))</f>
        <v/>
      </c>
    </row>
    <row r="4663">
      <c r="A4663" s="52" t="n"/>
      <c r="B4663" s="53">
        <f>IF(A4663="","",CHOOSE(WEEKDAY(A4663,2),"Пн","Вт","Ср","Чт","Пт","Сб","Вс"))</f>
        <v/>
      </c>
      <c r="C4663" s="53">
        <f>IF(A4663="","",YEAR(A4663))</f>
        <v/>
      </c>
      <c r="D4663" s="54">
        <f>IF(A4663="","",INDEX(lst_months,MONTH(A4663)))</f>
        <v/>
      </c>
      <c r="E4663" s="55" t="n"/>
      <c r="F4663" s="54">
        <f>IF(E4663="","",IFERROR(IF(INDEX(lst_exp_item_cat,MATCH(E4663,lst_exp_items,0))="","❔ Без категории",INDEX(lst_exp_item_cat,MATCH(E4663,lst_exp_items,0))),"❔ Без категории"))</f>
        <v/>
      </c>
      <c r="G4663" s="43" t="n"/>
      <c r="H4663" s="56" t="n"/>
      <c r="I4663" s="43" t="n"/>
      <c r="J4663" s="57">
        <f>IF(OR(A4663="",H4663=""),"",IF(COUNTIFS(exp_year,C4663,exp_month,D4663,exp_item,E4663,exp_status,"&lt;&gt;❌ Отменено")&gt;0,1,0))</f>
        <v/>
      </c>
    </row>
    <row r="4664">
      <c r="A4664" s="52" t="n"/>
      <c r="B4664" s="53">
        <f>IF(A4664="","",CHOOSE(WEEKDAY(A4664,2),"Пн","Вт","Ср","Чт","Пт","Сб","Вс"))</f>
        <v/>
      </c>
      <c r="C4664" s="53">
        <f>IF(A4664="","",YEAR(A4664))</f>
        <v/>
      </c>
      <c r="D4664" s="54">
        <f>IF(A4664="","",INDEX(lst_months,MONTH(A4664)))</f>
        <v/>
      </c>
      <c r="E4664" s="55" t="n"/>
      <c r="F4664" s="54">
        <f>IF(E4664="","",IFERROR(IF(INDEX(lst_exp_item_cat,MATCH(E4664,lst_exp_items,0))="","❔ Без категории",INDEX(lst_exp_item_cat,MATCH(E4664,lst_exp_items,0))),"❔ Без категории"))</f>
        <v/>
      </c>
      <c r="G4664" s="43" t="n"/>
      <c r="H4664" s="56" t="n"/>
      <c r="I4664" s="43" t="n"/>
      <c r="J4664" s="57">
        <f>IF(OR(A4664="",H4664=""),"",IF(COUNTIFS(exp_year,C4664,exp_month,D4664,exp_item,E4664,exp_status,"&lt;&gt;❌ Отменено")&gt;0,1,0))</f>
        <v/>
      </c>
    </row>
    <row r="4665">
      <c r="A4665" s="52" t="n"/>
      <c r="B4665" s="53">
        <f>IF(A4665="","",CHOOSE(WEEKDAY(A4665,2),"Пн","Вт","Ср","Чт","Пт","Сб","Вс"))</f>
        <v/>
      </c>
      <c r="C4665" s="53">
        <f>IF(A4665="","",YEAR(A4665))</f>
        <v/>
      </c>
      <c r="D4665" s="54">
        <f>IF(A4665="","",INDEX(lst_months,MONTH(A4665)))</f>
        <v/>
      </c>
      <c r="E4665" s="55" t="n"/>
      <c r="F4665" s="54">
        <f>IF(E4665="","",IFERROR(IF(INDEX(lst_exp_item_cat,MATCH(E4665,lst_exp_items,0))="","❔ Без категории",INDEX(lst_exp_item_cat,MATCH(E4665,lst_exp_items,0))),"❔ Без категории"))</f>
        <v/>
      </c>
      <c r="G4665" s="43" t="n"/>
      <c r="H4665" s="56" t="n"/>
      <c r="I4665" s="43" t="n"/>
      <c r="J4665" s="57">
        <f>IF(OR(A4665="",H4665=""),"",IF(COUNTIFS(exp_year,C4665,exp_month,D4665,exp_item,E4665,exp_status,"&lt;&gt;❌ Отменено")&gt;0,1,0))</f>
        <v/>
      </c>
    </row>
    <row r="4666">
      <c r="A4666" s="52" t="n"/>
      <c r="B4666" s="53">
        <f>IF(A4666="","",CHOOSE(WEEKDAY(A4666,2),"Пн","Вт","Ср","Чт","Пт","Сб","Вс"))</f>
        <v/>
      </c>
      <c r="C4666" s="53">
        <f>IF(A4666="","",YEAR(A4666))</f>
        <v/>
      </c>
      <c r="D4666" s="54">
        <f>IF(A4666="","",INDEX(lst_months,MONTH(A4666)))</f>
        <v/>
      </c>
      <c r="E4666" s="55" t="n"/>
      <c r="F4666" s="54">
        <f>IF(E4666="","",IFERROR(IF(INDEX(lst_exp_item_cat,MATCH(E4666,lst_exp_items,0))="","❔ Без категории",INDEX(lst_exp_item_cat,MATCH(E4666,lst_exp_items,0))),"❔ Без категории"))</f>
        <v/>
      </c>
      <c r="G4666" s="43" t="n"/>
      <c r="H4666" s="56" t="n"/>
      <c r="I4666" s="43" t="n"/>
      <c r="J4666" s="57">
        <f>IF(OR(A4666="",H4666=""),"",IF(COUNTIFS(exp_year,C4666,exp_month,D4666,exp_item,E4666,exp_status,"&lt;&gt;❌ Отменено")&gt;0,1,0))</f>
        <v/>
      </c>
    </row>
    <row r="4667">
      <c r="A4667" s="52" t="n"/>
      <c r="B4667" s="53">
        <f>IF(A4667="","",CHOOSE(WEEKDAY(A4667,2),"Пн","Вт","Ср","Чт","Пт","Сб","Вс"))</f>
        <v/>
      </c>
      <c r="C4667" s="53">
        <f>IF(A4667="","",YEAR(A4667))</f>
        <v/>
      </c>
      <c r="D4667" s="54">
        <f>IF(A4667="","",INDEX(lst_months,MONTH(A4667)))</f>
        <v/>
      </c>
      <c r="E4667" s="55" t="n"/>
      <c r="F4667" s="54">
        <f>IF(E4667="","",IFERROR(IF(INDEX(lst_exp_item_cat,MATCH(E4667,lst_exp_items,0))="","❔ Без категории",INDEX(lst_exp_item_cat,MATCH(E4667,lst_exp_items,0))),"❔ Без категории"))</f>
        <v/>
      </c>
      <c r="G4667" s="43" t="n"/>
      <c r="H4667" s="56" t="n"/>
      <c r="I4667" s="43" t="n"/>
      <c r="J4667" s="57">
        <f>IF(OR(A4667="",H4667=""),"",IF(COUNTIFS(exp_year,C4667,exp_month,D4667,exp_item,E4667,exp_status,"&lt;&gt;❌ Отменено")&gt;0,1,0))</f>
        <v/>
      </c>
    </row>
    <row r="4668">
      <c r="A4668" s="52" t="n"/>
      <c r="B4668" s="53">
        <f>IF(A4668="","",CHOOSE(WEEKDAY(A4668,2),"Пн","Вт","Ср","Чт","Пт","Сб","Вс"))</f>
        <v/>
      </c>
      <c r="C4668" s="53">
        <f>IF(A4668="","",YEAR(A4668))</f>
        <v/>
      </c>
      <c r="D4668" s="54">
        <f>IF(A4668="","",INDEX(lst_months,MONTH(A4668)))</f>
        <v/>
      </c>
      <c r="E4668" s="55" t="n"/>
      <c r="F4668" s="54">
        <f>IF(E4668="","",IFERROR(IF(INDEX(lst_exp_item_cat,MATCH(E4668,lst_exp_items,0))="","❔ Без категории",INDEX(lst_exp_item_cat,MATCH(E4668,lst_exp_items,0))),"❔ Без категории"))</f>
        <v/>
      </c>
      <c r="G4668" s="43" t="n"/>
      <c r="H4668" s="56" t="n"/>
      <c r="I4668" s="43" t="n"/>
      <c r="J4668" s="57">
        <f>IF(OR(A4668="",H4668=""),"",IF(COUNTIFS(exp_year,C4668,exp_month,D4668,exp_item,E4668,exp_status,"&lt;&gt;❌ Отменено")&gt;0,1,0))</f>
        <v/>
      </c>
    </row>
    <row r="4669">
      <c r="A4669" s="52" t="n"/>
      <c r="B4669" s="53">
        <f>IF(A4669="","",CHOOSE(WEEKDAY(A4669,2),"Пн","Вт","Ср","Чт","Пт","Сб","Вс"))</f>
        <v/>
      </c>
      <c r="C4669" s="53">
        <f>IF(A4669="","",YEAR(A4669))</f>
        <v/>
      </c>
      <c r="D4669" s="54">
        <f>IF(A4669="","",INDEX(lst_months,MONTH(A4669)))</f>
        <v/>
      </c>
      <c r="E4669" s="55" t="n"/>
      <c r="F4669" s="54">
        <f>IF(E4669="","",IFERROR(IF(INDEX(lst_exp_item_cat,MATCH(E4669,lst_exp_items,0))="","❔ Без категории",INDEX(lst_exp_item_cat,MATCH(E4669,lst_exp_items,0))),"❔ Без категории"))</f>
        <v/>
      </c>
      <c r="G4669" s="43" t="n"/>
      <c r="H4669" s="56" t="n"/>
      <c r="I4669" s="43" t="n"/>
      <c r="J4669" s="57">
        <f>IF(OR(A4669="",H4669=""),"",IF(COUNTIFS(exp_year,C4669,exp_month,D4669,exp_item,E4669,exp_status,"&lt;&gt;❌ Отменено")&gt;0,1,0))</f>
        <v/>
      </c>
    </row>
    <row r="4670">
      <c r="A4670" s="52" t="n"/>
      <c r="B4670" s="53">
        <f>IF(A4670="","",CHOOSE(WEEKDAY(A4670,2),"Пн","Вт","Ср","Чт","Пт","Сб","Вс"))</f>
        <v/>
      </c>
      <c r="C4670" s="53">
        <f>IF(A4670="","",YEAR(A4670))</f>
        <v/>
      </c>
      <c r="D4670" s="54">
        <f>IF(A4670="","",INDEX(lst_months,MONTH(A4670)))</f>
        <v/>
      </c>
      <c r="E4670" s="55" t="n"/>
      <c r="F4670" s="54">
        <f>IF(E4670="","",IFERROR(IF(INDEX(lst_exp_item_cat,MATCH(E4670,lst_exp_items,0))="","❔ Без категории",INDEX(lst_exp_item_cat,MATCH(E4670,lst_exp_items,0))),"❔ Без категории"))</f>
        <v/>
      </c>
      <c r="G4670" s="43" t="n"/>
      <c r="H4670" s="56" t="n"/>
      <c r="I4670" s="43" t="n"/>
      <c r="J4670" s="57">
        <f>IF(OR(A4670="",H4670=""),"",IF(COUNTIFS(exp_year,C4670,exp_month,D4670,exp_item,E4670,exp_status,"&lt;&gt;❌ Отменено")&gt;0,1,0))</f>
        <v/>
      </c>
    </row>
    <row r="4671">
      <c r="A4671" s="52" t="n"/>
      <c r="B4671" s="53">
        <f>IF(A4671="","",CHOOSE(WEEKDAY(A4671,2),"Пн","Вт","Ср","Чт","Пт","Сб","Вс"))</f>
        <v/>
      </c>
      <c r="C4671" s="53">
        <f>IF(A4671="","",YEAR(A4671))</f>
        <v/>
      </c>
      <c r="D4671" s="54">
        <f>IF(A4671="","",INDEX(lst_months,MONTH(A4671)))</f>
        <v/>
      </c>
      <c r="E4671" s="55" t="n"/>
      <c r="F4671" s="54">
        <f>IF(E4671="","",IFERROR(IF(INDEX(lst_exp_item_cat,MATCH(E4671,lst_exp_items,0))="","❔ Без категории",INDEX(lst_exp_item_cat,MATCH(E4671,lst_exp_items,0))),"❔ Без категории"))</f>
        <v/>
      </c>
      <c r="G4671" s="43" t="n"/>
      <c r="H4671" s="56" t="n"/>
      <c r="I4671" s="43" t="n"/>
      <c r="J4671" s="57">
        <f>IF(OR(A4671="",H4671=""),"",IF(COUNTIFS(exp_year,C4671,exp_month,D4671,exp_item,E4671,exp_status,"&lt;&gt;❌ Отменено")&gt;0,1,0))</f>
        <v/>
      </c>
    </row>
    <row r="4672">
      <c r="A4672" s="52" t="n"/>
      <c r="B4672" s="53">
        <f>IF(A4672="","",CHOOSE(WEEKDAY(A4672,2),"Пн","Вт","Ср","Чт","Пт","Сб","Вс"))</f>
        <v/>
      </c>
      <c r="C4672" s="53">
        <f>IF(A4672="","",YEAR(A4672))</f>
        <v/>
      </c>
      <c r="D4672" s="54">
        <f>IF(A4672="","",INDEX(lst_months,MONTH(A4672)))</f>
        <v/>
      </c>
      <c r="E4672" s="55" t="n"/>
      <c r="F4672" s="54">
        <f>IF(E4672="","",IFERROR(IF(INDEX(lst_exp_item_cat,MATCH(E4672,lst_exp_items,0))="","❔ Без категории",INDEX(lst_exp_item_cat,MATCH(E4672,lst_exp_items,0))),"❔ Без категории"))</f>
        <v/>
      </c>
      <c r="G4672" s="43" t="n"/>
      <c r="H4672" s="56" t="n"/>
      <c r="I4672" s="43" t="n"/>
      <c r="J4672" s="57">
        <f>IF(OR(A4672="",H4672=""),"",IF(COUNTIFS(exp_year,C4672,exp_month,D4672,exp_item,E4672,exp_status,"&lt;&gt;❌ Отменено")&gt;0,1,0))</f>
        <v/>
      </c>
    </row>
    <row r="4673">
      <c r="A4673" s="52" t="n"/>
      <c r="B4673" s="53">
        <f>IF(A4673="","",CHOOSE(WEEKDAY(A4673,2),"Пн","Вт","Ср","Чт","Пт","Сб","Вс"))</f>
        <v/>
      </c>
      <c r="C4673" s="53">
        <f>IF(A4673="","",YEAR(A4673))</f>
        <v/>
      </c>
      <c r="D4673" s="54">
        <f>IF(A4673="","",INDEX(lst_months,MONTH(A4673)))</f>
        <v/>
      </c>
      <c r="E4673" s="55" t="n"/>
      <c r="F4673" s="54">
        <f>IF(E4673="","",IFERROR(IF(INDEX(lst_exp_item_cat,MATCH(E4673,lst_exp_items,0))="","❔ Без категории",INDEX(lst_exp_item_cat,MATCH(E4673,lst_exp_items,0))),"❔ Без категории"))</f>
        <v/>
      </c>
      <c r="G4673" s="43" t="n"/>
      <c r="H4673" s="56" t="n"/>
      <c r="I4673" s="43" t="n"/>
      <c r="J4673" s="57">
        <f>IF(OR(A4673="",H4673=""),"",IF(COUNTIFS(exp_year,C4673,exp_month,D4673,exp_item,E4673,exp_status,"&lt;&gt;❌ Отменено")&gt;0,1,0))</f>
        <v/>
      </c>
    </row>
    <row r="4674">
      <c r="A4674" s="52" t="n"/>
      <c r="B4674" s="53">
        <f>IF(A4674="","",CHOOSE(WEEKDAY(A4674,2),"Пн","Вт","Ср","Чт","Пт","Сб","Вс"))</f>
        <v/>
      </c>
      <c r="C4674" s="53">
        <f>IF(A4674="","",YEAR(A4674))</f>
        <v/>
      </c>
      <c r="D4674" s="54">
        <f>IF(A4674="","",INDEX(lst_months,MONTH(A4674)))</f>
        <v/>
      </c>
      <c r="E4674" s="55" t="n"/>
      <c r="F4674" s="54">
        <f>IF(E4674="","",IFERROR(IF(INDEX(lst_exp_item_cat,MATCH(E4674,lst_exp_items,0))="","❔ Без категории",INDEX(lst_exp_item_cat,MATCH(E4674,lst_exp_items,0))),"❔ Без категории"))</f>
        <v/>
      </c>
      <c r="G4674" s="43" t="n"/>
      <c r="H4674" s="56" t="n"/>
      <c r="I4674" s="43" t="n"/>
      <c r="J4674" s="57">
        <f>IF(OR(A4674="",H4674=""),"",IF(COUNTIFS(exp_year,C4674,exp_month,D4674,exp_item,E4674,exp_status,"&lt;&gt;❌ Отменено")&gt;0,1,0))</f>
        <v/>
      </c>
    </row>
    <row r="4675">
      <c r="A4675" s="52" t="n"/>
      <c r="B4675" s="53">
        <f>IF(A4675="","",CHOOSE(WEEKDAY(A4675,2),"Пн","Вт","Ср","Чт","Пт","Сб","Вс"))</f>
        <v/>
      </c>
      <c r="C4675" s="53">
        <f>IF(A4675="","",YEAR(A4675))</f>
        <v/>
      </c>
      <c r="D4675" s="54">
        <f>IF(A4675="","",INDEX(lst_months,MONTH(A4675)))</f>
        <v/>
      </c>
      <c r="E4675" s="55" t="n"/>
      <c r="F4675" s="54">
        <f>IF(E4675="","",IFERROR(IF(INDEX(lst_exp_item_cat,MATCH(E4675,lst_exp_items,0))="","❔ Без категории",INDEX(lst_exp_item_cat,MATCH(E4675,lst_exp_items,0))),"❔ Без категории"))</f>
        <v/>
      </c>
      <c r="G4675" s="43" t="n"/>
      <c r="H4675" s="56" t="n"/>
      <c r="I4675" s="43" t="n"/>
      <c r="J4675" s="57">
        <f>IF(OR(A4675="",H4675=""),"",IF(COUNTIFS(exp_year,C4675,exp_month,D4675,exp_item,E4675,exp_status,"&lt;&gt;❌ Отменено")&gt;0,1,0))</f>
        <v/>
      </c>
    </row>
    <row r="4676">
      <c r="A4676" s="52" t="n"/>
      <c r="B4676" s="53">
        <f>IF(A4676="","",CHOOSE(WEEKDAY(A4676,2),"Пн","Вт","Ср","Чт","Пт","Сб","Вс"))</f>
        <v/>
      </c>
      <c r="C4676" s="53">
        <f>IF(A4676="","",YEAR(A4676))</f>
        <v/>
      </c>
      <c r="D4676" s="54">
        <f>IF(A4676="","",INDEX(lst_months,MONTH(A4676)))</f>
        <v/>
      </c>
      <c r="E4676" s="55" t="n"/>
      <c r="F4676" s="54">
        <f>IF(E4676="","",IFERROR(IF(INDEX(lst_exp_item_cat,MATCH(E4676,lst_exp_items,0))="","❔ Без категории",INDEX(lst_exp_item_cat,MATCH(E4676,lst_exp_items,0))),"❔ Без категории"))</f>
        <v/>
      </c>
      <c r="G4676" s="43" t="n"/>
      <c r="H4676" s="56" t="n"/>
      <c r="I4676" s="43" t="n"/>
      <c r="J4676" s="57">
        <f>IF(OR(A4676="",H4676=""),"",IF(COUNTIFS(exp_year,C4676,exp_month,D4676,exp_item,E4676,exp_status,"&lt;&gt;❌ Отменено")&gt;0,1,0))</f>
        <v/>
      </c>
    </row>
    <row r="4677">
      <c r="A4677" s="52" t="n"/>
      <c r="B4677" s="53">
        <f>IF(A4677="","",CHOOSE(WEEKDAY(A4677,2),"Пн","Вт","Ср","Чт","Пт","Сб","Вс"))</f>
        <v/>
      </c>
      <c r="C4677" s="53">
        <f>IF(A4677="","",YEAR(A4677))</f>
        <v/>
      </c>
      <c r="D4677" s="54">
        <f>IF(A4677="","",INDEX(lst_months,MONTH(A4677)))</f>
        <v/>
      </c>
      <c r="E4677" s="55" t="n"/>
      <c r="F4677" s="54">
        <f>IF(E4677="","",IFERROR(IF(INDEX(lst_exp_item_cat,MATCH(E4677,lst_exp_items,0))="","❔ Без категории",INDEX(lst_exp_item_cat,MATCH(E4677,lst_exp_items,0))),"❔ Без категории"))</f>
        <v/>
      </c>
      <c r="G4677" s="43" t="n"/>
      <c r="H4677" s="56" t="n"/>
      <c r="I4677" s="43" t="n"/>
      <c r="J4677" s="57">
        <f>IF(OR(A4677="",H4677=""),"",IF(COUNTIFS(exp_year,C4677,exp_month,D4677,exp_item,E4677,exp_status,"&lt;&gt;❌ Отменено")&gt;0,1,0))</f>
        <v/>
      </c>
    </row>
    <row r="4678">
      <c r="A4678" s="52" t="n"/>
      <c r="B4678" s="53">
        <f>IF(A4678="","",CHOOSE(WEEKDAY(A4678,2),"Пн","Вт","Ср","Чт","Пт","Сб","Вс"))</f>
        <v/>
      </c>
      <c r="C4678" s="53">
        <f>IF(A4678="","",YEAR(A4678))</f>
        <v/>
      </c>
      <c r="D4678" s="54">
        <f>IF(A4678="","",INDEX(lst_months,MONTH(A4678)))</f>
        <v/>
      </c>
      <c r="E4678" s="55" t="n"/>
      <c r="F4678" s="54">
        <f>IF(E4678="","",IFERROR(IF(INDEX(lst_exp_item_cat,MATCH(E4678,lst_exp_items,0))="","❔ Без категории",INDEX(lst_exp_item_cat,MATCH(E4678,lst_exp_items,0))),"❔ Без категории"))</f>
        <v/>
      </c>
      <c r="G4678" s="43" t="n"/>
      <c r="H4678" s="56" t="n"/>
      <c r="I4678" s="43" t="n"/>
      <c r="J4678" s="57">
        <f>IF(OR(A4678="",H4678=""),"",IF(COUNTIFS(exp_year,C4678,exp_month,D4678,exp_item,E4678,exp_status,"&lt;&gt;❌ Отменено")&gt;0,1,0))</f>
        <v/>
      </c>
    </row>
    <row r="4679">
      <c r="A4679" s="52" t="n"/>
      <c r="B4679" s="53">
        <f>IF(A4679="","",CHOOSE(WEEKDAY(A4679,2),"Пн","Вт","Ср","Чт","Пт","Сб","Вс"))</f>
        <v/>
      </c>
      <c r="C4679" s="53">
        <f>IF(A4679="","",YEAR(A4679))</f>
        <v/>
      </c>
      <c r="D4679" s="54">
        <f>IF(A4679="","",INDEX(lst_months,MONTH(A4679)))</f>
        <v/>
      </c>
      <c r="E4679" s="55" t="n"/>
      <c r="F4679" s="54">
        <f>IF(E4679="","",IFERROR(IF(INDEX(lst_exp_item_cat,MATCH(E4679,lst_exp_items,0))="","❔ Без категории",INDEX(lst_exp_item_cat,MATCH(E4679,lst_exp_items,0))),"❔ Без категории"))</f>
        <v/>
      </c>
      <c r="G4679" s="43" t="n"/>
      <c r="H4679" s="56" t="n"/>
      <c r="I4679" s="43" t="n"/>
      <c r="J4679" s="57">
        <f>IF(OR(A4679="",H4679=""),"",IF(COUNTIFS(exp_year,C4679,exp_month,D4679,exp_item,E4679,exp_status,"&lt;&gt;❌ Отменено")&gt;0,1,0))</f>
        <v/>
      </c>
    </row>
    <row r="4680">
      <c r="A4680" s="52" t="n"/>
      <c r="B4680" s="53">
        <f>IF(A4680="","",CHOOSE(WEEKDAY(A4680,2),"Пн","Вт","Ср","Чт","Пт","Сб","Вс"))</f>
        <v/>
      </c>
      <c r="C4680" s="53">
        <f>IF(A4680="","",YEAR(A4680))</f>
        <v/>
      </c>
      <c r="D4680" s="54">
        <f>IF(A4680="","",INDEX(lst_months,MONTH(A4680)))</f>
        <v/>
      </c>
      <c r="E4680" s="55" t="n"/>
      <c r="F4680" s="54">
        <f>IF(E4680="","",IFERROR(IF(INDEX(lst_exp_item_cat,MATCH(E4680,lst_exp_items,0))="","❔ Без категории",INDEX(lst_exp_item_cat,MATCH(E4680,lst_exp_items,0))),"❔ Без категории"))</f>
        <v/>
      </c>
      <c r="G4680" s="43" t="n"/>
      <c r="H4680" s="56" t="n"/>
      <c r="I4680" s="43" t="n"/>
      <c r="J4680" s="57">
        <f>IF(OR(A4680="",H4680=""),"",IF(COUNTIFS(exp_year,C4680,exp_month,D4680,exp_item,E4680,exp_status,"&lt;&gt;❌ Отменено")&gt;0,1,0))</f>
        <v/>
      </c>
    </row>
    <row r="4681">
      <c r="A4681" s="52" t="n"/>
      <c r="B4681" s="53">
        <f>IF(A4681="","",CHOOSE(WEEKDAY(A4681,2),"Пн","Вт","Ср","Чт","Пт","Сб","Вс"))</f>
        <v/>
      </c>
      <c r="C4681" s="53">
        <f>IF(A4681="","",YEAR(A4681))</f>
        <v/>
      </c>
      <c r="D4681" s="54">
        <f>IF(A4681="","",INDEX(lst_months,MONTH(A4681)))</f>
        <v/>
      </c>
      <c r="E4681" s="55" t="n"/>
      <c r="F4681" s="54">
        <f>IF(E4681="","",IFERROR(IF(INDEX(lst_exp_item_cat,MATCH(E4681,lst_exp_items,0))="","❔ Без категории",INDEX(lst_exp_item_cat,MATCH(E4681,lst_exp_items,0))),"❔ Без категории"))</f>
        <v/>
      </c>
      <c r="G4681" s="43" t="n"/>
      <c r="H4681" s="56" t="n"/>
      <c r="I4681" s="43" t="n"/>
      <c r="J4681" s="57">
        <f>IF(OR(A4681="",H4681=""),"",IF(COUNTIFS(exp_year,C4681,exp_month,D4681,exp_item,E4681,exp_status,"&lt;&gt;❌ Отменено")&gt;0,1,0))</f>
        <v/>
      </c>
    </row>
    <row r="4682">
      <c r="A4682" s="52" t="n"/>
      <c r="B4682" s="53">
        <f>IF(A4682="","",CHOOSE(WEEKDAY(A4682,2),"Пн","Вт","Ср","Чт","Пт","Сб","Вс"))</f>
        <v/>
      </c>
      <c r="C4682" s="53">
        <f>IF(A4682="","",YEAR(A4682))</f>
        <v/>
      </c>
      <c r="D4682" s="54">
        <f>IF(A4682="","",INDEX(lst_months,MONTH(A4682)))</f>
        <v/>
      </c>
      <c r="E4682" s="55" t="n"/>
      <c r="F4682" s="54">
        <f>IF(E4682="","",IFERROR(IF(INDEX(lst_exp_item_cat,MATCH(E4682,lst_exp_items,0))="","❔ Без категории",INDEX(lst_exp_item_cat,MATCH(E4682,lst_exp_items,0))),"❔ Без категории"))</f>
        <v/>
      </c>
      <c r="G4682" s="43" t="n"/>
      <c r="H4682" s="56" t="n"/>
      <c r="I4682" s="43" t="n"/>
      <c r="J4682" s="57">
        <f>IF(OR(A4682="",H4682=""),"",IF(COUNTIFS(exp_year,C4682,exp_month,D4682,exp_item,E4682,exp_status,"&lt;&gt;❌ Отменено")&gt;0,1,0))</f>
        <v/>
      </c>
    </row>
    <row r="4683">
      <c r="A4683" s="52" t="n"/>
      <c r="B4683" s="53">
        <f>IF(A4683="","",CHOOSE(WEEKDAY(A4683,2),"Пн","Вт","Ср","Чт","Пт","Сб","Вс"))</f>
        <v/>
      </c>
      <c r="C4683" s="53">
        <f>IF(A4683="","",YEAR(A4683))</f>
        <v/>
      </c>
      <c r="D4683" s="54">
        <f>IF(A4683="","",INDEX(lst_months,MONTH(A4683)))</f>
        <v/>
      </c>
      <c r="E4683" s="55" t="n"/>
      <c r="F4683" s="54">
        <f>IF(E4683="","",IFERROR(IF(INDEX(lst_exp_item_cat,MATCH(E4683,lst_exp_items,0))="","❔ Без категории",INDEX(lst_exp_item_cat,MATCH(E4683,lst_exp_items,0))),"❔ Без категории"))</f>
        <v/>
      </c>
      <c r="G4683" s="43" t="n"/>
      <c r="H4683" s="56" t="n"/>
      <c r="I4683" s="43" t="n"/>
      <c r="J4683" s="57">
        <f>IF(OR(A4683="",H4683=""),"",IF(COUNTIFS(exp_year,C4683,exp_month,D4683,exp_item,E4683,exp_status,"&lt;&gt;❌ Отменено")&gt;0,1,0))</f>
        <v/>
      </c>
    </row>
    <row r="4684">
      <c r="A4684" s="52" t="n"/>
      <c r="B4684" s="53">
        <f>IF(A4684="","",CHOOSE(WEEKDAY(A4684,2),"Пн","Вт","Ср","Чт","Пт","Сб","Вс"))</f>
        <v/>
      </c>
      <c r="C4684" s="53">
        <f>IF(A4684="","",YEAR(A4684))</f>
        <v/>
      </c>
      <c r="D4684" s="54">
        <f>IF(A4684="","",INDEX(lst_months,MONTH(A4684)))</f>
        <v/>
      </c>
      <c r="E4684" s="55" t="n"/>
      <c r="F4684" s="54">
        <f>IF(E4684="","",IFERROR(IF(INDEX(lst_exp_item_cat,MATCH(E4684,lst_exp_items,0))="","❔ Без категории",INDEX(lst_exp_item_cat,MATCH(E4684,lst_exp_items,0))),"❔ Без категории"))</f>
        <v/>
      </c>
      <c r="G4684" s="43" t="n"/>
      <c r="H4684" s="56" t="n"/>
      <c r="I4684" s="43" t="n"/>
      <c r="J4684" s="57">
        <f>IF(OR(A4684="",H4684=""),"",IF(COUNTIFS(exp_year,C4684,exp_month,D4684,exp_item,E4684,exp_status,"&lt;&gt;❌ Отменено")&gt;0,1,0))</f>
        <v/>
      </c>
    </row>
    <row r="4685">
      <c r="A4685" s="52" t="n"/>
      <c r="B4685" s="53">
        <f>IF(A4685="","",CHOOSE(WEEKDAY(A4685,2),"Пн","Вт","Ср","Чт","Пт","Сб","Вс"))</f>
        <v/>
      </c>
      <c r="C4685" s="53">
        <f>IF(A4685="","",YEAR(A4685))</f>
        <v/>
      </c>
      <c r="D4685" s="54">
        <f>IF(A4685="","",INDEX(lst_months,MONTH(A4685)))</f>
        <v/>
      </c>
      <c r="E4685" s="55" t="n"/>
      <c r="F4685" s="54">
        <f>IF(E4685="","",IFERROR(IF(INDEX(lst_exp_item_cat,MATCH(E4685,lst_exp_items,0))="","❔ Без категории",INDEX(lst_exp_item_cat,MATCH(E4685,lst_exp_items,0))),"❔ Без категории"))</f>
        <v/>
      </c>
      <c r="G4685" s="43" t="n"/>
      <c r="H4685" s="56" t="n"/>
      <c r="I4685" s="43" t="n"/>
      <c r="J4685" s="57">
        <f>IF(OR(A4685="",H4685=""),"",IF(COUNTIFS(exp_year,C4685,exp_month,D4685,exp_item,E4685,exp_status,"&lt;&gt;❌ Отменено")&gt;0,1,0))</f>
        <v/>
      </c>
    </row>
    <row r="4686">
      <c r="A4686" s="52" t="n"/>
      <c r="B4686" s="53">
        <f>IF(A4686="","",CHOOSE(WEEKDAY(A4686,2),"Пн","Вт","Ср","Чт","Пт","Сб","Вс"))</f>
        <v/>
      </c>
      <c r="C4686" s="53">
        <f>IF(A4686="","",YEAR(A4686))</f>
        <v/>
      </c>
      <c r="D4686" s="54">
        <f>IF(A4686="","",INDEX(lst_months,MONTH(A4686)))</f>
        <v/>
      </c>
      <c r="E4686" s="55" t="n"/>
      <c r="F4686" s="54">
        <f>IF(E4686="","",IFERROR(IF(INDEX(lst_exp_item_cat,MATCH(E4686,lst_exp_items,0))="","❔ Без категории",INDEX(lst_exp_item_cat,MATCH(E4686,lst_exp_items,0))),"❔ Без категории"))</f>
        <v/>
      </c>
      <c r="G4686" s="43" t="n"/>
      <c r="H4686" s="56" t="n"/>
      <c r="I4686" s="43" t="n"/>
      <c r="J4686" s="57">
        <f>IF(OR(A4686="",H4686=""),"",IF(COUNTIFS(exp_year,C4686,exp_month,D4686,exp_item,E4686,exp_status,"&lt;&gt;❌ Отменено")&gt;0,1,0))</f>
        <v/>
      </c>
    </row>
    <row r="4687">
      <c r="A4687" s="52" t="n"/>
      <c r="B4687" s="53">
        <f>IF(A4687="","",CHOOSE(WEEKDAY(A4687,2),"Пн","Вт","Ср","Чт","Пт","Сб","Вс"))</f>
        <v/>
      </c>
      <c r="C4687" s="53">
        <f>IF(A4687="","",YEAR(A4687))</f>
        <v/>
      </c>
      <c r="D4687" s="54">
        <f>IF(A4687="","",INDEX(lst_months,MONTH(A4687)))</f>
        <v/>
      </c>
      <c r="E4687" s="55" t="n"/>
      <c r="F4687" s="54">
        <f>IF(E4687="","",IFERROR(IF(INDEX(lst_exp_item_cat,MATCH(E4687,lst_exp_items,0))="","❔ Без категории",INDEX(lst_exp_item_cat,MATCH(E4687,lst_exp_items,0))),"❔ Без категории"))</f>
        <v/>
      </c>
      <c r="G4687" s="43" t="n"/>
      <c r="H4687" s="56" t="n"/>
      <c r="I4687" s="43" t="n"/>
      <c r="J4687" s="57">
        <f>IF(OR(A4687="",H4687=""),"",IF(COUNTIFS(exp_year,C4687,exp_month,D4687,exp_item,E4687,exp_status,"&lt;&gt;❌ Отменено")&gt;0,1,0))</f>
        <v/>
      </c>
    </row>
    <row r="4688">
      <c r="A4688" s="52" t="n"/>
      <c r="B4688" s="53">
        <f>IF(A4688="","",CHOOSE(WEEKDAY(A4688,2),"Пн","Вт","Ср","Чт","Пт","Сб","Вс"))</f>
        <v/>
      </c>
      <c r="C4688" s="53">
        <f>IF(A4688="","",YEAR(A4688))</f>
        <v/>
      </c>
      <c r="D4688" s="54">
        <f>IF(A4688="","",INDEX(lst_months,MONTH(A4688)))</f>
        <v/>
      </c>
      <c r="E4688" s="55" t="n"/>
      <c r="F4688" s="54">
        <f>IF(E4688="","",IFERROR(IF(INDEX(lst_exp_item_cat,MATCH(E4688,lst_exp_items,0))="","❔ Без категории",INDEX(lst_exp_item_cat,MATCH(E4688,lst_exp_items,0))),"❔ Без категории"))</f>
        <v/>
      </c>
      <c r="G4688" s="43" t="n"/>
      <c r="H4688" s="56" t="n"/>
      <c r="I4688" s="43" t="n"/>
      <c r="J4688" s="57">
        <f>IF(OR(A4688="",H4688=""),"",IF(COUNTIFS(exp_year,C4688,exp_month,D4688,exp_item,E4688,exp_status,"&lt;&gt;❌ Отменено")&gt;0,1,0))</f>
        <v/>
      </c>
    </row>
    <row r="4689">
      <c r="A4689" s="52" t="n"/>
      <c r="B4689" s="53">
        <f>IF(A4689="","",CHOOSE(WEEKDAY(A4689,2),"Пн","Вт","Ср","Чт","Пт","Сб","Вс"))</f>
        <v/>
      </c>
      <c r="C4689" s="53">
        <f>IF(A4689="","",YEAR(A4689))</f>
        <v/>
      </c>
      <c r="D4689" s="54">
        <f>IF(A4689="","",INDEX(lst_months,MONTH(A4689)))</f>
        <v/>
      </c>
      <c r="E4689" s="55" t="n"/>
      <c r="F4689" s="54">
        <f>IF(E4689="","",IFERROR(IF(INDEX(lst_exp_item_cat,MATCH(E4689,lst_exp_items,0))="","❔ Без категории",INDEX(lst_exp_item_cat,MATCH(E4689,lst_exp_items,0))),"❔ Без категории"))</f>
        <v/>
      </c>
      <c r="G4689" s="43" t="n"/>
      <c r="H4689" s="56" t="n"/>
      <c r="I4689" s="43" t="n"/>
      <c r="J4689" s="57">
        <f>IF(OR(A4689="",H4689=""),"",IF(COUNTIFS(exp_year,C4689,exp_month,D4689,exp_item,E4689,exp_status,"&lt;&gt;❌ Отменено")&gt;0,1,0))</f>
        <v/>
      </c>
    </row>
    <row r="4690">
      <c r="A4690" s="52" t="n"/>
      <c r="B4690" s="53">
        <f>IF(A4690="","",CHOOSE(WEEKDAY(A4690,2),"Пн","Вт","Ср","Чт","Пт","Сб","Вс"))</f>
        <v/>
      </c>
      <c r="C4690" s="53">
        <f>IF(A4690="","",YEAR(A4690))</f>
        <v/>
      </c>
      <c r="D4690" s="54">
        <f>IF(A4690="","",INDEX(lst_months,MONTH(A4690)))</f>
        <v/>
      </c>
      <c r="E4690" s="55" t="n"/>
      <c r="F4690" s="54">
        <f>IF(E4690="","",IFERROR(IF(INDEX(lst_exp_item_cat,MATCH(E4690,lst_exp_items,0))="","❔ Без категории",INDEX(lst_exp_item_cat,MATCH(E4690,lst_exp_items,0))),"❔ Без категории"))</f>
        <v/>
      </c>
      <c r="G4690" s="43" t="n"/>
      <c r="H4690" s="56" t="n"/>
      <c r="I4690" s="43" t="n"/>
      <c r="J4690" s="57">
        <f>IF(OR(A4690="",H4690=""),"",IF(COUNTIFS(exp_year,C4690,exp_month,D4690,exp_item,E4690,exp_status,"&lt;&gt;❌ Отменено")&gt;0,1,0))</f>
        <v/>
      </c>
    </row>
    <row r="4691">
      <c r="A4691" s="52" t="n"/>
      <c r="B4691" s="53">
        <f>IF(A4691="","",CHOOSE(WEEKDAY(A4691,2),"Пн","Вт","Ср","Чт","Пт","Сб","Вс"))</f>
        <v/>
      </c>
      <c r="C4691" s="53">
        <f>IF(A4691="","",YEAR(A4691))</f>
        <v/>
      </c>
      <c r="D4691" s="54">
        <f>IF(A4691="","",INDEX(lst_months,MONTH(A4691)))</f>
        <v/>
      </c>
      <c r="E4691" s="55" t="n"/>
      <c r="F4691" s="54">
        <f>IF(E4691="","",IFERROR(IF(INDEX(lst_exp_item_cat,MATCH(E4691,lst_exp_items,0))="","❔ Без категории",INDEX(lst_exp_item_cat,MATCH(E4691,lst_exp_items,0))),"❔ Без категории"))</f>
        <v/>
      </c>
      <c r="G4691" s="43" t="n"/>
      <c r="H4691" s="56" t="n"/>
      <c r="I4691" s="43" t="n"/>
      <c r="J4691" s="57">
        <f>IF(OR(A4691="",H4691=""),"",IF(COUNTIFS(exp_year,C4691,exp_month,D4691,exp_item,E4691,exp_status,"&lt;&gt;❌ Отменено")&gt;0,1,0))</f>
        <v/>
      </c>
    </row>
    <row r="4692">
      <c r="A4692" s="52" t="n"/>
      <c r="B4692" s="53">
        <f>IF(A4692="","",CHOOSE(WEEKDAY(A4692,2),"Пн","Вт","Ср","Чт","Пт","Сб","Вс"))</f>
        <v/>
      </c>
      <c r="C4692" s="53">
        <f>IF(A4692="","",YEAR(A4692))</f>
        <v/>
      </c>
      <c r="D4692" s="54">
        <f>IF(A4692="","",INDEX(lst_months,MONTH(A4692)))</f>
        <v/>
      </c>
      <c r="E4692" s="55" t="n"/>
      <c r="F4692" s="54">
        <f>IF(E4692="","",IFERROR(IF(INDEX(lst_exp_item_cat,MATCH(E4692,lst_exp_items,0))="","❔ Без категории",INDEX(lst_exp_item_cat,MATCH(E4692,lst_exp_items,0))),"❔ Без категории"))</f>
        <v/>
      </c>
      <c r="G4692" s="43" t="n"/>
      <c r="H4692" s="56" t="n"/>
      <c r="I4692" s="43" t="n"/>
      <c r="J4692" s="57">
        <f>IF(OR(A4692="",H4692=""),"",IF(COUNTIFS(exp_year,C4692,exp_month,D4692,exp_item,E4692,exp_status,"&lt;&gt;❌ Отменено")&gt;0,1,0))</f>
        <v/>
      </c>
    </row>
    <row r="4693">
      <c r="A4693" s="52" t="n"/>
      <c r="B4693" s="53">
        <f>IF(A4693="","",CHOOSE(WEEKDAY(A4693,2),"Пн","Вт","Ср","Чт","Пт","Сб","Вс"))</f>
        <v/>
      </c>
      <c r="C4693" s="53">
        <f>IF(A4693="","",YEAR(A4693))</f>
        <v/>
      </c>
      <c r="D4693" s="54">
        <f>IF(A4693="","",INDEX(lst_months,MONTH(A4693)))</f>
        <v/>
      </c>
      <c r="E4693" s="55" t="n"/>
      <c r="F4693" s="54">
        <f>IF(E4693="","",IFERROR(IF(INDEX(lst_exp_item_cat,MATCH(E4693,lst_exp_items,0))="","❔ Без категории",INDEX(lst_exp_item_cat,MATCH(E4693,lst_exp_items,0))),"❔ Без категории"))</f>
        <v/>
      </c>
      <c r="G4693" s="43" t="n"/>
      <c r="H4693" s="56" t="n"/>
      <c r="I4693" s="43" t="n"/>
      <c r="J4693" s="57">
        <f>IF(OR(A4693="",H4693=""),"",IF(COUNTIFS(exp_year,C4693,exp_month,D4693,exp_item,E4693,exp_status,"&lt;&gt;❌ Отменено")&gt;0,1,0))</f>
        <v/>
      </c>
    </row>
    <row r="4694">
      <c r="A4694" s="52" t="n"/>
      <c r="B4694" s="53">
        <f>IF(A4694="","",CHOOSE(WEEKDAY(A4694,2),"Пн","Вт","Ср","Чт","Пт","Сб","Вс"))</f>
        <v/>
      </c>
      <c r="C4694" s="53">
        <f>IF(A4694="","",YEAR(A4694))</f>
        <v/>
      </c>
      <c r="D4694" s="54">
        <f>IF(A4694="","",INDEX(lst_months,MONTH(A4694)))</f>
        <v/>
      </c>
      <c r="E4694" s="55" t="n"/>
      <c r="F4694" s="54">
        <f>IF(E4694="","",IFERROR(IF(INDEX(lst_exp_item_cat,MATCH(E4694,lst_exp_items,0))="","❔ Без категории",INDEX(lst_exp_item_cat,MATCH(E4694,lst_exp_items,0))),"❔ Без категории"))</f>
        <v/>
      </c>
      <c r="G4694" s="43" t="n"/>
      <c r="H4694" s="56" t="n"/>
      <c r="I4694" s="43" t="n"/>
      <c r="J4694" s="57">
        <f>IF(OR(A4694="",H4694=""),"",IF(COUNTIFS(exp_year,C4694,exp_month,D4694,exp_item,E4694,exp_status,"&lt;&gt;❌ Отменено")&gt;0,1,0))</f>
        <v/>
      </c>
    </row>
    <row r="4695">
      <c r="A4695" s="52" t="n"/>
      <c r="B4695" s="53">
        <f>IF(A4695="","",CHOOSE(WEEKDAY(A4695,2),"Пн","Вт","Ср","Чт","Пт","Сб","Вс"))</f>
        <v/>
      </c>
      <c r="C4695" s="53">
        <f>IF(A4695="","",YEAR(A4695))</f>
        <v/>
      </c>
      <c r="D4695" s="54">
        <f>IF(A4695="","",INDEX(lst_months,MONTH(A4695)))</f>
        <v/>
      </c>
      <c r="E4695" s="55" t="n"/>
      <c r="F4695" s="54">
        <f>IF(E4695="","",IFERROR(IF(INDEX(lst_exp_item_cat,MATCH(E4695,lst_exp_items,0))="","❔ Без категории",INDEX(lst_exp_item_cat,MATCH(E4695,lst_exp_items,0))),"❔ Без категории"))</f>
        <v/>
      </c>
      <c r="G4695" s="43" t="n"/>
      <c r="H4695" s="56" t="n"/>
      <c r="I4695" s="43" t="n"/>
      <c r="J4695" s="57">
        <f>IF(OR(A4695="",H4695=""),"",IF(COUNTIFS(exp_year,C4695,exp_month,D4695,exp_item,E4695,exp_status,"&lt;&gt;❌ Отменено")&gt;0,1,0))</f>
        <v/>
      </c>
    </row>
    <row r="4696">
      <c r="A4696" s="52" t="n"/>
      <c r="B4696" s="53">
        <f>IF(A4696="","",CHOOSE(WEEKDAY(A4696,2),"Пн","Вт","Ср","Чт","Пт","Сб","Вс"))</f>
        <v/>
      </c>
      <c r="C4696" s="53">
        <f>IF(A4696="","",YEAR(A4696))</f>
        <v/>
      </c>
      <c r="D4696" s="54">
        <f>IF(A4696="","",INDEX(lst_months,MONTH(A4696)))</f>
        <v/>
      </c>
      <c r="E4696" s="55" t="n"/>
      <c r="F4696" s="54">
        <f>IF(E4696="","",IFERROR(IF(INDEX(lst_exp_item_cat,MATCH(E4696,lst_exp_items,0))="","❔ Без категории",INDEX(lst_exp_item_cat,MATCH(E4696,lst_exp_items,0))),"❔ Без категории"))</f>
        <v/>
      </c>
      <c r="G4696" s="43" t="n"/>
      <c r="H4696" s="56" t="n"/>
      <c r="I4696" s="43" t="n"/>
      <c r="J4696" s="57">
        <f>IF(OR(A4696="",H4696=""),"",IF(COUNTIFS(exp_year,C4696,exp_month,D4696,exp_item,E4696,exp_status,"&lt;&gt;❌ Отменено")&gt;0,1,0))</f>
        <v/>
      </c>
    </row>
    <row r="4697">
      <c r="A4697" s="52" t="n"/>
      <c r="B4697" s="53">
        <f>IF(A4697="","",CHOOSE(WEEKDAY(A4697,2),"Пн","Вт","Ср","Чт","Пт","Сб","Вс"))</f>
        <v/>
      </c>
      <c r="C4697" s="53">
        <f>IF(A4697="","",YEAR(A4697))</f>
        <v/>
      </c>
      <c r="D4697" s="54">
        <f>IF(A4697="","",INDEX(lst_months,MONTH(A4697)))</f>
        <v/>
      </c>
      <c r="E4697" s="55" t="n"/>
      <c r="F4697" s="54">
        <f>IF(E4697="","",IFERROR(IF(INDEX(lst_exp_item_cat,MATCH(E4697,lst_exp_items,0))="","❔ Без категории",INDEX(lst_exp_item_cat,MATCH(E4697,lst_exp_items,0))),"❔ Без категории"))</f>
        <v/>
      </c>
      <c r="G4697" s="43" t="n"/>
      <c r="H4697" s="56" t="n"/>
      <c r="I4697" s="43" t="n"/>
      <c r="J4697" s="57">
        <f>IF(OR(A4697="",H4697=""),"",IF(COUNTIFS(exp_year,C4697,exp_month,D4697,exp_item,E4697,exp_status,"&lt;&gt;❌ Отменено")&gt;0,1,0))</f>
        <v/>
      </c>
    </row>
    <row r="4698">
      <c r="A4698" s="52" t="n"/>
      <c r="B4698" s="53">
        <f>IF(A4698="","",CHOOSE(WEEKDAY(A4698,2),"Пн","Вт","Ср","Чт","Пт","Сб","Вс"))</f>
        <v/>
      </c>
      <c r="C4698" s="53">
        <f>IF(A4698="","",YEAR(A4698))</f>
        <v/>
      </c>
      <c r="D4698" s="54">
        <f>IF(A4698="","",INDEX(lst_months,MONTH(A4698)))</f>
        <v/>
      </c>
      <c r="E4698" s="55" t="n"/>
      <c r="F4698" s="54">
        <f>IF(E4698="","",IFERROR(IF(INDEX(lst_exp_item_cat,MATCH(E4698,lst_exp_items,0))="","❔ Без категории",INDEX(lst_exp_item_cat,MATCH(E4698,lst_exp_items,0))),"❔ Без категории"))</f>
        <v/>
      </c>
      <c r="G4698" s="43" t="n"/>
      <c r="H4698" s="56" t="n"/>
      <c r="I4698" s="43" t="n"/>
      <c r="J4698" s="57">
        <f>IF(OR(A4698="",H4698=""),"",IF(COUNTIFS(exp_year,C4698,exp_month,D4698,exp_item,E4698,exp_status,"&lt;&gt;❌ Отменено")&gt;0,1,0))</f>
        <v/>
      </c>
    </row>
    <row r="4699">
      <c r="A4699" s="52" t="n"/>
      <c r="B4699" s="53">
        <f>IF(A4699="","",CHOOSE(WEEKDAY(A4699,2),"Пн","Вт","Ср","Чт","Пт","Сб","Вс"))</f>
        <v/>
      </c>
      <c r="C4699" s="53">
        <f>IF(A4699="","",YEAR(A4699))</f>
        <v/>
      </c>
      <c r="D4699" s="54">
        <f>IF(A4699="","",INDEX(lst_months,MONTH(A4699)))</f>
        <v/>
      </c>
      <c r="E4699" s="55" t="n"/>
      <c r="F4699" s="54">
        <f>IF(E4699="","",IFERROR(IF(INDEX(lst_exp_item_cat,MATCH(E4699,lst_exp_items,0))="","❔ Без категории",INDEX(lst_exp_item_cat,MATCH(E4699,lst_exp_items,0))),"❔ Без категории"))</f>
        <v/>
      </c>
      <c r="G4699" s="43" t="n"/>
      <c r="H4699" s="56" t="n"/>
      <c r="I4699" s="43" t="n"/>
      <c r="J4699" s="57">
        <f>IF(OR(A4699="",H4699=""),"",IF(COUNTIFS(exp_year,C4699,exp_month,D4699,exp_item,E4699,exp_status,"&lt;&gt;❌ Отменено")&gt;0,1,0))</f>
        <v/>
      </c>
    </row>
    <row r="4700">
      <c r="A4700" s="52" t="n"/>
      <c r="B4700" s="53">
        <f>IF(A4700="","",CHOOSE(WEEKDAY(A4700,2),"Пн","Вт","Ср","Чт","Пт","Сб","Вс"))</f>
        <v/>
      </c>
      <c r="C4700" s="53">
        <f>IF(A4700="","",YEAR(A4700))</f>
        <v/>
      </c>
      <c r="D4700" s="54">
        <f>IF(A4700="","",INDEX(lst_months,MONTH(A4700)))</f>
        <v/>
      </c>
      <c r="E4700" s="55" t="n"/>
      <c r="F4700" s="54">
        <f>IF(E4700="","",IFERROR(IF(INDEX(lst_exp_item_cat,MATCH(E4700,lst_exp_items,0))="","❔ Без категории",INDEX(lst_exp_item_cat,MATCH(E4700,lst_exp_items,0))),"❔ Без категории"))</f>
        <v/>
      </c>
      <c r="G4700" s="43" t="n"/>
      <c r="H4700" s="56" t="n"/>
      <c r="I4700" s="43" t="n"/>
      <c r="J4700" s="57">
        <f>IF(OR(A4700="",H4700=""),"",IF(COUNTIFS(exp_year,C4700,exp_month,D4700,exp_item,E4700,exp_status,"&lt;&gt;❌ Отменено")&gt;0,1,0))</f>
        <v/>
      </c>
    </row>
    <row r="4701">
      <c r="A4701" s="52" t="n"/>
      <c r="B4701" s="53">
        <f>IF(A4701="","",CHOOSE(WEEKDAY(A4701,2),"Пн","Вт","Ср","Чт","Пт","Сб","Вс"))</f>
        <v/>
      </c>
      <c r="C4701" s="53">
        <f>IF(A4701="","",YEAR(A4701))</f>
        <v/>
      </c>
      <c r="D4701" s="54">
        <f>IF(A4701="","",INDEX(lst_months,MONTH(A4701)))</f>
        <v/>
      </c>
      <c r="E4701" s="55" t="n"/>
      <c r="F4701" s="54">
        <f>IF(E4701="","",IFERROR(IF(INDEX(lst_exp_item_cat,MATCH(E4701,lst_exp_items,0))="","❔ Без категории",INDEX(lst_exp_item_cat,MATCH(E4701,lst_exp_items,0))),"❔ Без категории"))</f>
        <v/>
      </c>
      <c r="G4701" s="43" t="n"/>
      <c r="H4701" s="56" t="n"/>
      <c r="I4701" s="43" t="n"/>
      <c r="J4701" s="57">
        <f>IF(OR(A4701="",H4701=""),"",IF(COUNTIFS(exp_year,C4701,exp_month,D4701,exp_item,E4701,exp_status,"&lt;&gt;❌ Отменено")&gt;0,1,0))</f>
        <v/>
      </c>
    </row>
    <row r="4702">
      <c r="A4702" s="52" t="n"/>
      <c r="B4702" s="53">
        <f>IF(A4702="","",CHOOSE(WEEKDAY(A4702,2),"Пн","Вт","Ср","Чт","Пт","Сб","Вс"))</f>
        <v/>
      </c>
      <c r="C4702" s="53">
        <f>IF(A4702="","",YEAR(A4702))</f>
        <v/>
      </c>
      <c r="D4702" s="54">
        <f>IF(A4702="","",INDEX(lst_months,MONTH(A4702)))</f>
        <v/>
      </c>
      <c r="E4702" s="55" t="n"/>
      <c r="F4702" s="54">
        <f>IF(E4702="","",IFERROR(IF(INDEX(lst_exp_item_cat,MATCH(E4702,lst_exp_items,0))="","❔ Без категории",INDEX(lst_exp_item_cat,MATCH(E4702,lst_exp_items,0))),"❔ Без категории"))</f>
        <v/>
      </c>
      <c r="G4702" s="43" t="n"/>
      <c r="H4702" s="56" t="n"/>
      <c r="I4702" s="43" t="n"/>
      <c r="J4702" s="57">
        <f>IF(OR(A4702="",H4702=""),"",IF(COUNTIFS(exp_year,C4702,exp_month,D4702,exp_item,E4702,exp_status,"&lt;&gt;❌ Отменено")&gt;0,1,0))</f>
        <v/>
      </c>
    </row>
    <row r="4703">
      <c r="A4703" s="52" t="n"/>
      <c r="B4703" s="53">
        <f>IF(A4703="","",CHOOSE(WEEKDAY(A4703,2),"Пн","Вт","Ср","Чт","Пт","Сб","Вс"))</f>
        <v/>
      </c>
      <c r="C4703" s="53">
        <f>IF(A4703="","",YEAR(A4703))</f>
        <v/>
      </c>
      <c r="D4703" s="54">
        <f>IF(A4703="","",INDEX(lst_months,MONTH(A4703)))</f>
        <v/>
      </c>
      <c r="E4703" s="55" t="n"/>
      <c r="F4703" s="54">
        <f>IF(E4703="","",IFERROR(IF(INDEX(lst_exp_item_cat,MATCH(E4703,lst_exp_items,0))="","❔ Без категории",INDEX(lst_exp_item_cat,MATCH(E4703,lst_exp_items,0))),"❔ Без категории"))</f>
        <v/>
      </c>
      <c r="G4703" s="43" t="n"/>
      <c r="H4703" s="56" t="n"/>
      <c r="I4703" s="43" t="n"/>
      <c r="J4703" s="57">
        <f>IF(OR(A4703="",H4703=""),"",IF(COUNTIFS(exp_year,C4703,exp_month,D4703,exp_item,E4703,exp_status,"&lt;&gt;❌ Отменено")&gt;0,1,0))</f>
        <v/>
      </c>
    </row>
    <row r="4704">
      <c r="A4704" s="52" t="n"/>
      <c r="B4704" s="53">
        <f>IF(A4704="","",CHOOSE(WEEKDAY(A4704,2),"Пн","Вт","Ср","Чт","Пт","Сб","Вс"))</f>
        <v/>
      </c>
      <c r="C4704" s="53">
        <f>IF(A4704="","",YEAR(A4704))</f>
        <v/>
      </c>
      <c r="D4704" s="54">
        <f>IF(A4704="","",INDEX(lst_months,MONTH(A4704)))</f>
        <v/>
      </c>
      <c r="E4704" s="55" t="n"/>
      <c r="F4704" s="54">
        <f>IF(E4704="","",IFERROR(IF(INDEX(lst_exp_item_cat,MATCH(E4704,lst_exp_items,0))="","❔ Без категории",INDEX(lst_exp_item_cat,MATCH(E4704,lst_exp_items,0))),"❔ Без категории"))</f>
        <v/>
      </c>
      <c r="G4704" s="43" t="n"/>
      <c r="H4704" s="56" t="n"/>
      <c r="I4704" s="43" t="n"/>
      <c r="J4704" s="57">
        <f>IF(OR(A4704="",H4704=""),"",IF(COUNTIFS(exp_year,C4704,exp_month,D4704,exp_item,E4704,exp_status,"&lt;&gt;❌ Отменено")&gt;0,1,0))</f>
        <v/>
      </c>
    </row>
    <row r="4705">
      <c r="A4705" s="52" t="n"/>
      <c r="B4705" s="53">
        <f>IF(A4705="","",CHOOSE(WEEKDAY(A4705,2),"Пн","Вт","Ср","Чт","Пт","Сб","Вс"))</f>
        <v/>
      </c>
      <c r="C4705" s="53">
        <f>IF(A4705="","",YEAR(A4705))</f>
        <v/>
      </c>
      <c r="D4705" s="54">
        <f>IF(A4705="","",INDEX(lst_months,MONTH(A4705)))</f>
        <v/>
      </c>
      <c r="E4705" s="55" t="n"/>
      <c r="F4705" s="54">
        <f>IF(E4705="","",IFERROR(IF(INDEX(lst_exp_item_cat,MATCH(E4705,lst_exp_items,0))="","❔ Без категории",INDEX(lst_exp_item_cat,MATCH(E4705,lst_exp_items,0))),"❔ Без категории"))</f>
        <v/>
      </c>
      <c r="G4705" s="43" t="n"/>
      <c r="H4705" s="56" t="n"/>
      <c r="I4705" s="43" t="n"/>
      <c r="J4705" s="57">
        <f>IF(OR(A4705="",H4705=""),"",IF(COUNTIFS(exp_year,C4705,exp_month,D4705,exp_item,E4705,exp_status,"&lt;&gt;❌ Отменено")&gt;0,1,0))</f>
        <v/>
      </c>
    </row>
    <row r="4706">
      <c r="A4706" s="52" t="n"/>
      <c r="B4706" s="53">
        <f>IF(A4706="","",CHOOSE(WEEKDAY(A4706,2),"Пн","Вт","Ср","Чт","Пт","Сб","Вс"))</f>
        <v/>
      </c>
      <c r="C4706" s="53">
        <f>IF(A4706="","",YEAR(A4706))</f>
        <v/>
      </c>
      <c r="D4706" s="54">
        <f>IF(A4706="","",INDEX(lst_months,MONTH(A4706)))</f>
        <v/>
      </c>
      <c r="E4706" s="55" t="n"/>
      <c r="F4706" s="54">
        <f>IF(E4706="","",IFERROR(IF(INDEX(lst_exp_item_cat,MATCH(E4706,lst_exp_items,0))="","❔ Без категории",INDEX(lst_exp_item_cat,MATCH(E4706,lst_exp_items,0))),"❔ Без категории"))</f>
        <v/>
      </c>
      <c r="G4706" s="43" t="n"/>
      <c r="H4706" s="56" t="n"/>
      <c r="I4706" s="43" t="n"/>
      <c r="J4706" s="57">
        <f>IF(OR(A4706="",H4706=""),"",IF(COUNTIFS(exp_year,C4706,exp_month,D4706,exp_item,E4706,exp_status,"&lt;&gt;❌ Отменено")&gt;0,1,0))</f>
        <v/>
      </c>
    </row>
    <row r="4707">
      <c r="A4707" s="52" t="n"/>
      <c r="B4707" s="53">
        <f>IF(A4707="","",CHOOSE(WEEKDAY(A4707,2),"Пн","Вт","Ср","Чт","Пт","Сб","Вс"))</f>
        <v/>
      </c>
      <c r="C4707" s="53">
        <f>IF(A4707="","",YEAR(A4707))</f>
        <v/>
      </c>
      <c r="D4707" s="54">
        <f>IF(A4707="","",INDEX(lst_months,MONTH(A4707)))</f>
        <v/>
      </c>
      <c r="E4707" s="55" t="n"/>
      <c r="F4707" s="54">
        <f>IF(E4707="","",IFERROR(IF(INDEX(lst_exp_item_cat,MATCH(E4707,lst_exp_items,0))="","❔ Без категории",INDEX(lst_exp_item_cat,MATCH(E4707,lst_exp_items,0))),"❔ Без категории"))</f>
        <v/>
      </c>
      <c r="G4707" s="43" t="n"/>
      <c r="H4707" s="56" t="n"/>
      <c r="I4707" s="43" t="n"/>
      <c r="J4707" s="57">
        <f>IF(OR(A4707="",H4707=""),"",IF(COUNTIFS(exp_year,C4707,exp_month,D4707,exp_item,E4707,exp_status,"&lt;&gt;❌ Отменено")&gt;0,1,0))</f>
        <v/>
      </c>
    </row>
    <row r="4708">
      <c r="A4708" s="52" t="n"/>
      <c r="B4708" s="53">
        <f>IF(A4708="","",CHOOSE(WEEKDAY(A4708,2),"Пн","Вт","Ср","Чт","Пт","Сб","Вс"))</f>
        <v/>
      </c>
      <c r="C4708" s="53">
        <f>IF(A4708="","",YEAR(A4708))</f>
        <v/>
      </c>
      <c r="D4708" s="54">
        <f>IF(A4708="","",INDEX(lst_months,MONTH(A4708)))</f>
        <v/>
      </c>
      <c r="E4708" s="55" t="n"/>
      <c r="F4708" s="54">
        <f>IF(E4708="","",IFERROR(IF(INDEX(lst_exp_item_cat,MATCH(E4708,lst_exp_items,0))="","❔ Без категории",INDEX(lst_exp_item_cat,MATCH(E4708,lst_exp_items,0))),"❔ Без категории"))</f>
        <v/>
      </c>
      <c r="G4708" s="43" t="n"/>
      <c r="H4708" s="56" t="n"/>
      <c r="I4708" s="43" t="n"/>
      <c r="J4708" s="57">
        <f>IF(OR(A4708="",H4708=""),"",IF(COUNTIFS(exp_year,C4708,exp_month,D4708,exp_item,E4708,exp_status,"&lt;&gt;❌ Отменено")&gt;0,1,0))</f>
        <v/>
      </c>
    </row>
    <row r="4709">
      <c r="A4709" s="52" t="n"/>
      <c r="B4709" s="53">
        <f>IF(A4709="","",CHOOSE(WEEKDAY(A4709,2),"Пн","Вт","Ср","Чт","Пт","Сб","Вс"))</f>
        <v/>
      </c>
      <c r="C4709" s="53">
        <f>IF(A4709="","",YEAR(A4709))</f>
        <v/>
      </c>
      <c r="D4709" s="54">
        <f>IF(A4709="","",INDEX(lst_months,MONTH(A4709)))</f>
        <v/>
      </c>
      <c r="E4709" s="55" t="n"/>
      <c r="F4709" s="54">
        <f>IF(E4709="","",IFERROR(IF(INDEX(lst_exp_item_cat,MATCH(E4709,lst_exp_items,0))="","❔ Без категории",INDEX(lst_exp_item_cat,MATCH(E4709,lst_exp_items,0))),"❔ Без категории"))</f>
        <v/>
      </c>
      <c r="G4709" s="43" t="n"/>
      <c r="H4709" s="56" t="n"/>
      <c r="I4709" s="43" t="n"/>
      <c r="J4709" s="57">
        <f>IF(OR(A4709="",H4709=""),"",IF(COUNTIFS(exp_year,C4709,exp_month,D4709,exp_item,E4709,exp_status,"&lt;&gt;❌ Отменено")&gt;0,1,0))</f>
        <v/>
      </c>
    </row>
    <row r="4710">
      <c r="A4710" s="52" t="n"/>
      <c r="B4710" s="53">
        <f>IF(A4710="","",CHOOSE(WEEKDAY(A4710,2),"Пн","Вт","Ср","Чт","Пт","Сб","Вс"))</f>
        <v/>
      </c>
      <c r="C4710" s="53">
        <f>IF(A4710="","",YEAR(A4710))</f>
        <v/>
      </c>
      <c r="D4710" s="54">
        <f>IF(A4710="","",INDEX(lst_months,MONTH(A4710)))</f>
        <v/>
      </c>
      <c r="E4710" s="55" t="n"/>
      <c r="F4710" s="54">
        <f>IF(E4710="","",IFERROR(IF(INDEX(lst_exp_item_cat,MATCH(E4710,lst_exp_items,0))="","❔ Без категории",INDEX(lst_exp_item_cat,MATCH(E4710,lst_exp_items,0))),"❔ Без категории"))</f>
        <v/>
      </c>
      <c r="G4710" s="43" t="n"/>
      <c r="H4710" s="56" t="n"/>
      <c r="I4710" s="43" t="n"/>
      <c r="J4710" s="57">
        <f>IF(OR(A4710="",H4710=""),"",IF(COUNTIFS(exp_year,C4710,exp_month,D4710,exp_item,E4710,exp_status,"&lt;&gt;❌ Отменено")&gt;0,1,0))</f>
        <v/>
      </c>
    </row>
    <row r="4711">
      <c r="A4711" s="52" t="n"/>
      <c r="B4711" s="53">
        <f>IF(A4711="","",CHOOSE(WEEKDAY(A4711,2),"Пн","Вт","Ср","Чт","Пт","Сб","Вс"))</f>
        <v/>
      </c>
      <c r="C4711" s="53">
        <f>IF(A4711="","",YEAR(A4711))</f>
        <v/>
      </c>
      <c r="D4711" s="54">
        <f>IF(A4711="","",INDEX(lst_months,MONTH(A4711)))</f>
        <v/>
      </c>
      <c r="E4711" s="55" t="n"/>
      <c r="F4711" s="54">
        <f>IF(E4711="","",IFERROR(IF(INDEX(lst_exp_item_cat,MATCH(E4711,lst_exp_items,0))="","❔ Без категории",INDEX(lst_exp_item_cat,MATCH(E4711,lst_exp_items,0))),"❔ Без категории"))</f>
        <v/>
      </c>
      <c r="G4711" s="43" t="n"/>
      <c r="H4711" s="56" t="n"/>
      <c r="I4711" s="43" t="n"/>
      <c r="J4711" s="57">
        <f>IF(OR(A4711="",H4711=""),"",IF(COUNTIFS(exp_year,C4711,exp_month,D4711,exp_item,E4711,exp_status,"&lt;&gt;❌ Отменено")&gt;0,1,0))</f>
        <v/>
      </c>
    </row>
    <row r="4712">
      <c r="A4712" s="52" t="n"/>
      <c r="B4712" s="53">
        <f>IF(A4712="","",CHOOSE(WEEKDAY(A4712,2),"Пн","Вт","Ср","Чт","Пт","Сб","Вс"))</f>
        <v/>
      </c>
      <c r="C4712" s="53">
        <f>IF(A4712="","",YEAR(A4712))</f>
        <v/>
      </c>
      <c r="D4712" s="54">
        <f>IF(A4712="","",INDEX(lst_months,MONTH(A4712)))</f>
        <v/>
      </c>
      <c r="E4712" s="55" t="n"/>
      <c r="F4712" s="54">
        <f>IF(E4712="","",IFERROR(IF(INDEX(lst_exp_item_cat,MATCH(E4712,lst_exp_items,0))="","❔ Без категории",INDEX(lst_exp_item_cat,MATCH(E4712,lst_exp_items,0))),"❔ Без категории"))</f>
        <v/>
      </c>
      <c r="G4712" s="43" t="n"/>
      <c r="H4712" s="56" t="n"/>
      <c r="I4712" s="43" t="n"/>
      <c r="J4712" s="57">
        <f>IF(OR(A4712="",H4712=""),"",IF(COUNTIFS(exp_year,C4712,exp_month,D4712,exp_item,E4712,exp_status,"&lt;&gt;❌ Отменено")&gt;0,1,0))</f>
        <v/>
      </c>
    </row>
    <row r="4713">
      <c r="A4713" s="52" t="n"/>
      <c r="B4713" s="53">
        <f>IF(A4713="","",CHOOSE(WEEKDAY(A4713,2),"Пн","Вт","Ср","Чт","Пт","Сб","Вс"))</f>
        <v/>
      </c>
      <c r="C4713" s="53">
        <f>IF(A4713="","",YEAR(A4713))</f>
        <v/>
      </c>
      <c r="D4713" s="54">
        <f>IF(A4713="","",INDEX(lst_months,MONTH(A4713)))</f>
        <v/>
      </c>
      <c r="E4713" s="55" t="n"/>
      <c r="F4713" s="54">
        <f>IF(E4713="","",IFERROR(IF(INDEX(lst_exp_item_cat,MATCH(E4713,lst_exp_items,0))="","❔ Без категории",INDEX(lst_exp_item_cat,MATCH(E4713,lst_exp_items,0))),"❔ Без категории"))</f>
        <v/>
      </c>
      <c r="G4713" s="43" t="n"/>
      <c r="H4713" s="56" t="n"/>
      <c r="I4713" s="43" t="n"/>
      <c r="J4713" s="57">
        <f>IF(OR(A4713="",H4713=""),"",IF(COUNTIFS(exp_year,C4713,exp_month,D4713,exp_item,E4713,exp_status,"&lt;&gt;❌ Отменено")&gt;0,1,0))</f>
        <v/>
      </c>
    </row>
    <row r="4714">
      <c r="A4714" s="52" t="n"/>
      <c r="B4714" s="53">
        <f>IF(A4714="","",CHOOSE(WEEKDAY(A4714,2),"Пн","Вт","Ср","Чт","Пт","Сб","Вс"))</f>
        <v/>
      </c>
      <c r="C4714" s="53">
        <f>IF(A4714="","",YEAR(A4714))</f>
        <v/>
      </c>
      <c r="D4714" s="54">
        <f>IF(A4714="","",INDEX(lst_months,MONTH(A4714)))</f>
        <v/>
      </c>
      <c r="E4714" s="55" t="n"/>
      <c r="F4714" s="54">
        <f>IF(E4714="","",IFERROR(IF(INDEX(lst_exp_item_cat,MATCH(E4714,lst_exp_items,0))="","❔ Без категории",INDEX(lst_exp_item_cat,MATCH(E4714,lst_exp_items,0))),"❔ Без категории"))</f>
        <v/>
      </c>
      <c r="G4714" s="43" t="n"/>
      <c r="H4714" s="56" t="n"/>
      <c r="I4714" s="43" t="n"/>
      <c r="J4714" s="57">
        <f>IF(OR(A4714="",H4714=""),"",IF(COUNTIFS(exp_year,C4714,exp_month,D4714,exp_item,E4714,exp_status,"&lt;&gt;❌ Отменено")&gt;0,1,0))</f>
        <v/>
      </c>
    </row>
    <row r="4715">
      <c r="A4715" s="52" t="n"/>
      <c r="B4715" s="53">
        <f>IF(A4715="","",CHOOSE(WEEKDAY(A4715,2),"Пн","Вт","Ср","Чт","Пт","Сб","Вс"))</f>
        <v/>
      </c>
      <c r="C4715" s="53">
        <f>IF(A4715="","",YEAR(A4715))</f>
        <v/>
      </c>
      <c r="D4715" s="54">
        <f>IF(A4715="","",INDEX(lst_months,MONTH(A4715)))</f>
        <v/>
      </c>
      <c r="E4715" s="55" t="n"/>
      <c r="F4715" s="54">
        <f>IF(E4715="","",IFERROR(IF(INDEX(lst_exp_item_cat,MATCH(E4715,lst_exp_items,0))="","❔ Без категории",INDEX(lst_exp_item_cat,MATCH(E4715,lst_exp_items,0))),"❔ Без категории"))</f>
        <v/>
      </c>
      <c r="G4715" s="43" t="n"/>
      <c r="H4715" s="56" t="n"/>
      <c r="I4715" s="43" t="n"/>
      <c r="J4715" s="57">
        <f>IF(OR(A4715="",H4715=""),"",IF(COUNTIFS(exp_year,C4715,exp_month,D4715,exp_item,E4715,exp_status,"&lt;&gt;❌ Отменено")&gt;0,1,0))</f>
        <v/>
      </c>
    </row>
    <row r="4716">
      <c r="A4716" s="52" t="n"/>
      <c r="B4716" s="53">
        <f>IF(A4716="","",CHOOSE(WEEKDAY(A4716,2),"Пн","Вт","Ср","Чт","Пт","Сб","Вс"))</f>
        <v/>
      </c>
      <c r="C4716" s="53">
        <f>IF(A4716="","",YEAR(A4716))</f>
        <v/>
      </c>
      <c r="D4716" s="54">
        <f>IF(A4716="","",INDEX(lst_months,MONTH(A4716)))</f>
        <v/>
      </c>
      <c r="E4716" s="55" t="n"/>
      <c r="F4716" s="54">
        <f>IF(E4716="","",IFERROR(IF(INDEX(lst_exp_item_cat,MATCH(E4716,lst_exp_items,0))="","❔ Без категории",INDEX(lst_exp_item_cat,MATCH(E4716,lst_exp_items,0))),"❔ Без категории"))</f>
        <v/>
      </c>
      <c r="G4716" s="43" t="n"/>
      <c r="H4716" s="56" t="n"/>
      <c r="I4716" s="43" t="n"/>
      <c r="J4716" s="57">
        <f>IF(OR(A4716="",H4716=""),"",IF(COUNTIFS(exp_year,C4716,exp_month,D4716,exp_item,E4716,exp_status,"&lt;&gt;❌ Отменено")&gt;0,1,0))</f>
        <v/>
      </c>
    </row>
    <row r="4717">
      <c r="A4717" s="52" t="n"/>
      <c r="B4717" s="53">
        <f>IF(A4717="","",CHOOSE(WEEKDAY(A4717,2),"Пн","Вт","Ср","Чт","Пт","Сб","Вс"))</f>
        <v/>
      </c>
      <c r="C4717" s="53">
        <f>IF(A4717="","",YEAR(A4717))</f>
        <v/>
      </c>
      <c r="D4717" s="54">
        <f>IF(A4717="","",INDEX(lst_months,MONTH(A4717)))</f>
        <v/>
      </c>
      <c r="E4717" s="55" t="n"/>
      <c r="F4717" s="54">
        <f>IF(E4717="","",IFERROR(IF(INDEX(lst_exp_item_cat,MATCH(E4717,lst_exp_items,0))="","❔ Без категории",INDEX(lst_exp_item_cat,MATCH(E4717,lst_exp_items,0))),"❔ Без категории"))</f>
        <v/>
      </c>
      <c r="G4717" s="43" t="n"/>
      <c r="H4717" s="56" t="n"/>
      <c r="I4717" s="43" t="n"/>
      <c r="J4717" s="57">
        <f>IF(OR(A4717="",H4717=""),"",IF(COUNTIFS(exp_year,C4717,exp_month,D4717,exp_item,E4717,exp_status,"&lt;&gt;❌ Отменено")&gt;0,1,0))</f>
        <v/>
      </c>
    </row>
    <row r="4718">
      <c r="A4718" s="52" t="n"/>
      <c r="B4718" s="53">
        <f>IF(A4718="","",CHOOSE(WEEKDAY(A4718,2),"Пн","Вт","Ср","Чт","Пт","Сб","Вс"))</f>
        <v/>
      </c>
      <c r="C4718" s="53">
        <f>IF(A4718="","",YEAR(A4718))</f>
        <v/>
      </c>
      <c r="D4718" s="54">
        <f>IF(A4718="","",INDEX(lst_months,MONTH(A4718)))</f>
        <v/>
      </c>
      <c r="E4718" s="55" t="n"/>
      <c r="F4718" s="54">
        <f>IF(E4718="","",IFERROR(IF(INDEX(lst_exp_item_cat,MATCH(E4718,lst_exp_items,0))="","❔ Без категории",INDEX(lst_exp_item_cat,MATCH(E4718,lst_exp_items,0))),"❔ Без категории"))</f>
        <v/>
      </c>
      <c r="G4718" s="43" t="n"/>
      <c r="H4718" s="56" t="n"/>
      <c r="I4718" s="43" t="n"/>
      <c r="J4718" s="57">
        <f>IF(OR(A4718="",H4718=""),"",IF(COUNTIFS(exp_year,C4718,exp_month,D4718,exp_item,E4718,exp_status,"&lt;&gt;❌ Отменено")&gt;0,1,0))</f>
        <v/>
      </c>
    </row>
    <row r="4719">
      <c r="A4719" s="52" t="n"/>
      <c r="B4719" s="53">
        <f>IF(A4719="","",CHOOSE(WEEKDAY(A4719,2),"Пн","Вт","Ср","Чт","Пт","Сб","Вс"))</f>
        <v/>
      </c>
      <c r="C4719" s="53">
        <f>IF(A4719="","",YEAR(A4719))</f>
        <v/>
      </c>
      <c r="D4719" s="54">
        <f>IF(A4719="","",INDEX(lst_months,MONTH(A4719)))</f>
        <v/>
      </c>
      <c r="E4719" s="55" t="n"/>
      <c r="F4719" s="54">
        <f>IF(E4719="","",IFERROR(IF(INDEX(lst_exp_item_cat,MATCH(E4719,lst_exp_items,0))="","❔ Без категории",INDEX(lst_exp_item_cat,MATCH(E4719,lst_exp_items,0))),"❔ Без категории"))</f>
        <v/>
      </c>
      <c r="G4719" s="43" t="n"/>
      <c r="H4719" s="56" t="n"/>
      <c r="I4719" s="43" t="n"/>
      <c r="J4719" s="57">
        <f>IF(OR(A4719="",H4719=""),"",IF(COUNTIFS(exp_year,C4719,exp_month,D4719,exp_item,E4719,exp_status,"&lt;&gt;❌ Отменено")&gt;0,1,0))</f>
        <v/>
      </c>
    </row>
    <row r="4720">
      <c r="A4720" s="52" t="n"/>
      <c r="B4720" s="53">
        <f>IF(A4720="","",CHOOSE(WEEKDAY(A4720,2),"Пн","Вт","Ср","Чт","Пт","Сб","Вс"))</f>
        <v/>
      </c>
      <c r="C4720" s="53">
        <f>IF(A4720="","",YEAR(A4720))</f>
        <v/>
      </c>
      <c r="D4720" s="54">
        <f>IF(A4720="","",INDEX(lst_months,MONTH(A4720)))</f>
        <v/>
      </c>
      <c r="E4720" s="55" t="n"/>
      <c r="F4720" s="54">
        <f>IF(E4720="","",IFERROR(IF(INDEX(lst_exp_item_cat,MATCH(E4720,lst_exp_items,0))="","❔ Без категории",INDEX(lst_exp_item_cat,MATCH(E4720,lst_exp_items,0))),"❔ Без категории"))</f>
        <v/>
      </c>
      <c r="G4720" s="43" t="n"/>
      <c r="H4720" s="56" t="n"/>
      <c r="I4720" s="43" t="n"/>
      <c r="J4720" s="57">
        <f>IF(OR(A4720="",H4720=""),"",IF(COUNTIFS(exp_year,C4720,exp_month,D4720,exp_item,E4720,exp_status,"&lt;&gt;❌ Отменено")&gt;0,1,0))</f>
        <v/>
      </c>
    </row>
    <row r="4721">
      <c r="A4721" s="52" t="n"/>
      <c r="B4721" s="53">
        <f>IF(A4721="","",CHOOSE(WEEKDAY(A4721,2),"Пн","Вт","Ср","Чт","Пт","Сб","Вс"))</f>
        <v/>
      </c>
      <c r="C4721" s="53">
        <f>IF(A4721="","",YEAR(A4721))</f>
        <v/>
      </c>
      <c r="D4721" s="54">
        <f>IF(A4721="","",INDEX(lst_months,MONTH(A4721)))</f>
        <v/>
      </c>
      <c r="E4721" s="55" t="n"/>
      <c r="F4721" s="54">
        <f>IF(E4721="","",IFERROR(IF(INDEX(lst_exp_item_cat,MATCH(E4721,lst_exp_items,0))="","❔ Без категории",INDEX(lst_exp_item_cat,MATCH(E4721,lst_exp_items,0))),"❔ Без категории"))</f>
        <v/>
      </c>
      <c r="G4721" s="43" t="n"/>
      <c r="H4721" s="56" t="n"/>
      <c r="I4721" s="43" t="n"/>
      <c r="J4721" s="57">
        <f>IF(OR(A4721="",H4721=""),"",IF(COUNTIFS(exp_year,C4721,exp_month,D4721,exp_item,E4721,exp_status,"&lt;&gt;❌ Отменено")&gt;0,1,0))</f>
        <v/>
      </c>
    </row>
    <row r="4722">
      <c r="A4722" s="52" t="n"/>
      <c r="B4722" s="53">
        <f>IF(A4722="","",CHOOSE(WEEKDAY(A4722,2),"Пн","Вт","Ср","Чт","Пт","Сб","Вс"))</f>
        <v/>
      </c>
      <c r="C4722" s="53">
        <f>IF(A4722="","",YEAR(A4722))</f>
        <v/>
      </c>
      <c r="D4722" s="54">
        <f>IF(A4722="","",INDEX(lst_months,MONTH(A4722)))</f>
        <v/>
      </c>
      <c r="E4722" s="55" t="n"/>
      <c r="F4722" s="54">
        <f>IF(E4722="","",IFERROR(IF(INDEX(lst_exp_item_cat,MATCH(E4722,lst_exp_items,0))="","❔ Без категории",INDEX(lst_exp_item_cat,MATCH(E4722,lst_exp_items,0))),"❔ Без категории"))</f>
        <v/>
      </c>
      <c r="G4722" s="43" t="n"/>
      <c r="H4722" s="56" t="n"/>
      <c r="I4722" s="43" t="n"/>
      <c r="J4722" s="57">
        <f>IF(OR(A4722="",H4722=""),"",IF(COUNTIFS(exp_year,C4722,exp_month,D4722,exp_item,E4722,exp_status,"&lt;&gt;❌ Отменено")&gt;0,1,0))</f>
        <v/>
      </c>
    </row>
    <row r="4723">
      <c r="A4723" s="52" t="n"/>
      <c r="B4723" s="53">
        <f>IF(A4723="","",CHOOSE(WEEKDAY(A4723,2),"Пн","Вт","Ср","Чт","Пт","Сб","Вс"))</f>
        <v/>
      </c>
      <c r="C4723" s="53">
        <f>IF(A4723="","",YEAR(A4723))</f>
        <v/>
      </c>
      <c r="D4723" s="54">
        <f>IF(A4723="","",INDEX(lst_months,MONTH(A4723)))</f>
        <v/>
      </c>
      <c r="E4723" s="55" t="n"/>
      <c r="F4723" s="54">
        <f>IF(E4723="","",IFERROR(IF(INDEX(lst_exp_item_cat,MATCH(E4723,lst_exp_items,0))="","❔ Без категории",INDEX(lst_exp_item_cat,MATCH(E4723,lst_exp_items,0))),"❔ Без категории"))</f>
        <v/>
      </c>
      <c r="G4723" s="43" t="n"/>
      <c r="H4723" s="56" t="n"/>
      <c r="I4723" s="43" t="n"/>
      <c r="J4723" s="57">
        <f>IF(OR(A4723="",H4723=""),"",IF(COUNTIFS(exp_year,C4723,exp_month,D4723,exp_item,E4723,exp_status,"&lt;&gt;❌ Отменено")&gt;0,1,0))</f>
        <v/>
      </c>
    </row>
    <row r="4724">
      <c r="A4724" s="52" t="n"/>
      <c r="B4724" s="53">
        <f>IF(A4724="","",CHOOSE(WEEKDAY(A4724,2),"Пн","Вт","Ср","Чт","Пт","Сб","Вс"))</f>
        <v/>
      </c>
      <c r="C4724" s="53">
        <f>IF(A4724="","",YEAR(A4724))</f>
        <v/>
      </c>
      <c r="D4724" s="54">
        <f>IF(A4724="","",INDEX(lst_months,MONTH(A4724)))</f>
        <v/>
      </c>
      <c r="E4724" s="55" t="n"/>
      <c r="F4724" s="54">
        <f>IF(E4724="","",IFERROR(IF(INDEX(lst_exp_item_cat,MATCH(E4724,lst_exp_items,0))="","❔ Без категории",INDEX(lst_exp_item_cat,MATCH(E4724,lst_exp_items,0))),"❔ Без категории"))</f>
        <v/>
      </c>
      <c r="G4724" s="43" t="n"/>
      <c r="H4724" s="56" t="n"/>
      <c r="I4724" s="43" t="n"/>
      <c r="J4724" s="57">
        <f>IF(OR(A4724="",H4724=""),"",IF(COUNTIFS(exp_year,C4724,exp_month,D4724,exp_item,E4724,exp_status,"&lt;&gt;❌ Отменено")&gt;0,1,0))</f>
        <v/>
      </c>
    </row>
    <row r="4725">
      <c r="A4725" s="52" t="n"/>
      <c r="B4725" s="53">
        <f>IF(A4725="","",CHOOSE(WEEKDAY(A4725,2),"Пн","Вт","Ср","Чт","Пт","Сб","Вс"))</f>
        <v/>
      </c>
      <c r="C4725" s="53">
        <f>IF(A4725="","",YEAR(A4725))</f>
        <v/>
      </c>
      <c r="D4725" s="54">
        <f>IF(A4725="","",INDEX(lst_months,MONTH(A4725)))</f>
        <v/>
      </c>
      <c r="E4725" s="55" t="n"/>
      <c r="F4725" s="54">
        <f>IF(E4725="","",IFERROR(IF(INDEX(lst_exp_item_cat,MATCH(E4725,lst_exp_items,0))="","❔ Без категории",INDEX(lst_exp_item_cat,MATCH(E4725,lst_exp_items,0))),"❔ Без категории"))</f>
        <v/>
      </c>
      <c r="G4725" s="43" t="n"/>
      <c r="H4725" s="56" t="n"/>
      <c r="I4725" s="43" t="n"/>
      <c r="J4725" s="57">
        <f>IF(OR(A4725="",H4725=""),"",IF(COUNTIFS(exp_year,C4725,exp_month,D4725,exp_item,E4725,exp_status,"&lt;&gt;❌ Отменено")&gt;0,1,0))</f>
        <v/>
      </c>
    </row>
    <row r="4726">
      <c r="A4726" s="52" t="n"/>
      <c r="B4726" s="53">
        <f>IF(A4726="","",CHOOSE(WEEKDAY(A4726,2),"Пн","Вт","Ср","Чт","Пт","Сб","Вс"))</f>
        <v/>
      </c>
      <c r="C4726" s="53">
        <f>IF(A4726="","",YEAR(A4726))</f>
        <v/>
      </c>
      <c r="D4726" s="54">
        <f>IF(A4726="","",INDEX(lst_months,MONTH(A4726)))</f>
        <v/>
      </c>
      <c r="E4726" s="55" t="n"/>
      <c r="F4726" s="54">
        <f>IF(E4726="","",IFERROR(IF(INDEX(lst_exp_item_cat,MATCH(E4726,lst_exp_items,0))="","❔ Без категории",INDEX(lst_exp_item_cat,MATCH(E4726,lst_exp_items,0))),"❔ Без категории"))</f>
        <v/>
      </c>
      <c r="G4726" s="43" t="n"/>
      <c r="H4726" s="56" t="n"/>
      <c r="I4726" s="43" t="n"/>
      <c r="J4726" s="57">
        <f>IF(OR(A4726="",H4726=""),"",IF(COUNTIFS(exp_year,C4726,exp_month,D4726,exp_item,E4726,exp_status,"&lt;&gt;❌ Отменено")&gt;0,1,0))</f>
        <v/>
      </c>
    </row>
    <row r="4727">
      <c r="A4727" s="52" t="n"/>
      <c r="B4727" s="53">
        <f>IF(A4727="","",CHOOSE(WEEKDAY(A4727,2),"Пн","Вт","Ср","Чт","Пт","Сб","Вс"))</f>
        <v/>
      </c>
      <c r="C4727" s="53">
        <f>IF(A4727="","",YEAR(A4727))</f>
        <v/>
      </c>
      <c r="D4727" s="54">
        <f>IF(A4727="","",INDEX(lst_months,MONTH(A4727)))</f>
        <v/>
      </c>
      <c r="E4727" s="55" t="n"/>
      <c r="F4727" s="54">
        <f>IF(E4727="","",IFERROR(IF(INDEX(lst_exp_item_cat,MATCH(E4727,lst_exp_items,0))="","❔ Без категории",INDEX(lst_exp_item_cat,MATCH(E4727,lst_exp_items,0))),"❔ Без категории"))</f>
        <v/>
      </c>
      <c r="G4727" s="43" t="n"/>
      <c r="H4727" s="56" t="n"/>
      <c r="I4727" s="43" t="n"/>
      <c r="J4727" s="57">
        <f>IF(OR(A4727="",H4727=""),"",IF(COUNTIFS(exp_year,C4727,exp_month,D4727,exp_item,E4727,exp_status,"&lt;&gt;❌ Отменено")&gt;0,1,0))</f>
        <v/>
      </c>
    </row>
    <row r="4728">
      <c r="A4728" s="52" t="n"/>
      <c r="B4728" s="53">
        <f>IF(A4728="","",CHOOSE(WEEKDAY(A4728,2),"Пн","Вт","Ср","Чт","Пт","Сб","Вс"))</f>
        <v/>
      </c>
      <c r="C4728" s="53">
        <f>IF(A4728="","",YEAR(A4728))</f>
        <v/>
      </c>
      <c r="D4728" s="54">
        <f>IF(A4728="","",INDEX(lst_months,MONTH(A4728)))</f>
        <v/>
      </c>
      <c r="E4728" s="55" t="n"/>
      <c r="F4728" s="54">
        <f>IF(E4728="","",IFERROR(IF(INDEX(lst_exp_item_cat,MATCH(E4728,lst_exp_items,0))="","❔ Без категории",INDEX(lst_exp_item_cat,MATCH(E4728,lst_exp_items,0))),"❔ Без категории"))</f>
        <v/>
      </c>
      <c r="G4728" s="43" t="n"/>
      <c r="H4728" s="56" t="n"/>
      <c r="I4728" s="43" t="n"/>
      <c r="J4728" s="57">
        <f>IF(OR(A4728="",H4728=""),"",IF(COUNTIFS(exp_year,C4728,exp_month,D4728,exp_item,E4728,exp_status,"&lt;&gt;❌ Отменено")&gt;0,1,0))</f>
        <v/>
      </c>
    </row>
    <row r="4729">
      <c r="A4729" s="52" t="n"/>
      <c r="B4729" s="53">
        <f>IF(A4729="","",CHOOSE(WEEKDAY(A4729,2),"Пн","Вт","Ср","Чт","Пт","Сб","Вс"))</f>
        <v/>
      </c>
      <c r="C4729" s="53">
        <f>IF(A4729="","",YEAR(A4729))</f>
        <v/>
      </c>
      <c r="D4729" s="54">
        <f>IF(A4729="","",INDEX(lst_months,MONTH(A4729)))</f>
        <v/>
      </c>
      <c r="E4729" s="55" t="n"/>
      <c r="F4729" s="54">
        <f>IF(E4729="","",IFERROR(IF(INDEX(lst_exp_item_cat,MATCH(E4729,lst_exp_items,0))="","❔ Без категории",INDEX(lst_exp_item_cat,MATCH(E4729,lst_exp_items,0))),"❔ Без категории"))</f>
        <v/>
      </c>
      <c r="G4729" s="43" t="n"/>
      <c r="H4729" s="56" t="n"/>
      <c r="I4729" s="43" t="n"/>
      <c r="J4729" s="57">
        <f>IF(OR(A4729="",H4729=""),"",IF(COUNTIFS(exp_year,C4729,exp_month,D4729,exp_item,E4729,exp_status,"&lt;&gt;❌ Отменено")&gt;0,1,0))</f>
        <v/>
      </c>
    </row>
    <row r="4730">
      <c r="A4730" s="52" t="n"/>
      <c r="B4730" s="53">
        <f>IF(A4730="","",CHOOSE(WEEKDAY(A4730,2),"Пн","Вт","Ср","Чт","Пт","Сб","Вс"))</f>
        <v/>
      </c>
      <c r="C4730" s="53">
        <f>IF(A4730="","",YEAR(A4730))</f>
        <v/>
      </c>
      <c r="D4730" s="54">
        <f>IF(A4730="","",INDEX(lst_months,MONTH(A4730)))</f>
        <v/>
      </c>
      <c r="E4730" s="55" t="n"/>
      <c r="F4730" s="54">
        <f>IF(E4730="","",IFERROR(IF(INDEX(lst_exp_item_cat,MATCH(E4730,lst_exp_items,0))="","❔ Без категории",INDEX(lst_exp_item_cat,MATCH(E4730,lst_exp_items,0))),"❔ Без категории"))</f>
        <v/>
      </c>
      <c r="G4730" s="43" t="n"/>
      <c r="H4730" s="56" t="n"/>
      <c r="I4730" s="43" t="n"/>
      <c r="J4730" s="57">
        <f>IF(OR(A4730="",H4730=""),"",IF(COUNTIFS(exp_year,C4730,exp_month,D4730,exp_item,E4730,exp_status,"&lt;&gt;❌ Отменено")&gt;0,1,0))</f>
        <v/>
      </c>
    </row>
    <row r="4731">
      <c r="A4731" s="52" t="n"/>
      <c r="B4731" s="53">
        <f>IF(A4731="","",CHOOSE(WEEKDAY(A4731,2),"Пн","Вт","Ср","Чт","Пт","Сб","Вс"))</f>
        <v/>
      </c>
      <c r="C4731" s="53">
        <f>IF(A4731="","",YEAR(A4731))</f>
        <v/>
      </c>
      <c r="D4731" s="54">
        <f>IF(A4731="","",INDEX(lst_months,MONTH(A4731)))</f>
        <v/>
      </c>
      <c r="E4731" s="55" t="n"/>
      <c r="F4731" s="54">
        <f>IF(E4731="","",IFERROR(IF(INDEX(lst_exp_item_cat,MATCH(E4731,lst_exp_items,0))="","❔ Без категории",INDEX(lst_exp_item_cat,MATCH(E4731,lst_exp_items,0))),"❔ Без категории"))</f>
        <v/>
      </c>
      <c r="G4731" s="43" t="n"/>
      <c r="H4731" s="56" t="n"/>
      <c r="I4731" s="43" t="n"/>
      <c r="J4731" s="57">
        <f>IF(OR(A4731="",H4731=""),"",IF(COUNTIFS(exp_year,C4731,exp_month,D4731,exp_item,E4731,exp_status,"&lt;&gt;❌ Отменено")&gt;0,1,0))</f>
        <v/>
      </c>
    </row>
    <row r="4732">
      <c r="A4732" s="52" t="n"/>
      <c r="B4732" s="53">
        <f>IF(A4732="","",CHOOSE(WEEKDAY(A4732,2),"Пн","Вт","Ср","Чт","Пт","Сб","Вс"))</f>
        <v/>
      </c>
      <c r="C4732" s="53">
        <f>IF(A4732="","",YEAR(A4732))</f>
        <v/>
      </c>
      <c r="D4732" s="54">
        <f>IF(A4732="","",INDEX(lst_months,MONTH(A4732)))</f>
        <v/>
      </c>
      <c r="E4732" s="55" t="n"/>
      <c r="F4732" s="54">
        <f>IF(E4732="","",IFERROR(IF(INDEX(lst_exp_item_cat,MATCH(E4732,lst_exp_items,0))="","❔ Без категории",INDEX(lst_exp_item_cat,MATCH(E4732,lst_exp_items,0))),"❔ Без категории"))</f>
        <v/>
      </c>
      <c r="G4732" s="43" t="n"/>
      <c r="H4732" s="56" t="n"/>
      <c r="I4732" s="43" t="n"/>
      <c r="J4732" s="57">
        <f>IF(OR(A4732="",H4732=""),"",IF(COUNTIFS(exp_year,C4732,exp_month,D4732,exp_item,E4732,exp_status,"&lt;&gt;❌ Отменено")&gt;0,1,0))</f>
        <v/>
      </c>
    </row>
    <row r="4733">
      <c r="A4733" s="52" t="n"/>
      <c r="B4733" s="53">
        <f>IF(A4733="","",CHOOSE(WEEKDAY(A4733,2),"Пн","Вт","Ср","Чт","Пт","Сб","Вс"))</f>
        <v/>
      </c>
      <c r="C4733" s="53">
        <f>IF(A4733="","",YEAR(A4733))</f>
        <v/>
      </c>
      <c r="D4733" s="54">
        <f>IF(A4733="","",INDEX(lst_months,MONTH(A4733)))</f>
        <v/>
      </c>
      <c r="E4733" s="55" t="n"/>
      <c r="F4733" s="54">
        <f>IF(E4733="","",IFERROR(IF(INDEX(lst_exp_item_cat,MATCH(E4733,lst_exp_items,0))="","❔ Без категории",INDEX(lst_exp_item_cat,MATCH(E4733,lst_exp_items,0))),"❔ Без категории"))</f>
        <v/>
      </c>
      <c r="G4733" s="43" t="n"/>
      <c r="H4733" s="56" t="n"/>
      <c r="I4733" s="43" t="n"/>
      <c r="J4733" s="57">
        <f>IF(OR(A4733="",H4733=""),"",IF(COUNTIFS(exp_year,C4733,exp_month,D4733,exp_item,E4733,exp_status,"&lt;&gt;❌ Отменено")&gt;0,1,0))</f>
        <v/>
      </c>
    </row>
    <row r="4734">
      <c r="A4734" s="52" t="n"/>
      <c r="B4734" s="53">
        <f>IF(A4734="","",CHOOSE(WEEKDAY(A4734,2),"Пн","Вт","Ср","Чт","Пт","Сб","Вс"))</f>
        <v/>
      </c>
      <c r="C4734" s="53">
        <f>IF(A4734="","",YEAR(A4734))</f>
        <v/>
      </c>
      <c r="D4734" s="54">
        <f>IF(A4734="","",INDEX(lst_months,MONTH(A4734)))</f>
        <v/>
      </c>
      <c r="E4734" s="55" t="n"/>
      <c r="F4734" s="54">
        <f>IF(E4734="","",IFERROR(IF(INDEX(lst_exp_item_cat,MATCH(E4734,lst_exp_items,0))="","❔ Без категории",INDEX(lst_exp_item_cat,MATCH(E4734,lst_exp_items,0))),"❔ Без категории"))</f>
        <v/>
      </c>
      <c r="G4734" s="43" t="n"/>
      <c r="H4734" s="56" t="n"/>
      <c r="I4734" s="43" t="n"/>
      <c r="J4734" s="57">
        <f>IF(OR(A4734="",H4734=""),"",IF(COUNTIFS(exp_year,C4734,exp_month,D4734,exp_item,E4734,exp_status,"&lt;&gt;❌ Отменено")&gt;0,1,0))</f>
        <v/>
      </c>
    </row>
    <row r="4735">
      <c r="A4735" s="52" t="n"/>
      <c r="B4735" s="53">
        <f>IF(A4735="","",CHOOSE(WEEKDAY(A4735,2),"Пн","Вт","Ср","Чт","Пт","Сб","Вс"))</f>
        <v/>
      </c>
      <c r="C4735" s="53">
        <f>IF(A4735="","",YEAR(A4735))</f>
        <v/>
      </c>
      <c r="D4735" s="54">
        <f>IF(A4735="","",INDEX(lst_months,MONTH(A4735)))</f>
        <v/>
      </c>
      <c r="E4735" s="55" t="n"/>
      <c r="F4735" s="54">
        <f>IF(E4735="","",IFERROR(IF(INDEX(lst_exp_item_cat,MATCH(E4735,lst_exp_items,0))="","❔ Без категории",INDEX(lst_exp_item_cat,MATCH(E4735,lst_exp_items,0))),"❔ Без категории"))</f>
        <v/>
      </c>
      <c r="G4735" s="43" t="n"/>
      <c r="H4735" s="56" t="n"/>
      <c r="I4735" s="43" t="n"/>
      <c r="J4735" s="57">
        <f>IF(OR(A4735="",H4735=""),"",IF(COUNTIFS(exp_year,C4735,exp_month,D4735,exp_item,E4735,exp_status,"&lt;&gt;❌ Отменено")&gt;0,1,0))</f>
        <v/>
      </c>
    </row>
    <row r="4736">
      <c r="A4736" s="52" t="n"/>
      <c r="B4736" s="53">
        <f>IF(A4736="","",CHOOSE(WEEKDAY(A4736,2),"Пн","Вт","Ср","Чт","Пт","Сб","Вс"))</f>
        <v/>
      </c>
      <c r="C4736" s="53">
        <f>IF(A4736="","",YEAR(A4736))</f>
        <v/>
      </c>
      <c r="D4736" s="54">
        <f>IF(A4736="","",INDEX(lst_months,MONTH(A4736)))</f>
        <v/>
      </c>
      <c r="E4736" s="55" t="n"/>
      <c r="F4736" s="54">
        <f>IF(E4736="","",IFERROR(IF(INDEX(lst_exp_item_cat,MATCH(E4736,lst_exp_items,0))="","❔ Без категории",INDEX(lst_exp_item_cat,MATCH(E4736,lst_exp_items,0))),"❔ Без категории"))</f>
        <v/>
      </c>
      <c r="G4736" s="43" t="n"/>
      <c r="H4736" s="56" t="n"/>
      <c r="I4736" s="43" t="n"/>
      <c r="J4736" s="57">
        <f>IF(OR(A4736="",H4736=""),"",IF(COUNTIFS(exp_year,C4736,exp_month,D4736,exp_item,E4736,exp_status,"&lt;&gt;❌ Отменено")&gt;0,1,0))</f>
        <v/>
      </c>
    </row>
    <row r="4737">
      <c r="A4737" s="52" t="n"/>
      <c r="B4737" s="53">
        <f>IF(A4737="","",CHOOSE(WEEKDAY(A4737,2),"Пн","Вт","Ср","Чт","Пт","Сб","Вс"))</f>
        <v/>
      </c>
      <c r="C4737" s="53">
        <f>IF(A4737="","",YEAR(A4737))</f>
        <v/>
      </c>
      <c r="D4737" s="54">
        <f>IF(A4737="","",INDEX(lst_months,MONTH(A4737)))</f>
        <v/>
      </c>
      <c r="E4737" s="55" t="n"/>
      <c r="F4737" s="54">
        <f>IF(E4737="","",IFERROR(IF(INDEX(lst_exp_item_cat,MATCH(E4737,lst_exp_items,0))="","❔ Без категории",INDEX(lst_exp_item_cat,MATCH(E4737,lst_exp_items,0))),"❔ Без категории"))</f>
        <v/>
      </c>
      <c r="G4737" s="43" t="n"/>
      <c r="H4737" s="56" t="n"/>
      <c r="I4737" s="43" t="n"/>
      <c r="J4737" s="57">
        <f>IF(OR(A4737="",H4737=""),"",IF(COUNTIFS(exp_year,C4737,exp_month,D4737,exp_item,E4737,exp_status,"&lt;&gt;❌ Отменено")&gt;0,1,0))</f>
        <v/>
      </c>
    </row>
    <row r="4738">
      <c r="A4738" s="52" t="n"/>
      <c r="B4738" s="53">
        <f>IF(A4738="","",CHOOSE(WEEKDAY(A4738,2),"Пн","Вт","Ср","Чт","Пт","Сб","Вс"))</f>
        <v/>
      </c>
      <c r="C4738" s="53">
        <f>IF(A4738="","",YEAR(A4738))</f>
        <v/>
      </c>
      <c r="D4738" s="54">
        <f>IF(A4738="","",INDEX(lst_months,MONTH(A4738)))</f>
        <v/>
      </c>
      <c r="E4738" s="55" t="n"/>
      <c r="F4738" s="54">
        <f>IF(E4738="","",IFERROR(IF(INDEX(lst_exp_item_cat,MATCH(E4738,lst_exp_items,0))="","❔ Без категории",INDEX(lst_exp_item_cat,MATCH(E4738,lst_exp_items,0))),"❔ Без категории"))</f>
        <v/>
      </c>
      <c r="G4738" s="43" t="n"/>
      <c r="H4738" s="56" t="n"/>
      <c r="I4738" s="43" t="n"/>
      <c r="J4738" s="57">
        <f>IF(OR(A4738="",H4738=""),"",IF(COUNTIFS(exp_year,C4738,exp_month,D4738,exp_item,E4738,exp_status,"&lt;&gt;❌ Отменено")&gt;0,1,0))</f>
        <v/>
      </c>
    </row>
    <row r="4739">
      <c r="A4739" s="52" t="n"/>
      <c r="B4739" s="53">
        <f>IF(A4739="","",CHOOSE(WEEKDAY(A4739,2),"Пн","Вт","Ср","Чт","Пт","Сб","Вс"))</f>
        <v/>
      </c>
      <c r="C4739" s="53">
        <f>IF(A4739="","",YEAR(A4739))</f>
        <v/>
      </c>
      <c r="D4739" s="54">
        <f>IF(A4739="","",INDEX(lst_months,MONTH(A4739)))</f>
        <v/>
      </c>
      <c r="E4739" s="55" t="n"/>
      <c r="F4739" s="54">
        <f>IF(E4739="","",IFERROR(IF(INDEX(lst_exp_item_cat,MATCH(E4739,lst_exp_items,0))="","❔ Без категории",INDEX(lst_exp_item_cat,MATCH(E4739,lst_exp_items,0))),"❔ Без категории"))</f>
        <v/>
      </c>
      <c r="G4739" s="43" t="n"/>
      <c r="H4739" s="56" t="n"/>
      <c r="I4739" s="43" t="n"/>
      <c r="J4739" s="57">
        <f>IF(OR(A4739="",H4739=""),"",IF(COUNTIFS(exp_year,C4739,exp_month,D4739,exp_item,E4739,exp_status,"&lt;&gt;❌ Отменено")&gt;0,1,0))</f>
        <v/>
      </c>
    </row>
    <row r="4740">
      <c r="A4740" s="52" t="n"/>
      <c r="B4740" s="53">
        <f>IF(A4740="","",CHOOSE(WEEKDAY(A4740,2),"Пн","Вт","Ср","Чт","Пт","Сб","Вс"))</f>
        <v/>
      </c>
      <c r="C4740" s="53">
        <f>IF(A4740="","",YEAR(A4740))</f>
        <v/>
      </c>
      <c r="D4740" s="54">
        <f>IF(A4740="","",INDEX(lst_months,MONTH(A4740)))</f>
        <v/>
      </c>
      <c r="E4740" s="55" t="n"/>
      <c r="F4740" s="54">
        <f>IF(E4740="","",IFERROR(IF(INDEX(lst_exp_item_cat,MATCH(E4740,lst_exp_items,0))="","❔ Без категории",INDEX(lst_exp_item_cat,MATCH(E4740,lst_exp_items,0))),"❔ Без категории"))</f>
        <v/>
      </c>
      <c r="G4740" s="43" t="n"/>
      <c r="H4740" s="56" t="n"/>
      <c r="I4740" s="43" t="n"/>
      <c r="J4740" s="57">
        <f>IF(OR(A4740="",H4740=""),"",IF(COUNTIFS(exp_year,C4740,exp_month,D4740,exp_item,E4740,exp_status,"&lt;&gt;❌ Отменено")&gt;0,1,0))</f>
        <v/>
      </c>
    </row>
    <row r="4741">
      <c r="A4741" s="52" t="n"/>
      <c r="B4741" s="53">
        <f>IF(A4741="","",CHOOSE(WEEKDAY(A4741,2),"Пн","Вт","Ср","Чт","Пт","Сб","Вс"))</f>
        <v/>
      </c>
      <c r="C4741" s="53">
        <f>IF(A4741="","",YEAR(A4741))</f>
        <v/>
      </c>
      <c r="D4741" s="54">
        <f>IF(A4741="","",INDEX(lst_months,MONTH(A4741)))</f>
        <v/>
      </c>
      <c r="E4741" s="55" t="n"/>
      <c r="F4741" s="54">
        <f>IF(E4741="","",IFERROR(IF(INDEX(lst_exp_item_cat,MATCH(E4741,lst_exp_items,0))="","❔ Без категории",INDEX(lst_exp_item_cat,MATCH(E4741,lst_exp_items,0))),"❔ Без категории"))</f>
        <v/>
      </c>
      <c r="G4741" s="43" t="n"/>
      <c r="H4741" s="56" t="n"/>
      <c r="I4741" s="43" t="n"/>
      <c r="J4741" s="57">
        <f>IF(OR(A4741="",H4741=""),"",IF(COUNTIFS(exp_year,C4741,exp_month,D4741,exp_item,E4741,exp_status,"&lt;&gt;❌ Отменено")&gt;0,1,0))</f>
        <v/>
      </c>
    </row>
    <row r="4742">
      <c r="A4742" s="52" t="n"/>
      <c r="B4742" s="53">
        <f>IF(A4742="","",CHOOSE(WEEKDAY(A4742,2),"Пн","Вт","Ср","Чт","Пт","Сб","Вс"))</f>
        <v/>
      </c>
      <c r="C4742" s="53">
        <f>IF(A4742="","",YEAR(A4742))</f>
        <v/>
      </c>
      <c r="D4742" s="54">
        <f>IF(A4742="","",INDEX(lst_months,MONTH(A4742)))</f>
        <v/>
      </c>
      <c r="E4742" s="55" t="n"/>
      <c r="F4742" s="54">
        <f>IF(E4742="","",IFERROR(IF(INDEX(lst_exp_item_cat,MATCH(E4742,lst_exp_items,0))="","❔ Без категории",INDEX(lst_exp_item_cat,MATCH(E4742,lst_exp_items,0))),"❔ Без категории"))</f>
        <v/>
      </c>
      <c r="G4742" s="43" t="n"/>
      <c r="H4742" s="56" t="n"/>
      <c r="I4742" s="43" t="n"/>
      <c r="J4742" s="57">
        <f>IF(OR(A4742="",H4742=""),"",IF(COUNTIFS(exp_year,C4742,exp_month,D4742,exp_item,E4742,exp_status,"&lt;&gt;❌ Отменено")&gt;0,1,0))</f>
        <v/>
      </c>
    </row>
    <row r="4743">
      <c r="A4743" s="52" t="n"/>
      <c r="B4743" s="53">
        <f>IF(A4743="","",CHOOSE(WEEKDAY(A4743,2),"Пн","Вт","Ср","Чт","Пт","Сб","Вс"))</f>
        <v/>
      </c>
      <c r="C4743" s="53">
        <f>IF(A4743="","",YEAR(A4743))</f>
        <v/>
      </c>
      <c r="D4743" s="54">
        <f>IF(A4743="","",INDEX(lst_months,MONTH(A4743)))</f>
        <v/>
      </c>
      <c r="E4743" s="55" t="n"/>
      <c r="F4743" s="54">
        <f>IF(E4743="","",IFERROR(IF(INDEX(lst_exp_item_cat,MATCH(E4743,lst_exp_items,0))="","❔ Без категории",INDEX(lst_exp_item_cat,MATCH(E4743,lst_exp_items,0))),"❔ Без категории"))</f>
        <v/>
      </c>
      <c r="G4743" s="43" t="n"/>
      <c r="H4743" s="56" t="n"/>
      <c r="I4743" s="43" t="n"/>
      <c r="J4743" s="57">
        <f>IF(OR(A4743="",H4743=""),"",IF(COUNTIFS(exp_year,C4743,exp_month,D4743,exp_item,E4743,exp_status,"&lt;&gt;❌ Отменено")&gt;0,1,0))</f>
        <v/>
      </c>
    </row>
    <row r="4744">
      <c r="A4744" s="52" t="n"/>
      <c r="B4744" s="53">
        <f>IF(A4744="","",CHOOSE(WEEKDAY(A4744,2),"Пн","Вт","Ср","Чт","Пт","Сб","Вс"))</f>
        <v/>
      </c>
      <c r="C4744" s="53">
        <f>IF(A4744="","",YEAR(A4744))</f>
        <v/>
      </c>
      <c r="D4744" s="54">
        <f>IF(A4744="","",INDEX(lst_months,MONTH(A4744)))</f>
        <v/>
      </c>
      <c r="E4744" s="55" t="n"/>
      <c r="F4744" s="54">
        <f>IF(E4744="","",IFERROR(IF(INDEX(lst_exp_item_cat,MATCH(E4744,lst_exp_items,0))="","❔ Без категории",INDEX(lst_exp_item_cat,MATCH(E4744,lst_exp_items,0))),"❔ Без категории"))</f>
        <v/>
      </c>
      <c r="G4744" s="43" t="n"/>
      <c r="H4744" s="56" t="n"/>
      <c r="I4744" s="43" t="n"/>
      <c r="J4744" s="57">
        <f>IF(OR(A4744="",H4744=""),"",IF(COUNTIFS(exp_year,C4744,exp_month,D4744,exp_item,E4744,exp_status,"&lt;&gt;❌ Отменено")&gt;0,1,0))</f>
        <v/>
      </c>
    </row>
    <row r="4745">
      <c r="A4745" s="52" t="n"/>
      <c r="B4745" s="53">
        <f>IF(A4745="","",CHOOSE(WEEKDAY(A4745,2),"Пн","Вт","Ср","Чт","Пт","Сб","Вс"))</f>
        <v/>
      </c>
      <c r="C4745" s="53">
        <f>IF(A4745="","",YEAR(A4745))</f>
        <v/>
      </c>
      <c r="D4745" s="54">
        <f>IF(A4745="","",INDEX(lst_months,MONTH(A4745)))</f>
        <v/>
      </c>
      <c r="E4745" s="55" t="n"/>
      <c r="F4745" s="54">
        <f>IF(E4745="","",IFERROR(IF(INDEX(lst_exp_item_cat,MATCH(E4745,lst_exp_items,0))="","❔ Без категории",INDEX(lst_exp_item_cat,MATCH(E4745,lst_exp_items,0))),"❔ Без категории"))</f>
        <v/>
      </c>
      <c r="G4745" s="43" t="n"/>
      <c r="H4745" s="56" t="n"/>
      <c r="I4745" s="43" t="n"/>
      <c r="J4745" s="57">
        <f>IF(OR(A4745="",H4745=""),"",IF(COUNTIFS(exp_year,C4745,exp_month,D4745,exp_item,E4745,exp_status,"&lt;&gt;❌ Отменено")&gt;0,1,0))</f>
        <v/>
      </c>
    </row>
    <row r="4746">
      <c r="A4746" s="52" t="n"/>
      <c r="B4746" s="53">
        <f>IF(A4746="","",CHOOSE(WEEKDAY(A4746,2),"Пн","Вт","Ср","Чт","Пт","Сб","Вс"))</f>
        <v/>
      </c>
      <c r="C4746" s="53">
        <f>IF(A4746="","",YEAR(A4746))</f>
        <v/>
      </c>
      <c r="D4746" s="54">
        <f>IF(A4746="","",INDEX(lst_months,MONTH(A4746)))</f>
        <v/>
      </c>
      <c r="E4746" s="55" t="n"/>
      <c r="F4746" s="54">
        <f>IF(E4746="","",IFERROR(IF(INDEX(lst_exp_item_cat,MATCH(E4746,lst_exp_items,0))="","❔ Без категории",INDEX(lst_exp_item_cat,MATCH(E4746,lst_exp_items,0))),"❔ Без категории"))</f>
        <v/>
      </c>
      <c r="G4746" s="43" t="n"/>
      <c r="H4746" s="56" t="n"/>
      <c r="I4746" s="43" t="n"/>
      <c r="J4746" s="57">
        <f>IF(OR(A4746="",H4746=""),"",IF(COUNTIFS(exp_year,C4746,exp_month,D4746,exp_item,E4746,exp_status,"&lt;&gt;❌ Отменено")&gt;0,1,0))</f>
        <v/>
      </c>
    </row>
    <row r="4747">
      <c r="A4747" s="52" t="n"/>
      <c r="B4747" s="53">
        <f>IF(A4747="","",CHOOSE(WEEKDAY(A4747,2),"Пн","Вт","Ср","Чт","Пт","Сб","Вс"))</f>
        <v/>
      </c>
      <c r="C4747" s="53">
        <f>IF(A4747="","",YEAR(A4747))</f>
        <v/>
      </c>
      <c r="D4747" s="54">
        <f>IF(A4747="","",INDEX(lst_months,MONTH(A4747)))</f>
        <v/>
      </c>
      <c r="E4747" s="55" t="n"/>
      <c r="F4747" s="54">
        <f>IF(E4747="","",IFERROR(IF(INDEX(lst_exp_item_cat,MATCH(E4747,lst_exp_items,0))="","❔ Без категории",INDEX(lst_exp_item_cat,MATCH(E4747,lst_exp_items,0))),"❔ Без категории"))</f>
        <v/>
      </c>
      <c r="G4747" s="43" t="n"/>
      <c r="H4747" s="56" t="n"/>
      <c r="I4747" s="43" t="n"/>
      <c r="J4747" s="57">
        <f>IF(OR(A4747="",H4747=""),"",IF(COUNTIFS(exp_year,C4747,exp_month,D4747,exp_item,E4747,exp_status,"&lt;&gt;❌ Отменено")&gt;0,1,0))</f>
        <v/>
      </c>
    </row>
    <row r="4748">
      <c r="A4748" s="52" t="n"/>
      <c r="B4748" s="53">
        <f>IF(A4748="","",CHOOSE(WEEKDAY(A4748,2),"Пн","Вт","Ср","Чт","Пт","Сб","Вс"))</f>
        <v/>
      </c>
      <c r="C4748" s="53">
        <f>IF(A4748="","",YEAR(A4748))</f>
        <v/>
      </c>
      <c r="D4748" s="54">
        <f>IF(A4748="","",INDEX(lst_months,MONTH(A4748)))</f>
        <v/>
      </c>
      <c r="E4748" s="55" t="n"/>
      <c r="F4748" s="54">
        <f>IF(E4748="","",IFERROR(IF(INDEX(lst_exp_item_cat,MATCH(E4748,lst_exp_items,0))="","❔ Без категории",INDEX(lst_exp_item_cat,MATCH(E4748,lst_exp_items,0))),"❔ Без категории"))</f>
        <v/>
      </c>
      <c r="G4748" s="43" t="n"/>
      <c r="H4748" s="56" t="n"/>
      <c r="I4748" s="43" t="n"/>
      <c r="J4748" s="57">
        <f>IF(OR(A4748="",H4748=""),"",IF(COUNTIFS(exp_year,C4748,exp_month,D4748,exp_item,E4748,exp_status,"&lt;&gt;❌ Отменено")&gt;0,1,0))</f>
        <v/>
      </c>
    </row>
    <row r="4749">
      <c r="A4749" s="52" t="n"/>
      <c r="B4749" s="53">
        <f>IF(A4749="","",CHOOSE(WEEKDAY(A4749,2),"Пн","Вт","Ср","Чт","Пт","Сб","Вс"))</f>
        <v/>
      </c>
      <c r="C4749" s="53">
        <f>IF(A4749="","",YEAR(A4749))</f>
        <v/>
      </c>
      <c r="D4749" s="54">
        <f>IF(A4749="","",INDEX(lst_months,MONTH(A4749)))</f>
        <v/>
      </c>
      <c r="E4749" s="55" t="n"/>
      <c r="F4749" s="54">
        <f>IF(E4749="","",IFERROR(IF(INDEX(lst_exp_item_cat,MATCH(E4749,lst_exp_items,0))="","❔ Без категории",INDEX(lst_exp_item_cat,MATCH(E4749,lst_exp_items,0))),"❔ Без категории"))</f>
        <v/>
      </c>
      <c r="G4749" s="43" t="n"/>
      <c r="H4749" s="56" t="n"/>
      <c r="I4749" s="43" t="n"/>
      <c r="J4749" s="57">
        <f>IF(OR(A4749="",H4749=""),"",IF(COUNTIFS(exp_year,C4749,exp_month,D4749,exp_item,E4749,exp_status,"&lt;&gt;❌ Отменено")&gt;0,1,0))</f>
        <v/>
      </c>
    </row>
    <row r="4750">
      <c r="A4750" s="52" t="n"/>
      <c r="B4750" s="53">
        <f>IF(A4750="","",CHOOSE(WEEKDAY(A4750,2),"Пн","Вт","Ср","Чт","Пт","Сб","Вс"))</f>
        <v/>
      </c>
      <c r="C4750" s="53">
        <f>IF(A4750="","",YEAR(A4750))</f>
        <v/>
      </c>
      <c r="D4750" s="54">
        <f>IF(A4750="","",INDEX(lst_months,MONTH(A4750)))</f>
        <v/>
      </c>
      <c r="E4750" s="55" t="n"/>
      <c r="F4750" s="54">
        <f>IF(E4750="","",IFERROR(IF(INDEX(lst_exp_item_cat,MATCH(E4750,lst_exp_items,0))="","❔ Без категории",INDEX(lst_exp_item_cat,MATCH(E4750,lst_exp_items,0))),"❔ Без категории"))</f>
        <v/>
      </c>
      <c r="G4750" s="43" t="n"/>
      <c r="H4750" s="56" t="n"/>
      <c r="I4750" s="43" t="n"/>
      <c r="J4750" s="57">
        <f>IF(OR(A4750="",H4750=""),"",IF(COUNTIFS(exp_year,C4750,exp_month,D4750,exp_item,E4750,exp_status,"&lt;&gt;❌ Отменено")&gt;0,1,0))</f>
        <v/>
      </c>
    </row>
    <row r="4751">
      <c r="A4751" s="52" t="n"/>
      <c r="B4751" s="53">
        <f>IF(A4751="","",CHOOSE(WEEKDAY(A4751,2),"Пн","Вт","Ср","Чт","Пт","Сб","Вс"))</f>
        <v/>
      </c>
      <c r="C4751" s="53">
        <f>IF(A4751="","",YEAR(A4751))</f>
        <v/>
      </c>
      <c r="D4751" s="54">
        <f>IF(A4751="","",INDEX(lst_months,MONTH(A4751)))</f>
        <v/>
      </c>
      <c r="E4751" s="55" t="n"/>
      <c r="F4751" s="54">
        <f>IF(E4751="","",IFERROR(IF(INDEX(lst_exp_item_cat,MATCH(E4751,lst_exp_items,0))="","❔ Без категории",INDEX(lst_exp_item_cat,MATCH(E4751,lst_exp_items,0))),"❔ Без категории"))</f>
        <v/>
      </c>
      <c r="G4751" s="43" t="n"/>
      <c r="H4751" s="56" t="n"/>
      <c r="I4751" s="43" t="n"/>
      <c r="J4751" s="57">
        <f>IF(OR(A4751="",H4751=""),"",IF(COUNTIFS(exp_year,C4751,exp_month,D4751,exp_item,E4751,exp_status,"&lt;&gt;❌ Отменено")&gt;0,1,0))</f>
        <v/>
      </c>
    </row>
    <row r="4752">
      <c r="A4752" s="52" t="n"/>
      <c r="B4752" s="53">
        <f>IF(A4752="","",CHOOSE(WEEKDAY(A4752,2),"Пн","Вт","Ср","Чт","Пт","Сб","Вс"))</f>
        <v/>
      </c>
      <c r="C4752" s="53">
        <f>IF(A4752="","",YEAR(A4752))</f>
        <v/>
      </c>
      <c r="D4752" s="54">
        <f>IF(A4752="","",INDEX(lst_months,MONTH(A4752)))</f>
        <v/>
      </c>
      <c r="E4752" s="55" t="n"/>
      <c r="F4752" s="54">
        <f>IF(E4752="","",IFERROR(IF(INDEX(lst_exp_item_cat,MATCH(E4752,lst_exp_items,0))="","❔ Без категории",INDEX(lst_exp_item_cat,MATCH(E4752,lst_exp_items,0))),"❔ Без категории"))</f>
        <v/>
      </c>
      <c r="G4752" s="43" t="n"/>
      <c r="H4752" s="56" t="n"/>
      <c r="I4752" s="43" t="n"/>
      <c r="J4752" s="57">
        <f>IF(OR(A4752="",H4752=""),"",IF(COUNTIFS(exp_year,C4752,exp_month,D4752,exp_item,E4752,exp_status,"&lt;&gt;❌ Отменено")&gt;0,1,0))</f>
        <v/>
      </c>
    </row>
    <row r="4753">
      <c r="A4753" s="52" t="n"/>
      <c r="B4753" s="53">
        <f>IF(A4753="","",CHOOSE(WEEKDAY(A4753,2),"Пн","Вт","Ср","Чт","Пт","Сб","Вс"))</f>
        <v/>
      </c>
      <c r="C4753" s="53">
        <f>IF(A4753="","",YEAR(A4753))</f>
        <v/>
      </c>
      <c r="D4753" s="54">
        <f>IF(A4753="","",INDEX(lst_months,MONTH(A4753)))</f>
        <v/>
      </c>
      <c r="E4753" s="55" t="n"/>
      <c r="F4753" s="54">
        <f>IF(E4753="","",IFERROR(IF(INDEX(lst_exp_item_cat,MATCH(E4753,lst_exp_items,0))="","❔ Без категории",INDEX(lst_exp_item_cat,MATCH(E4753,lst_exp_items,0))),"❔ Без категории"))</f>
        <v/>
      </c>
      <c r="G4753" s="43" t="n"/>
      <c r="H4753" s="56" t="n"/>
      <c r="I4753" s="43" t="n"/>
      <c r="J4753" s="57">
        <f>IF(OR(A4753="",H4753=""),"",IF(COUNTIFS(exp_year,C4753,exp_month,D4753,exp_item,E4753,exp_status,"&lt;&gt;❌ Отменено")&gt;0,1,0))</f>
        <v/>
      </c>
    </row>
    <row r="4754">
      <c r="A4754" s="52" t="n"/>
      <c r="B4754" s="53">
        <f>IF(A4754="","",CHOOSE(WEEKDAY(A4754,2),"Пн","Вт","Ср","Чт","Пт","Сб","Вс"))</f>
        <v/>
      </c>
      <c r="C4754" s="53">
        <f>IF(A4754="","",YEAR(A4754))</f>
        <v/>
      </c>
      <c r="D4754" s="54">
        <f>IF(A4754="","",INDEX(lst_months,MONTH(A4754)))</f>
        <v/>
      </c>
      <c r="E4754" s="55" t="n"/>
      <c r="F4754" s="54">
        <f>IF(E4754="","",IFERROR(IF(INDEX(lst_exp_item_cat,MATCH(E4754,lst_exp_items,0))="","❔ Без категории",INDEX(lst_exp_item_cat,MATCH(E4754,lst_exp_items,0))),"❔ Без категории"))</f>
        <v/>
      </c>
      <c r="G4754" s="43" t="n"/>
      <c r="H4754" s="56" t="n"/>
      <c r="I4754" s="43" t="n"/>
      <c r="J4754" s="57">
        <f>IF(OR(A4754="",H4754=""),"",IF(COUNTIFS(exp_year,C4754,exp_month,D4754,exp_item,E4754,exp_status,"&lt;&gt;❌ Отменено")&gt;0,1,0))</f>
        <v/>
      </c>
    </row>
    <row r="4755">
      <c r="A4755" s="52" t="n"/>
      <c r="B4755" s="53">
        <f>IF(A4755="","",CHOOSE(WEEKDAY(A4755,2),"Пн","Вт","Ср","Чт","Пт","Сб","Вс"))</f>
        <v/>
      </c>
      <c r="C4755" s="53">
        <f>IF(A4755="","",YEAR(A4755))</f>
        <v/>
      </c>
      <c r="D4755" s="54">
        <f>IF(A4755="","",INDEX(lst_months,MONTH(A4755)))</f>
        <v/>
      </c>
      <c r="E4755" s="55" t="n"/>
      <c r="F4755" s="54">
        <f>IF(E4755="","",IFERROR(IF(INDEX(lst_exp_item_cat,MATCH(E4755,lst_exp_items,0))="","❔ Без категории",INDEX(lst_exp_item_cat,MATCH(E4755,lst_exp_items,0))),"❔ Без категории"))</f>
        <v/>
      </c>
      <c r="G4755" s="43" t="n"/>
      <c r="H4755" s="56" t="n"/>
      <c r="I4755" s="43" t="n"/>
      <c r="J4755" s="57">
        <f>IF(OR(A4755="",H4755=""),"",IF(COUNTIFS(exp_year,C4755,exp_month,D4755,exp_item,E4755,exp_status,"&lt;&gt;❌ Отменено")&gt;0,1,0))</f>
        <v/>
      </c>
    </row>
    <row r="4756">
      <c r="A4756" s="52" t="n"/>
      <c r="B4756" s="53">
        <f>IF(A4756="","",CHOOSE(WEEKDAY(A4756,2),"Пн","Вт","Ср","Чт","Пт","Сб","Вс"))</f>
        <v/>
      </c>
      <c r="C4756" s="53">
        <f>IF(A4756="","",YEAR(A4756))</f>
        <v/>
      </c>
      <c r="D4756" s="54">
        <f>IF(A4756="","",INDEX(lst_months,MONTH(A4756)))</f>
        <v/>
      </c>
      <c r="E4756" s="55" t="n"/>
      <c r="F4756" s="54">
        <f>IF(E4756="","",IFERROR(IF(INDEX(lst_exp_item_cat,MATCH(E4756,lst_exp_items,0))="","❔ Без категории",INDEX(lst_exp_item_cat,MATCH(E4756,lst_exp_items,0))),"❔ Без категории"))</f>
        <v/>
      </c>
      <c r="G4756" s="43" t="n"/>
      <c r="H4756" s="56" t="n"/>
      <c r="I4756" s="43" t="n"/>
      <c r="J4756" s="57">
        <f>IF(OR(A4756="",H4756=""),"",IF(COUNTIFS(exp_year,C4756,exp_month,D4756,exp_item,E4756,exp_status,"&lt;&gt;❌ Отменено")&gt;0,1,0))</f>
        <v/>
      </c>
    </row>
    <row r="4757">
      <c r="A4757" s="52" t="n"/>
      <c r="B4757" s="53">
        <f>IF(A4757="","",CHOOSE(WEEKDAY(A4757,2),"Пн","Вт","Ср","Чт","Пт","Сб","Вс"))</f>
        <v/>
      </c>
      <c r="C4757" s="53">
        <f>IF(A4757="","",YEAR(A4757))</f>
        <v/>
      </c>
      <c r="D4757" s="54">
        <f>IF(A4757="","",INDEX(lst_months,MONTH(A4757)))</f>
        <v/>
      </c>
      <c r="E4757" s="55" t="n"/>
      <c r="F4757" s="54">
        <f>IF(E4757="","",IFERROR(IF(INDEX(lst_exp_item_cat,MATCH(E4757,lst_exp_items,0))="","❔ Без категории",INDEX(lst_exp_item_cat,MATCH(E4757,lst_exp_items,0))),"❔ Без категории"))</f>
        <v/>
      </c>
      <c r="G4757" s="43" t="n"/>
      <c r="H4757" s="56" t="n"/>
      <c r="I4757" s="43" t="n"/>
      <c r="J4757" s="57">
        <f>IF(OR(A4757="",H4757=""),"",IF(COUNTIFS(exp_year,C4757,exp_month,D4757,exp_item,E4757,exp_status,"&lt;&gt;❌ Отменено")&gt;0,1,0))</f>
        <v/>
      </c>
    </row>
    <row r="4758">
      <c r="A4758" s="52" t="n"/>
      <c r="B4758" s="53">
        <f>IF(A4758="","",CHOOSE(WEEKDAY(A4758,2),"Пн","Вт","Ср","Чт","Пт","Сб","Вс"))</f>
        <v/>
      </c>
      <c r="C4758" s="53">
        <f>IF(A4758="","",YEAR(A4758))</f>
        <v/>
      </c>
      <c r="D4758" s="54">
        <f>IF(A4758="","",INDEX(lst_months,MONTH(A4758)))</f>
        <v/>
      </c>
      <c r="E4758" s="55" t="n"/>
      <c r="F4758" s="54">
        <f>IF(E4758="","",IFERROR(IF(INDEX(lst_exp_item_cat,MATCH(E4758,lst_exp_items,0))="","❔ Без категории",INDEX(lst_exp_item_cat,MATCH(E4758,lst_exp_items,0))),"❔ Без категории"))</f>
        <v/>
      </c>
      <c r="G4758" s="43" t="n"/>
      <c r="H4758" s="56" t="n"/>
      <c r="I4758" s="43" t="n"/>
      <c r="J4758" s="57">
        <f>IF(OR(A4758="",H4758=""),"",IF(COUNTIFS(exp_year,C4758,exp_month,D4758,exp_item,E4758,exp_status,"&lt;&gt;❌ Отменено")&gt;0,1,0))</f>
        <v/>
      </c>
    </row>
    <row r="4759">
      <c r="A4759" s="52" t="n"/>
      <c r="B4759" s="53">
        <f>IF(A4759="","",CHOOSE(WEEKDAY(A4759,2),"Пн","Вт","Ср","Чт","Пт","Сб","Вс"))</f>
        <v/>
      </c>
      <c r="C4759" s="53">
        <f>IF(A4759="","",YEAR(A4759))</f>
        <v/>
      </c>
      <c r="D4759" s="54">
        <f>IF(A4759="","",INDEX(lst_months,MONTH(A4759)))</f>
        <v/>
      </c>
      <c r="E4759" s="55" t="n"/>
      <c r="F4759" s="54">
        <f>IF(E4759="","",IFERROR(IF(INDEX(lst_exp_item_cat,MATCH(E4759,lst_exp_items,0))="","❔ Без категории",INDEX(lst_exp_item_cat,MATCH(E4759,lst_exp_items,0))),"❔ Без категории"))</f>
        <v/>
      </c>
      <c r="G4759" s="43" t="n"/>
      <c r="H4759" s="56" t="n"/>
      <c r="I4759" s="43" t="n"/>
      <c r="J4759" s="57">
        <f>IF(OR(A4759="",H4759=""),"",IF(COUNTIFS(exp_year,C4759,exp_month,D4759,exp_item,E4759,exp_status,"&lt;&gt;❌ Отменено")&gt;0,1,0))</f>
        <v/>
      </c>
    </row>
    <row r="4760">
      <c r="A4760" s="52" t="n"/>
      <c r="B4760" s="53">
        <f>IF(A4760="","",CHOOSE(WEEKDAY(A4760,2),"Пн","Вт","Ср","Чт","Пт","Сб","Вс"))</f>
        <v/>
      </c>
      <c r="C4760" s="53">
        <f>IF(A4760="","",YEAR(A4760))</f>
        <v/>
      </c>
      <c r="D4760" s="54">
        <f>IF(A4760="","",INDEX(lst_months,MONTH(A4760)))</f>
        <v/>
      </c>
      <c r="E4760" s="55" t="n"/>
      <c r="F4760" s="54">
        <f>IF(E4760="","",IFERROR(IF(INDEX(lst_exp_item_cat,MATCH(E4760,lst_exp_items,0))="","❔ Без категории",INDEX(lst_exp_item_cat,MATCH(E4760,lst_exp_items,0))),"❔ Без категории"))</f>
        <v/>
      </c>
      <c r="G4760" s="43" t="n"/>
      <c r="H4760" s="56" t="n"/>
      <c r="I4760" s="43" t="n"/>
      <c r="J4760" s="57">
        <f>IF(OR(A4760="",H4760=""),"",IF(COUNTIFS(exp_year,C4760,exp_month,D4760,exp_item,E4760,exp_status,"&lt;&gt;❌ Отменено")&gt;0,1,0))</f>
        <v/>
      </c>
    </row>
    <row r="4761">
      <c r="A4761" s="52" t="n"/>
      <c r="B4761" s="53">
        <f>IF(A4761="","",CHOOSE(WEEKDAY(A4761,2),"Пн","Вт","Ср","Чт","Пт","Сб","Вс"))</f>
        <v/>
      </c>
      <c r="C4761" s="53">
        <f>IF(A4761="","",YEAR(A4761))</f>
        <v/>
      </c>
      <c r="D4761" s="54">
        <f>IF(A4761="","",INDEX(lst_months,MONTH(A4761)))</f>
        <v/>
      </c>
      <c r="E4761" s="55" t="n"/>
      <c r="F4761" s="54">
        <f>IF(E4761="","",IFERROR(IF(INDEX(lst_exp_item_cat,MATCH(E4761,lst_exp_items,0))="","❔ Без категории",INDEX(lst_exp_item_cat,MATCH(E4761,lst_exp_items,0))),"❔ Без категории"))</f>
        <v/>
      </c>
      <c r="G4761" s="43" t="n"/>
      <c r="H4761" s="56" t="n"/>
      <c r="I4761" s="43" t="n"/>
      <c r="J4761" s="57">
        <f>IF(OR(A4761="",H4761=""),"",IF(COUNTIFS(exp_year,C4761,exp_month,D4761,exp_item,E4761,exp_status,"&lt;&gt;❌ Отменено")&gt;0,1,0))</f>
        <v/>
      </c>
    </row>
    <row r="4762">
      <c r="A4762" s="52" t="n"/>
      <c r="B4762" s="53">
        <f>IF(A4762="","",CHOOSE(WEEKDAY(A4762,2),"Пн","Вт","Ср","Чт","Пт","Сб","Вс"))</f>
        <v/>
      </c>
      <c r="C4762" s="53">
        <f>IF(A4762="","",YEAR(A4762))</f>
        <v/>
      </c>
      <c r="D4762" s="54">
        <f>IF(A4762="","",INDEX(lst_months,MONTH(A4762)))</f>
        <v/>
      </c>
      <c r="E4762" s="55" t="n"/>
      <c r="F4762" s="54">
        <f>IF(E4762="","",IFERROR(IF(INDEX(lst_exp_item_cat,MATCH(E4762,lst_exp_items,0))="","❔ Без категории",INDEX(lst_exp_item_cat,MATCH(E4762,lst_exp_items,0))),"❔ Без категории"))</f>
        <v/>
      </c>
      <c r="G4762" s="43" t="n"/>
      <c r="H4762" s="56" t="n"/>
      <c r="I4762" s="43" t="n"/>
      <c r="J4762" s="57">
        <f>IF(OR(A4762="",H4762=""),"",IF(COUNTIFS(exp_year,C4762,exp_month,D4762,exp_item,E4762,exp_status,"&lt;&gt;❌ Отменено")&gt;0,1,0))</f>
        <v/>
      </c>
    </row>
    <row r="4763">
      <c r="A4763" s="52" t="n"/>
      <c r="B4763" s="53">
        <f>IF(A4763="","",CHOOSE(WEEKDAY(A4763,2),"Пн","Вт","Ср","Чт","Пт","Сб","Вс"))</f>
        <v/>
      </c>
      <c r="C4763" s="53">
        <f>IF(A4763="","",YEAR(A4763))</f>
        <v/>
      </c>
      <c r="D4763" s="54">
        <f>IF(A4763="","",INDEX(lst_months,MONTH(A4763)))</f>
        <v/>
      </c>
      <c r="E4763" s="55" t="n"/>
      <c r="F4763" s="54">
        <f>IF(E4763="","",IFERROR(IF(INDEX(lst_exp_item_cat,MATCH(E4763,lst_exp_items,0))="","❔ Без категории",INDEX(lst_exp_item_cat,MATCH(E4763,lst_exp_items,0))),"❔ Без категории"))</f>
        <v/>
      </c>
      <c r="G4763" s="43" t="n"/>
      <c r="H4763" s="56" t="n"/>
      <c r="I4763" s="43" t="n"/>
      <c r="J4763" s="57">
        <f>IF(OR(A4763="",H4763=""),"",IF(COUNTIFS(exp_year,C4763,exp_month,D4763,exp_item,E4763,exp_status,"&lt;&gt;❌ Отменено")&gt;0,1,0))</f>
        <v/>
      </c>
    </row>
    <row r="4764">
      <c r="A4764" s="52" t="n"/>
      <c r="B4764" s="53">
        <f>IF(A4764="","",CHOOSE(WEEKDAY(A4764,2),"Пн","Вт","Ср","Чт","Пт","Сб","Вс"))</f>
        <v/>
      </c>
      <c r="C4764" s="53">
        <f>IF(A4764="","",YEAR(A4764))</f>
        <v/>
      </c>
      <c r="D4764" s="54">
        <f>IF(A4764="","",INDEX(lst_months,MONTH(A4764)))</f>
        <v/>
      </c>
      <c r="E4764" s="55" t="n"/>
      <c r="F4764" s="54">
        <f>IF(E4764="","",IFERROR(IF(INDEX(lst_exp_item_cat,MATCH(E4764,lst_exp_items,0))="","❔ Без категории",INDEX(lst_exp_item_cat,MATCH(E4764,lst_exp_items,0))),"❔ Без категории"))</f>
        <v/>
      </c>
      <c r="G4764" s="43" t="n"/>
      <c r="H4764" s="56" t="n"/>
      <c r="I4764" s="43" t="n"/>
      <c r="J4764" s="57">
        <f>IF(OR(A4764="",H4764=""),"",IF(COUNTIFS(exp_year,C4764,exp_month,D4764,exp_item,E4764,exp_status,"&lt;&gt;❌ Отменено")&gt;0,1,0))</f>
        <v/>
      </c>
    </row>
    <row r="4765">
      <c r="A4765" s="52" t="n"/>
      <c r="B4765" s="53">
        <f>IF(A4765="","",CHOOSE(WEEKDAY(A4765,2),"Пн","Вт","Ср","Чт","Пт","Сб","Вс"))</f>
        <v/>
      </c>
      <c r="C4765" s="53">
        <f>IF(A4765="","",YEAR(A4765))</f>
        <v/>
      </c>
      <c r="D4765" s="54">
        <f>IF(A4765="","",INDEX(lst_months,MONTH(A4765)))</f>
        <v/>
      </c>
      <c r="E4765" s="55" t="n"/>
      <c r="F4765" s="54">
        <f>IF(E4765="","",IFERROR(IF(INDEX(lst_exp_item_cat,MATCH(E4765,lst_exp_items,0))="","❔ Без категории",INDEX(lst_exp_item_cat,MATCH(E4765,lst_exp_items,0))),"❔ Без категории"))</f>
        <v/>
      </c>
      <c r="G4765" s="43" t="n"/>
      <c r="H4765" s="56" t="n"/>
      <c r="I4765" s="43" t="n"/>
      <c r="J4765" s="57">
        <f>IF(OR(A4765="",H4765=""),"",IF(COUNTIFS(exp_year,C4765,exp_month,D4765,exp_item,E4765,exp_status,"&lt;&gt;❌ Отменено")&gt;0,1,0))</f>
        <v/>
      </c>
    </row>
    <row r="4766">
      <c r="A4766" s="52" t="n"/>
      <c r="B4766" s="53">
        <f>IF(A4766="","",CHOOSE(WEEKDAY(A4766,2),"Пн","Вт","Ср","Чт","Пт","Сб","Вс"))</f>
        <v/>
      </c>
      <c r="C4766" s="53">
        <f>IF(A4766="","",YEAR(A4766))</f>
        <v/>
      </c>
      <c r="D4766" s="54">
        <f>IF(A4766="","",INDEX(lst_months,MONTH(A4766)))</f>
        <v/>
      </c>
      <c r="E4766" s="55" t="n"/>
      <c r="F4766" s="54">
        <f>IF(E4766="","",IFERROR(IF(INDEX(lst_exp_item_cat,MATCH(E4766,lst_exp_items,0))="","❔ Без категории",INDEX(lst_exp_item_cat,MATCH(E4766,lst_exp_items,0))),"❔ Без категории"))</f>
        <v/>
      </c>
      <c r="G4766" s="43" t="n"/>
      <c r="H4766" s="56" t="n"/>
      <c r="I4766" s="43" t="n"/>
      <c r="J4766" s="57">
        <f>IF(OR(A4766="",H4766=""),"",IF(COUNTIFS(exp_year,C4766,exp_month,D4766,exp_item,E4766,exp_status,"&lt;&gt;❌ Отменено")&gt;0,1,0))</f>
        <v/>
      </c>
    </row>
    <row r="4767">
      <c r="A4767" s="52" t="n"/>
      <c r="B4767" s="53">
        <f>IF(A4767="","",CHOOSE(WEEKDAY(A4767,2),"Пн","Вт","Ср","Чт","Пт","Сб","Вс"))</f>
        <v/>
      </c>
      <c r="C4767" s="53">
        <f>IF(A4767="","",YEAR(A4767))</f>
        <v/>
      </c>
      <c r="D4767" s="54">
        <f>IF(A4767="","",INDEX(lst_months,MONTH(A4767)))</f>
        <v/>
      </c>
      <c r="E4767" s="55" t="n"/>
      <c r="F4767" s="54">
        <f>IF(E4767="","",IFERROR(IF(INDEX(lst_exp_item_cat,MATCH(E4767,lst_exp_items,0))="","❔ Без категории",INDEX(lst_exp_item_cat,MATCH(E4767,lst_exp_items,0))),"❔ Без категории"))</f>
        <v/>
      </c>
      <c r="G4767" s="43" t="n"/>
      <c r="H4767" s="56" t="n"/>
      <c r="I4767" s="43" t="n"/>
      <c r="J4767" s="57">
        <f>IF(OR(A4767="",H4767=""),"",IF(COUNTIFS(exp_year,C4767,exp_month,D4767,exp_item,E4767,exp_status,"&lt;&gt;❌ Отменено")&gt;0,1,0))</f>
        <v/>
      </c>
    </row>
    <row r="4768">
      <c r="A4768" s="52" t="n"/>
      <c r="B4768" s="53">
        <f>IF(A4768="","",CHOOSE(WEEKDAY(A4768,2),"Пн","Вт","Ср","Чт","Пт","Сб","Вс"))</f>
        <v/>
      </c>
      <c r="C4768" s="53">
        <f>IF(A4768="","",YEAR(A4768))</f>
        <v/>
      </c>
      <c r="D4768" s="54">
        <f>IF(A4768="","",INDEX(lst_months,MONTH(A4768)))</f>
        <v/>
      </c>
      <c r="E4768" s="55" t="n"/>
      <c r="F4768" s="54">
        <f>IF(E4768="","",IFERROR(IF(INDEX(lst_exp_item_cat,MATCH(E4768,lst_exp_items,0))="","❔ Без категории",INDEX(lst_exp_item_cat,MATCH(E4768,lst_exp_items,0))),"❔ Без категории"))</f>
        <v/>
      </c>
      <c r="G4768" s="43" t="n"/>
      <c r="H4768" s="56" t="n"/>
      <c r="I4768" s="43" t="n"/>
      <c r="J4768" s="57">
        <f>IF(OR(A4768="",H4768=""),"",IF(COUNTIFS(exp_year,C4768,exp_month,D4768,exp_item,E4768,exp_status,"&lt;&gt;❌ Отменено")&gt;0,1,0))</f>
        <v/>
      </c>
    </row>
    <row r="4769">
      <c r="A4769" s="52" t="n"/>
      <c r="B4769" s="53">
        <f>IF(A4769="","",CHOOSE(WEEKDAY(A4769,2),"Пн","Вт","Ср","Чт","Пт","Сб","Вс"))</f>
        <v/>
      </c>
      <c r="C4769" s="53">
        <f>IF(A4769="","",YEAR(A4769))</f>
        <v/>
      </c>
      <c r="D4769" s="54">
        <f>IF(A4769="","",INDEX(lst_months,MONTH(A4769)))</f>
        <v/>
      </c>
      <c r="E4769" s="55" t="n"/>
      <c r="F4769" s="54">
        <f>IF(E4769="","",IFERROR(IF(INDEX(lst_exp_item_cat,MATCH(E4769,lst_exp_items,0))="","❔ Без категории",INDEX(lst_exp_item_cat,MATCH(E4769,lst_exp_items,0))),"❔ Без категории"))</f>
        <v/>
      </c>
      <c r="G4769" s="43" t="n"/>
      <c r="H4769" s="56" t="n"/>
      <c r="I4769" s="43" t="n"/>
      <c r="J4769" s="57">
        <f>IF(OR(A4769="",H4769=""),"",IF(COUNTIFS(exp_year,C4769,exp_month,D4769,exp_item,E4769,exp_status,"&lt;&gt;❌ Отменено")&gt;0,1,0))</f>
        <v/>
      </c>
    </row>
    <row r="4770">
      <c r="A4770" s="52" t="n"/>
      <c r="B4770" s="53">
        <f>IF(A4770="","",CHOOSE(WEEKDAY(A4770,2),"Пн","Вт","Ср","Чт","Пт","Сб","Вс"))</f>
        <v/>
      </c>
      <c r="C4770" s="53">
        <f>IF(A4770="","",YEAR(A4770))</f>
        <v/>
      </c>
      <c r="D4770" s="54">
        <f>IF(A4770="","",INDEX(lst_months,MONTH(A4770)))</f>
        <v/>
      </c>
      <c r="E4770" s="55" t="n"/>
      <c r="F4770" s="54">
        <f>IF(E4770="","",IFERROR(IF(INDEX(lst_exp_item_cat,MATCH(E4770,lst_exp_items,0))="","❔ Без категории",INDEX(lst_exp_item_cat,MATCH(E4770,lst_exp_items,0))),"❔ Без категории"))</f>
        <v/>
      </c>
      <c r="G4770" s="43" t="n"/>
      <c r="H4770" s="56" t="n"/>
      <c r="I4770" s="43" t="n"/>
      <c r="J4770" s="57">
        <f>IF(OR(A4770="",H4770=""),"",IF(COUNTIFS(exp_year,C4770,exp_month,D4770,exp_item,E4770,exp_status,"&lt;&gt;❌ Отменено")&gt;0,1,0))</f>
        <v/>
      </c>
    </row>
    <row r="4771">
      <c r="A4771" s="52" t="n"/>
      <c r="B4771" s="53">
        <f>IF(A4771="","",CHOOSE(WEEKDAY(A4771,2),"Пн","Вт","Ср","Чт","Пт","Сб","Вс"))</f>
        <v/>
      </c>
      <c r="C4771" s="53">
        <f>IF(A4771="","",YEAR(A4771))</f>
        <v/>
      </c>
      <c r="D4771" s="54">
        <f>IF(A4771="","",INDEX(lst_months,MONTH(A4771)))</f>
        <v/>
      </c>
      <c r="E4771" s="55" t="n"/>
      <c r="F4771" s="54">
        <f>IF(E4771="","",IFERROR(IF(INDEX(lst_exp_item_cat,MATCH(E4771,lst_exp_items,0))="","❔ Без категории",INDEX(lst_exp_item_cat,MATCH(E4771,lst_exp_items,0))),"❔ Без категории"))</f>
        <v/>
      </c>
      <c r="G4771" s="43" t="n"/>
      <c r="H4771" s="56" t="n"/>
      <c r="I4771" s="43" t="n"/>
      <c r="J4771" s="57">
        <f>IF(OR(A4771="",H4771=""),"",IF(COUNTIFS(exp_year,C4771,exp_month,D4771,exp_item,E4771,exp_status,"&lt;&gt;❌ Отменено")&gt;0,1,0))</f>
        <v/>
      </c>
    </row>
    <row r="4772">
      <c r="A4772" s="52" t="n"/>
      <c r="B4772" s="53">
        <f>IF(A4772="","",CHOOSE(WEEKDAY(A4772,2),"Пн","Вт","Ср","Чт","Пт","Сб","Вс"))</f>
        <v/>
      </c>
      <c r="C4772" s="53">
        <f>IF(A4772="","",YEAR(A4772))</f>
        <v/>
      </c>
      <c r="D4772" s="54">
        <f>IF(A4772="","",INDEX(lst_months,MONTH(A4772)))</f>
        <v/>
      </c>
      <c r="E4772" s="55" t="n"/>
      <c r="F4772" s="54">
        <f>IF(E4772="","",IFERROR(IF(INDEX(lst_exp_item_cat,MATCH(E4772,lst_exp_items,0))="","❔ Без категории",INDEX(lst_exp_item_cat,MATCH(E4772,lst_exp_items,0))),"❔ Без категории"))</f>
        <v/>
      </c>
      <c r="G4772" s="43" t="n"/>
      <c r="H4772" s="56" t="n"/>
      <c r="I4772" s="43" t="n"/>
      <c r="J4772" s="57">
        <f>IF(OR(A4772="",H4772=""),"",IF(COUNTIFS(exp_year,C4772,exp_month,D4772,exp_item,E4772,exp_status,"&lt;&gt;❌ Отменено")&gt;0,1,0))</f>
        <v/>
      </c>
    </row>
    <row r="4773">
      <c r="A4773" s="52" t="n"/>
      <c r="B4773" s="53">
        <f>IF(A4773="","",CHOOSE(WEEKDAY(A4773,2),"Пн","Вт","Ср","Чт","Пт","Сб","Вс"))</f>
        <v/>
      </c>
      <c r="C4773" s="53">
        <f>IF(A4773="","",YEAR(A4773))</f>
        <v/>
      </c>
      <c r="D4773" s="54">
        <f>IF(A4773="","",INDEX(lst_months,MONTH(A4773)))</f>
        <v/>
      </c>
      <c r="E4773" s="55" t="n"/>
      <c r="F4773" s="54">
        <f>IF(E4773="","",IFERROR(IF(INDEX(lst_exp_item_cat,MATCH(E4773,lst_exp_items,0))="","❔ Без категории",INDEX(lst_exp_item_cat,MATCH(E4773,lst_exp_items,0))),"❔ Без категории"))</f>
        <v/>
      </c>
      <c r="G4773" s="43" t="n"/>
      <c r="H4773" s="56" t="n"/>
      <c r="I4773" s="43" t="n"/>
      <c r="J4773" s="57">
        <f>IF(OR(A4773="",H4773=""),"",IF(COUNTIFS(exp_year,C4773,exp_month,D4773,exp_item,E4773,exp_status,"&lt;&gt;❌ Отменено")&gt;0,1,0))</f>
        <v/>
      </c>
    </row>
    <row r="4774">
      <c r="A4774" s="52" t="n"/>
      <c r="B4774" s="53">
        <f>IF(A4774="","",CHOOSE(WEEKDAY(A4774,2),"Пн","Вт","Ср","Чт","Пт","Сб","Вс"))</f>
        <v/>
      </c>
      <c r="C4774" s="53">
        <f>IF(A4774="","",YEAR(A4774))</f>
        <v/>
      </c>
      <c r="D4774" s="54">
        <f>IF(A4774="","",INDEX(lst_months,MONTH(A4774)))</f>
        <v/>
      </c>
      <c r="E4774" s="55" t="n"/>
      <c r="F4774" s="54">
        <f>IF(E4774="","",IFERROR(IF(INDEX(lst_exp_item_cat,MATCH(E4774,lst_exp_items,0))="","❔ Без категории",INDEX(lst_exp_item_cat,MATCH(E4774,lst_exp_items,0))),"❔ Без категории"))</f>
        <v/>
      </c>
      <c r="G4774" s="43" t="n"/>
      <c r="H4774" s="56" t="n"/>
      <c r="I4774" s="43" t="n"/>
      <c r="J4774" s="57">
        <f>IF(OR(A4774="",H4774=""),"",IF(COUNTIFS(exp_year,C4774,exp_month,D4774,exp_item,E4774,exp_status,"&lt;&gt;❌ Отменено")&gt;0,1,0))</f>
        <v/>
      </c>
    </row>
    <row r="4775">
      <c r="A4775" s="52" t="n"/>
      <c r="B4775" s="53">
        <f>IF(A4775="","",CHOOSE(WEEKDAY(A4775,2),"Пн","Вт","Ср","Чт","Пт","Сб","Вс"))</f>
        <v/>
      </c>
      <c r="C4775" s="53">
        <f>IF(A4775="","",YEAR(A4775))</f>
        <v/>
      </c>
      <c r="D4775" s="54">
        <f>IF(A4775="","",INDEX(lst_months,MONTH(A4775)))</f>
        <v/>
      </c>
      <c r="E4775" s="55" t="n"/>
      <c r="F4775" s="54">
        <f>IF(E4775="","",IFERROR(IF(INDEX(lst_exp_item_cat,MATCH(E4775,lst_exp_items,0))="","❔ Без категории",INDEX(lst_exp_item_cat,MATCH(E4775,lst_exp_items,0))),"❔ Без категории"))</f>
        <v/>
      </c>
      <c r="G4775" s="43" t="n"/>
      <c r="H4775" s="56" t="n"/>
      <c r="I4775" s="43" t="n"/>
      <c r="J4775" s="57">
        <f>IF(OR(A4775="",H4775=""),"",IF(COUNTIFS(exp_year,C4775,exp_month,D4775,exp_item,E4775,exp_status,"&lt;&gt;❌ Отменено")&gt;0,1,0))</f>
        <v/>
      </c>
    </row>
    <row r="4776">
      <c r="A4776" s="52" t="n"/>
      <c r="B4776" s="53">
        <f>IF(A4776="","",CHOOSE(WEEKDAY(A4776,2),"Пн","Вт","Ср","Чт","Пт","Сб","Вс"))</f>
        <v/>
      </c>
      <c r="C4776" s="53">
        <f>IF(A4776="","",YEAR(A4776))</f>
        <v/>
      </c>
      <c r="D4776" s="54">
        <f>IF(A4776="","",INDEX(lst_months,MONTH(A4776)))</f>
        <v/>
      </c>
      <c r="E4776" s="55" t="n"/>
      <c r="F4776" s="54">
        <f>IF(E4776="","",IFERROR(IF(INDEX(lst_exp_item_cat,MATCH(E4776,lst_exp_items,0))="","❔ Без категории",INDEX(lst_exp_item_cat,MATCH(E4776,lst_exp_items,0))),"❔ Без категории"))</f>
        <v/>
      </c>
      <c r="G4776" s="43" t="n"/>
      <c r="H4776" s="56" t="n"/>
      <c r="I4776" s="43" t="n"/>
      <c r="J4776" s="57">
        <f>IF(OR(A4776="",H4776=""),"",IF(COUNTIFS(exp_year,C4776,exp_month,D4776,exp_item,E4776,exp_status,"&lt;&gt;❌ Отменено")&gt;0,1,0))</f>
        <v/>
      </c>
    </row>
    <row r="4777">
      <c r="A4777" s="52" t="n"/>
      <c r="B4777" s="53">
        <f>IF(A4777="","",CHOOSE(WEEKDAY(A4777,2),"Пн","Вт","Ср","Чт","Пт","Сб","Вс"))</f>
        <v/>
      </c>
      <c r="C4777" s="53">
        <f>IF(A4777="","",YEAR(A4777))</f>
        <v/>
      </c>
      <c r="D4777" s="54">
        <f>IF(A4777="","",INDEX(lst_months,MONTH(A4777)))</f>
        <v/>
      </c>
      <c r="E4777" s="55" t="n"/>
      <c r="F4777" s="54">
        <f>IF(E4777="","",IFERROR(IF(INDEX(lst_exp_item_cat,MATCH(E4777,lst_exp_items,0))="","❔ Без категории",INDEX(lst_exp_item_cat,MATCH(E4777,lst_exp_items,0))),"❔ Без категории"))</f>
        <v/>
      </c>
      <c r="G4777" s="43" t="n"/>
      <c r="H4777" s="56" t="n"/>
      <c r="I4777" s="43" t="n"/>
      <c r="J4777" s="57">
        <f>IF(OR(A4777="",H4777=""),"",IF(COUNTIFS(exp_year,C4777,exp_month,D4777,exp_item,E4777,exp_status,"&lt;&gt;❌ Отменено")&gt;0,1,0))</f>
        <v/>
      </c>
    </row>
    <row r="4778">
      <c r="A4778" s="52" t="n"/>
      <c r="B4778" s="53">
        <f>IF(A4778="","",CHOOSE(WEEKDAY(A4778,2),"Пн","Вт","Ср","Чт","Пт","Сб","Вс"))</f>
        <v/>
      </c>
      <c r="C4778" s="53">
        <f>IF(A4778="","",YEAR(A4778))</f>
        <v/>
      </c>
      <c r="D4778" s="54">
        <f>IF(A4778="","",INDEX(lst_months,MONTH(A4778)))</f>
        <v/>
      </c>
      <c r="E4778" s="55" t="n"/>
      <c r="F4778" s="54">
        <f>IF(E4778="","",IFERROR(IF(INDEX(lst_exp_item_cat,MATCH(E4778,lst_exp_items,0))="","❔ Без категории",INDEX(lst_exp_item_cat,MATCH(E4778,lst_exp_items,0))),"❔ Без категории"))</f>
        <v/>
      </c>
      <c r="G4778" s="43" t="n"/>
      <c r="H4778" s="56" t="n"/>
      <c r="I4778" s="43" t="n"/>
      <c r="J4778" s="57">
        <f>IF(OR(A4778="",H4778=""),"",IF(COUNTIFS(exp_year,C4778,exp_month,D4778,exp_item,E4778,exp_status,"&lt;&gt;❌ Отменено")&gt;0,1,0))</f>
        <v/>
      </c>
    </row>
    <row r="4779">
      <c r="A4779" s="52" t="n"/>
      <c r="B4779" s="53">
        <f>IF(A4779="","",CHOOSE(WEEKDAY(A4779,2),"Пн","Вт","Ср","Чт","Пт","Сб","Вс"))</f>
        <v/>
      </c>
      <c r="C4779" s="53">
        <f>IF(A4779="","",YEAR(A4779))</f>
        <v/>
      </c>
      <c r="D4779" s="54">
        <f>IF(A4779="","",INDEX(lst_months,MONTH(A4779)))</f>
        <v/>
      </c>
      <c r="E4779" s="55" t="n"/>
      <c r="F4779" s="54">
        <f>IF(E4779="","",IFERROR(IF(INDEX(lst_exp_item_cat,MATCH(E4779,lst_exp_items,0))="","❔ Без категории",INDEX(lst_exp_item_cat,MATCH(E4779,lst_exp_items,0))),"❔ Без категории"))</f>
        <v/>
      </c>
      <c r="G4779" s="43" t="n"/>
      <c r="H4779" s="56" t="n"/>
      <c r="I4779" s="43" t="n"/>
      <c r="J4779" s="57">
        <f>IF(OR(A4779="",H4779=""),"",IF(COUNTIFS(exp_year,C4779,exp_month,D4779,exp_item,E4779,exp_status,"&lt;&gt;❌ Отменено")&gt;0,1,0))</f>
        <v/>
      </c>
    </row>
    <row r="4780">
      <c r="A4780" s="52" t="n"/>
      <c r="B4780" s="53">
        <f>IF(A4780="","",CHOOSE(WEEKDAY(A4780,2),"Пн","Вт","Ср","Чт","Пт","Сб","Вс"))</f>
        <v/>
      </c>
      <c r="C4780" s="53">
        <f>IF(A4780="","",YEAR(A4780))</f>
        <v/>
      </c>
      <c r="D4780" s="54">
        <f>IF(A4780="","",INDEX(lst_months,MONTH(A4780)))</f>
        <v/>
      </c>
      <c r="E4780" s="55" t="n"/>
      <c r="F4780" s="54">
        <f>IF(E4780="","",IFERROR(IF(INDEX(lst_exp_item_cat,MATCH(E4780,lst_exp_items,0))="","❔ Без категории",INDEX(lst_exp_item_cat,MATCH(E4780,lst_exp_items,0))),"❔ Без категории"))</f>
        <v/>
      </c>
      <c r="G4780" s="43" t="n"/>
      <c r="H4780" s="56" t="n"/>
      <c r="I4780" s="43" t="n"/>
      <c r="J4780" s="57">
        <f>IF(OR(A4780="",H4780=""),"",IF(COUNTIFS(exp_year,C4780,exp_month,D4780,exp_item,E4780,exp_status,"&lt;&gt;❌ Отменено")&gt;0,1,0))</f>
        <v/>
      </c>
    </row>
    <row r="4781">
      <c r="A4781" s="52" t="n"/>
      <c r="B4781" s="53">
        <f>IF(A4781="","",CHOOSE(WEEKDAY(A4781,2),"Пн","Вт","Ср","Чт","Пт","Сб","Вс"))</f>
        <v/>
      </c>
      <c r="C4781" s="53">
        <f>IF(A4781="","",YEAR(A4781))</f>
        <v/>
      </c>
      <c r="D4781" s="54">
        <f>IF(A4781="","",INDEX(lst_months,MONTH(A4781)))</f>
        <v/>
      </c>
      <c r="E4781" s="55" t="n"/>
      <c r="F4781" s="54">
        <f>IF(E4781="","",IFERROR(IF(INDEX(lst_exp_item_cat,MATCH(E4781,lst_exp_items,0))="","❔ Без категории",INDEX(lst_exp_item_cat,MATCH(E4781,lst_exp_items,0))),"❔ Без категории"))</f>
        <v/>
      </c>
      <c r="G4781" s="43" t="n"/>
      <c r="H4781" s="56" t="n"/>
      <c r="I4781" s="43" t="n"/>
      <c r="J4781" s="57">
        <f>IF(OR(A4781="",H4781=""),"",IF(COUNTIFS(exp_year,C4781,exp_month,D4781,exp_item,E4781,exp_status,"&lt;&gt;❌ Отменено")&gt;0,1,0))</f>
        <v/>
      </c>
    </row>
    <row r="4782">
      <c r="A4782" s="52" t="n"/>
      <c r="B4782" s="53">
        <f>IF(A4782="","",CHOOSE(WEEKDAY(A4782,2),"Пн","Вт","Ср","Чт","Пт","Сб","Вс"))</f>
        <v/>
      </c>
      <c r="C4782" s="53">
        <f>IF(A4782="","",YEAR(A4782))</f>
        <v/>
      </c>
      <c r="D4782" s="54">
        <f>IF(A4782="","",INDEX(lst_months,MONTH(A4782)))</f>
        <v/>
      </c>
      <c r="E4782" s="55" t="n"/>
      <c r="F4782" s="54">
        <f>IF(E4782="","",IFERROR(IF(INDEX(lst_exp_item_cat,MATCH(E4782,lst_exp_items,0))="","❔ Без категории",INDEX(lst_exp_item_cat,MATCH(E4782,lst_exp_items,0))),"❔ Без категории"))</f>
        <v/>
      </c>
      <c r="G4782" s="43" t="n"/>
      <c r="H4782" s="56" t="n"/>
      <c r="I4782" s="43" t="n"/>
      <c r="J4782" s="57">
        <f>IF(OR(A4782="",H4782=""),"",IF(COUNTIFS(exp_year,C4782,exp_month,D4782,exp_item,E4782,exp_status,"&lt;&gt;❌ Отменено")&gt;0,1,0))</f>
        <v/>
      </c>
    </row>
    <row r="4783">
      <c r="A4783" s="52" t="n"/>
      <c r="B4783" s="53">
        <f>IF(A4783="","",CHOOSE(WEEKDAY(A4783,2),"Пн","Вт","Ср","Чт","Пт","Сб","Вс"))</f>
        <v/>
      </c>
      <c r="C4783" s="53">
        <f>IF(A4783="","",YEAR(A4783))</f>
        <v/>
      </c>
      <c r="D4783" s="54">
        <f>IF(A4783="","",INDEX(lst_months,MONTH(A4783)))</f>
        <v/>
      </c>
      <c r="E4783" s="55" t="n"/>
      <c r="F4783" s="54">
        <f>IF(E4783="","",IFERROR(IF(INDEX(lst_exp_item_cat,MATCH(E4783,lst_exp_items,0))="","❔ Без категории",INDEX(lst_exp_item_cat,MATCH(E4783,lst_exp_items,0))),"❔ Без категории"))</f>
        <v/>
      </c>
      <c r="G4783" s="43" t="n"/>
      <c r="H4783" s="56" t="n"/>
      <c r="I4783" s="43" t="n"/>
      <c r="J4783" s="57">
        <f>IF(OR(A4783="",H4783=""),"",IF(COUNTIFS(exp_year,C4783,exp_month,D4783,exp_item,E4783,exp_status,"&lt;&gt;❌ Отменено")&gt;0,1,0))</f>
        <v/>
      </c>
    </row>
    <row r="4784">
      <c r="A4784" s="52" t="n"/>
      <c r="B4784" s="53">
        <f>IF(A4784="","",CHOOSE(WEEKDAY(A4784,2),"Пн","Вт","Ср","Чт","Пт","Сб","Вс"))</f>
        <v/>
      </c>
      <c r="C4784" s="53">
        <f>IF(A4784="","",YEAR(A4784))</f>
        <v/>
      </c>
      <c r="D4784" s="54">
        <f>IF(A4784="","",INDEX(lst_months,MONTH(A4784)))</f>
        <v/>
      </c>
      <c r="E4784" s="55" t="n"/>
      <c r="F4784" s="54">
        <f>IF(E4784="","",IFERROR(IF(INDEX(lst_exp_item_cat,MATCH(E4784,lst_exp_items,0))="","❔ Без категории",INDEX(lst_exp_item_cat,MATCH(E4784,lst_exp_items,0))),"❔ Без категории"))</f>
        <v/>
      </c>
      <c r="G4784" s="43" t="n"/>
      <c r="H4784" s="56" t="n"/>
      <c r="I4784" s="43" t="n"/>
      <c r="J4784" s="57">
        <f>IF(OR(A4784="",H4784=""),"",IF(COUNTIFS(exp_year,C4784,exp_month,D4784,exp_item,E4784,exp_status,"&lt;&gt;❌ Отменено")&gt;0,1,0))</f>
        <v/>
      </c>
    </row>
    <row r="4785">
      <c r="A4785" s="52" t="n"/>
      <c r="B4785" s="53">
        <f>IF(A4785="","",CHOOSE(WEEKDAY(A4785,2),"Пн","Вт","Ср","Чт","Пт","Сб","Вс"))</f>
        <v/>
      </c>
      <c r="C4785" s="53">
        <f>IF(A4785="","",YEAR(A4785))</f>
        <v/>
      </c>
      <c r="D4785" s="54">
        <f>IF(A4785="","",INDEX(lst_months,MONTH(A4785)))</f>
        <v/>
      </c>
      <c r="E4785" s="55" t="n"/>
      <c r="F4785" s="54">
        <f>IF(E4785="","",IFERROR(IF(INDEX(lst_exp_item_cat,MATCH(E4785,lst_exp_items,0))="","❔ Без категории",INDEX(lst_exp_item_cat,MATCH(E4785,lst_exp_items,0))),"❔ Без категории"))</f>
        <v/>
      </c>
      <c r="G4785" s="43" t="n"/>
      <c r="H4785" s="56" t="n"/>
      <c r="I4785" s="43" t="n"/>
      <c r="J4785" s="57">
        <f>IF(OR(A4785="",H4785=""),"",IF(COUNTIFS(exp_year,C4785,exp_month,D4785,exp_item,E4785,exp_status,"&lt;&gt;❌ Отменено")&gt;0,1,0))</f>
        <v/>
      </c>
    </row>
    <row r="4786">
      <c r="A4786" s="52" t="n"/>
      <c r="B4786" s="53">
        <f>IF(A4786="","",CHOOSE(WEEKDAY(A4786,2),"Пн","Вт","Ср","Чт","Пт","Сб","Вс"))</f>
        <v/>
      </c>
      <c r="C4786" s="53">
        <f>IF(A4786="","",YEAR(A4786))</f>
        <v/>
      </c>
      <c r="D4786" s="54">
        <f>IF(A4786="","",INDEX(lst_months,MONTH(A4786)))</f>
        <v/>
      </c>
      <c r="E4786" s="55" t="n"/>
      <c r="F4786" s="54">
        <f>IF(E4786="","",IFERROR(IF(INDEX(lst_exp_item_cat,MATCH(E4786,lst_exp_items,0))="","❔ Без категории",INDEX(lst_exp_item_cat,MATCH(E4786,lst_exp_items,0))),"❔ Без категории"))</f>
        <v/>
      </c>
      <c r="G4786" s="43" t="n"/>
      <c r="H4786" s="56" t="n"/>
      <c r="I4786" s="43" t="n"/>
      <c r="J4786" s="57">
        <f>IF(OR(A4786="",H4786=""),"",IF(COUNTIFS(exp_year,C4786,exp_month,D4786,exp_item,E4786,exp_status,"&lt;&gt;❌ Отменено")&gt;0,1,0))</f>
        <v/>
      </c>
    </row>
    <row r="4787">
      <c r="A4787" s="52" t="n"/>
      <c r="B4787" s="53">
        <f>IF(A4787="","",CHOOSE(WEEKDAY(A4787,2),"Пн","Вт","Ср","Чт","Пт","Сб","Вс"))</f>
        <v/>
      </c>
      <c r="C4787" s="53">
        <f>IF(A4787="","",YEAR(A4787))</f>
        <v/>
      </c>
      <c r="D4787" s="54">
        <f>IF(A4787="","",INDEX(lst_months,MONTH(A4787)))</f>
        <v/>
      </c>
      <c r="E4787" s="55" t="n"/>
      <c r="F4787" s="54">
        <f>IF(E4787="","",IFERROR(IF(INDEX(lst_exp_item_cat,MATCH(E4787,lst_exp_items,0))="","❔ Без категории",INDEX(lst_exp_item_cat,MATCH(E4787,lst_exp_items,0))),"❔ Без категории"))</f>
        <v/>
      </c>
      <c r="G4787" s="43" t="n"/>
      <c r="H4787" s="56" t="n"/>
      <c r="I4787" s="43" t="n"/>
      <c r="J4787" s="57">
        <f>IF(OR(A4787="",H4787=""),"",IF(COUNTIFS(exp_year,C4787,exp_month,D4787,exp_item,E4787,exp_status,"&lt;&gt;❌ Отменено")&gt;0,1,0))</f>
        <v/>
      </c>
    </row>
    <row r="4788">
      <c r="A4788" s="52" t="n"/>
      <c r="B4788" s="53">
        <f>IF(A4788="","",CHOOSE(WEEKDAY(A4788,2),"Пн","Вт","Ср","Чт","Пт","Сб","Вс"))</f>
        <v/>
      </c>
      <c r="C4788" s="53">
        <f>IF(A4788="","",YEAR(A4788))</f>
        <v/>
      </c>
      <c r="D4788" s="54">
        <f>IF(A4788="","",INDEX(lst_months,MONTH(A4788)))</f>
        <v/>
      </c>
      <c r="E4788" s="55" t="n"/>
      <c r="F4788" s="54">
        <f>IF(E4788="","",IFERROR(IF(INDEX(lst_exp_item_cat,MATCH(E4788,lst_exp_items,0))="","❔ Без категории",INDEX(lst_exp_item_cat,MATCH(E4788,lst_exp_items,0))),"❔ Без категории"))</f>
        <v/>
      </c>
      <c r="G4788" s="43" t="n"/>
      <c r="H4788" s="56" t="n"/>
      <c r="I4788" s="43" t="n"/>
      <c r="J4788" s="57">
        <f>IF(OR(A4788="",H4788=""),"",IF(COUNTIFS(exp_year,C4788,exp_month,D4788,exp_item,E4788,exp_status,"&lt;&gt;❌ Отменено")&gt;0,1,0))</f>
        <v/>
      </c>
    </row>
    <row r="4789">
      <c r="A4789" s="52" t="n"/>
      <c r="B4789" s="53">
        <f>IF(A4789="","",CHOOSE(WEEKDAY(A4789,2),"Пн","Вт","Ср","Чт","Пт","Сб","Вс"))</f>
        <v/>
      </c>
      <c r="C4789" s="53">
        <f>IF(A4789="","",YEAR(A4789))</f>
        <v/>
      </c>
      <c r="D4789" s="54">
        <f>IF(A4789="","",INDEX(lst_months,MONTH(A4789)))</f>
        <v/>
      </c>
      <c r="E4789" s="55" t="n"/>
      <c r="F4789" s="54">
        <f>IF(E4789="","",IFERROR(IF(INDEX(lst_exp_item_cat,MATCH(E4789,lst_exp_items,0))="","❔ Без категории",INDEX(lst_exp_item_cat,MATCH(E4789,lst_exp_items,0))),"❔ Без категории"))</f>
        <v/>
      </c>
      <c r="G4789" s="43" t="n"/>
      <c r="H4789" s="56" t="n"/>
      <c r="I4789" s="43" t="n"/>
      <c r="J4789" s="57">
        <f>IF(OR(A4789="",H4789=""),"",IF(COUNTIFS(exp_year,C4789,exp_month,D4789,exp_item,E4789,exp_status,"&lt;&gt;❌ Отменено")&gt;0,1,0))</f>
        <v/>
      </c>
    </row>
    <row r="4790">
      <c r="A4790" s="52" t="n"/>
      <c r="B4790" s="53">
        <f>IF(A4790="","",CHOOSE(WEEKDAY(A4790,2),"Пн","Вт","Ср","Чт","Пт","Сб","Вс"))</f>
        <v/>
      </c>
      <c r="C4790" s="53">
        <f>IF(A4790="","",YEAR(A4790))</f>
        <v/>
      </c>
      <c r="D4790" s="54">
        <f>IF(A4790="","",INDEX(lst_months,MONTH(A4790)))</f>
        <v/>
      </c>
      <c r="E4790" s="55" t="n"/>
      <c r="F4790" s="54">
        <f>IF(E4790="","",IFERROR(IF(INDEX(lst_exp_item_cat,MATCH(E4790,lst_exp_items,0))="","❔ Без категории",INDEX(lst_exp_item_cat,MATCH(E4790,lst_exp_items,0))),"❔ Без категории"))</f>
        <v/>
      </c>
      <c r="G4790" s="43" t="n"/>
      <c r="H4790" s="56" t="n"/>
      <c r="I4790" s="43" t="n"/>
      <c r="J4790" s="57">
        <f>IF(OR(A4790="",H4790=""),"",IF(COUNTIFS(exp_year,C4790,exp_month,D4790,exp_item,E4790,exp_status,"&lt;&gt;❌ Отменено")&gt;0,1,0))</f>
        <v/>
      </c>
    </row>
    <row r="4791">
      <c r="A4791" s="52" t="n"/>
      <c r="B4791" s="53">
        <f>IF(A4791="","",CHOOSE(WEEKDAY(A4791,2),"Пн","Вт","Ср","Чт","Пт","Сб","Вс"))</f>
        <v/>
      </c>
      <c r="C4791" s="53">
        <f>IF(A4791="","",YEAR(A4791))</f>
        <v/>
      </c>
      <c r="D4791" s="54">
        <f>IF(A4791="","",INDEX(lst_months,MONTH(A4791)))</f>
        <v/>
      </c>
      <c r="E4791" s="55" t="n"/>
      <c r="F4791" s="54">
        <f>IF(E4791="","",IFERROR(IF(INDEX(lst_exp_item_cat,MATCH(E4791,lst_exp_items,0))="","❔ Без категории",INDEX(lst_exp_item_cat,MATCH(E4791,lst_exp_items,0))),"❔ Без категории"))</f>
        <v/>
      </c>
      <c r="G4791" s="43" t="n"/>
      <c r="H4791" s="56" t="n"/>
      <c r="I4791" s="43" t="n"/>
      <c r="J4791" s="57">
        <f>IF(OR(A4791="",H4791=""),"",IF(COUNTIFS(exp_year,C4791,exp_month,D4791,exp_item,E4791,exp_status,"&lt;&gt;❌ Отменено")&gt;0,1,0))</f>
        <v/>
      </c>
    </row>
    <row r="4792">
      <c r="A4792" s="52" t="n"/>
      <c r="B4792" s="53">
        <f>IF(A4792="","",CHOOSE(WEEKDAY(A4792,2),"Пн","Вт","Ср","Чт","Пт","Сб","Вс"))</f>
        <v/>
      </c>
      <c r="C4792" s="53">
        <f>IF(A4792="","",YEAR(A4792))</f>
        <v/>
      </c>
      <c r="D4792" s="54">
        <f>IF(A4792="","",INDEX(lst_months,MONTH(A4792)))</f>
        <v/>
      </c>
      <c r="E4792" s="55" t="n"/>
      <c r="F4792" s="54">
        <f>IF(E4792="","",IFERROR(IF(INDEX(lst_exp_item_cat,MATCH(E4792,lst_exp_items,0))="","❔ Без категории",INDEX(lst_exp_item_cat,MATCH(E4792,lst_exp_items,0))),"❔ Без категории"))</f>
        <v/>
      </c>
      <c r="G4792" s="43" t="n"/>
      <c r="H4792" s="56" t="n"/>
      <c r="I4792" s="43" t="n"/>
      <c r="J4792" s="57">
        <f>IF(OR(A4792="",H4792=""),"",IF(COUNTIFS(exp_year,C4792,exp_month,D4792,exp_item,E4792,exp_status,"&lt;&gt;❌ Отменено")&gt;0,1,0))</f>
        <v/>
      </c>
    </row>
    <row r="4793">
      <c r="A4793" s="52" t="n"/>
      <c r="B4793" s="53">
        <f>IF(A4793="","",CHOOSE(WEEKDAY(A4793,2),"Пн","Вт","Ср","Чт","Пт","Сб","Вс"))</f>
        <v/>
      </c>
      <c r="C4793" s="53">
        <f>IF(A4793="","",YEAR(A4793))</f>
        <v/>
      </c>
      <c r="D4793" s="54">
        <f>IF(A4793="","",INDEX(lst_months,MONTH(A4793)))</f>
        <v/>
      </c>
      <c r="E4793" s="55" t="n"/>
      <c r="F4793" s="54">
        <f>IF(E4793="","",IFERROR(IF(INDEX(lst_exp_item_cat,MATCH(E4793,lst_exp_items,0))="","❔ Без категории",INDEX(lst_exp_item_cat,MATCH(E4793,lst_exp_items,0))),"❔ Без категории"))</f>
        <v/>
      </c>
      <c r="G4793" s="43" t="n"/>
      <c r="H4793" s="56" t="n"/>
      <c r="I4793" s="43" t="n"/>
      <c r="J4793" s="57">
        <f>IF(OR(A4793="",H4793=""),"",IF(COUNTIFS(exp_year,C4793,exp_month,D4793,exp_item,E4793,exp_status,"&lt;&gt;❌ Отменено")&gt;0,1,0))</f>
        <v/>
      </c>
    </row>
    <row r="4794">
      <c r="A4794" s="52" t="n"/>
      <c r="B4794" s="53">
        <f>IF(A4794="","",CHOOSE(WEEKDAY(A4794,2),"Пн","Вт","Ср","Чт","Пт","Сб","Вс"))</f>
        <v/>
      </c>
      <c r="C4794" s="53">
        <f>IF(A4794="","",YEAR(A4794))</f>
        <v/>
      </c>
      <c r="D4794" s="54">
        <f>IF(A4794="","",INDEX(lst_months,MONTH(A4794)))</f>
        <v/>
      </c>
      <c r="E4794" s="55" t="n"/>
      <c r="F4794" s="54">
        <f>IF(E4794="","",IFERROR(IF(INDEX(lst_exp_item_cat,MATCH(E4794,lst_exp_items,0))="","❔ Без категории",INDEX(lst_exp_item_cat,MATCH(E4794,lst_exp_items,0))),"❔ Без категории"))</f>
        <v/>
      </c>
      <c r="G4794" s="43" t="n"/>
      <c r="H4794" s="56" t="n"/>
      <c r="I4794" s="43" t="n"/>
      <c r="J4794" s="57">
        <f>IF(OR(A4794="",H4794=""),"",IF(COUNTIFS(exp_year,C4794,exp_month,D4794,exp_item,E4794,exp_status,"&lt;&gt;❌ Отменено")&gt;0,1,0))</f>
        <v/>
      </c>
    </row>
    <row r="4795">
      <c r="A4795" s="52" t="n"/>
      <c r="B4795" s="53">
        <f>IF(A4795="","",CHOOSE(WEEKDAY(A4795,2),"Пн","Вт","Ср","Чт","Пт","Сб","Вс"))</f>
        <v/>
      </c>
      <c r="C4795" s="53">
        <f>IF(A4795="","",YEAR(A4795))</f>
        <v/>
      </c>
      <c r="D4795" s="54">
        <f>IF(A4795="","",INDEX(lst_months,MONTH(A4795)))</f>
        <v/>
      </c>
      <c r="E4795" s="55" t="n"/>
      <c r="F4795" s="54">
        <f>IF(E4795="","",IFERROR(IF(INDEX(lst_exp_item_cat,MATCH(E4795,lst_exp_items,0))="","❔ Без категории",INDEX(lst_exp_item_cat,MATCH(E4795,lst_exp_items,0))),"❔ Без категории"))</f>
        <v/>
      </c>
      <c r="G4795" s="43" t="n"/>
      <c r="H4795" s="56" t="n"/>
      <c r="I4795" s="43" t="n"/>
      <c r="J4795" s="57">
        <f>IF(OR(A4795="",H4795=""),"",IF(COUNTIFS(exp_year,C4795,exp_month,D4795,exp_item,E4795,exp_status,"&lt;&gt;❌ Отменено")&gt;0,1,0))</f>
        <v/>
      </c>
    </row>
    <row r="4796">
      <c r="A4796" s="52" t="n"/>
      <c r="B4796" s="53">
        <f>IF(A4796="","",CHOOSE(WEEKDAY(A4796,2),"Пн","Вт","Ср","Чт","Пт","Сб","Вс"))</f>
        <v/>
      </c>
      <c r="C4796" s="53">
        <f>IF(A4796="","",YEAR(A4796))</f>
        <v/>
      </c>
      <c r="D4796" s="54">
        <f>IF(A4796="","",INDEX(lst_months,MONTH(A4796)))</f>
        <v/>
      </c>
      <c r="E4796" s="55" t="n"/>
      <c r="F4796" s="54">
        <f>IF(E4796="","",IFERROR(IF(INDEX(lst_exp_item_cat,MATCH(E4796,lst_exp_items,0))="","❔ Без категории",INDEX(lst_exp_item_cat,MATCH(E4796,lst_exp_items,0))),"❔ Без категории"))</f>
        <v/>
      </c>
      <c r="G4796" s="43" t="n"/>
      <c r="H4796" s="56" t="n"/>
      <c r="I4796" s="43" t="n"/>
      <c r="J4796" s="57">
        <f>IF(OR(A4796="",H4796=""),"",IF(COUNTIFS(exp_year,C4796,exp_month,D4796,exp_item,E4796,exp_status,"&lt;&gt;❌ Отменено")&gt;0,1,0))</f>
        <v/>
      </c>
    </row>
    <row r="4797">
      <c r="A4797" s="52" t="n"/>
      <c r="B4797" s="53">
        <f>IF(A4797="","",CHOOSE(WEEKDAY(A4797,2),"Пн","Вт","Ср","Чт","Пт","Сб","Вс"))</f>
        <v/>
      </c>
      <c r="C4797" s="53">
        <f>IF(A4797="","",YEAR(A4797))</f>
        <v/>
      </c>
      <c r="D4797" s="54">
        <f>IF(A4797="","",INDEX(lst_months,MONTH(A4797)))</f>
        <v/>
      </c>
      <c r="E4797" s="55" t="n"/>
      <c r="F4797" s="54">
        <f>IF(E4797="","",IFERROR(IF(INDEX(lst_exp_item_cat,MATCH(E4797,lst_exp_items,0))="","❔ Без категории",INDEX(lst_exp_item_cat,MATCH(E4797,lst_exp_items,0))),"❔ Без категории"))</f>
        <v/>
      </c>
      <c r="G4797" s="43" t="n"/>
      <c r="H4797" s="56" t="n"/>
      <c r="I4797" s="43" t="n"/>
      <c r="J4797" s="57">
        <f>IF(OR(A4797="",H4797=""),"",IF(COUNTIFS(exp_year,C4797,exp_month,D4797,exp_item,E4797,exp_status,"&lt;&gt;❌ Отменено")&gt;0,1,0))</f>
        <v/>
      </c>
    </row>
    <row r="4798">
      <c r="A4798" s="52" t="n"/>
      <c r="B4798" s="53">
        <f>IF(A4798="","",CHOOSE(WEEKDAY(A4798,2),"Пн","Вт","Ср","Чт","Пт","Сб","Вс"))</f>
        <v/>
      </c>
      <c r="C4798" s="53">
        <f>IF(A4798="","",YEAR(A4798))</f>
        <v/>
      </c>
      <c r="D4798" s="54">
        <f>IF(A4798="","",INDEX(lst_months,MONTH(A4798)))</f>
        <v/>
      </c>
      <c r="E4798" s="55" t="n"/>
      <c r="F4798" s="54">
        <f>IF(E4798="","",IFERROR(IF(INDEX(lst_exp_item_cat,MATCH(E4798,lst_exp_items,0))="","❔ Без категории",INDEX(lst_exp_item_cat,MATCH(E4798,lst_exp_items,0))),"❔ Без категории"))</f>
        <v/>
      </c>
      <c r="G4798" s="43" t="n"/>
      <c r="H4798" s="56" t="n"/>
      <c r="I4798" s="43" t="n"/>
      <c r="J4798" s="57">
        <f>IF(OR(A4798="",H4798=""),"",IF(COUNTIFS(exp_year,C4798,exp_month,D4798,exp_item,E4798,exp_status,"&lt;&gt;❌ Отменено")&gt;0,1,0))</f>
        <v/>
      </c>
    </row>
    <row r="4799">
      <c r="A4799" s="52" t="n"/>
      <c r="B4799" s="53">
        <f>IF(A4799="","",CHOOSE(WEEKDAY(A4799,2),"Пн","Вт","Ср","Чт","Пт","Сб","Вс"))</f>
        <v/>
      </c>
      <c r="C4799" s="53">
        <f>IF(A4799="","",YEAR(A4799))</f>
        <v/>
      </c>
      <c r="D4799" s="54">
        <f>IF(A4799="","",INDEX(lst_months,MONTH(A4799)))</f>
        <v/>
      </c>
      <c r="E4799" s="55" t="n"/>
      <c r="F4799" s="54">
        <f>IF(E4799="","",IFERROR(IF(INDEX(lst_exp_item_cat,MATCH(E4799,lst_exp_items,0))="","❔ Без категории",INDEX(lst_exp_item_cat,MATCH(E4799,lst_exp_items,0))),"❔ Без категории"))</f>
        <v/>
      </c>
      <c r="G4799" s="43" t="n"/>
      <c r="H4799" s="56" t="n"/>
      <c r="I4799" s="43" t="n"/>
      <c r="J4799" s="57">
        <f>IF(OR(A4799="",H4799=""),"",IF(COUNTIFS(exp_year,C4799,exp_month,D4799,exp_item,E4799,exp_status,"&lt;&gt;❌ Отменено")&gt;0,1,0))</f>
        <v/>
      </c>
    </row>
    <row r="4800">
      <c r="A4800" s="52" t="n"/>
      <c r="B4800" s="53">
        <f>IF(A4800="","",CHOOSE(WEEKDAY(A4800,2),"Пн","Вт","Ср","Чт","Пт","Сб","Вс"))</f>
        <v/>
      </c>
      <c r="C4800" s="53">
        <f>IF(A4800="","",YEAR(A4800))</f>
        <v/>
      </c>
      <c r="D4800" s="54">
        <f>IF(A4800="","",INDEX(lst_months,MONTH(A4800)))</f>
        <v/>
      </c>
      <c r="E4800" s="55" t="n"/>
      <c r="F4800" s="54">
        <f>IF(E4800="","",IFERROR(IF(INDEX(lst_exp_item_cat,MATCH(E4800,lst_exp_items,0))="","❔ Без категории",INDEX(lst_exp_item_cat,MATCH(E4800,lst_exp_items,0))),"❔ Без категории"))</f>
        <v/>
      </c>
      <c r="G4800" s="43" t="n"/>
      <c r="H4800" s="56" t="n"/>
      <c r="I4800" s="43" t="n"/>
      <c r="J4800" s="57">
        <f>IF(OR(A4800="",H4800=""),"",IF(COUNTIFS(exp_year,C4800,exp_month,D4800,exp_item,E4800,exp_status,"&lt;&gt;❌ Отменено")&gt;0,1,0))</f>
        <v/>
      </c>
    </row>
    <row r="4801">
      <c r="A4801" s="52" t="n"/>
      <c r="B4801" s="53">
        <f>IF(A4801="","",CHOOSE(WEEKDAY(A4801,2),"Пн","Вт","Ср","Чт","Пт","Сб","Вс"))</f>
        <v/>
      </c>
      <c r="C4801" s="53">
        <f>IF(A4801="","",YEAR(A4801))</f>
        <v/>
      </c>
      <c r="D4801" s="54">
        <f>IF(A4801="","",INDEX(lst_months,MONTH(A4801)))</f>
        <v/>
      </c>
      <c r="E4801" s="55" t="n"/>
      <c r="F4801" s="54">
        <f>IF(E4801="","",IFERROR(IF(INDEX(lst_exp_item_cat,MATCH(E4801,lst_exp_items,0))="","❔ Без категории",INDEX(lst_exp_item_cat,MATCH(E4801,lst_exp_items,0))),"❔ Без категории"))</f>
        <v/>
      </c>
      <c r="G4801" s="43" t="n"/>
      <c r="H4801" s="56" t="n"/>
      <c r="I4801" s="43" t="n"/>
      <c r="J4801" s="57">
        <f>IF(OR(A4801="",H4801=""),"",IF(COUNTIFS(exp_year,C4801,exp_month,D4801,exp_item,E4801,exp_status,"&lt;&gt;❌ Отменено")&gt;0,1,0))</f>
        <v/>
      </c>
    </row>
    <row r="4802">
      <c r="A4802" s="52" t="n"/>
      <c r="B4802" s="53">
        <f>IF(A4802="","",CHOOSE(WEEKDAY(A4802,2),"Пн","Вт","Ср","Чт","Пт","Сб","Вс"))</f>
        <v/>
      </c>
      <c r="C4802" s="53">
        <f>IF(A4802="","",YEAR(A4802))</f>
        <v/>
      </c>
      <c r="D4802" s="54">
        <f>IF(A4802="","",INDEX(lst_months,MONTH(A4802)))</f>
        <v/>
      </c>
      <c r="E4802" s="55" t="n"/>
      <c r="F4802" s="54">
        <f>IF(E4802="","",IFERROR(IF(INDEX(lst_exp_item_cat,MATCH(E4802,lst_exp_items,0))="","❔ Без категории",INDEX(lst_exp_item_cat,MATCH(E4802,lst_exp_items,0))),"❔ Без категории"))</f>
        <v/>
      </c>
      <c r="G4802" s="43" t="n"/>
      <c r="H4802" s="56" t="n"/>
      <c r="I4802" s="43" t="n"/>
      <c r="J4802" s="57">
        <f>IF(OR(A4802="",H4802=""),"",IF(COUNTIFS(exp_year,C4802,exp_month,D4802,exp_item,E4802,exp_status,"&lt;&gt;❌ Отменено")&gt;0,1,0))</f>
        <v/>
      </c>
    </row>
    <row r="4803">
      <c r="A4803" s="52" t="n"/>
      <c r="B4803" s="53">
        <f>IF(A4803="","",CHOOSE(WEEKDAY(A4803,2),"Пн","Вт","Ср","Чт","Пт","Сб","Вс"))</f>
        <v/>
      </c>
      <c r="C4803" s="53">
        <f>IF(A4803="","",YEAR(A4803))</f>
        <v/>
      </c>
      <c r="D4803" s="54">
        <f>IF(A4803="","",INDEX(lst_months,MONTH(A4803)))</f>
        <v/>
      </c>
      <c r="E4803" s="55" t="n"/>
      <c r="F4803" s="54">
        <f>IF(E4803="","",IFERROR(IF(INDEX(lst_exp_item_cat,MATCH(E4803,lst_exp_items,0))="","❔ Без категории",INDEX(lst_exp_item_cat,MATCH(E4803,lst_exp_items,0))),"❔ Без категории"))</f>
        <v/>
      </c>
      <c r="G4803" s="43" t="n"/>
      <c r="H4803" s="56" t="n"/>
      <c r="I4803" s="43" t="n"/>
      <c r="J4803" s="57">
        <f>IF(OR(A4803="",H4803=""),"",IF(COUNTIFS(exp_year,C4803,exp_month,D4803,exp_item,E4803,exp_status,"&lt;&gt;❌ Отменено")&gt;0,1,0))</f>
        <v/>
      </c>
    </row>
    <row r="4804">
      <c r="A4804" s="52" t="n"/>
      <c r="B4804" s="53">
        <f>IF(A4804="","",CHOOSE(WEEKDAY(A4804,2),"Пн","Вт","Ср","Чт","Пт","Сб","Вс"))</f>
        <v/>
      </c>
      <c r="C4804" s="53">
        <f>IF(A4804="","",YEAR(A4804))</f>
        <v/>
      </c>
      <c r="D4804" s="54">
        <f>IF(A4804="","",INDEX(lst_months,MONTH(A4804)))</f>
        <v/>
      </c>
      <c r="E4804" s="55" t="n"/>
      <c r="F4804" s="54">
        <f>IF(E4804="","",IFERROR(IF(INDEX(lst_exp_item_cat,MATCH(E4804,lst_exp_items,0))="","❔ Без категории",INDEX(lst_exp_item_cat,MATCH(E4804,lst_exp_items,0))),"❔ Без категории"))</f>
        <v/>
      </c>
      <c r="G4804" s="43" t="n"/>
      <c r="H4804" s="56" t="n"/>
      <c r="I4804" s="43" t="n"/>
      <c r="J4804" s="57">
        <f>IF(OR(A4804="",H4804=""),"",IF(COUNTIFS(exp_year,C4804,exp_month,D4804,exp_item,E4804,exp_status,"&lt;&gt;❌ Отменено")&gt;0,1,0))</f>
        <v/>
      </c>
    </row>
    <row r="4805">
      <c r="A4805" s="52" t="n"/>
      <c r="B4805" s="53">
        <f>IF(A4805="","",CHOOSE(WEEKDAY(A4805,2),"Пн","Вт","Ср","Чт","Пт","Сб","Вс"))</f>
        <v/>
      </c>
      <c r="C4805" s="53">
        <f>IF(A4805="","",YEAR(A4805))</f>
        <v/>
      </c>
      <c r="D4805" s="54">
        <f>IF(A4805="","",INDEX(lst_months,MONTH(A4805)))</f>
        <v/>
      </c>
      <c r="E4805" s="55" t="n"/>
      <c r="F4805" s="54">
        <f>IF(E4805="","",IFERROR(IF(INDEX(lst_exp_item_cat,MATCH(E4805,lst_exp_items,0))="","❔ Без категории",INDEX(lst_exp_item_cat,MATCH(E4805,lst_exp_items,0))),"❔ Без категории"))</f>
        <v/>
      </c>
      <c r="G4805" s="43" t="n"/>
      <c r="H4805" s="56" t="n"/>
      <c r="I4805" s="43" t="n"/>
      <c r="J4805" s="57">
        <f>IF(OR(A4805="",H4805=""),"",IF(COUNTIFS(exp_year,C4805,exp_month,D4805,exp_item,E4805,exp_status,"&lt;&gt;❌ Отменено")&gt;0,1,0))</f>
        <v/>
      </c>
    </row>
    <row r="4806">
      <c r="A4806" s="52" t="n"/>
      <c r="B4806" s="53">
        <f>IF(A4806="","",CHOOSE(WEEKDAY(A4806,2),"Пн","Вт","Ср","Чт","Пт","Сб","Вс"))</f>
        <v/>
      </c>
      <c r="C4806" s="53">
        <f>IF(A4806="","",YEAR(A4806))</f>
        <v/>
      </c>
      <c r="D4806" s="54">
        <f>IF(A4806="","",INDEX(lst_months,MONTH(A4806)))</f>
        <v/>
      </c>
      <c r="E4806" s="55" t="n"/>
      <c r="F4806" s="54">
        <f>IF(E4806="","",IFERROR(IF(INDEX(lst_exp_item_cat,MATCH(E4806,lst_exp_items,0))="","❔ Без категории",INDEX(lst_exp_item_cat,MATCH(E4806,lst_exp_items,0))),"❔ Без категории"))</f>
        <v/>
      </c>
      <c r="G4806" s="43" t="n"/>
      <c r="H4806" s="56" t="n"/>
      <c r="I4806" s="43" t="n"/>
      <c r="J4806" s="57">
        <f>IF(OR(A4806="",H4806=""),"",IF(COUNTIFS(exp_year,C4806,exp_month,D4806,exp_item,E4806,exp_status,"&lt;&gt;❌ Отменено")&gt;0,1,0))</f>
        <v/>
      </c>
    </row>
    <row r="4807">
      <c r="A4807" s="52" t="n"/>
      <c r="B4807" s="53">
        <f>IF(A4807="","",CHOOSE(WEEKDAY(A4807,2),"Пн","Вт","Ср","Чт","Пт","Сб","Вс"))</f>
        <v/>
      </c>
      <c r="C4807" s="53">
        <f>IF(A4807="","",YEAR(A4807))</f>
        <v/>
      </c>
      <c r="D4807" s="54">
        <f>IF(A4807="","",INDEX(lst_months,MONTH(A4807)))</f>
        <v/>
      </c>
      <c r="E4807" s="55" t="n"/>
      <c r="F4807" s="54">
        <f>IF(E4807="","",IFERROR(IF(INDEX(lst_exp_item_cat,MATCH(E4807,lst_exp_items,0))="","❔ Без категории",INDEX(lst_exp_item_cat,MATCH(E4807,lst_exp_items,0))),"❔ Без категории"))</f>
        <v/>
      </c>
      <c r="G4807" s="43" t="n"/>
      <c r="H4807" s="56" t="n"/>
      <c r="I4807" s="43" t="n"/>
      <c r="J4807" s="57">
        <f>IF(OR(A4807="",H4807=""),"",IF(COUNTIFS(exp_year,C4807,exp_month,D4807,exp_item,E4807,exp_status,"&lt;&gt;❌ Отменено")&gt;0,1,0))</f>
        <v/>
      </c>
    </row>
    <row r="4808">
      <c r="A4808" s="52" t="n"/>
      <c r="B4808" s="53">
        <f>IF(A4808="","",CHOOSE(WEEKDAY(A4808,2),"Пн","Вт","Ср","Чт","Пт","Сб","Вс"))</f>
        <v/>
      </c>
      <c r="C4808" s="53">
        <f>IF(A4808="","",YEAR(A4808))</f>
        <v/>
      </c>
      <c r="D4808" s="54">
        <f>IF(A4808="","",INDEX(lst_months,MONTH(A4808)))</f>
        <v/>
      </c>
      <c r="E4808" s="55" t="n"/>
      <c r="F4808" s="54">
        <f>IF(E4808="","",IFERROR(IF(INDEX(lst_exp_item_cat,MATCH(E4808,lst_exp_items,0))="","❔ Без категории",INDEX(lst_exp_item_cat,MATCH(E4808,lst_exp_items,0))),"❔ Без категории"))</f>
        <v/>
      </c>
      <c r="G4808" s="43" t="n"/>
      <c r="H4808" s="56" t="n"/>
      <c r="I4808" s="43" t="n"/>
      <c r="J4808" s="57">
        <f>IF(OR(A4808="",H4808=""),"",IF(COUNTIFS(exp_year,C4808,exp_month,D4808,exp_item,E4808,exp_status,"&lt;&gt;❌ Отменено")&gt;0,1,0))</f>
        <v/>
      </c>
    </row>
    <row r="4809">
      <c r="A4809" s="52" t="n"/>
      <c r="B4809" s="53">
        <f>IF(A4809="","",CHOOSE(WEEKDAY(A4809,2),"Пн","Вт","Ср","Чт","Пт","Сб","Вс"))</f>
        <v/>
      </c>
      <c r="C4809" s="53">
        <f>IF(A4809="","",YEAR(A4809))</f>
        <v/>
      </c>
      <c r="D4809" s="54">
        <f>IF(A4809="","",INDEX(lst_months,MONTH(A4809)))</f>
        <v/>
      </c>
      <c r="E4809" s="55" t="n"/>
      <c r="F4809" s="54">
        <f>IF(E4809="","",IFERROR(IF(INDEX(lst_exp_item_cat,MATCH(E4809,lst_exp_items,0))="","❔ Без категории",INDEX(lst_exp_item_cat,MATCH(E4809,lst_exp_items,0))),"❔ Без категории"))</f>
        <v/>
      </c>
      <c r="G4809" s="43" t="n"/>
      <c r="H4809" s="56" t="n"/>
      <c r="I4809" s="43" t="n"/>
      <c r="J4809" s="57">
        <f>IF(OR(A4809="",H4809=""),"",IF(COUNTIFS(exp_year,C4809,exp_month,D4809,exp_item,E4809,exp_status,"&lt;&gt;❌ Отменено")&gt;0,1,0))</f>
        <v/>
      </c>
    </row>
    <row r="4810">
      <c r="A4810" s="52" t="n"/>
      <c r="B4810" s="53">
        <f>IF(A4810="","",CHOOSE(WEEKDAY(A4810,2),"Пн","Вт","Ср","Чт","Пт","Сб","Вс"))</f>
        <v/>
      </c>
      <c r="C4810" s="53">
        <f>IF(A4810="","",YEAR(A4810))</f>
        <v/>
      </c>
      <c r="D4810" s="54">
        <f>IF(A4810="","",INDEX(lst_months,MONTH(A4810)))</f>
        <v/>
      </c>
      <c r="E4810" s="55" t="n"/>
      <c r="F4810" s="54">
        <f>IF(E4810="","",IFERROR(IF(INDEX(lst_exp_item_cat,MATCH(E4810,lst_exp_items,0))="","❔ Без категории",INDEX(lst_exp_item_cat,MATCH(E4810,lst_exp_items,0))),"❔ Без категории"))</f>
        <v/>
      </c>
      <c r="G4810" s="43" t="n"/>
      <c r="H4810" s="56" t="n"/>
      <c r="I4810" s="43" t="n"/>
      <c r="J4810" s="57">
        <f>IF(OR(A4810="",H4810=""),"",IF(COUNTIFS(exp_year,C4810,exp_month,D4810,exp_item,E4810,exp_status,"&lt;&gt;❌ Отменено")&gt;0,1,0))</f>
        <v/>
      </c>
    </row>
    <row r="4811">
      <c r="A4811" s="52" t="n"/>
      <c r="B4811" s="53">
        <f>IF(A4811="","",CHOOSE(WEEKDAY(A4811,2),"Пн","Вт","Ср","Чт","Пт","Сб","Вс"))</f>
        <v/>
      </c>
      <c r="C4811" s="53">
        <f>IF(A4811="","",YEAR(A4811))</f>
        <v/>
      </c>
      <c r="D4811" s="54">
        <f>IF(A4811="","",INDEX(lst_months,MONTH(A4811)))</f>
        <v/>
      </c>
      <c r="E4811" s="55" t="n"/>
      <c r="F4811" s="54">
        <f>IF(E4811="","",IFERROR(IF(INDEX(lst_exp_item_cat,MATCH(E4811,lst_exp_items,0))="","❔ Без категории",INDEX(lst_exp_item_cat,MATCH(E4811,lst_exp_items,0))),"❔ Без категории"))</f>
        <v/>
      </c>
      <c r="G4811" s="43" t="n"/>
      <c r="H4811" s="56" t="n"/>
      <c r="I4811" s="43" t="n"/>
      <c r="J4811" s="57">
        <f>IF(OR(A4811="",H4811=""),"",IF(COUNTIFS(exp_year,C4811,exp_month,D4811,exp_item,E4811,exp_status,"&lt;&gt;❌ Отменено")&gt;0,1,0))</f>
        <v/>
      </c>
    </row>
    <row r="4812">
      <c r="A4812" s="52" t="n"/>
      <c r="B4812" s="53">
        <f>IF(A4812="","",CHOOSE(WEEKDAY(A4812,2),"Пн","Вт","Ср","Чт","Пт","Сб","Вс"))</f>
        <v/>
      </c>
      <c r="C4812" s="53">
        <f>IF(A4812="","",YEAR(A4812))</f>
        <v/>
      </c>
      <c r="D4812" s="54">
        <f>IF(A4812="","",INDEX(lst_months,MONTH(A4812)))</f>
        <v/>
      </c>
      <c r="E4812" s="55" t="n"/>
      <c r="F4812" s="54">
        <f>IF(E4812="","",IFERROR(IF(INDEX(lst_exp_item_cat,MATCH(E4812,lst_exp_items,0))="","❔ Без категории",INDEX(lst_exp_item_cat,MATCH(E4812,lst_exp_items,0))),"❔ Без категории"))</f>
        <v/>
      </c>
      <c r="G4812" s="43" t="n"/>
      <c r="H4812" s="56" t="n"/>
      <c r="I4812" s="43" t="n"/>
      <c r="J4812" s="57">
        <f>IF(OR(A4812="",H4812=""),"",IF(COUNTIFS(exp_year,C4812,exp_month,D4812,exp_item,E4812,exp_status,"&lt;&gt;❌ Отменено")&gt;0,1,0))</f>
        <v/>
      </c>
    </row>
    <row r="4813">
      <c r="A4813" s="52" t="n"/>
      <c r="B4813" s="53">
        <f>IF(A4813="","",CHOOSE(WEEKDAY(A4813,2),"Пн","Вт","Ср","Чт","Пт","Сб","Вс"))</f>
        <v/>
      </c>
      <c r="C4813" s="53">
        <f>IF(A4813="","",YEAR(A4813))</f>
        <v/>
      </c>
      <c r="D4813" s="54">
        <f>IF(A4813="","",INDEX(lst_months,MONTH(A4813)))</f>
        <v/>
      </c>
      <c r="E4813" s="55" t="n"/>
      <c r="F4813" s="54">
        <f>IF(E4813="","",IFERROR(IF(INDEX(lst_exp_item_cat,MATCH(E4813,lst_exp_items,0))="","❔ Без категории",INDEX(lst_exp_item_cat,MATCH(E4813,lst_exp_items,0))),"❔ Без категории"))</f>
        <v/>
      </c>
      <c r="G4813" s="43" t="n"/>
      <c r="H4813" s="56" t="n"/>
      <c r="I4813" s="43" t="n"/>
      <c r="J4813" s="57">
        <f>IF(OR(A4813="",H4813=""),"",IF(COUNTIFS(exp_year,C4813,exp_month,D4813,exp_item,E4813,exp_status,"&lt;&gt;❌ Отменено")&gt;0,1,0))</f>
        <v/>
      </c>
    </row>
    <row r="4814">
      <c r="A4814" s="52" t="n"/>
      <c r="B4814" s="53">
        <f>IF(A4814="","",CHOOSE(WEEKDAY(A4814,2),"Пн","Вт","Ср","Чт","Пт","Сб","Вс"))</f>
        <v/>
      </c>
      <c r="C4814" s="53">
        <f>IF(A4814="","",YEAR(A4814))</f>
        <v/>
      </c>
      <c r="D4814" s="54">
        <f>IF(A4814="","",INDEX(lst_months,MONTH(A4814)))</f>
        <v/>
      </c>
      <c r="E4814" s="55" t="n"/>
      <c r="F4814" s="54">
        <f>IF(E4814="","",IFERROR(IF(INDEX(lst_exp_item_cat,MATCH(E4814,lst_exp_items,0))="","❔ Без категории",INDEX(lst_exp_item_cat,MATCH(E4814,lst_exp_items,0))),"❔ Без категории"))</f>
        <v/>
      </c>
      <c r="G4814" s="43" t="n"/>
      <c r="H4814" s="56" t="n"/>
      <c r="I4814" s="43" t="n"/>
      <c r="J4814" s="57">
        <f>IF(OR(A4814="",H4814=""),"",IF(COUNTIFS(exp_year,C4814,exp_month,D4814,exp_item,E4814,exp_status,"&lt;&gt;❌ Отменено")&gt;0,1,0))</f>
        <v/>
      </c>
    </row>
    <row r="4815">
      <c r="A4815" s="52" t="n"/>
      <c r="B4815" s="53">
        <f>IF(A4815="","",CHOOSE(WEEKDAY(A4815,2),"Пн","Вт","Ср","Чт","Пт","Сб","Вс"))</f>
        <v/>
      </c>
      <c r="C4815" s="53">
        <f>IF(A4815="","",YEAR(A4815))</f>
        <v/>
      </c>
      <c r="D4815" s="54">
        <f>IF(A4815="","",INDEX(lst_months,MONTH(A4815)))</f>
        <v/>
      </c>
      <c r="E4815" s="55" t="n"/>
      <c r="F4815" s="54">
        <f>IF(E4815="","",IFERROR(IF(INDEX(lst_exp_item_cat,MATCH(E4815,lst_exp_items,0))="","❔ Без категории",INDEX(lst_exp_item_cat,MATCH(E4815,lst_exp_items,0))),"❔ Без категории"))</f>
        <v/>
      </c>
      <c r="G4815" s="43" t="n"/>
      <c r="H4815" s="56" t="n"/>
      <c r="I4815" s="43" t="n"/>
      <c r="J4815" s="57">
        <f>IF(OR(A4815="",H4815=""),"",IF(COUNTIFS(exp_year,C4815,exp_month,D4815,exp_item,E4815,exp_status,"&lt;&gt;❌ Отменено")&gt;0,1,0))</f>
        <v/>
      </c>
    </row>
    <row r="4816">
      <c r="A4816" s="52" t="n"/>
      <c r="B4816" s="53">
        <f>IF(A4816="","",CHOOSE(WEEKDAY(A4816,2),"Пн","Вт","Ср","Чт","Пт","Сб","Вс"))</f>
        <v/>
      </c>
      <c r="C4816" s="53">
        <f>IF(A4816="","",YEAR(A4816))</f>
        <v/>
      </c>
      <c r="D4816" s="54">
        <f>IF(A4816="","",INDEX(lst_months,MONTH(A4816)))</f>
        <v/>
      </c>
      <c r="E4816" s="55" t="n"/>
      <c r="F4816" s="54">
        <f>IF(E4816="","",IFERROR(IF(INDEX(lst_exp_item_cat,MATCH(E4816,lst_exp_items,0))="","❔ Без категории",INDEX(lst_exp_item_cat,MATCH(E4816,lst_exp_items,0))),"❔ Без категории"))</f>
        <v/>
      </c>
      <c r="G4816" s="43" t="n"/>
      <c r="H4816" s="56" t="n"/>
      <c r="I4816" s="43" t="n"/>
      <c r="J4816" s="57">
        <f>IF(OR(A4816="",H4816=""),"",IF(COUNTIFS(exp_year,C4816,exp_month,D4816,exp_item,E4816,exp_status,"&lt;&gt;❌ Отменено")&gt;0,1,0))</f>
        <v/>
      </c>
    </row>
    <row r="4817">
      <c r="A4817" s="52" t="n"/>
      <c r="B4817" s="53">
        <f>IF(A4817="","",CHOOSE(WEEKDAY(A4817,2),"Пн","Вт","Ср","Чт","Пт","Сб","Вс"))</f>
        <v/>
      </c>
      <c r="C4817" s="53">
        <f>IF(A4817="","",YEAR(A4817))</f>
        <v/>
      </c>
      <c r="D4817" s="54">
        <f>IF(A4817="","",INDEX(lst_months,MONTH(A4817)))</f>
        <v/>
      </c>
      <c r="E4817" s="55" t="n"/>
      <c r="F4817" s="54">
        <f>IF(E4817="","",IFERROR(IF(INDEX(lst_exp_item_cat,MATCH(E4817,lst_exp_items,0))="","❔ Без категории",INDEX(lst_exp_item_cat,MATCH(E4817,lst_exp_items,0))),"❔ Без категории"))</f>
        <v/>
      </c>
      <c r="G4817" s="43" t="n"/>
      <c r="H4817" s="56" t="n"/>
      <c r="I4817" s="43" t="n"/>
      <c r="J4817" s="57">
        <f>IF(OR(A4817="",H4817=""),"",IF(COUNTIFS(exp_year,C4817,exp_month,D4817,exp_item,E4817,exp_status,"&lt;&gt;❌ Отменено")&gt;0,1,0))</f>
        <v/>
      </c>
    </row>
    <row r="4818">
      <c r="A4818" s="52" t="n"/>
      <c r="B4818" s="53">
        <f>IF(A4818="","",CHOOSE(WEEKDAY(A4818,2),"Пн","Вт","Ср","Чт","Пт","Сб","Вс"))</f>
        <v/>
      </c>
      <c r="C4818" s="53">
        <f>IF(A4818="","",YEAR(A4818))</f>
        <v/>
      </c>
      <c r="D4818" s="54">
        <f>IF(A4818="","",INDEX(lst_months,MONTH(A4818)))</f>
        <v/>
      </c>
      <c r="E4818" s="55" t="n"/>
      <c r="F4818" s="54">
        <f>IF(E4818="","",IFERROR(IF(INDEX(lst_exp_item_cat,MATCH(E4818,lst_exp_items,0))="","❔ Без категории",INDEX(lst_exp_item_cat,MATCH(E4818,lst_exp_items,0))),"❔ Без категории"))</f>
        <v/>
      </c>
      <c r="G4818" s="43" t="n"/>
      <c r="H4818" s="56" t="n"/>
      <c r="I4818" s="43" t="n"/>
      <c r="J4818" s="57">
        <f>IF(OR(A4818="",H4818=""),"",IF(COUNTIFS(exp_year,C4818,exp_month,D4818,exp_item,E4818,exp_status,"&lt;&gt;❌ Отменено")&gt;0,1,0))</f>
        <v/>
      </c>
    </row>
    <row r="4819">
      <c r="A4819" s="52" t="n"/>
      <c r="B4819" s="53">
        <f>IF(A4819="","",CHOOSE(WEEKDAY(A4819,2),"Пн","Вт","Ср","Чт","Пт","Сб","Вс"))</f>
        <v/>
      </c>
      <c r="C4819" s="53">
        <f>IF(A4819="","",YEAR(A4819))</f>
        <v/>
      </c>
      <c r="D4819" s="54">
        <f>IF(A4819="","",INDEX(lst_months,MONTH(A4819)))</f>
        <v/>
      </c>
      <c r="E4819" s="55" t="n"/>
      <c r="F4819" s="54">
        <f>IF(E4819="","",IFERROR(IF(INDEX(lst_exp_item_cat,MATCH(E4819,lst_exp_items,0))="","❔ Без категории",INDEX(lst_exp_item_cat,MATCH(E4819,lst_exp_items,0))),"❔ Без категории"))</f>
        <v/>
      </c>
      <c r="G4819" s="43" t="n"/>
      <c r="H4819" s="56" t="n"/>
      <c r="I4819" s="43" t="n"/>
      <c r="J4819" s="57">
        <f>IF(OR(A4819="",H4819=""),"",IF(COUNTIFS(exp_year,C4819,exp_month,D4819,exp_item,E4819,exp_status,"&lt;&gt;❌ Отменено")&gt;0,1,0))</f>
        <v/>
      </c>
    </row>
    <row r="4820">
      <c r="A4820" s="52" t="n"/>
      <c r="B4820" s="53">
        <f>IF(A4820="","",CHOOSE(WEEKDAY(A4820,2),"Пн","Вт","Ср","Чт","Пт","Сб","Вс"))</f>
        <v/>
      </c>
      <c r="C4820" s="53">
        <f>IF(A4820="","",YEAR(A4820))</f>
        <v/>
      </c>
      <c r="D4820" s="54">
        <f>IF(A4820="","",INDEX(lst_months,MONTH(A4820)))</f>
        <v/>
      </c>
      <c r="E4820" s="55" t="n"/>
      <c r="F4820" s="54">
        <f>IF(E4820="","",IFERROR(IF(INDEX(lst_exp_item_cat,MATCH(E4820,lst_exp_items,0))="","❔ Без категории",INDEX(lst_exp_item_cat,MATCH(E4820,lst_exp_items,0))),"❔ Без категории"))</f>
        <v/>
      </c>
      <c r="G4820" s="43" t="n"/>
      <c r="H4820" s="56" t="n"/>
      <c r="I4820" s="43" t="n"/>
      <c r="J4820" s="57">
        <f>IF(OR(A4820="",H4820=""),"",IF(COUNTIFS(exp_year,C4820,exp_month,D4820,exp_item,E4820,exp_status,"&lt;&gt;❌ Отменено")&gt;0,1,0))</f>
        <v/>
      </c>
    </row>
    <row r="4821">
      <c r="A4821" s="52" t="n"/>
      <c r="B4821" s="53">
        <f>IF(A4821="","",CHOOSE(WEEKDAY(A4821,2),"Пн","Вт","Ср","Чт","Пт","Сб","Вс"))</f>
        <v/>
      </c>
      <c r="C4821" s="53">
        <f>IF(A4821="","",YEAR(A4821))</f>
        <v/>
      </c>
      <c r="D4821" s="54">
        <f>IF(A4821="","",INDEX(lst_months,MONTH(A4821)))</f>
        <v/>
      </c>
      <c r="E4821" s="55" t="n"/>
      <c r="F4821" s="54">
        <f>IF(E4821="","",IFERROR(IF(INDEX(lst_exp_item_cat,MATCH(E4821,lst_exp_items,0))="","❔ Без категории",INDEX(lst_exp_item_cat,MATCH(E4821,lst_exp_items,0))),"❔ Без категории"))</f>
        <v/>
      </c>
      <c r="G4821" s="43" t="n"/>
      <c r="H4821" s="56" t="n"/>
      <c r="I4821" s="43" t="n"/>
      <c r="J4821" s="57">
        <f>IF(OR(A4821="",H4821=""),"",IF(COUNTIFS(exp_year,C4821,exp_month,D4821,exp_item,E4821,exp_status,"&lt;&gt;❌ Отменено")&gt;0,1,0))</f>
        <v/>
      </c>
    </row>
    <row r="4822">
      <c r="A4822" s="52" t="n"/>
      <c r="B4822" s="53">
        <f>IF(A4822="","",CHOOSE(WEEKDAY(A4822,2),"Пн","Вт","Ср","Чт","Пт","Сб","Вс"))</f>
        <v/>
      </c>
      <c r="C4822" s="53">
        <f>IF(A4822="","",YEAR(A4822))</f>
        <v/>
      </c>
      <c r="D4822" s="54">
        <f>IF(A4822="","",INDEX(lst_months,MONTH(A4822)))</f>
        <v/>
      </c>
      <c r="E4822" s="55" t="n"/>
      <c r="F4822" s="54">
        <f>IF(E4822="","",IFERROR(IF(INDEX(lst_exp_item_cat,MATCH(E4822,lst_exp_items,0))="","❔ Без категории",INDEX(lst_exp_item_cat,MATCH(E4822,lst_exp_items,0))),"❔ Без категории"))</f>
        <v/>
      </c>
      <c r="G4822" s="43" t="n"/>
      <c r="H4822" s="56" t="n"/>
      <c r="I4822" s="43" t="n"/>
      <c r="J4822" s="57">
        <f>IF(OR(A4822="",H4822=""),"",IF(COUNTIFS(exp_year,C4822,exp_month,D4822,exp_item,E4822,exp_status,"&lt;&gt;❌ Отменено")&gt;0,1,0))</f>
        <v/>
      </c>
    </row>
    <row r="4823">
      <c r="A4823" s="52" t="n"/>
      <c r="B4823" s="53">
        <f>IF(A4823="","",CHOOSE(WEEKDAY(A4823,2),"Пн","Вт","Ср","Чт","Пт","Сб","Вс"))</f>
        <v/>
      </c>
      <c r="C4823" s="53">
        <f>IF(A4823="","",YEAR(A4823))</f>
        <v/>
      </c>
      <c r="D4823" s="54">
        <f>IF(A4823="","",INDEX(lst_months,MONTH(A4823)))</f>
        <v/>
      </c>
      <c r="E4823" s="55" t="n"/>
      <c r="F4823" s="54">
        <f>IF(E4823="","",IFERROR(IF(INDEX(lst_exp_item_cat,MATCH(E4823,lst_exp_items,0))="","❔ Без категории",INDEX(lst_exp_item_cat,MATCH(E4823,lst_exp_items,0))),"❔ Без категории"))</f>
        <v/>
      </c>
      <c r="G4823" s="43" t="n"/>
      <c r="H4823" s="56" t="n"/>
      <c r="I4823" s="43" t="n"/>
      <c r="J4823" s="57">
        <f>IF(OR(A4823="",H4823=""),"",IF(COUNTIFS(exp_year,C4823,exp_month,D4823,exp_item,E4823,exp_status,"&lt;&gt;❌ Отменено")&gt;0,1,0))</f>
        <v/>
      </c>
    </row>
    <row r="4824">
      <c r="A4824" s="52" t="n"/>
      <c r="B4824" s="53">
        <f>IF(A4824="","",CHOOSE(WEEKDAY(A4824,2),"Пн","Вт","Ср","Чт","Пт","Сб","Вс"))</f>
        <v/>
      </c>
      <c r="C4824" s="53">
        <f>IF(A4824="","",YEAR(A4824))</f>
        <v/>
      </c>
      <c r="D4824" s="54">
        <f>IF(A4824="","",INDEX(lst_months,MONTH(A4824)))</f>
        <v/>
      </c>
      <c r="E4824" s="55" t="n"/>
      <c r="F4824" s="54">
        <f>IF(E4824="","",IFERROR(IF(INDEX(lst_exp_item_cat,MATCH(E4824,lst_exp_items,0))="","❔ Без категории",INDEX(lst_exp_item_cat,MATCH(E4824,lst_exp_items,0))),"❔ Без категории"))</f>
        <v/>
      </c>
      <c r="G4824" s="43" t="n"/>
      <c r="H4824" s="56" t="n"/>
      <c r="I4824" s="43" t="n"/>
      <c r="J4824" s="57">
        <f>IF(OR(A4824="",H4824=""),"",IF(COUNTIFS(exp_year,C4824,exp_month,D4824,exp_item,E4824,exp_status,"&lt;&gt;❌ Отменено")&gt;0,1,0))</f>
        <v/>
      </c>
    </row>
    <row r="4825">
      <c r="A4825" s="52" t="n"/>
      <c r="B4825" s="53">
        <f>IF(A4825="","",CHOOSE(WEEKDAY(A4825,2),"Пн","Вт","Ср","Чт","Пт","Сб","Вс"))</f>
        <v/>
      </c>
      <c r="C4825" s="53">
        <f>IF(A4825="","",YEAR(A4825))</f>
        <v/>
      </c>
      <c r="D4825" s="54">
        <f>IF(A4825="","",INDEX(lst_months,MONTH(A4825)))</f>
        <v/>
      </c>
      <c r="E4825" s="55" t="n"/>
      <c r="F4825" s="54">
        <f>IF(E4825="","",IFERROR(IF(INDEX(lst_exp_item_cat,MATCH(E4825,lst_exp_items,0))="","❔ Без категории",INDEX(lst_exp_item_cat,MATCH(E4825,lst_exp_items,0))),"❔ Без категории"))</f>
        <v/>
      </c>
      <c r="G4825" s="43" t="n"/>
      <c r="H4825" s="56" t="n"/>
      <c r="I4825" s="43" t="n"/>
      <c r="J4825" s="57">
        <f>IF(OR(A4825="",H4825=""),"",IF(COUNTIFS(exp_year,C4825,exp_month,D4825,exp_item,E4825,exp_status,"&lt;&gt;❌ Отменено")&gt;0,1,0))</f>
        <v/>
      </c>
    </row>
    <row r="4826">
      <c r="A4826" s="52" t="n"/>
      <c r="B4826" s="53">
        <f>IF(A4826="","",CHOOSE(WEEKDAY(A4826,2),"Пн","Вт","Ср","Чт","Пт","Сб","Вс"))</f>
        <v/>
      </c>
      <c r="C4826" s="53">
        <f>IF(A4826="","",YEAR(A4826))</f>
        <v/>
      </c>
      <c r="D4826" s="54">
        <f>IF(A4826="","",INDEX(lst_months,MONTH(A4826)))</f>
        <v/>
      </c>
      <c r="E4826" s="55" t="n"/>
      <c r="F4826" s="54">
        <f>IF(E4826="","",IFERROR(IF(INDEX(lst_exp_item_cat,MATCH(E4826,lst_exp_items,0))="","❔ Без категории",INDEX(lst_exp_item_cat,MATCH(E4826,lst_exp_items,0))),"❔ Без категории"))</f>
        <v/>
      </c>
      <c r="G4826" s="43" t="n"/>
      <c r="H4826" s="56" t="n"/>
      <c r="I4826" s="43" t="n"/>
      <c r="J4826" s="57">
        <f>IF(OR(A4826="",H4826=""),"",IF(COUNTIFS(exp_year,C4826,exp_month,D4826,exp_item,E4826,exp_status,"&lt;&gt;❌ Отменено")&gt;0,1,0))</f>
        <v/>
      </c>
    </row>
    <row r="4827">
      <c r="A4827" s="52" t="n"/>
      <c r="B4827" s="53">
        <f>IF(A4827="","",CHOOSE(WEEKDAY(A4827,2),"Пн","Вт","Ср","Чт","Пт","Сб","Вс"))</f>
        <v/>
      </c>
      <c r="C4827" s="53">
        <f>IF(A4827="","",YEAR(A4827))</f>
        <v/>
      </c>
      <c r="D4827" s="54">
        <f>IF(A4827="","",INDEX(lst_months,MONTH(A4827)))</f>
        <v/>
      </c>
      <c r="E4827" s="55" t="n"/>
      <c r="F4827" s="54">
        <f>IF(E4827="","",IFERROR(IF(INDEX(lst_exp_item_cat,MATCH(E4827,lst_exp_items,0))="","❔ Без категории",INDEX(lst_exp_item_cat,MATCH(E4827,lst_exp_items,0))),"❔ Без категории"))</f>
        <v/>
      </c>
      <c r="G4827" s="43" t="n"/>
      <c r="H4827" s="56" t="n"/>
      <c r="I4827" s="43" t="n"/>
      <c r="J4827" s="57">
        <f>IF(OR(A4827="",H4827=""),"",IF(COUNTIFS(exp_year,C4827,exp_month,D4827,exp_item,E4827,exp_status,"&lt;&gt;❌ Отменено")&gt;0,1,0))</f>
        <v/>
      </c>
    </row>
    <row r="4828">
      <c r="A4828" s="52" t="n"/>
      <c r="B4828" s="53">
        <f>IF(A4828="","",CHOOSE(WEEKDAY(A4828,2),"Пн","Вт","Ср","Чт","Пт","Сб","Вс"))</f>
        <v/>
      </c>
      <c r="C4828" s="53">
        <f>IF(A4828="","",YEAR(A4828))</f>
        <v/>
      </c>
      <c r="D4828" s="54">
        <f>IF(A4828="","",INDEX(lst_months,MONTH(A4828)))</f>
        <v/>
      </c>
      <c r="E4828" s="55" t="n"/>
      <c r="F4828" s="54">
        <f>IF(E4828="","",IFERROR(IF(INDEX(lst_exp_item_cat,MATCH(E4828,lst_exp_items,0))="","❔ Без категории",INDEX(lst_exp_item_cat,MATCH(E4828,lst_exp_items,0))),"❔ Без категории"))</f>
        <v/>
      </c>
      <c r="G4828" s="43" t="n"/>
      <c r="H4828" s="56" t="n"/>
      <c r="I4828" s="43" t="n"/>
      <c r="J4828" s="57">
        <f>IF(OR(A4828="",H4828=""),"",IF(COUNTIFS(exp_year,C4828,exp_month,D4828,exp_item,E4828,exp_status,"&lt;&gt;❌ Отменено")&gt;0,1,0))</f>
        <v/>
      </c>
    </row>
    <row r="4829">
      <c r="A4829" s="52" t="n"/>
      <c r="B4829" s="53">
        <f>IF(A4829="","",CHOOSE(WEEKDAY(A4829,2),"Пн","Вт","Ср","Чт","Пт","Сб","Вс"))</f>
        <v/>
      </c>
      <c r="C4829" s="53">
        <f>IF(A4829="","",YEAR(A4829))</f>
        <v/>
      </c>
      <c r="D4829" s="54">
        <f>IF(A4829="","",INDEX(lst_months,MONTH(A4829)))</f>
        <v/>
      </c>
      <c r="E4829" s="55" t="n"/>
      <c r="F4829" s="54">
        <f>IF(E4829="","",IFERROR(IF(INDEX(lst_exp_item_cat,MATCH(E4829,lst_exp_items,0))="","❔ Без категории",INDEX(lst_exp_item_cat,MATCH(E4829,lst_exp_items,0))),"❔ Без категории"))</f>
        <v/>
      </c>
      <c r="G4829" s="43" t="n"/>
      <c r="H4829" s="56" t="n"/>
      <c r="I4829" s="43" t="n"/>
      <c r="J4829" s="57">
        <f>IF(OR(A4829="",H4829=""),"",IF(COUNTIFS(exp_year,C4829,exp_month,D4829,exp_item,E4829,exp_status,"&lt;&gt;❌ Отменено")&gt;0,1,0))</f>
        <v/>
      </c>
    </row>
    <row r="4830">
      <c r="A4830" s="52" t="n"/>
      <c r="B4830" s="53">
        <f>IF(A4830="","",CHOOSE(WEEKDAY(A4830,2),"Пн","Вт","Ср","Чт","Пт","Сб","Вс"))</f>
        <v/>
      </c>
      <c r="C4830" s="53">
        <f>IF(A4830="","",YEAR(A4830))</f>
        <v/>
      </c>
      <c r="D4830" s="54">
        <f>IF(A4830="","",INDEX(lst_months,MONTH(A4830)))</f>
        <v/>
      </c>
      <c r="E4830" s="55" t="n"/>
      <c r="F4830" s="54">
        <f>IF(E4830="","",IFERROR(IF(INDEX(lst_exp_item_cat,MATCH(E4830,lst_exp_items,0))="","❔ Без категории",INDEX(lst_exp_item_cat,MATCH(E4830,lst_exp_items,0))),"❔ Без категории"))</f>
        <v/>
      </c>
      <c r="G4830" s="43" t="n"/>
      <c r="H4830" s="56" t="n"/>
      <c r="I4830" s="43" t="n"/>
      <c r="J4830" s="57">
        <f>IF(OR(A4830="",H4830=""),"",IF(COUNTIFS(exp_year,C4830,exp_month,D4830,exp_item,E4830,exp_status,"&lt;&gt;❌ Отменено")&gt;0,1,0))</f>
        <v/>
      </c>
    </row>
    <row r="4831">
      <c r="A4831" s="52" t="n"/>
      <c r="B4831" s="53">
        <f>IF(A4831="","",CHOOSE(WEEKDAY(A4831,2),"Пн","Вт","Ср","Чт","Пт","Сб","Вс"))</f>
        <v/>
      </c>
      <c r="C4831" s="53">
        <f>IF(A4831="","",YEAR(A4831))</f>
        <v/>
      </c>
      <c r="D4831" s="54">
        <f>IF(A4831="","",INDEX(lst_months,MONTH(A4831)))</f>
        <v/>
      </c>
      <c r="E4831" s="55" t="n"/>
      <c r="F4831" s="54">
        <f>IF(E4831="","",IFERROR(IF(INDEX(lst_exp_item_cat,MATCH(E4831,lst_exp_items,0))="","❔ Без категории",INDEX(lst_exp_item_cat,MATCH(E4831,lst_exp_items,0))),"❔ Без категории"))</f>
        <v/>
      </c>
      <c r="G4831" s="43" t="n"/>
      <c r="H4831" s="56" t="n"/>
      <c r="I4831" s="43" t="n"/>
      <c r="J4831" s="57">
        <f>IF(OR(A4831="",H4831=""),"",IF(COUNTIFS(exp_year,C4831,exp_month,D4831,exp_item,E4831,exp_status,"&lt;&gt;❌ Отменено")&gt;0,1,0))</f>
        <v/>
      </c>
    </row>
    <row r="4832">
      <c r="A4832" s="52" t="n"/>
      <c r="B4832" s="53">
        <f>IF(A4832="","",CHOOSE(WEEKDAY(A4832,2),"Пн","Вт","Ср","Чт","Пт","Сб","Вс"))</f>
        <v/>
      </c>
      <c r="C4832" s="53">
        <f>IF(A4832="","",YEAR(A4832))</f>
        <v/>
      </c>
      <c r="D4832" s="54">
        <f>IF(A4832="","",INDEX(lst_months,MONTH(A4832)))</f>
        <v/>
      </c>
      <c r="E4832" s="55" t="n"/>
      <c r="F4832" s="54">
        <f>IF(E4832="","",IFERROR(IF(INDEX(lst_exp_item_cat,MATCH(E4832,lst_exp_items,0))="","❔ Без категории",INDEX(lst_exp_item_cat,MATCH(E4832,lst_exp_items,0))),"❔ Без категории"))</f>
        <v/>
      </c>
      <c r="G4832" s="43" t="n"/>
      <c r="H4832" s="56" t="n"/>
      <c r="I4832" s="43" t="n"/>
      <c r="J4832" s="57">
        <f>IF(OR(A4832="",H4832=""),"",IF(COUNTIFS(exp_year,C4832,exp_month,D4832,exp_item,E4832,exp_status,"&lt;&gt;❌ Отменено")&gt;0,1,0))</f>
        <v/>
      </c>
    </row>
    <row r="4833">
      <c r="A4833" s="52" t="n"/>
      <c r="B4833" s="53">
        <f>IF(A4833="","",CHOOSE(WEEKDAY(A4833,2),"Пн","Вт","Ср","Чт","Пт","Сб","Вс"))</f>
        <v/>
      </c>
      <c r="C4833" s="53">
        <f>IF(A4833="","",YEAR(A4833))</f>
        <v/>
      </c>
      <c r="D4833" s="54">
        <f>IF(A4833="","",INDEX(lst_months,MONTH(A4833)))</f>
        <v/>
      </c>
      <c r="E4833" s="55" t="n"/>
      <c r="F4833" s="54">
        <f>IF(E4833="","",IFERROR(IF(INDEX(lst_exp_item_cat,MATCH(E4833,lst_exp_items,0))="","❔ Без категории",INDEX(lst_exp_item_cat,MATCH(E4833,lst_exp_items,0))),"❔ Без категории"))</f>
        <v/>
      </c>
      <c r="G4833" s="43" t="n"/>
      <c r="H4833" s="56" t="n"/>
      <c r="I4833" s="43" t="n"/>
      <c r="J4833" s="57">
        <f>IF(OR(A4833="",H4833=""),"",IF(COUNTIFS(exp_year,C4833,exp_month,D4833,exp_item,E4833,exp_status,"&lt;&gt;❌ Отменено")&gt;0,1,0))</f>
        <v/>
      </c>
    </row>
    <row r="4834">
      <c r="A4834" s="52" t="n"/>
      <c r="B4834" s="53">
        <f>IF(A4834="","",CHOOSE(WEEKDAY(A4834,2),"Пн","Вт","Ср","Чт","Пт","Сб","Вс"))</f>
        <v/>
      </c>
      <c r="C4834" s="53">
        <f>IF(A4834="","",YEAR(A4834))</f>
        <v/>
      </c>
      <c r="D4834" s="54">
        <f>IF(A4834="","",INDEX(lst_months,MONTH(A4834)))</f>
        <v/>
      </c>
      <c r="E4834" s="55" t="n"/>
      <c r="F4834" s="54">
        <f>IF(E4834="","",IFERROR(IF(INDEX(lst_exp_item_cat,MATCH(E4834,lst_exp_items,0))="","❔ Без категории",INDEX(lst_exp_item_cat,MATCH(E4834,lst_exp_items,0))),"❔ Без категории"))</f>
        <v/>
      </c>
      <c r="G4834" s="43" t="n"/>
      <c r="H4834" s="56" t="n"/>
      <c r="I4834" s="43" t="n"/>
      <c r="J4834" s="57">
        <f>IF(OR(A4834="",H4834=""),"",IF(COUNTIFS(exp_year,C4834,exp_month,D4834,exp_item,E4834,exp_status,"&lt;&gt;❌ Отменено")&gt;0,1,0))</f>
        <v/>
      </c>
    </row>
    <row r="4835">
      <c r="A4835" s="52" t="n"/>
      <c r="B4835" s="53">
        <f>IF(A4835="","",CHOOSE(WEEKDAY(A4835,2),"Пн","Вт","Ср","Чт","Пт","Сб","Вс"))</f>
        <v/>
      </c>
      <c r="C4835" s="53">
        <f>IF(A4835="","",YEAR(A4835))</f>
        <v/>
      </c>
      <c r="D4835" s="54">
        <f>IF(A4835="","",INDEX(lst_months,MONTH(A4835)))</f>
        <v/>
      </c>
      <c r="E4835" s="55" t="n"/>
      <c r="F4835" s="54">
        <f>IF(E4835="","",IFERROR(IF(INDEX(lst_exp_item_cat,MATCH(E4835,lst_exp_items,0))="","❔ Без категории",INDEX(lst_exp_item_cat,MATCH(E4835,lst_exp_items,0))),"❔ Без категории"))</f>
        <v/>
      </c>
      <c r="G4835" s="43" t="n"/>
      <c r="H4835" s="56" t="n"/>
      <c r="I4835" s="43" t="n"/>
      <c r="J4835" s="57">
        <f>IF(OR(A4835="",H4835=""),"",IF(COUNTIFS(exp_year,C4835,exp_month,D4835,exp_item,E4835,exp_status,"&lt;&gt;❌ Отменено")&gt;0,1,0))</f>
        <v/>
      </c>
    </row>
    <row r="4836">
      <c r="A4836" s="52" t="n"/>
      <c r="B4836" s="53">
        <f>IF(A4836="","",CHOOSE(WEEKDAY(A4836,2),"Пн","Вт","Ср","Чт","Пт","Сб","Вс"))</f>
        <v/>
      </c>
      <c r="C4836" s="53">
        <f>IF(A4836="","",YEAR(A4836))</f>
        <v/>
      </c>
      <c r="D4836" s="54">
        <f>IF(A4836="","",INDEX(lst_months,MONTH(A4836)))</f>
        <v/>
      </c>
      <c r="E4836" s="55" t="n"/>
      <c r="F4836" s="54">
        <f>IF(E4836="","",IFERROR(IF(INDEX(lst_exp_item_cat,MATCH(E4836,lst_exp_items,0))="","❔ Без категории",INDEX(lst_exp_item_cat,MATCH(E4836,lst_exp_items,0))),"❔ Без категории"))</f>
        <v/>
      </c>
      <c r="G4836" s="43" t="n"/>
      <c r="H4836" s="56" t="n"/>
      <c r="I4836" s="43" t="n"/>
      <c r="J4836" s="57">
        <f>IF(OR(A4836="",H4836=""),"",IF(COUNTIFS(exp_year,C4836,exp_month,D4836,exp_item,E4836,exp_status,"&lt;&gt;❌ Отменено")&gt;0,1,0))</f>
        <v/>
      </c>
    </row>
    <row r="4837">
      <c r="A4837" s="52" t="n"/>
      <c r="B4837" s="53">
        <f>IF(A4837="","",CHOOSE(WEEKDAY(A4837,2),"Пн","Вт","Ср","Чт","Пт","Сб","Вс"))</f>
        <v/>
      </c>
      <c r="C4837" s="53">
        <f>IF(A4837="","",YEAR(A4837))</f>
        <v/>
      </c>
      <c r="D4837" s="54">
        <f>IF(A4837="","",INDEX(lst_months,MONTH(A4837)))</f>
        <v/>
      </c>
      <c r="E4837" s="55" t="n"/>
      <c r="F4837" s="54">
        <f>IF(E4837="","",IFERROR(IF(INDEX(lst_exp_item_cat,MATCH(E4837,lst_exp_items,0))="","❔ Без категории",INDEX(lst_exp_item_cat,MATCH(E4837,lst_exp_items,0))),"❔ Без категории"))</f>
        <v/>
      </c>
      <c r="G4837" s="43" t="n"/>
      <c r="H4837" s="56" t="n"/>
      <c r="I4837" s="43" t="n"/>
      <c r="J4837" s="57">
        <f>IF(OR(A4837="",H4837=""),"",IF(COUNTIFS(exp_year,C4837,exp_month,D4837,exp_item,E4837,exp_status,"&lt;&gt;❌ Отменено")&gt;0,1,0))</f>
        <v/>
      </c>
    </row>
    <row r="4838">
      <c r="A4838" s="52" t="n"/>
      <c r="B4838" s="53">
        <f>IF(A4838="","",CHOOSE(WEEKDAY(A4838,2),"Пн","Вт","Ср","Чт","Пт","Сб","Вс"))</f>
        <v/>
      </c>
      <c r="C4838" s="53">
        <f>IF(A4838="","",YEAR(A4838))</f>
        <v/>
      </c>
      <c r="D4838" s="54">
        <f>IF(A4838="","",INDEX(lst_months,MONTH(A4838)))</f>
        <v/>
      </c>
      <c r="E4838" s="55" t="n"/>
      <c r="F4838" s="54">
        <f>IF(E4838="","",IFERROR(IF(INDEX(lst_exp_item_cat,MATCH(E4838,lst_exp_items,0))="","❔ Без категории",INDEX(lst_exp_item_cat,MATCH(E4838,lst_exp_items,0))),"❔ Без категории"))</f>
        <v/>
      </c>
      <c r="G4838" s="43" t="n"/>
      <c r="H4838" s="56" t="n"/>
      <c r="I4838" s="43" t="n"/>
      <c r="J4838" s="57">
        <f>IF(OR(A4838="",H4838=""),"",IF(COUNTIFS(exp_year,C4838,exp_month,D4838,exp_item,E4838,exp_status,"&lt;&gt;❌ Отменено")&gt;0,1,0))</f>
        <v/>
      </c>
    </row>
    <row r="4839">
      <c r="A4839" s="52" t="n"/>
      <c r="B4839" s="53">
        <f>IF(A4839="","",CHOOSE(WEEKDAY(A4839,2),"Пн","Вт","Ср","Чт","Пт","Сб","Вс"))</f>
        <v/>
      </c>
      <c r="C4839" s="53">
        <f>IF(A4839="","",YEAR(A4839))</f>
        <v/>
      </c>
      <c r="D4839" s="54">
        <f>IF(A4839="","",INDEX(lst_months,MONTH(A4839)))</f>
        <v/>
      </c>
      <c r="E4839" s="55" t="n"/>
      <c r="F4839" s="54">
        <f>IF(E4839="","",IFERROR(IF(INDEX(lst_exp_item_cat,MATCH(E4839,lst_exp_items,0))="","❔ Без категории",INDEX(lst_exp_item_cat,MATCH(E4839,lst_exp_items,0))),"❔ Без категории"))</f>
        <v/>
      </c>
      <c r="G4839" s="43" t="n"/>
      <c r="H4839" s="56" t="n"/>
      <c r="I4839" s="43" t="n"/>
      <c r="J4839" s="57">
        <f>IF(OR(A4839="",H4839=""),"",IF(COUNTIFS(exp_year,C4839,exp_month,D4839,exp_item,E4839,exp_status,"&lt;&gt;❌ Отменено")&gt;0,1,0))</f>
        <v/>
      </c>
    </row>
    <row r="4840">
      <c r="A4840" s="52" t="n"/>
      <c r="B4840" s="53">
        <f>IF(A4840="","",CHOOSE(WEEKDAY(A4840,2),"Пн","Вт","Ср","Чт","Пт","Сб","Вс"))</f>
        <v/>
      </c>
      <c r="C4840" s="53">
        <f>IF(A4840="","",YEAR(A4840))</f>
        <v/>
      </c>
      <c r="D4840" s="54">
        <f>IF(A4840="","",INDEX(lst_months,MONTH(A4840)))</f>
        <v/>
      </c>
      <c r="E4840" s="55" t="n"/>
      <c r="F4840" s="54">
        <f>IF(E4840="","",IFERROR(IF(INDEX(lst_exp_item_cat,MATCH(E4840,lst_exp_items,0))="","❔ Без категории",INDEX(lst_exp_item_cat,MATCH(E4840,lst_exp_items,0))),"❔ Без категории"))</f>
        <v/>
      </c>
      <c r="G4840" s="43" t="n"/>
      <c r="H4840" s="56" t="n"/>
      <c r="I4840" s="43" t="n"/>
      <c r="J4840" s="57">
        <f>IF(OR(A4840="",H4840=""),"",IF(COUNTIFS(exp_year,C4840,exp_month,D4840,exp_item,E4840,exp_status,"&lt;&gt;❌ Отменено")&gt;0,1,0))</f>
        <v/>
      </c>
    </row>
    <row r="4841">
      <c r="A4841" s="52" t="n"/>
      <c r="B4841" s="53">
        <f>IF(A4841="","",CHOOSE(WEEKDAY(A4841,2),"Пн","Вт","Ср","Чт","Пт","Сб","Вс"))</f>
        <v/>
      </c>
      <c r="C4841" s="53">
        <f>IF(A4841="","",YEAR(A4841))</f>
        <v/>
      </c>
      <c r="D4841" s="54">
        <f>IF(A4841="","",INDEX(lst_months,MONTH(A4841)))</f>
        <v/>
      </c>
      <c r="E4841" s="55" t="n"/>
      <c r="F4841" s="54">
        <f>IF(E4841="","",IFERROR(IF(INDEX(lst_exp_item_cat,MATCH(E4841,lst_exp_items,0))="","❔ Без категории",INDEX(lst_exp_item_cat,MATCH(E4841,lst_exp_items,0))),"❔ Без категории"))</f>
        <v/>
      </c>
      <c r="G4841" s="43" t="n"/>
      <c r="H4841" s="56" t="n"/>
      <c r="I4841" s="43" t="n"/>
      <c r="J4841" s="57">
        <f>IF(OR(A4841="",H4841=""),"",IF(COUNTIFS(exp_year,C4841,exp_month,D4841,exp_item,E4841,exp_status,"&lt;&gt;❌ Отменено")&gt;0,1,0))</f>
        <v/>
      </c>
    </row>
    <row r="4842">
      <c r="A4842" s="52" t="n"/>
      <c r="B4842" s="53">
        <f>IF(A4842="","",CHOOSE(WEEKDAY(A4842,2),"Пн","Вт","Ср","Чт","Пт","Сб","Вс"))</f>
        <v/>
      </c>
      <c r="C4842" s="53">
        <f>IF(A4842="","",YEAR(A4842))</f>
        <v/>
      </c>
      <c r="D4842" s="54">
        <f>IF(A4842="","",INDEX(lst_months,MONTH(A4842)))</f>
        <v/>
      </c>
      <c r="E4842" s="55" t="n"/>
      <c r="F4842" s="54">
        <f>IF(E4842="","",IFERROR(IF(INDEX(lst_exp_item_cat,MATCH(E4842,lst_exp_items,0))="","❔ Без категории",INDEX(lst_exp_item_cat,MATCH(E4842,lst_exp_items,0))),"❔ Без категории"))</f>
        <v/>
      </c>
      <c r="G4842" s="43" t="n"/>
      <c r="H4842" s="56" t="n"/>
      <c r="I4842" s="43" t="n"/>
      <c r="J4842" s="57">
        <f>IF(OR(A4842="",H4842=""),"",IF(COUNTIFS(exp_year,C4842,exp_month,D4842,exp_item,E4842,exp_status,"&lt;&gt;❌ Отменено")&gt;0,1,0))</f>
        <v/>
      </c>
    </row>
    <row r="4843">
      <c r="A4843" s="52" t="n"/>
      <c r="B4843" s="53">
        <f>IF(A4843="","",CHOOSE(WEEKDAY(A4843,2),"Пн","Вт","Ср","Чт","Пт","Сб","Вс"))</f>
        <v/>
      </c>
      <c r="C4843" s="53">
        <f>IF(A4843="","",YEAR(A4843))</f>
        <v/>
      </c>
      <c r="D4843" s="54">
        <f>IF(A4843="","",INDEX(lst_months,MONTH(A4843)))</f>
        <v/>
      </c>
      <c r="E4843" s="55" t="n"/>
      <c r="F4843" s="54">
        <f>IF(E4843="","",IFERROR(IF(INDEX(lst_exp_item_cat,MATCH(E4843,lst_exp_items,0))="","❔ Без категории",INDEX(lst_exp_item_cat,MATCH(E4843,lst_exp_items,0))),"❔ Без категории"))</f>
        <v/>
      </c>
      <c r="G4843" s="43" t="n"/>
      <c r="H4843" s="56" t="n"/>
      <c r="I4843" s="43" t="n"/>
      <c r="J4843" s="57">
        <f>IF(OR(A4843="",H4843=""),"",IF(COUNTIFS(exp_year,C4843,exp_month,D4843,exp_item,E4843,exp_status,"&lt;&gt;❌ Отменено")&gt;0,1,0))</f>
        <v/>
      </c>
    </row>
    <row r="4844">
      <c r="A4844" s="52" t="n"/>
      <c r="B4844" s="53">
        <f>IF(A4844="","",CHOOSE(WEEKDAY(A4844,2),"Пн","Вт","Ср","Чт","Пт","Сб","Вс"))</f>
        <v/>
      </c>
      <c r="C4844" s="53">
        <f>IF(A4844="","",YEAR(A4844))</f>
        <v/>
      </c>
      <c r="D4844" s="54">
        <f>IF(A4844="","",INDEX(lst_months,MONTH(A4844)))</f>
        <v/>
      </c>
      <c r="E4844" s="55" t="n"/>
      <c r="F4844" s="54">
        <f>IF(E4844="","",IFERROR(IF(INDEX(lst_exp_item_cat,MATCH(E4844,lst_exp_items,0))="","❔ Без категории",INDEX(lst_exp_item_cat,MATCH(E4844,lst_exp_items,0))),"❔ Без категории"))</f>
        <v/>
      </c>
      <c r="G4844" s="43" t="n"/>
      <c r="H4844" s="56" t="n"/>
      <c r="I4844" s="43" t="n"/>
      <c r="J4844" s="57">
        <f>IF(OR(A4844="",H4844=""),"",IF(COUNTIFS(exp_year,C4844,exp_month,D4844,exp_item,E4844,exp_status,"&lt;&gt;❌ Отменено")&gt;0,1,0))</f>
        <v/>
      </c>
    </row>
    <row r="4845">
      <c r="A4845" s="52" t="n"/>
      <c r="B4845" s="53">
        <f>IF(A4845="","",CHOOSE(WEEKDAY(A4845,2),"Пн","Вт","Ср","Чт","Пт","Сб","Вс"))</f>
        <v/>
      </c>
      <c r="C4845" s="53">
        <f>IF(A4845="","",YEAR(A4845))</f>
        <v/>
      </c>
      <c r="D4845" s="54">
        <f>IF(A4845="","",INDEX(lst_months,MONTH(A4845)))</f>
        <v/>
      </c>
      <c r="E4845" s="55" t="n"/>
      <c r="F4845" s="54">
        <f>IF(E4845="","",IFERROR(IF(INDEX(lst_exp_item_cat,MATCH(E4845,lst_exp_items,0))="","❔ Без категории",INDEX(lst_exp_item_cat,MATCH(E4845,lst_exp_items,0))),"❔ Без категории"))</f>
        <v/>
      </c>
      <c r="G4845" s="43" t="n"/>
      <c r="H4845" s="56" t="n"/>
      <c r="I4845" s="43" t="n"/>
      <c r="J4845" s="57">
        <f>IF(OR(A4845="",H4845=""),"",IF(COUNTIFS(exp_year,C4845,exp_month,D4845,exp_item,E4845,exp_status,"&lt;&gt;❌ Отменено")&gt;0,1,0))</f>
        <v/>
      </c>
    </row>
    <row r="4846">
      <c r="A4846" s="52" t="n"/>
      <c r="B4846" s="53">
        <f>IF(A4846="","",CHOOSE(WEEKDAY(A4846,2),"Пн","Вт","Ср","Чт","Пт","Сб","Вс"))</f>
        <v/>
      </c>
      <c r="C4846" s="53">
        <f>IF(A4846="","",YEAR(A4846))</f>
        <v/>
      </c>
      <c r="D4846" s="54">
        <f>IF(A4846="","",INDEX(lst_months,MONTH(A4846)))</f>
        <v/>
      </c>
      <c r="E4846" s="55" t="n"/>
      <c r="F4846" s="54">
        <f>IF(E4846="","",IFERROR(IF(INDEX(lst_exp_item_cat,MATCH(E4846,lst_exp_items,0))="","❔ Без категории",INDEX(lst_exp_item_cat,MATCH(E4846,lst_exp_items,0))),"❔ Без категории"))</f>
        <v/>
      </c>
      <c r="G4846" s="43" t="n"/>
      <c r="H4846" s="56" t="n"/>
      <c r="I4846" s="43" t="n"/>
      <c r="J4846" s="57">
        <f>IF(OR(A4846="",H4846=""),"",IF(COUNTIFS(exp_year,C4846,exp_month,D4846,exp_item,E4846,exp_status,"&lt;&gt;❌ Отменено")&gt;0,1,0))</f>
        <v/>
      </c>
    </row>
    <row r="4847">
      <c r="A4847" s="52" t="n"/>
      <c r="B4847" s="53">
        <f>IF(A4847="","",CHOOSE(WEEKDAY(A4847,2),"Пн","Вт","Ср","Чт","Пт","Сб","Вс"))</f>
        <v/>
      </c>
      <c r="C4847" s="53">
        <f>IF(A4847="","",YEAR(A4847))</f>
        <v/>
      </c>
      <c r="D4847" s="54">
        <f>IF(A4847="","",INDEX(lst_months,MONTH(A4847)))</f>
        <v/>
      </c>
      <c r="E4847" s="55" t="n"/>
      <c r="F4847" s="54">
        <f>IF(E4847="","",IFERROR(IF(INDEX(lst_exp_item_cat,MATCH(E4847,lst_exp_items,0))="","❔ Без категории",INDEX(lst_exp_item_cat,MATCH(E4847,lst_exp_items,0))),"❔ Без категории"))</f>
        <v/>
      </c>
      <c r="G4847" s="43" t="n"/>
      <c r="H4847" s="56" t="n"/>
      <c r="I4847" s="43" t="n"/>
      <c r="J4847" s="57">
        <f>IF(OR(A4847="",H4847=""),"",IF(COUNTIFS(exp_year,C4847,exp_month,D4847,exp_item,E4847,exp_status,"&lt;&gt;❌ Отменено")&gt;0,1,0))</f>
        <v/>
      </c>
    </row>
    <row r="4848">
      <c r="A4848" s="52" t="n"/>
      <c r="B4848" s="53">
        <f>IF(A4848="","",CHOOSE(WEEKDAY(A4848,2),"Пн","Вт","Ср","Чт","Пт","Сб","Вс"))</f>
        <v/>
      </c>
      <c r="C4848" s="53">
        <f>IF(A4848="","",YEAR(A4848))</f>
        <v/>
      </c>
      <c r="D4848" s="54">
        <f>IF(A4848="","",INDEX(lst_months,MONTH(A4848)))</f>
        <v/>
      </c>
      <c r="E4848" s="55" t="n"/>
      <c r="F4848" s="54">
        <f>IF(E4848="","",IFERROR(IF(INDEX(lst_exp_item_cat,MATCH(E4848,lst_exp_items,0))="","❔ Без категории",INDEX(lst_exp_item_cat,MATCH(E4848,lst_exp_items,0))),"❔ Без категории"))</f>
        <v/>
      </c>
      <c r="G4848" s="43" t="n"/>
      <c r="H4848" s="56" t="n"/>
      <c r="I4848" s="43" t="n"/>
      <c r="J4848" s="57">
        <f>IF(OR(A4848="",H4848=""),"",IF(COUNTIFS(exp_year,C4848,exp_month,D4848,exp_item,E4848,exp_status,"&lt;&gt;❌ Отменено")&gt;0,1,0))</f>
        <v/>
      </c>
    </row>
    <row r="4849">
      <c r="A4849" s="52" t="n"/>
      <c r="B4849" s="53">
        <f>IF(A4849="","",CHOOSE(WEEKDAY(A4849,2),"Пн","Вт","Ср","Чт","Пт","Сб","Вс"))</f>
        <v/>
      </c>
      <c r="C4849" s="53">
        <f>IF(A4849="","",YEAR(A4849))</f>
        <v/>
      </c>
      <c r="D4849" s="54">
        <f>IF(A4849="","",INDEX(lst_months,MONTH(A4849)))</f>
        <v/>
      </c>
      <c r="E4849" s="55" t="n"/>
      <c r="F4849" s="54">
        <f>IF(E4849="","",IFERROR(IF(INDEX(lst_exp_item_cat,MATCH(E4849,lst_exp_items,0))="","❔ Без категории",INDEX(lst_exp_item_cat,MATCH(E4849,lst_exp_items,0))),"❔ Без категории"))</f>
        <v/>
      </c>
      <c r="G4849" s="43" t="n"/>
      <c r="H4849" s="56" t="n"/>
      <c r="I4849" s="43" t="n"/>
      <c r="J4849" s="57">
        <f>IF(OR(A4849="",H4849=""),"",IF(COUNTIFS(exp_year,C4849,exp_month,D4849,exp_item,E4849,exp_status,"&lt;&gt;❌ Отменено")&gt;0,1,0))</f>
        <v/>
      </c>
    </row>
    <row r="4850">
      <c r="A4850" s="52" t="n"/>
      <c r="B4850" s="53">
        <f>IF(A4850="","",CHOOSE(WEEKDAY(A4850,2),"Пн","Вт","Ср","Чт","Пт","Сб","Вс"))</f>
        <v/>
      </c>
      <c r="C4850" s="53">
        <f>IF(A4850="","",YEAR(A4850))</f>
        <v/>
      </c>
      <c r="D4850" s="54">
        <f>IF(A4850="","",INDEX(lst_months,MONTH(A4850)))</f>
        <v/>
      </c>
      <c r="E4850" s="55" t="n"/>
      <c r="F4850" s="54">
        <f>IF(E4850="","",IFERROR(IF(INDEX(lst_exp_item_cat,MATCH(E4850,lst_exp_items,0))="","❔ Без категории",INDEX(lst_exp_item_cat,MATCH(E4850,lst_exp_items,0))),"❔ Без категории"))</f>
        <v/>
      </c>
      <c r="G4850" s="43" t="n"/>
      <c r="H4850" s="56" t="n"/>
      <c r="I4850" s="43" t="n"/>
      <c r="J4850" s="57">
        <f>IF(OR(A4850="",H4850=""),"",IF(COUNTIFS(exp_year,C4850,exp_month,D4850,exp_item,E4850,exp_status,"&lt;&gt;❌ Отменено")&gt;0,1,0))</f>
        <v/>
      </c>
    </row>
    <row r="4851">
      <c r="A4851" s="52" t="n"/>
      <c r="B4851" s="53">
        <f>IF(A4851="","",CHOOSE(WEEKDAY(A4851,2),"Пн","Вт","Ср","Чт","Пт","Сб","Вс"))</f>
        <v/>
      </c>
      <c r="C4851" s="53">
        <f>IF(A4851="","",YEAR(A4851))</f>
        <v/>
      </c>
      <c r="D4851" s="54">
        <f>IF(A4851="","",INDEX(lst_months,MONTH(A4851)))</f>
        <v/>
      </c>
      <c r="E4851" s="55" t="n"/>
      <c r="F4851" s="54">
        <f>IF(E4851="","",IFERROR(IF(INDEX(lst_exp_item_cat,MATCH(E4851,lst_exp_items,0))="","❔ Без категории",INDEX(lst_exp_item_cat,MATCH(E4851,lst_exp_items,0))),"❔ Без категории"))</f>
        <v/>
      </c>
      <c r="G4851" s="43" t="n"/>
      <c r="H4851" s="56" t="n"/>
      <c r="I4851" s="43" t="n"/>
      <c r="J4851" s="57">
        <f>IF(OR(A4851="",H4851=""),"",IF(COUNTIFS(exp_year,C4851,exp_month,D4851,exp_item,E4851,exp_status,"&lt;&gt;❌ Отменено")&gt;0,1,0))</f>
        <v/>
      </c>
    </row>
    <row r="4852">
      <c r="A4852" s="52" t="n"/>
      <c r="B4852" s="53">
        <f>IF(A4852="","",CHOOSE(WEEKDAY(A4852,2),"Пн","Вт","Ср","Чт","Пт","Сб","Вс"))</f>
        <v/>
      </c>
      <c r="C4852" s="53">
        <f>IF(A4852="","",YEAR(A4852))</f>
        <v/>
      </c>
      <c r="D4852" s="54">
        <f>IF(A4852="","",INDEX(lst_months,MONTH(A4852)))</f>
        <v/>
      </c>
      <c r="E4852" s="55" t="n"/>
      <c r="F4852" s="54">
        <f>IF(E4852="","",IFERROR(IF(INDEX(lst_exp_item_cat,MATCH(E4852,lst_exp_items,0))="","❔ Без категории",INDEX(lst_exp_item_cat,MATCH(E4852,lst_exp_items,0))),"❔ Без категории"))</f>
        <v/>
      </c>
      <c r="G4852" s="43" t="n"/>
      <c r="H4852" s="56" t="n"/>
      <c r="I4852" s="43" t="n"/>
      <c r="J4852" s="57">
        <f>IF(OR(A4852="",H4852=""),"",IF(COUNTIFS(exp_year,C4852,exp_month,D4852,exp_item,E4852,exp_status,"&lt;&gt;❌ Отменено")&gt;0,1,0))</f>
        <v/>
      </c>
    </row>
    <row r="4853">
      <c r="A4853" s="52" t="n"/>
      <c r="B4853" s="53">
        <f>IF(A4853="","",CHOOSE(WEEKDAY(A4853,2),"Пн","Вт","Ср","Чт","Пт","Сб","Вс"))</f>
        <v/>
      </c>
      <c r="C4853" s="53">
        <f>IF(A4853="","",YEAR(A4853))</f>
        <v/>
      </c>
      <c r="D4853" s="54">
        <f>IF(A4853="","",INDEX(lst_months,MONTH(A4853)))</f>
        <v/>
      </c>
      <c r="E4853" s="55" t="n"/>
      <c r="F4853" s="54">
        <f>IF(E4853="","",IFERROR(IF(INDEX(lst_exp_item_cat,MATCH(E4853,lst_exp_items,0))="","❔ Без категории",INDEX(lst_exp_item_cat,MATCH(E4853,lst_exp_items,0))),"❔ Без категории"))</f>
        <v/>
      </c>
      <c r="G4853" s="43" t="n"/>
      <c r="H4853" s="56" t="n"/>
      <c r="I4853" s="43" t="n"/>
      <c r="J4853" s="57">
        <f>IF(OR(A4853="",H4853=""),"",IF(COUNTIFS(exp_year,C4853,exp_month,D4853,exp_item,E4853,exp_status,"&lt;&gt;❌ Отменено")&gt;0,1,0))</f>
        <v/>
      </c>
    </row>
    <row r="4854">
      <c r="A4854" s="52" t="n"/>
      <c r="B4854" s="53">
        <f>IF(A4854="","",CHOOSE(WEEKDAY(A4854,2),"Пн","Вт","Ср","Чт","Пт","Сб","Вс"))</f>
        <v/>
      </c>
      <c r="C4854" s="53">
        <f>IF(A4854="","",YEAR(A4854))</f>
        <v/>
      </c>
      <c r="D4854" s="54">
        <f>IF(A4854="","",INDEX(lst_months,MONTH(A4854)))</f>
        <v/>
      </c>
      <c r="E4854" s="55" t="n"/>
      <c r="F4854" s="54">
        <f>IF(E4854="","",IFERROR(IF(INDEX(lst_exp_item_cat,MATCH(E4854,lst_exp_items,0))="","❔ Без категории",INDEX(lst_exp_item_cat,MATCH(E4854,lst_exp_items,0))),"❔ Без категории"))</f>
        <v/>
      </c>
      <c r="G4854" s="43" t="n"/>
      <c r="H4854" s="56" t="n"/>
      <c r="I4854" s="43" t="n"/>
      <c r="J4854" s="57">
        <f>IF(OR(A4854="",H4854=""),"",IF(COUNTIFS(exp_year,C4854,exp_month,D4854,exp_item,E4854,exp_status,"&lt;&gt;❌ Отменено")&gt;0,1,0))</f>
        <v/>
      </c>
    </row>
    <row r="4855">
      <c r="A4855" s="52" t="n"/>
      <c r="B4855" s="53">
        <f>IF(A4855="","",CHOOSE(WEEKDAY(A4855,2),"Пн","Вт","Ср","Чт","Пт","Сб","Вс"))</f>
        <v/>
      </c>
      <c r="C4855" s="53">
        <f>IF(A4855="","",YEAR(A4855))</f>
        <v/>
      </c>
      <c r="D4855" s="54">
        <f>IF(A4855="","",INDEX(lst_months,MONTH(A4855)))</f>
        <v/>
      </c>
      <c r="E4855" s="55" t="n"/>
      <c r="F4855" s="54">
        <f>IF(E4855="","",IFERROR(IF(INDEX(lst_exp_item_cat,MATCH(E4855,lst_exp_items,0))="","❔ Без категории",INDEX(lst_exp_item_cat,MATCH(E4855,lst_exp_items,0))),"❔ Без категории"))</f>
        <v/>
      </c>
      <c r="G4855" s="43" t="n"/>
      <c r="H4855" s="56" t="n"/>
      <c r="I4855" s="43" t="n"/>
      <c r="J4855" s="57">
        <f>IF(OR(A4855="",H4855=""),"",IF(COUNTIFS(exp_year,C4855,exp_month,D4855,exp_item,E4855,exp_status,"&lt;&gt;❌ Отменено")&gt;0,1,0))</f>
        <v/>
      </c>
    </row>
    <row r="4856">
      <c r="A4856" s="52" t="n"/>
      <c r="B4856" s="53">
        <f>IF(A4856="","",CHOOSE(WEEKDAY(A4856,2),"Пн","Вт","Ср","Чт","Пт","Сб","Вс"))</f>
        <v/>
      </c>
      <c r="C4856" s="53">
        <f>IF(A4856="","",YEAR(A4856))</f>
        <v/>
      </c>
      <c r="D4856" s="54">
        <f>IF(A4856="","",INDEX(lst_months,MONTH(A4856)))</f>
        <v/>
      </c>
      <c r="E4856" s="55" t="n"/>
      <c r="F4856" s="54">
        <f>IF(E4856="","",IFERROR(IF(INDEX(lst_exp_item_cat,MATCH(E4856,lst_exp_items,0))="","❔ Без категории",INDEX(lst_exp_item_cat,MATCH(E4856,lst_exp_items,0))),"❔ Без категории"))</f>
        <v/>
      </c>
      <c r="G4856" s="43" t="n"/>
      <c r="H4856" s="56" t="n"/>
      <c r="I4856" s="43" t="n"/>
      <c r="J4856" s="57">
        <f>IF(OR(A4856="",H4856=""),"",IF(COUNTIFS(exp_year,C4856,exp_month,D4856,exp_item,E4856,exp_status,"&lt;&gt;❌ Отменено")&gt;0,1,0))</f>
        <v/>
      </c>
    </row>
    <row r="4857">
      <c r="A4857" s="52" t="n"/>
      <c r="B4857" s="53">
        <f>IF(A4857="","",CHOOSE(WEEKDAY(A4857,2),"Пн","Вт","Ср","Чт","Пт","Сб","Вс"))</f>
        <v/>
      </c>
      <c r="C4857" s="53">
        <f>IF(A4857="","",YEAR(A4857))</f>
        <v/>
      </c>
      <c r="D4857" s="54">
        <f>IF(A4857="","",INDEX(lst_months,MONTH(A4857)))</f>
        <v/>
      </c>
      <c r="E4857" s="55" t="n"/>
      <c r="F4857" s="54">
        <f>IF(E4857="","",IFERROR(IF(INDEX(lst_exp_item_cat,MATCH(E4857,lst_exp_items,0))="","❔ Без категории",INDEX(lst_exp_item_cat,MATCH(E4857,lst_exp_items,0))),"❔ Без категории"))</f>
        <v/>
      </c>
      <c r="G4857" s="43" t="n"/>
      <c r="H4857" s="56" t="n"/>
      <c r="I4857" s="43" t="n"/>
      <c r="J4857" s="57">
        <f>IF(OR(A4857="",H4857=""),"",IF(COUNTIFS(exp_year,C4857,exp_month,D4857,exp_item,E4857,exp_status,"&lt;&gt;❌ Отменено")&gt;0,1,0))</f>
        <v/>
      </c>
    </row>
    <row r="4858">
      <c r="A4858" s="52" t="n"/>
      <c r="B4858" s="53">
        <f>IF(A4858="","",CHOOSE(WEEKDAY(A4858,2),"Пн","Вт","Ср","Чт","Пт","Сб","Вс"))</f>
        <v/>
      </c>
      <c r="C4858" s="53">
        <f>IF(A4858="","",YEAR(A4858))</f>
        <v/>
      </c>
      <c r="D4858" s="54">
        <f>IF(A4858="","",INDEX(lst_months,MONTH(A4858)))</f>
        <v/>
      </c>
      <c r="E4858" s="55" t="n"/>
      <c r="F4858" s="54">
        <f>IF(E4858="","",IFERROR(IF(INDEX(lst_exp_item_cat,MATCH(E4858,lst_exp_items,0))="","❔ Без категории",INDEX(lst_exp_item_cat,MATCH(E4858,lst_exp_items,0))),"❔ Без категории"))</f>
        <v/>
      </c>
      <c r="G4858" s="43" t="n"/>
      <c r="H4858" s="56" t="n"/>
      <c r="I4858" s="43" t="n"/>
      <c r="J4858" s="57">
        <f>IF(OR(A4858="",H4858=""),"",IF(COUNTIFS(exp_year,C4858,exp_month,D4858,exp_item,E4858,exp_status,"&lt;&gt;❌ Отменено")&gt;0,1,0))</f>
        <v/>
      </c>
    </row>
    <row r="4859">
      <c r="A4859" s="52" t="n"/>
      <c r="B4859" s="53">
        <f>IF(A4859="","",CHOOSE(WEEKDAY(A4859,2),"Пн","Вт","Ср","Чт","Пт","Сб","Вс"))</f>
        <v/>
      </c>
      <c r="C4859" s="53">
        <f>IF(A4859="","",YEAR(A4859))</f>
        <v/>
      </c>
      <c r="D4859" s="54">
        <f>IF(A4859="","",INDEX(lst_months,MONTH(A4859)))</f>
        <v/>
      </c>
      <c r="E4859" s="55" t="n"/>
      <c r="F4859" s="54">
        <f>IF(E4859="","",IFERROR(IF(INDEX(lst_exp_item_cat,MATCH(E4859,lst_exp_items,0))="","❔ Без категории",INDEX(lst_exp_item_cat,MATCH(E4859,lst_exp_items,0))),"❔ Без категории"))</f>
        <v/>
      </c>
      <c r="G4859" s="43" t="n"/>
      <c r="H4859" s="56" t="n"/>
      <c r="I4859" s="43" t="n"/>
      <c r="J4859" s="57">
        <f>IF(OR(A4859="",H4859=""),"",IF(COUNTIFS(exp_year,C4859,exp_month,D4859,exp_item,E4859,exp_status,"&lt;&gt;❌ Отменено")&gt;0,1,0))</f>
        <v/>
      </c>
    </row>
    <row r="4860">
      <c r="A4860" s="52" t="n"/>
      <c r="B4860" s="53">
        <f>IF(A4860="","",CHOOSE(WEEKDAY(A4860,2),"Пн","Вт","Ср","Чт","Пт","Сб","Вс"))</f>
        <v/>
      </c>
      <c r="C4860" s="53">
        <f>IF(A4860="","",YEAR(A4860))</f>
        <v/>
      </c>
      <c r="D4860" s="54">
        <f>IF(A4860="","",INDEX(lst_months,MONTH(A4860)))</f>
        <v/>
      </c>
      <c r="E4860" s="55" t="n"/>
      <c r="F4860" s="54">
        <f>IF(E4860="","",IFERROR(IF(INDEX(lst_exp_item_cat,MATCH(E4860,lst_exp_items,0))="","❔ Без категории",INDEX(lst_exp_item_cat,MATCH(E4860,lst_exp_items,0))),"❔ Без категории"))</f>
        <v/>
      </c>
      <c r="G4860" s="43" t="n"/>
      <c r="H4860" s="56" t="n"/>
      <c r="I4860" s="43" t="n"/>
      <c r="J4860" s="57">
        <f>IF(OR(A4860="",H4860=""),"",IF(COUNTIFS(exp_year,C4860,exp_month,D4860,exp_item,E4860,exp_status,"&lt;&gt;❌ Отменено")&gt;0,1,0))</f>
        <v/>
      </c>
    </row>
    <row r="4861">
      <c r="A4861" s="52" t="n"/>
      <c r="B4861" s="53">
        <f>IF(A4861="","",CHOOSE(WEEKDAY(A4861,2),"Пн","Вт","Ср","Чт","Пт","Сб","Вс"))</f>
        <v/>
      </c>
      <c r="C4861" s="53">
        <f>IF(A4861="","",YEAR(A4861))</f>
        <v/>
      </c>
      <c r="D4861" s="54">
        <f>IF(A4861="","",INDEX(lst_months,MONTH(A4861)))</f>
        <v/>
      </c>
      <c r="E4861" s="55" t="n"/>
      <c r="F4861" s="54">
        <f>IF(E4861="","",IFERROR(IF(INDEX(lst_exp_item_cat,MATCH(E4861,lst_exp_items,0))="","❔ Без категории",INDEX(lst_exp_item_cat,MATCH(E4861,lst_exp_items,0))),"❔ Без категории"))</f>
        <v/>
      </c>
      <c r="G4861" s="43" t="n"/>
      <c r="H4861" s="56" t="n"/>
      <c r="I4861" s="43" t="n"/>
      <c r="J4861" s="57">
        <f>IF(OR(A4861="",H4861=""),"",IF(COUNTIFS(exp_year,C4861,exp_month,D4861,exp_item,E4861,exp_status,"&lt;&gt;❌ Отменено")&gt;0,1,0))</f>
        <v/>
      </c>
    </row>
    <row r="4862">
      <c r="A4862" s="52" t="n"/>
      <c r="B4862" s="53">
        <f>IF(A4862="","",CHOOSE(WEEKDAY(A4862,2),"Пн","Вт","Ср","Чт","Пт","Сб","Вс"))</f>
        <v/>
      </c>
      <c r="C4862" s="53">
        <f>IF(A4862="","",YEAR(A4862))</f>
        <v/>
      </c>
      <c r="D4862" s="54">
        <f>IF(A4862="","",INDEX(lst_months,MONTH(A4862)))</f>
        <v/>
      </c>
      <c r="E4862" s="55" t="n"/>
      <c r="F4862" s="54">
        <f>IF(E4862="","",IFERROR(IF(INDEX(lst_exp_item_cat,MATCH(E4862,lst_exp_items,0))="","❔ Без категории",INDEX(lst_exp_item_cat,MATCH(E4862,lst_exp_items,0))),"❔ Без категории"))</f>
        <v/>
      </c>
      <c r="G4862" s="43" t="n"/>
      <c r="H4862" s="56" t="n"/>
      <c r="I4862" s="43" t="n"/>
      <c r="J4862" s="57">
        <f>IF(OR(A4862="",H4862=""),"",IF(COUNTIFS(exp_year,C4862,exp_month,D4862,exp_item,E4862,exp_status,"&lt;&gt;❌ Отменено")&gt;0,1,0))</f>
        <v/>
      </c>
    </row>
    <row r="4863">
      <c r="A4863" s="52" t="n"/>
      <c r="B4863" s="53">
        <f>IF(A4863="","",CHOOSE(WEEKDAY(A4863,2),"Пн","Вт","Ср","Чт","Пт","Сб","Вс"))</f>
        <v/>
      </c>
      <c r="C4863" s="53">
        <f>IF(A4863="","",YEAR(A4863))</f>
        <v/>
      </c>
      <c r="D4863" s="54">
        <f>IF(A4863="","",INDEX(lst_months,MONTH(A4863)))</f>
        <v/>
      </c>
      <c r="E4863" s="55" t="n"/>
      <c r="F4863" s="54">
        <f>IF(E4863="","",IFERROR(IF(INDEX(lst_exp_item_cat,MATCH(E4863,lst_exp_items,0))="","❔ Без категории",INDEX(lst_exp_item_cat,MATCH(E4863,lst_exp_items,0))),"❔ Без категории"))</f>
        <v/>
      </c>
      <c r="G4863" s="43" t="n"/>
      <c r="H4863" s="56" t="n"/>
      <c r="I4863" s="43" t="n"/>
      <c r="J4863" s="57">
        <f>IF(OR(A4863="",H4863=""),"",IF(COUNTIFS(exp_year,C4863,exp_month,D4863,exp_item,E4863,exp_status,"&lt;&gt;❌ Отменено")&gt;0,1,0))</f>
        <v/>
      </c>
    </row>
    <row r="4864">
      <c r="A4864" s="52" t="n"/>
      <c r="B4864" s="53">
        <f>IF(A4864="","",CHOOSE(WEEKDAY(A4864,2),"Пн","Вт","Ср","Чт","Пт","Сб","Вс"))</f>
        <v/>
      </c>
      <c r="C4864" s="53">
        <f>IF(A4864="","",YEAR(A4864))</f>
        <v/>
      </c>
      <c r="D4864" s="54">
        <f>IF(A4864="","",INDEX(lst_months,MONTH(A4864)))</f>
        <v/>
      </c>
      <c r="E4864" s="55" t="n"/>
      <c r="F4864" s="54">
        <f>IF(E4864="","",IFERROR(IF(INDEX(lst_exp_item_cat,MATCH(E4864,lst_exp_items,0))="","❔ Без категории",INDEX(lst_exp_item_cat,MATCH(E4864,lst_exp_items,0))),"❔ Без категории"))</f>
        <v/>
      </c>
      <c r="G4864" s="43" t="n"/>
      <c r="H4864" s="56" t="n"/>
      <c r="I4864" s="43" t="n"/>
      <c r="J4864" s="57">
        <f>IF(OR(A4864="",H4864=""),"",IF(COUNTIFS(exp_year,C4864,exp_month,D4864,exp_item,E4864,exp_status,"&lt;&gt;❌ Отменено")&gt;0,1,0))</f>
        <v/>
      </c>
    </row>
    <row r="4865">
      <c r="A4865" s="52" t="n"/>
      <c r="B4865" s="53">
        <f>IF(A4865="","",CHOOSE(WEEKDAY(A4865,2),"Пн","Вт","Ср","Чт","Пт","Сб","Вс"))</f>
        <v/>
      </c>
      <c r="C4865" s="53">
        <f>IF(A4865="","",YEAR(A4865))</f>
        <v/>
      </c>
      <c r="D4865" s="54">
        <f>IF(A4865="","",INDEX(lst_months,MONTH(A4865)))</f>
        <v/>
      </c>
      <c r="E4865" s="55" t="n"/>
      <c r="F4865" s="54">
        <f>IF(E4865="","",IFERROR(IF(INDEX(lst_exp_item_cat,MATCH(E4865,lst_exp_items,0))="","❔ Без категории",INDEX(lst_exp_item_cat,MATCH(E4865,lst_exp_items,0))),"❔ Без категории"))</f>
        <v/>
      </c>
      <c r="G4865" s="43" t="n"/>
      <c r="H4865" s="56" t="n"/>
      <c r="I4865" s="43" t="n"/>
      <c r="J4865" s="57">
        <f>IF(OR(A4865="",H4865=""),"",IF(COUNTIFS(exp_year,C4865,exp_month,D4865,exp_item,E4865,exp_status,"&lt;&gt;❌ Отменено")&gt;0,1,0))</f>
        <v/>
      </c>
    </row>
    <row r="4866">
      <c r="A4866" s="52" t="n"/>
      <c r="B4866" s="53">
        <f>IF(A4866="","",CHOOSE(WEEKDAY(A4866,2),"Пн","Вт","Ср","Чт","Пт","Сб","Вс"))</f>
        <v/>
      </c>
      <c r="C4866" s="53">
        <f>IF(A4866="","",YEAR(A4866))</f>
        <v/>
      </c>
      <c r="D4866" s="54">
        <f>IF(A4866="","",INDEX(lst_months,MONTH(A4866)))</f>
        <v/>
      </c>
      <c r="E4866" s="55" t="n"/>
      <c r="F4866" s="54">
        <f>IF(E4866="","",IFERROR(IF(INDEX(lst_exp_item_cat,MATCH(E4866,lst_exp_items,0))="","❔ Без категории",INDEX(lst_exp_item_cat,MATCH(E4866,lst_exp_items,0))),"❔ Без категории"))</f>
        <v/>
      </c>
      <c r="G4866" s="43" t="n"/>
      <c r="H4866" s="56" t="n"/>
      <c r="I4866" s="43" t="n"/>
      <c r="J4866" s="57">
        <f>IF(OR(A4866="",H4866=""),"",IF(COUNTIFS(exp_year,C4866,exp_month,D4866,exp_item,E4866,exp_status,"&lt;&gt;❌ Отменено")&gt;0,1,0))</f>
        <v/>
      </c>
    </row>
    <row r="4867">
      <c r="A4867" s="52" t="n"/>
      <c r="B4867" s="53">
        <f>IF(A4867="","",CHOOSE(WEEKDAY(A4867,2),"Пн","Вт","Ср","Чт","Пт","Сб","Вс"))</f>
        <v/>
      </c>
      <c r="C4867" s="53">
        <f>IF(A4867="","",YEAR(A4867))</f>
        <v/>
      </c>
      <c r="D4867" s="54">
        <f>IF(A4867="","",INDEX(lst_months,MONTH(A4867)))</f>
        <v/>
      </c>
      <c r="E4867" s="55" t="n"/>
      <c r="F4867" s="54">
        <f>IF(E4867="","",IFERROR(IF(INDEX(lst_exp_item_cat,MATCH(E4867,lst_exp_items,0))="","❔ Без категории",INDEX(lst_exp_item_cat,MATCH(E4867,lst_exp_items,0))),"❔ Без категории"))</f>
        <v/>
      </c>
      <c r="G4867" s="43" t="n"/>
      <c r="H4867" s="56" t="n"/>
      <c r="I4867" s="43" t="n"/>
      <c r="J4867" s="57">
        <f>IF(OR(A4867="",H4867=""),"",IF(COUNTIFS(exp_year,C4867,exp_month,D4867,exp_item,E4867,exp_status,"&lt;&gt;❌ Отменено")&gt;0,1,0))</f>
        <v/>
      </c>
    </row>
    <row r="4868">
      <c r="A4868" s="52" t="n"/>
      <c r="B4868" s="53">
        <f>IF(A4868="","",CHOOSE(WEEKDAY(A4868,2),"Пн","Вт","Ср","Чт","Пт","Сб","Вс"))</f>
        <v/>
      </c>
      <c r="C4868" s="53">
        <f>IF(A4868="","",YEAR(A4868))</f>
        <v/>
      </c>
      <c r="D4868" s="54">
        <f>IF(A4868="","",INDEX(lst_months,MONTH(A4868)))</f>
        <v/>
      </c>
      <c r="E4868" s="55" t="n"/>
      <c r="F4868" s="54">
        <f>IF(E4868="","",IFERROR(IF(INDEX(lst_exp_item_cat,MATCH(E4868,lst_exp_items,0))="","❔ Без категории",INDEX(lst_exp_item_cat,MATCH(E4868,lst_exp_items,0))),"❔ Без категории"))</f>
        <v/>
      </c>
      <c r="G4868" s="43" t="n"/>
      <c r="H4868" s="56" t="n"/>
      <c r="I4868" s="43" t="n"/>
      <c r="J4868" s="57">
        <f>IF(OR(A4868="",H4868=""),"",IF(COUNTIFS(exp_year,C4868,exp_month,D4868,exp_item,E4868,exp_status,"&lt;&gt;❌ Отменено")&gt;0,1,0))</f>
        <v/>
      </c>
    </row>
    <row r="4869">
      <c r="A4869" s="52" t="n"/>
      <c r="B4869" s="53">
        <f>IF(A4869="","",CHOOSE(WEEKDAY(A4869,2),"Пн","Вт","Ср","Чт","Пт","Сб","Вс"))</f>
        <v/>
      </c>
      <c r="C4869" s="53">
        <f>IF(A4869="","",YEAR(A4869))</f>
        <v/>
      </c>
      <c r="D4869" s="54">
        <f>IF(A4869="","",INDEX(lst_months,MONTH(A4869)))</f>
        <v/>
      </c>
      <c r="E4869" s="55" t="n"/>
      <c r="F4869" s="54">
        <f>IF(E4869="","",IFERROR(IF(INDEX(lst_exp_item_cat,MATCH(E4869,lst_exp_items,0))="","❔ Без категории",INDEX(lst_exp_item_cat,MATCH(E4869,lst_exp_items,0))),"❔ Без категории"))</f>
        <v/>
      </c>
      <c r="G4869" s="43" t="n"/>
      <c r="H4869" s="56" t="n"/>
      <c r="I4869" s="43" t="n"/>
      <c r="J4869" s="57">
        <f>IF(OR(A4869="",H4869=""),"",IF(COUNTIFS(exp_year,C4869,exp_month,D4869,exp_item,E4869,exp_status,"&lt;&gt;❌ Отменено")&gt;0,1,0))</f>
        <v/>
      </c>
    </row>
    <row r="4870">
      <c r="A4870" s="52" t="n"/>
      <c r="B4870" s="53">
        <f>IF(A4870="","",CHOOSE(WEEKDAY(A4870,2),"Пн","Вт","Ср","Чт","Пт","Сб","Вс"))</f>
        <v/>
      </c>
      <c r="C4870" s="53">
        <f>IF(A4870="","",YEAR(A4870))</f>
        <v/>
      </c>
      <c r="D4870" s="54">
        <f>IF(A4870="","",INDEX(lst_months,MONTH(A4870)))</f>
        <v/>
      </c>
      <c r="E4870" s="55" t="n"/>
      <c r="F4870" s="54">
        <f>IF(E4870="","",IFERROR(IF(INDEX(lst_exp_item_cat,MATCH(E4870,lst_exp_items,0))="","❔ Без категории",INDEX(lst_exp_item_cat,MATCH(E4870,lst_exp_items,0))),"❔ Без категории"))</f>
        <v/>
      </c>
      <c r="G4870" s="43" t="n"/>
      <c r="H4870" s="56" t="n"/>
      <c r="I4870" s="43" t="n"/>
      <c r="J4870" s="57">
        <f>IF(OR(A4870="",H4870=""),"",IF(COUNTIFS(exp_year,C4870,exp_month,D4870,exp_item,E4870,exp_status,"&lt;&gt;❌ Отменено")&gt;0,1,0))</f>
        <v/>
      </c>
    </row>
    <row r="4871">
      <c r="A4871" s="52" t="n"/>
      <c r="B4871" s="53">
        <f>IF(A4871="","",CHOOSE(WEEKDAY(A4871,2),"Пн","Вт","Ср","Чт","Пт","Сб","Вс"))</f>
        <v/>
      </c>
      <c r="C4871" s="53">
        <f>IF(A4871="","",YEAR(A4871))</f>
        <v/>
      </c>
      <c r="D4871" s="54">
        <f>IF(A4871="","",INDEX(lst_months,MONTH(A4871)))</f>
        <v/>
      </c>
      <c r="E4871" s="55" t="n"/>
      <c r="F4871" s="54">
        <f>IF(E4871="","",IFERROR(IF(INDEX(lst_exp_item_cat,MATCH(E4871,lst_exp_items,0))="","❔ Без категории",INDEX(lst_exp_item_cat,MATCH(E4871,lst_exp_items,0))),"❔ Без категории"))</f>
        <v/>
      </c>
      <c r="G4871" s="43" t="n"/>
      <c r="H4871" s="56" t="n"/>
      <c r="I4871" s="43" t="n"/>
      <c r="J4871" s="57">
        <f>IF(OR(A4871="",H4871=""),"",IF(COUNTIFS(exp_year,C4871,exp_month,D4871,exp_item,E4871,exp_status,"&lt;&gt;❌ Отменено")&gt;0,1,0))</f>
        <v/>
      </c>
    </row>
    <row r="4872">
      <c r="A4872" s="52" t="n"/>
      <c r="B4872" s="53">
        <f>IF(A4872="","",CHOOSE(WEEKDAY(A4872,2),"Пн","Вт","Ср","Чт","Пт","Сб","Вс"))</f>
        <v/>
      </c>
      <c r="C4872" s="53">
        <f>IF(A4872="","",YEAR(A4872))</f>
        <v/>
      </c>
      <c r="D4872" s="54">
        <f>IF(A4872="","",INDEX(lst_months,MONTH(A4872)))</f>
        <v/>
      </c>
      <c r="E4872" s="55" t="n"/>
      <c r="F4872" s="54">
        <f>IF(E4872="","",IFERROR(IF(INDEX(lst_exp_item_cat,MATCH(E4872,lst_exp_items,0))="","❔ Без категории",INDEX(lst_exp_item_cat,MATCH(E4872,lst_exp_items,0))),"❔ Без категории"))</f>
        <v/>
      </c>
      <c r="G4872" s="43" t="n"/>
      <c r="H4872" s="56" t="n"/>
      <c r="I4872" s="43" t="n"/>
      <c r="J4872" s="57">
        <f>IF(OR(A4872="",H4872=""),"",IF(COUNTIFS(exp_year,C4872,exp_month,D4872,exp_item,E4872,exp_status,"&lt;&gt;❌ Отменено")&gt;0,1,0))</f>
        <v/>
      </c>
    </row>
    <row r="4873">
      <c r="A4873" s="52" t="n"/>
      <c r="B4873" s="53">
        <f>IF(A4873="","",CHOOSE(WEEKDAY(A4873,2),"Пн","Вт","Ср","Чт","Пт","Сб","Вс"))</f>
        <v/>
      </c>
      <c r="C4873" s="53">
        <f>IF(A4873="","",YEAR(A4873))</f>
        <v/>
      </c>
      <c r="D4873" s="54">
        <f>IF(A4873="","",INDEX(lst_months,MONTH(A4873)))</f>
        <v/>
      </c>
      <c r="E4873" s="55" t="n"/>
      <c r="F4873" s="54">
        <f>IF(E4873="","",IFERROR(IF(INDEX(lst_exp_item_cat,MATCH(E4873,lst_exp_items,0))="","❔ Без категории",INDEX(lst_exp_item_cat,MATCH(E4873,lst_exp_items,0))),"❔ Без категории"))</f>
        <v/>
      </c>
      <c r="G4873" s="43" t="n"/>
      <c r="H4873" s="56" t="n"/>
      <c r="I4873" s="43" t="n"/>
      <c r="J4873" s="57">
        <f>IF(OR(A4873="",H4873=""),"",IF(COUNTIFS(exp_year,C4873,exp_month,D4873,exp_item,E4873,exp_status,"&lt;&gt;❌ Отменено")&gt;0,1,0))</f>
        <v/>
      </c>
    </row>
    <row r="4874">
      <c r="A4874" s="52" t="n"/>
      <c r="B4874" s="53">
        <f>IF(A4874="","",CHOOSE(WEEKDAY(A4874,2),"Пн","Вт","Ср","Чт","Пт","Сб","Вс"))</f>
        <v/>
      </c>
      <c r="C4874" s="53">
        <f>IF(A4874="","",YEAR(A4874))</f>
        <v/>
      </c>
      <c r="D4874" s="54">
        <f>IF(A4874="","",INDEX(lst_months,MONTH(A4874)))</f>
        <v/>
      </c>
      <c r="E4874" s="55" t="n"/>
      <c r="F4874" s="54">
        <f>IF(E4874="","",IFERROR(IF(INDEX(lst_exp_item_cat,MATCH(E4874,lst_exp_items,0))="","❔ Без категории",INDEX(lst_exp_item_cat,MATCH(E4874,lst_exp_items,0))),"❔ Без категории"))</f>
        <v/>
      </c>
      <c r="G4874" s="43" t="n"/>
      <c r="H4874" s="56" t="n"/>
      <c r="I4874" s="43" t="n"/>
      <c r="J4874" s="57">
        <f>IF(OR(A4874="",H4874=""),"",IF(COUNTIFS(exp_year,C4874,exp_month,D4874,exp_item,E4874,exp_status,"&lt;&gt;❌ Отменено")&gt;0,1,0))</f>
        <v/>
      </c>
    </row>
    <row r="4875">
      <c r="A4875" s="52" t="n"/>
      <c r="B4875" s="53">
        <f>IF(A4875="","",CHOOSE(WEEKDAY(A4875,2),"Пн","Вт","Ср","Чт","Пт","Сб","Вс"))</f>
        <v/>
      </c>
      <c r="C4875" s="53">
        <f>IF(A4875="","",YEAR(A4875))</f>
        <v/>
      </c>
      <c r="D4875" s="54">
        <f>IF(A4875="","",INDEX(lst_months,MONTH(A4875)))</f>
        <v/>
      </c>
      <c r="E4875" s="55" t="n"/>
      <c r="F4875" s="54">
        <f>IF(E4875="","",IFERROR(IF(INDEX(lst_exp_item_cat,MATCH(E4875,lst_exp_items,0))="","❔ Без категории",INDEX(lst_exp_item_cat,MATCH(E4875,lst_exp_items,0))),"❔ Без категории"))</f>
        <v/>
      </c>
      <c r="G4875" s="43" t="n"/>
      <c r="H4875" s="56" t="n"/>
      <c r="I4875" s="43" t="n"/>
      <c r="J4875" s="57">
        <f>IF(OR(A4875="",H4875=""),"",IF(COUNTIFS(exp_year,C4875,exp_month,D4875,exp_item,E4875,exp_status,"&lt;&gt;❌ Отменено")&gt;0,1,0))</f>
        <v/>
      </c>
    </row>
    <row r="4876">
      <c r="A4876" s="52" t="n"/>
      <c r="B4876" s="53">
        <f>IF(A4876="","",CHOOSE(WEEKDAY(A4876,2),"Пн","Вт","Ср","Чт","Пт","Сб","Вс"))</f>
        <v/>
      </c>
      <c r="C4876" s="53">
        <f>IF(A4876="","",YEAR(A4876))</f>
        <v/>
      </c>
      <c r="D4876" s="54">
        <f>IF(A4876="","",INDEX(lst_months,MONTH(A4876)))</f>
        <v/>
      </c>
      <c r="E4876" s="55" t="n"/>
      <c r="F4876" s="54">
        <f>IF(E4876="","",IFERROR(IF(INDEX(lst_exp_item_cat,MATCH(E4876,lst_exp_items,0))="","❔ Без категории",INDEX(lst_exp_item_cat,MATCH(E4876,lst_exp_items,0))),"❔ Без категории"))</f>
        <v/>
      </c>
      <c r="G4876" s="43" t="n"/>
      <c r="H4876" s="56" t="n"/>
      <c r="I4876" s="43" t="n"/>
      <c r="J4876" s="57">
        <f>IF(OR(A4876="",H4876=""),"",IF(COUNTIFS(exp_year,C4876,exp_month,D4876,exp_item,E4876,exp_status,"&lt;&gt;❌ Отменено")&gt;0,1,0))</f>
        <v/>
      </c>
    </row>
    <row r="4877">
      <c r="A4877" s="52" t="n"/>
      <c r="B4877" s="53">
        <f>IF(A4877="","",CHOOSE(WEEKDAY(A4877,2),"Пн","Вт","Ср","Чт","Пт","Сб","Вс"))</f>
        <v/>
      </c>
      <c r="C4877" s="53">
        <f>IF(A4877="","",YEAR(A4877))</f>
        <v/>
      </c>
      <c r="D4877" s="54">
        <f>IF(A4877="","",INDEX(lst_months,MONTH(A4877)))</f>
        <v/>
      </c>
      <c r="E4877" s="55" t="n"/>
      <c r="F4877" s="54">
        <f>IF(E4877="","",IFERROR(IF(INDEX(lst_exp_item_cat,MATCH(E4877,lst_exp_items,0))="","❔ Без категории",INDEX(lst_exp_item_cat,MATCH(E4877,lst_exp_items,0))),"❔ Без категории"))</f>
        <v/>
      </c>
      <c r="G4877" s="43" t="n"/>
      <c r="H4877" s="56" t="n"/>
      <c r="I4877" s="43" t="n"/>
      <c r="J4877" s="57">
        <f>IF(OR(A4877="",H4877=""),"",IF(COUNTIFS(exp_year,C4877,exp_month,D4877,exp_item,E4877,exp_status,"&lt;&gt;❌ Отменено")&gt;0,1,0))</f>
        <v/>
      </c>
    </row>
    <row r="4878">
      <c r="A4878" s="52" t="n"/>
      <c r="B4878" s="53">
        <f>IF(A4878="","",CHOOSE(WEEKDAY(A4878,2),"Пн","Вт","Ср","Чт","Пт","Сб","Вс"))</f>
        <v/>
      </c>
      <c r="C4878" s="53">
        <f>IF(A4878="","",YEAR(A4878))</f>
        <v/>
      </c>
      <c r="D4878" s="54">
        <f>IF(A4878="","",INDEX(lst_months,MONTH(A4878)))</f>
        <v/>
      </c>
      <c r="E4878" s="55" t="n"/>
      <c r="F4878" s="54">
        <f>IF(E4878="","",IFERROR(IF(INDEX(lst_exp_item_cat,MATCH(E4878,lst_exp_items,0))="","❔ Без категории",INDEX(lst_exp_item_cat,MATCH(E4878,lst_exp_items,0))),"❔ Без категории"))</f>
        <v/>
      </c>
      <c r="G4878" s="43" t="n"/>
      <c r="H4878" s="56" t="n"/>
      <c r="I4878" s="43" t="n"/>
      <c r="J4878" s="57">
        <f>IF(OR(A4878="",H4878=""),"",IF(COUNTIFS(exp_year,C4878,exp_month,D4878,exp_item,E4878,exp_status,"&lt;&gt;❌ Отменено")&gt;0,1,0))</f>
        <v/>
      </c>
    </row>
    <row r="4879">
      <c r="A4879" s="52" t="n"/>
      <c r="B4879" s="53">
        <f>IF(A4879="","",CHOOSE(WEEKDAY(A4879,2),"Пн","Вт","Ср","Чт","Пт","Сб","Вс"))</f>
        <v/>
      </c>
      <c r="C4879" s="53">
        <f>IF(A4879="","",YEAR(A4879))</f>
        <v/>
      </c>
      <c r="D4879" s="54">
        <f>IF(A4879="","",INDEX(lst_months,MONTH(A4879)))</f>
        <v/>
      </c>
      <c r="E4879" s="55" t="n"/>
      <c r="F4879" s="54">
        <f>IF(E4879="","",IFERROR(IF(INDEX(lst_exp_item_cat,MATCH(E4879,lst_exp_items,0))="","❔ Без категории",INDEX(lst_exp_item_cat,MATCH(E4879,lst_exp_items,0))),"❔ Без категории"))</f>
        <v/>
      </c>
      <c r="G4879" s="43" t="n"/>
      <c r="H4879" s="56" t="n"/>
      <c r="I4879" s="43" t="n"/>
      <c r="J4879" s="57">
        <f>IF(OR(A4879="",H4879=""),"",IF(COUNTIFS(exp_year,C4879,exp_month,D4879,exp_item,E4879,exp_status,"&lt;&gt;❌ Отменено")&gt;0,1,0))</f>
        <v/>
      </c>
    </row>
    <row r="4880">
      <c r="A4880" s="52" t="n"/>
      <c r="B4880" s="53">
        <f>IF(A4880="","",CHOOSE(WEEKDAY(A4880,2),"Пн","Вт","Ср","Чт","Пт","Сб","Вс"))</f>
        <v/>
      </c>
      <c r="C4880" s="53">
        <f>IF(A4880="","",YEAR(A4880))</f>
        <v/>
      </c>
      <c r="D4880" s="54">
        <f>IF(A4880="","",INDEX(lst_months,MONTH(A4880)))</f>
        <v/>
      </c>
      <c r="E4880" s="55" t="n"/>
      <c r="F4880" s="54">
        <f>IF(E4880="","",IFERROR(IF(INDEX(lst_exp_item_cat,MATCH(E4880,lst_exp_items,0))="","❔ Без категории",INDEX(lst_exp_item_cat,MATCH(E4880,lst_exp_items,0))),"❔ Без категории"))</f>
        <v/>
      </c>
      <c r="G4880" s="43" t="n"/>
      <c r="H4880" s="56" t="n"/>
      <c r="I4880" s="43" t="n"/>
      <c r="J4880" s="57">
        <f>IF(OR(A4880="",H4880=""),"",IF(COUNTIFS(exp_year,C4880,exp_month,D4880,exp_item,E4880,exp_status,"&lt;&gt;❌ Отменено")&gt;0,1,0))</f>
        <v/>
      </c>
    </row>
    <row r="4881">
      <c r="A4881" s="52" t="n"/>
      <c r="B4881" s="53">
        <f>IF(A4881="","",CHOOSE(WEEKDAY(A4881,2),"Пн","Вт","Ср","Чт","Пт","Сб","Вс"))</f>
        <v/>
      </c>
      <c r="C4881" s="53">
        <f>IF(A4881="","",YEAR(A4881))</f>
        <v/>
      </c>
      <c r="D4881" s="54">
        <f>IF(A4881="","",INDEX(lst_months,MONTH(A4881)))</f>
        <v/>
      </c>
      <c r="E4881" s="55" t="n"/>
      <c r="F4881" s="54">
        <f>IF(E4881="","",IFERROR(IF(INDEX(lst_exp_item_cat,MATCH(E4881,lst_exp_items,0))="","❔ Без категории",INDEX(lst_exp_item_cat,MATCH(E4881,lst_exp_items,0))),"❔ Без категории"))</f>
        <v/>
      </c>
      <c r="G4881" s="43" t="n"/>
      <c r="H4881" s="56" t="n"/>
      <c r="I4881" s="43" t="n"/>
      <c r="J4881" s="57">
        <f>IF(OR(A4881="",H4881=""),"",IF(COUNTIFS(exp_year,C4881,exp_month,D4881,exp_item,E4881,exp_status,"&lt;&gt;❌ Отменено")&gt;0,1,0))</f>
        <v/>
      </c>
    </row>
    <row r="4882">
      <c r="A4882" s="52" t="n"/>
      <c r="B4882" s="53">
        <f>IF(A4882="","",CHOOSE(WEEKDAY(A4882,2),"Пн","Вт","Ср","Чт","Пт","Сб","Вс"))</f>
        <v/>
      </c>
      <c r="C4882" s="53">
        <f>IF(A4882="","",YEAR(A4882))</f>
        <v/>
      </c>
      <c r="D4882" s="54">
        <f>IF(A4882="","",INDEX(lst_months,MONTH(A4882)))</f>
        <v/>
      </c>
      <c r="E4882" s="55" t="n"/>
      <c r="F4882" s="54">
        <f>IF(E4882="","",IFERROR(IF(INDEX(lst_exp_item_cat,MATCH(E4882,lst_exp_items,0))="","❔ Без категории",INDEX(lst_exp_item_cat,MATCH(E4882,lst_exp_items,0))),"❔ Без категории"))</f>
        <v/>
      </c>
      <c r="G4882" s="43" t="n"/>
      <c r="H4882" s="56" t="n"/>
      <c r="I4882" s="43" t="n"/>
      <c r="J4882" s="57">
        <f>IF(OR(A4882="",H4882=""),"",IF(COUNTIFS(exp_year,C4882,exp_month,D4882,exp_item,E4882,exp_status,"&lt;&gt;❌ Отменено")&gt;0,1,0))</f>
        <v/>
      </c>
    </row>
    <row r="4883">
      <c r="A4883" s="52" t="n"/>
      <c r="B4883" s="53">
        <f>IF(A4883="","",CHOOSE(WEEKDAY(A4883,2),"Пн","Вт","Ср","Чт","Пт","Сб","Вс"))</f>
        <v/>
      </c>
      <c r="C4883" s="53">
        <f>IF(A4883="","",YEAR(A4883))</f>
        <v/>
      </c>
      <c r="D4883" s="54">
        <f>IF(A4883="","",INDEX(lst_months,MONTH(A4883)))</f>
        <v/>
      </c>
      <c r="E4883" s="55" t="n"/>
      <c r="F4883" s="54">
        <f>IF(E4883="","",IFERROR(IF(INDEX(lst_exp_item_cat,MATCH(E4883,lst_exp_items,0))="","❔ Без категории",INDEX(lst_exp_item_cat,MATCH(E4883,lst_exp_items,0))),"❔ Без категории"))</f>
        <v/>
      </c>
      <c r="G4883" s="43" t="n"/>
      <c r="H4883" s="56" t="n"/>
      <c r="I4883" s="43" t="n"/>
      <c r="J4883" s="57">
        <f>IF(OR(A4883="",H4883=""),"",IF(COUNTIFS(exp_year,C4883,exp_month,D4883,exp_item,E4883,exp_status,"&lt;&gt;❌ Отменено")&gt;0,1,0))</f>
        <v/>
      </c>
    </row>
    <row r="4884">
      <c r="A4884" s="52" t="n"/>
      <c r="B4884" s="53">
        <f>IF(A4884="","",CHOOSE(WEEKDAY(A4884,2),"Пн","Вт","Ср","Чт","Пт","Сб","Вс"))</f>
        <v/>
      </c>
      <c r="C4884" s="53">
        <f>IF(A4884="","",YEAR(A4884))</f>
        <v/>
      </c>
      <c r="D4884" s="54">
        <f>IF(A4884="","",INDEX(lst_months,MONTH(A4884)))</f>
        <v/>
      </c>
      <c r="E4884" s="55" t="n"/>
      <c r="F4884" s="54">
        <f>IF(E4884="","",IFERROR(IF(INDEX(lst_exp_item_cat,MATCH(E4884,lst_exp_items,0))="","❔ Без категории",INDEX(lst_exp_item_cat,MATCH(E4884,lst_exp_items,0))),"❔ Без категории"))</f>
        <v/>
      </c>
      <c r="G4884" s="43" t="n"/>
      <c r="H4884" s="56" t="n"/>
      <c r="I4884" s="43" t="n"/>
      <c r="J4884" s="57">
        <f>IF(OR(A4884="",H4884=""),"",IF(COUNTIFS(exp_year,C4884,exp_month,D4884,exp_item,E4884,exp_status,"&lt;&gt;❌ Отменено")&gt;0,1,0))</f>
        <v/>
      </c>
    </row>
    <row r="4885">
      <c r="A4885" s="52" t="n"/>
      <c r="B4885" s="53">
        <f>IF(A4885="","",CHOOSE(WEEKDAY(A4885,2),"Пн","Вт","Ср","Чт","Пт","Сб","Вс"))</f>
        <v/>
      </c>
      <c r="C4885" s="53">
        <f>IF(A4885="","",YEAR(A4885))</f>
        <v/>
      </c>
      <c r="D4885" s="54">
        <f>IF(A4885="","",INDEX(lst_months,MONTH(A4885)))</f>
        <v/>
      </c>
      <c r="E4885" s="55" t="n"/>
      <c r="F4885" s="54">
        <f>IF(E4885="","",IFERROR(IF(INDEX(lst_exp_item_cat,MATCH(E4885,lst_exp_items,0))="","❔ Без категории",INDEX(lst_exp_item_cat,MATCH(E4885,lst_exp_items,0))),"❔ Без категории"))</f>
        <v/>
      </c>
      <c r="G4885" s="43" t="n"/>
      <c r="H4885" s="56" t="n"/>
      <c r="I4885" s="43" t="n"/>
      <c r="J4885" s="57">
        <f>IF(OR(A4885="",H4885=""),"",IF(COUNTIFS(exp_year,C4885,exp_month,D4885,exp_item,E4885,exp_status,"&lt;&gt;❌ Отменено")&gt;0,1,0))</f>
        <v/>
      </c>
    </row>
    <row r="4886">
      <c r="A4886" s="52" t="n"/>
      <c r="B4886" s="53">
        <f>IF(A4886="","",CHOOSE(WEEKDAY(A4886,2),"Пн","Вт","Ср","Чт","Пт","Сб","Вс"))</f>
        <v/>
      </c>
      <c r="C4886" s="53">
        <f>IF(A4886="","",YEAR(A4886))</f>
        <v/>
      </c>
      <c r="D4886" s="54">
        <f>IF(A4886="","",INDEX(lst_months,MONTH(A4886)))</f>
        <v/>
      </c>
      <c r="E4886" s="55" t="n"/>
      <c r="F4886" s="54">
        <f>IF(E4886="","",IFERROR(IF(INDEX(lst_exp_item_cat,MATCH(E4886,lst_exp_items,0))="","❔ Без категории",INDEX(lst_exp_item_cat,MATCH(E4886,lst_exp_items,0))),"❔ Без категории"))</f>
        <v/>
      </c>
      <c r="G4886" s="43" t="n"/>
      <c r="H4886" s="56" t="n"/>
      <c r="I4886" s="43" t="n"/>
      <c r="J4886" s="57">
        <f>IF(OR(A4886="",H4886=""),"",IF(COUNTIFS(exp_year,C4886,exp_month,D4886,exp_item,E4886,exp_status,"&lt;&gt;❌ Отменено")&gt;0,1,0))</f>
        <v/>
      </c>
    </row>
    <row r="4887">
      <c r="A4887" s="52" t="n"/>
      <c r="B4887" s="53">
        <f>IF(A4887="","",CHOOSE(WEEKDAY(A4887,2),"Пн","Вт","Ср","Чт","Пт","Сб","Вс"))</f>
        <v/>
      </c>
      <c r="C4887" s="53">
        <f>IF(A4887="","",YEAR(A4887))</f>
        <v/>
      </c>
      <c r="D4887" s="54">
        <f>IF(A4887="","",INDEX(lst_months,MONTH(A4887)))</f>
        <v/>
      </c>
      <c r="E4887" s="55" t="n"/>
      <c r="F4887" s="54">
        <f>IF(E4887="","",IFERROR(IF(INDEX(lst_exp_item_cat,MATCH(E4887,lst_exp_items,0))="","❔ Без категории",INDEX(lst_exp_item_cat,MATCH(E4887,lst_exp_items,0))),"❔ Без категории"))</f>
        <v/>
      </c>
      <c r="G4887" s="43" t="n"/>
      <c r="H4887" s="56" t="n"/>
      <c r="I4887" s="43" t="n"/>
      <c r="J4887" s="57">
        <f>IF(OR(A4887="",H4887=""),"",IF(COUNTIFS(exp_year,C4887,exp_month,D4887,exp_item,E4887,exp_status,"&lt;&gt;❌ Отменено")&gt;0,1,0))</f>
        <v/>
      </c>
    </row>
    <row r="4888">
      <c r="A4888" s="52" t="n"/>
      <c r="B4888" s="53">
        <f>IF(A4888="","",CHOOSE(WEEKDAY(A4888,2),"Пн","Вт","Ср","Чт","Пт","Сб","Вс"))</f>
        <v/>
      </c>
      <c r="C4888" s="53">
        <f>IF(A4888="","",YEAR(A4888))</f>
        <v/>
      </c>
      <c r="D4888" s="54">
        <f>IF(A4888="","",INDEX(lst_months,MONTH(A4888)))</f>
        <v/>
      </c>
      <c r="E4888" s="55" t="n"/>
      <c r="F4888" s="54">
        <f>IF(E4888="","",IFERROR(IF(INDEX(lst_exp_item_cat,MATCH(E4888,lst_exp_items,0))="","❔ Без категории",INDEX(lst_exp_item_cat,MATCH(E4888,lst_exp_items,0))),"❔ Без категории"))</f>
        <v/>
      </c>
      <c r="G4888" s="43" t="n"/>
      <c r="H4888" s="56" t="n"/>
      <c r="I4888" s="43" t="n"/>
      <c r="J4888" s="57">
        <f>IF(OR(A4888="",H4888=""),"",IF(COUNTIFS(exp_year,C4888,exp_month,D4888,exp_item,E4888,exp_status,"&lt;&gt;❌ Отменено")&gt;0,1,0))</f>
        <v/>
      </c>
    </row>
    <row r="4889">
      <c r="A4889" s="52" t="n"/>
      <c r="B4889" s="53">
        <f>IF(A4889="","",CHOOSE(WEEKDAY(A4889,2),"Пн","Вт","Ср","Чт","Пт","Сб","Вс"))</f>
        <v/>
      </c>
      <c r="C4889" s="53">
        <f>IF(A4889="","",YEAR(A4889))</f>
        <v/>
      </c>
      <c r="D4889" s="54">
        <f>IF(A4889="","",INDEX(lst_months,MONTH(A4889)))</f>
        <v/>
      </c>
      <c r="E4889" s="55" t="n"/>
      <c r="F4889" s="54">
        <f>IF(E4889="","",IFERROR(IF(INDEX(lst_exp_item_cat,MATCH(E4889,lst_exp_items,0))="","❔ Без категории",INDEX(lst_exp_item_cat,MATCH(E4889,lst_exp_items,0))),"❔ Без категории"))</f>
        <v/>
      </c>
      <c r="G4889" s="43" t="n"/>
      <c r="H4889" s="56" t="n"/>
      <c r="I4889" s="43" t="n"/>
      <c r="J4889" s="57">
        <f>IF(OR(A4889="",H4889=""),"",IF(COUNTIFS(exp_year,C4889,exp_month,D4889,exp_item,E4889,exp_status,"&lt;&gt;❌ Отменено")&gt;0,1,0))</f>
        <v/>
      </c>
    </row>
    <row r="4890">
      <c r="A4890" s="52" t="n"/>
      <c r="B4890" s="53">
        <f>IF(A4890="","",CHOOSE(WEEKDAY(A4890,2),"Пн","Вт","Ср","Чт","Пт","Сб","Вс"))</f>
        <v/>
      </c>
      <c r="C4890" s="53">
        <f>IF(A4890="","",YEAR(A4890))</f>
        <v/>
      </c>
      <c r="D4890" s="54">
        <f>IF(A4890="","",INDEX(lst_months,MONTH(A4890)))</f>
        <v/>
      </c>
      <c r="E4890" s="55" t="n"/>
      <c r="F4890" s="54">
        <f>IF(E4890="","",IFERROR(IF(INDEX(lst_exp_item_cat,MATCH(E4890,lst_exp_items,0))="","❔ Без категории",INDEX(lst_exp_item_cat,MATCH(E4890,lst_exp_items,0))),"❔ Без категории"))</f>
        <v/>
      </c>
      <c r="G4890" s="43" t="n"/>
      <c r="H4890" s="56" t="n"/>
      <c r="I4890" s="43" t="n"/>
      <c r="J4890" s="57">
        <f>IF(OR(A4890="",H4890=""),"",IF(COUNTIFS(exp_year,C4890,exp_month,D4890,exp_item,E4890,exp_status,"&lt;&gt;❌ Отменено")&gt;0,1,0))</f>
        <v/>
      </c>
    </row>
    <row r="4891">
      <c r="A4891" s="52" t="n"/>
      <c r="B4891" s="53">
        <f>IF(A4891="","",CHOOSE(WEEKDAY(A4891,2),"Пн","Вт","Ср","Чт","Пт","Сб","Вс"))</f>
        <v/>
      </c>
      <c r="C4891" s="53">
        <f>IF(A4891="","",YEAR(A4891))</f>
        <v/>
      </c>
      <c r="D4891" s="54">
        <f>IF(A4891="","",INDEX(lst_months,MONTH(A4891)))</f>
        <v/>
      </c>
      <c r="E4891" s="55" t="n"/>
      <c r="F4891" s="54">
        <f>IF(E4891="","",IFERROR(IF(INDEX(lst_exp_item_cat,MATCH(E4891,lst_exp_items,0))="","❔ Без категории",INDEX(lst_exp_item_cat,MATCH(E4891,lst_exp_items,0))),"❔ Без категории"))</f>
        <v/>
      </c>
      <c r="G4891" s="43" t="n"/>
      <c r="H4891" s="56" t="n"/>
      <c r="I4891" s="43" t="n"/>
      <c r="J4891" s="57">
        <f>IF(OR(A4891="",H4891=""),"",IF(COUNTIFS(exp_year,C4891,exp_month,D4891,exp_item,E4891,exp_status,"&lt;&gt;❌ Отменено")&gt;0,1,0))</f>
        <v/>
      </c>
    </row>
    <row r="4892">
      <c r="A4892" s="52" t="n"/>
      <c r="B4892" s="53">
        <f>IF(A4892="","",CHOOSE(WEEKDAY(A4892,2),"Пн","Вт","Ср","Чт","Пт","Сб","Вс"))</f>
        <v/>
      </c>
      <c r="C4892" s="53">
        <f>IF(A4892="","",YEAR(A4892))</f>
        <v/>
      </c>
      <c r="D4892" s="54">
        <f>IF(A4892="","",INDEX(lst_months,MONTH(A4892)))</f>
        <v/>
      </c>
      <c r="E4892" s="55" t="n"/>
      <c r="F4892" s="54">
        <f>IF(E4892="","",IFERROR(IF(INDEX(lst_exp_item_cat,MATCH(E4892,lst_exp_items,0))="","❔ Без категории",INDEX(lst_exp_item_cat,MATCH(E4892,lst_exp_items,0))),"❔ Без категории"))</f>
        <v/>
      </c>
      <c r="G4892" s="43" t="n"/>
      <c r="H4892" s="56" t="n"/>
      <c r="I4892" s="43" t="n"/>
      <c r="J4892" s="57">
        <f>IF(OR(A4892="",H4892=""),"",IF(COUNTIFS(exp_year,C4892,exp_month,D4892,exp_item,E4892,exp_status,"&lt;&gt;❌ Отменено")&gt;0,1,0))</f>
        <v/>
      </c>
    </row>
    <row r="4893">
      <c r="A4893" s="52" t="n"/>
      <c r="B4893" s="53">
        <f>IF(A4893="","",CHOOSE(WEEKDAY(A4893,2),"Пн","Вт","Ср","Чт","Пт","Сб","Вс"))</f>
        <v/>
      </c>
      <c r="C4893" s="53">
        <f>IF(A4893="","",YEAR(A4893))</f>
        <v/>
      </c>
      <c r="D4893" s="54">
        <f>IF(A4893="","",INDEX(lst_months,MONTH(A4893)))</f>
        <v/>
      </c>
      <c r="E4893" s="55" t="n"/>
      <c r="F4893" s="54">
        <f>IF(E4893="","",IFERROR(IF(INDEX(lst_exp_item_cat,MATCH(E4893,lst_exp_items,0))="","❔ Без категории",INDEX(lst_exp_item_cat,MATCH(E4893,lst_exp_items,0))),"❔ Без категории"))</f>
        <v/>
      </c>
      <c r="G4893" s="43" t="n"/>
      <c r="H4893" s="56" t="n"/>
      <c r="I4893" s="43" t="n"/>
      <c r="J4893" s="57">
        <f>IF(OR(A4893="",H4893=""),"",IF(COUNTIFS(exp_year,C4893,exp_month,D4893,exp_item,E4893,exp_status,"&lt;&gt;❌ Отменено")&gt;0,1,0))</f>
        <v/>
      </c>
    </row>
    <row r="4894">
      <c r="A4894" s="52" t="n"/>
      <c r="B4894" s="53">
        <f>IF(A4894="","",CHOOSE(WEEKDAY(A4894,2),"Пн","Вт","Ср","Чт","Пт","Сб","Вс"))</f>
        <v/>
      </c>
      <c r="C4894" s="53">
        <f>IF(A4894="","",YEAR(A4894))</f>
        <v/>
      </c>
      <c r="D4894" s="54">
        <f>IF(A4894="","",INDEX(lst_months,MONTH(A4894)))</f>
        <v/>
      </c>
      <c r="E4894" s="55" t="n"/>
      <c r="F4894" s="54">
        <f>IF(E4894="","",IFERROR(IF(INDEX(lst_exp_item_cat,MATCH(E4894,lst_exp_items,0))="","❔ Без категории",INDEX(lst_exp_item_cat,MATCH(E4894,lst_exp_items,0))),"❔ Без категории"))</f>
        <v/>
      </c>
      <c r="G4894" s="43" t="n"/>
      <c r="H4894" s="56" t="n"/>
      <c r="I4894" s="43" t="n"/>
      <c r="J4894" s="57">
        <f>IF(OR(A4894="",H4894=""),"",IF(COUNTIFS(exp_year,C4894,exp_month,D4894,exp_item,E4894,exp_status,"&lt;&gt;❌ Отменено")&gt;0,1,0))</f>
        <v/>
      </c>
    </row>
    <row r="4895">
      <c r="A4895" s="52" t="n"/>
      <c r="B4895" s="53">
        <f>IF(A4895="","",CHOOSE(WEEKDAY(A4895,2),"Пн","Вт","Ср","Чт","Пт","Сб","Вс"))</f>
        <v/>
      </c>
      <c r="C4895" s="53">
        <f>IF(A4895="","",YEAR(A4895))</f>
        <v/>
      </c>
      <c r="D4895" s="54">
        <f>IF(A4895="","",INDEX(lst_months,MONTH(A4895)))</f>
        <v/>
      </c>
      <c r="E4895" s="55" t="n"/>
      <c r="F4895" s="54">
        <f>IF(E4895="","",IFERROR(IF(INDEX(lst_exp_item_cat,MATCH(E4895,lst_exp_items,0))="","❔ Без категории",INDEX(lst_exp_item_cat,MATCH(E4895,lst_exp_items,0))),"❔ Без категории"))</f>
        <v/>
      </c>
      <c r="G4895" s="43" t="n"/>
      <c r="H4895" s="56" t="n"/>
      <c r="I4895" s="43" t="n"/>
      <c r="J4895" s="57">
        <f>IF(OR(A4895="",H4895=""),"",IF(COUNTIFS(exp_year,C4895,exp_month,D4895,exp_item,E4895,exp_status,"&lt;&gt;❌ Отменено")&gt;0,1,0))</f>
        <v/>
      </c>
    </row>
    <row r="4896">
      <c r="A4896" s="52" t="n"/>
      <c r="B4896" s="53">
        <f>IF(A4896="","",CHOOSE(WEEKDAY(A4896,2),"Пн","Вт","Ср","Чт","Пт","Сб","Вс"))</f>
        <v/>
      </c>
      <c r="C4896" s="53">
        <f>IF(A4896="","",YEAR(A4896))</f>
        <v/>
      </c>
      <c r="D4896" s="54">
        <f>IF(A4896="","",INDEX(lst_months,MONTH(A4896)))</f>
        <v/>
      </c>
      <c r="E4896" s="55" t="n"/>
      <c r="F4896" s="54">
        <f>IF(E4896="","",IFERROR(IF(INDEX(lst_exp_item_cat,MATCH(E4896,lst_exp_items,0))="","❔ Без категории",INDEX(lst_exp_item_cat,MATCH(E4896,lst_exp_items,0))),"❔ Без категории"))</f>
        <v/>
      </c>
      <c r="G4896" s="43" t="n"/>
      <c r="H4896" s="56" t="n"/>
      <c r="I4896" s="43" t="n"/>
      <c r="J4896" s="57">
        <f>IF(OR(A4896="",H4896=""),"",IF(COUNTIFS(exp_year,C4896,exp_month,D4896,exp_item,E4896,exp_status,"&lt;&gt;❌ Отменено")&gt;0,1,0))</f>
        <v/>
      </c>
    </row>
    <row r="4897">
      <c r="A4897" s="52" t="n"/>
      <c r="B4897" s="53">
        <f>IF(A4897="","",CHOOSE(WEEKDAY(A4897,2),"Пн","Вт","Ср","Чт","Пт","Сб","Вс"))</f>
        <v/>
      </c>
      <c r="C4897" s="53">
        <f>IF(A4897="","",YEAR(A4897))</f>
        <v/>
      </c>
      <c r="D4897" s="54">
        <f>IF(A4897="","",INDEX(lst_months,MONTH(A4897)))</f>
        <v/>
      </c>
      <c r="E4897" s="55" t="n"/>
      <c r="F4897" s="54">
        <f>IF(E4897="","",IFERROR(IF(INDEX(lst_exp_item_cat,MATCH(E4897,lst_exp_items,0))="","❔ Без категории",INDEX(lst_exp_item_cat,MATCH(E4897,lst_exp_items,0))),"❔ Без категории"))</f>
        <v/>
      </c>
      <c r="G4897" s="43" t="n"/>
      <c r="H4897" s="56" t="n"/>
      <c r="I4897" s="43" t="n"/>
      <c r="J4897" s="57">
        <f>IF(OR(A4897="",H4897=""),"",IF(COUNTIFS(exp_year,C4897,exp_month,D4897,exp_item,E4897,exp_status,"&lt;&gt;❌ Отменено")&gt;0,1,0))</f>
        <v/>
      </c>
    </row>
    <row r="4898">
      <c r="A4898" s="52" t="n"/>
      <c r="B4898" s="53">
        <f>IF(A4898="","",CHOOSE(WEEKDAY(A4898,2),"Пн","Вт","Ср","Чт","Пт","Сб","Вс"))</f>
        <v/>
      </c>
      <c r="C4898" s="53">
        <f>IF(A4898="","",YEAR(A4898))</f>
        <v/>
      </c>
      <c r="D4898" s="54">
        <f>IF(A4898="","",INDEX(lst_months,MONTH(A4898)))</f>
        <v/>
      </c>
      <c r="E4898" s="55" t="n"/>
      <c r="F4898" s="54">
        <f>IF(E4898="","",IFERROR(IF(INDEX(lst_exp_item_cat,MATCH(E4898,lst_exp_items,0))="","❔ Без категории",INDEX(lst_exp_item_cat,MATCH(E4898,lst_exp_items,0))),"❔ Без категории"))</f>
        <v/>
      </c>
      <c r="G4898" s="43" t="n"/>
      <c r="H4898" s="56" t="n"/>
      <c r="I4898" s="43" t="n"/>
      <c r="J4898" s="57">
        <f>IF(OR(A4898="",H4898=""),"",IF(COUNTIFS(exp_year,C4898,exp_month,D4898,exp_item,E4898,exp_status,"&lt;&gt;❌ Отменено")&gt;0,1,0))</f>
        <v/>
      </c>
    </row>
    <row r="4899">
      <c r="A4899" s="52" t="n"/>
      <c r="B4899" s="53">
        <f>IF(A4899="","",CHOOSE(WEEKDAY(A4899,2),"Пн","Вт","Ср","Чт","Пт","Сб","Вс"))</f>
        <v/>
      </c>
      <c r="C4899" s="53">
        <f>IF(A4899="","",YEAR(A4899))</f>
        <v/>
      </c>
      <c r="D4899" s="54">
        <f>IF(A4899="","",INDEX(lst_months,MONTH(A4899)))</f>
        <v/>
      </c>
      <c r="E4899" s="55" t="n"/>
      <c r="F4899" s="54">
        <f>IF(E4899="","",IFERROR(IF(INDEX(lst_exp_item_cat,MATCH(E4899,lst_exp_items,0))="","❔ Без категории",INDEX(lst_exp_item_cat,MATCH(E4899,lst_exp_items,0))),"❔ Без категории"))</f>
        <v/>
      </c>
      <c r="G4899" s="43" t="n"/>
      <c r="H4899" s="56" t="n"/>
      <c r="I4899" s="43" t="n"/>
      <c r="J4899" s="57">
        <f>IF(OR(A4899="",H4899=""),"",IF(COUNTIFS(exp_year,C4899,exp_month,D4899,exp_item,E4899,exp_status,"&lt;&gt;❌ Отменено")&gt;0,1,0))</f>
        <v/>
      </c>
    </row>
    <row r="4900">
      <c r="A4900" s="52" t="n"/>
      <c r="B4900" s="53">
        <f>IF(A4900="","",CHOOSE(WEEKDAY(A4900,2),"Пн","Вт","Ср","Чт","Пт","Сб","Вс"))</f>
        <v/>
      </c>
      <c r="C4900" s="53">
        <f>IF(A4900="","",YEAR(A4900))</f>
        <v/>
      </c>
      <c r="D4900" s="54">
        <f>IF(A4900="","",INDEX(lst_months,MONTH(A4900)))</f>
        <v/>
      </c>
      <c r="E4900" s="55" t="n"/>
      <c r="F4900" s="54">
        <f>IF(E4900="","",IFERROR(IF(INDEX(lst_exp_item_cat,MATCH(E4900,lst_exp_items,0))="","❔ Без категории",INDEX(lst_exp_item_cat,MATCH(E4900,lst_exp_items,0))),"❔ Без категории"))</f>
        <v/>
      </c>
      <c r="G4900" s="43" t="n"/>
      <c r="H4900" s="56" t="n"/>
      <c r="I4900" s="43" t="n"/>
      <c r="J4900" s="57">
        <f>IF(OR(A4900="",H4900=""),"",IF(COUNTIFS(exp_year,C4900,exp_month,D4900,exp_item,E4900,exp_status,"&lt;&gt;❌ Отменено")&gt;0,1,0))</f>
        <v/>
      </c>
    </row>
    <row r="4901">
      <c r="A4901" s="52" t="n"/>
      <c r="B4901" s="53">
        <f>IF(A4901="","",CHOOSE(WEEKDAY(A4901,2),"Пн","Вт","Ср","Чт","Пт","Сб","Вс"))</f>
        <v/>
      </c>
      <c r="C4901" s="53">
        <f>IF(A4901="","",YEAR(A4901))</f>
        <v/>
      </c>
      <c r="D4901" s="54">
        <f>IF(A4901="","",INDEX(lst_months,MONTH(A4901)))</f>
        <v/>
      </c>
      <c r="E4901" s="55" t="n"/>
      <c r="F4901" s="54">
        <f>IF(E4901="","",IFERROR(IF(INDEX(lst_exp_item_cat,MATCH(E4901,lst_exp_items,0))="","❔ Без категории",INDEX(lst_exp_item_cat,MATCH(E4901,lst_exp_items,0))),"❔ Без категории"))</f>
        <v/>
      </c>
      <c r="G4901" s="43" t="n"/>
      <c r="H4901" s="56" t="n"/>
      <c r="I4901" s="43" t="n"/>
      <c r="J4901" s="57">
        <f>IF(OR(A4901="",H4901=""),"",IF(COUNTIFS(exp_year,C4901,exp_month,D4901,exp_item,E4901,exp_status,"&lt;&gt;❌ Отменено")&gt;0,1,0))</f>
        <v/>
      </c>
    </row>
    <row r="4902">
      <c r="A4902" s="52" t="n"/>
      <c r="B4902" s="53">
        <f>IF(A4902="","",CHOOSE(WEEKDAY(A4902,2),"Пн","Вт","Ср","Чт","Пт","Сб","Вс"))</f>
        <v/>
      </c>
      <c r="C4902" s="53">
        <f>IF(A4902="","",YEAR(A4902))</f>
        <v/>
      </c>
      <c r="D4902" s="54">
        <f>IF(A4902="","",INDEX(lst_months,MONTH(A4902)))</f>
        <v/>
      </c>
      <c r="E4902" s="55" t="n"/>
      <c r="F4902" s="54">
        <f>IF(E4902="","",IFERROR(IF(INDEX(lst_exp_item_cat,MATCH(E4902,lst_exp_items,0))="","❔ Без категории",INDEX(lst_exp_item_cat,MATCH(E4902,lst_exp_items,0))),"❔ Без категории"))</f>
        <v/>
      </c>
      <c r="G4902" s="43" t="n"/>
      <c r="H4902" s="56" t="n"/>
      <c r="I4902" s="43" t="n"/>
      <c r="J4902" s="57">
        <f>IF(OR(A4902="",H4902=""),"",IF(COUNTIFS(exp_year,C4902,exp_month,D4902,exp_item,E4902,exp_status,"&lt;&gt;❌ Отменено")&gt;0,1,0))</f>
        <v/>
      </c>
    </row>
    <row r="4903">
      <c r="A4903" s="52" t="n"/>
      <c r="B4903" s="53">
        <f>IF(A4903="","",CHOOSE(WEEKDAY(A4903,2),"Пн","Вт","Ср","Чт","Пт","Сб","Вс"))</f>
        <v/>
      </c>
      <c r="C4903" s="53">
        <f>IF(A4903="","",YEAR(A4903))</f>
        <v/>
      </c>
      <c r="D4903" s="54">
        <f>IF(A4903="","",INDEX(lst_months,MONTH(A4903)))</f>
        <v/>
      </c>
      <c r="E4903" s="55" t="n"/>
      <c r="F4903" s="54">
        <f>IF(E4903="","",IFERROR(IF(INDEX(lst_exp_item_cat,MATCH(E4903,lst_exp_items,0))="","❔ Без категории",INDEX(lst_exp_item_cat,MATCH(E4903,lst_exp_items,0))),"❔ Без категории"))</f>
        <v/>
      </c>
      <c r="G4903" s="43" t="n"/>
      <c r="H4903" s="56" t="n"/>
      <c r="I4903" s="43" t="n"/>
      <c r="J4903" s="57">
        <f>IF(OR(A4903="",H4903=""),"",IF(COUNTIFS(exp_year,C4903,exp_month,D4903,exp_item,E4903,exp_status,"&lt;&gt;❌ Отменено")&gt;0,1,0))</f>
        <v/>
      </c>
    </row>
    <row r="4904">
      <c r="A4904" s="52" t="n"/>
      <c r="B4904" s="53">
        <f>IF(A4904="","",CHOOSE(WEEKDAY(A4904,2),"Пн","Вт","Ср","Чт","Пт","Сб","Вс"))</f>
        <v/>
      </c>
      <c r="C4904" s="53">
        <f>IF(A4904="","",YEAR(A4904))</f>
        <v/>
      </c>
      <c r="D4904" s="54">
        <f>IF(A4904="","",INDEX(lst_months,MONTH(A4904)))</f>
        <v/>
      </c>
      <c r="E4904" s="55" t="n"/>
      <c r="F4904" s="54">
        <f>IF(E4904="","",IFERROR(IF(INDEX(lst_exp_item_cat,MATCH(E4904,lst_exp_items,0))="","❔ Без категории",INDEX(lst_exp_item_cat,MATCH(E4904,lst_exp_items,0))),"❔ Без категории"))</f>
        <v/>
      </c>
      <c r="G4904" s="43" t="n"/>
      <c r="H4904" s="56" t="n"/>
      <c r="I4904" s="43" t="n"/>
      <c r="J4904" s="57">
        <f>IF(OR(A4904="",H4904=""),"",IF(COUNTIFS(exp_year,C4904,exp_month,D4904,exp_item,E4904,exp_status,"&lt;&gt;❌ Отменено")&gt;0,1,0))</f>
        <v/>
      </c>
    </row>
    <row r="4905">
      <c r="A4905" s="52" t="n"/>
      <c r="B4905" s="53">
        <f>IF(A4905="","",CHOOSE(WEEKDAY(A4905,2),"Пн","Вт","Ср","Чт","Пт","Сб","Вс"))</f>
        <v/>
      </c>
      <c r="C4905" s="53">
        <f>IF(A4905="","",YEAR(A4905))</f>
        <v/>
      </c>
      <c r="D4905" s="54">
        <f>IF(A4905="","",INDEX(lst_months,MONTH(A4905)))</f>
        <v/>
      </c>
      <c r="E4905" s="55" t="n"/>
      <c r="F4905" s="54">
        <f>IF(E4905="","",IFERROR(IF(INDEX(lst_exp_item_cat,MATCH(E4905,lst_exp_items,0))="","❔ Без категории",INDEX(lst_exp_item_cat,MATCH(E4905,lst_exp_items,0))),"❔ Без категории"))</f>
        <v/>
      </c>
      <c r="G4905" s="43" t="n"/>
      <c r="H4905" s="56" t="n"/>
      <c r="I4905" s="43" t="n"/>
      <c r="J4905" s="57">
        <f>IF(OR(A4905="",H4905=""),"",IF(COUNTIFS(exp_year,C4905,exp_month,D4905,exp_item,E4905,exp_status,"&lt;&gt;❌ Отменено")&gt;0,1,0))</f>
        <v/>
      </c>
    </row>
    <row r="4906">
      <c r="A4906" s="52" t="n"/>
      <c r="B4906" s="53">
        <f>IF(A4906="","",CHOOSE(WEEKDAY(A4906,2),"Пн","Вт","Ср","Чт","Пт","Сб","Вс"))</f>
        <v/>
      </c>
      <c r="C4906" s="53">
        <f>IF(A4906="","",YEAR(A4906))</f>
        <v/>
      </c>
      <c r="D4906" s="54">
        <f>IF(A4906="","",INDEX(lst_months,MONTH(A4906)))</f>
        <v/>
      </c>
      <c r="E4906" s="55" t="n"/>
      <c r="F4906" s="54">
        <f>IF(E4906="","",IFERROR(IF(INDEX(lst_exp_item_cat,MATCH(E4906,lst_exp_items,0))="","❔ Без категории",INDEX(lst_exp_item_cat,MATCH(E4906,lst_exp_items,0))),"❔ Без категории"))</f>
        <v/>
      </c>
      <c r="G4906" s="43" t="n"/>
      <c r="H4906" s="56" t="n"/>
      <c r="I4906" s="43" t="n"/>
      <c r="J4906" s="57">
        <f>IF(OR(A4906="",H4906=""),"",IF(COUNTIFS(exp_year,C4906,exp_month,D4906,exp_item,E4906,exp_status,"&lt;&gt;❌ Отменено")&gt;0,1,0))</f>
        <v/>
      </c>
    </row>
    <row r="4907">
      <c r="A4907" s="52" t="n"/>
      <c r="B4907" s="53">
        <f>IF(A4907="","",CHOOSE(WEEKDAY(A4907,2),"Пн","Вт","Ср","Чт","Пт","Сб","Вс"))</f>
        <v/>
      </c>
      <c r="C4907" s="53">
        <f>IF(A4907="","",YEAR(A4907))</f>
        <v/>
      </c>
      <c r="D4907" s="54">
        <f>IF(A4907="","",INDEX(lst_months,MONTH(A4907)))</f>
        <v/>
      </c>
      <c r="E4907" s="55" t="n"/>
      <c r="F4907" s="54">
        <f>IF(E4907="","",IFERROR(IF(INDEX(lst_exp_item_cat,MATCH(E4907,lst_exp_items,0))="","❔ Без категории",INDEX(lst_exp_item_cat,MATCH(E4907,lst_exp_items,0))),"❔ Без категории"))</f>
        <v/>
      </c>
      <c r="G4907" s="43" t="n"/>
      <c r="H4907" s="56" t="n"/>
      <c r="I4907" s="43" t="n"/>
      <c r="J4907" s="57">
        <f>IF(OR(A4907="",H4907=""),"",IF(COUNTIFS(exp_year,C4907,exp_month,D4907,exp_item,E4907,exp_status,"&lt;&gt;❌ Отменено")&gt;0,1,0))</f>
        <v/>
      </c>
    </row>
    <row r="4908">
      <c r="A4908" s="52" t="n"/>
      <c r="B4908" s="53">
        <f>IF(A4908="","",CHOOSE(WEEKDAY(A4908,2),"Пн","Вт","Ср","Чт","Пт","Сб","Вс"))</f>
        <v/>
      </c>
      <c r="C4908" s="53">
        <f>IF(A4908="","",YEAR(A4908))</f>
        <v/>
      </c>
      <c r="D4908" s="54">
        <f>IF(A4908="","",INDEX(lst_months,MONTH(A4908)))</f>
        <v/>
      </c>
      <c r="E4908" s="55" t="n"/>
      <c r="F4908" s="54">
        <f>IF(E4908="","",IFERROR(IF(INDEX(lst_exp_item_cat,MATCH(E4908,lst_exp_items,0))="","❔ Без категории",INDEX(lst_exp_item_cat,MATCH(E4908,lst_exp_items,0))),"❔ Без категории"))</f>
        <v/>
      </c>
      <c r="G4908" s="43" t="n"/>
      <c r="H4908" s="56" t="n"/>
      <c r="I4908" s="43" t="n"/>
      <c r="J4908" s="57">
        <f>IF(OR(A4908="",H4908=""),"",IF(COUNTIFS(exp_year,C4908,exp_month,D4908,exp_item,E4908,exp_status,"&lt;&gt;❌ Отменено")&gt;0,1,0))</f>
        <v/>
      </c>
    </row>
    <row r="4909">
      <c r="A4909" s="52" t="n"/>
      <c r="B4909" s="53">
        <f>IF(A4909="","",CHOOSE(WEEKDAY(A4909,2),"Пн","Вт","Ср","Чт","Пт","Сб","Вс"))</f>
        <v/>
      </c>
      <c r="C4909" s="53">
        <f>IF(A4909="","",YEAR(A4909))</f>
        <v/>
      </c>
      <c r="D4909" s="54">
        <f>IF(A4909="","",INDEX(lst_months,MONTH(A4909)))</f>
        <v/>
      </c>
      <c r="E4909" s="55" t="n"/>
      <c r="F4909" s="54">
        <f>IF(E4909="","",IFERROR(IF(INDEX(lst_exp_item_cat,MATCH(E4909,lst_exp_items,0))="","❔ Без категории",INDEX(lst_exp_item_cat,MATCH(E4909,lst_exp_items,0))),"❔ Без категории"))</f>
        <v/>
      </c>
      <c r="G4909" s="43" t="n"/>
      <c r="H4909" s="56" t="n"/>
      <c r="I4909" s="43" t="n"/>
      <c r="J4909" s="57">
        <f>IF(OR(A4909="",H4909=""),"",IF(COUNTIFS(exp_year,C4909,exp_month,D4909,exp_item,E4909,exp_status,"&lt;&gt;❌ Отменено")&gt;0,1,0))</f>
        <v/>
      </c>
    </row>
    <row r="4910">
      <c r="A4910" s="52" t="n"/>
      <c r="B4910" s="53">
        <f>IF(A4910="","",CHOOSE(WEEKDAY(A4910,2),"Пн","Вт","Ср","Чт","Пт","Сб","Вс"))</f>
        <v/>
      </c>
      <c r="C4910" s="53">
        <f>IF(A4910="","",YEAR(A4910))</f>
        <v/>
      </c>
      <c r="D4910" s="54">
        <f>IF(A4910="","",INDEX(lst_months,MONTH(A4910)))</f>
        <v/>
      </c>
      <c r="E4910" s="55" t="n"/>
      <c r="F4910" s="54">
        <f>IF(E4910="","",IFERROR(IF(INDEX(lst_exp_item_cat,MATCH(E4910,lst_exp_items,0))="","❔ Без категории",INDEX(lst_exp_item_cat,MATCH(E4910,lst_exp_items,0))),"❔ Без категории"))</f>
        <v/>
      </c>
      <c r="G4910" s="43" t="n"/>
      <c r="H4910" s="56" t="n"/>
      <c r="I4910" s="43" t="n"/>
      <c r="J4910" s="57">
        <f>IF(OR(A4910="",H4910=""),"",IF(COUNTIFS(exp_year,C4910,exp_month,D4910,exp_item,E4910,exp_status,"&lt;&gt;❌ Отменено")&gt;0,1,0))</f>
        <v/>
      </c>
    </row>
    <row r="4911">
      <c r="A4911" s="52" t="n"/>
      <c r="B4911" s="53">
        <f>IF(A4911="","",CHOOSE(WEEKDAY(A4911,2),"Пн","Вт","Ср","Чт","Пт","Сб","Вс"))</f>
        <v/>
      </c>
      <c r="C4911" s="53">
        <f>IF(A4911="","",YEAR(A4911))</f>
        <v/>
      </c>
      <c r="D4911" s="54">
        <f>IF(A4911="","",INDEX(lst_months,MONTH(A4911)))</f>
        <v/>
      </c>
      <c r="E4911" s="55" t="n"/>
      <c r="F4911" s="54">
        <f>IF(E4911="","",IFERROR(IF(INDEX(lst_exp_item_cat,MATCH(E4911,lst_exp_items,0))="","❔ Без категории",INDEX(lst_exp_item_cat,MATCH(E4911,lst_exp_items,0))),"❔ Без категории"))</f>
        <v/>
      </c>
      <c r="G4911" s="43" t="n"/>
      <c r="H4911" s="56" t="n"/>
      <c r="I4911" s="43" t="n"/>
      <c r="J4911" s="57">
        <f>IF(OR(A4911="",H4911=""),"",IF(COUNTIFS(exp_year,C4911,exp_month,D4911,exp_item,E4911,exp_status,"&lt;&gt;❌ Отменено")&gt;0,1,0))</f>
        <v/>
      </c>
    </row>
    <row r="4912">
      <c r="A4912" s="52" t="n"/>
      <c r="B4912" s="53">
        <f>IF(A4912="","",CHOOSE(WEEKDAY(A4912,2),"Пн","Вт","Ср","Чт","Пт","Сб","Вс"))</f>
        <v/>
      </c>
      <c r="C4912" s="53">
        <f>IF(A4912="","",YEAR(A4912))</f>
        <v/>
      </c>
      <c r="D4912" s="54">
        <f>IF(A4912="","",INDEX(lst_months,MONTH(A4912)))</f>
        <v/>
      </c>
      <c r="E4912" s="55" t="n"/>
      <c r="F4912" s="54">
        <f>IF(E4912="","",IFERROR(IF(INDEX(lst_exp_item_cat,MATCH(E4912,lst_exp_items,0))="","❔ Без категории",INDEX(lst_exp_item_cat,MATCH(E4912,lst_exp_items,0))),"❔ Без категории"))</f>
        <v/>
      </c>
      <c r="G4912" s="43" t="n"/>
      <c r="H4912" s="56" t="n"/>
      <c r="I4912" s="43" t="n"/>
      <c r="J4912" s="57">
        <f>IF(OR(A4912="",H4912=""),"",IF(COUNTIFS(exp_year,C4912,exp_month,D4912,exp_item,E4912,exp_status,"&lt;&gt;❌ Отменено")&gt;0,1,0))</f>
        <v/>
      </c>
    </row>
    <row r="4913">
      <c r="A4913" s="52" t="n"/>
      <c r="B4913" s="53">
        <f>IF(A4913="","",CHOOSE(WEEKDAY(A4913,2),"Пн","Вт","Ср","Чт","Пт","Сб","Вс"))</f>
        <v/>
      </c>
      <c r="C4913" s="53">
        <f>IF(A4913="","",YEAR(A4913))</f>
        <v/>
      </c>
      <c r="D4913" s="54">
        <f>IF(A4913="","",INDEX(lst_months,MONTH(A4913)))</f>
        <v/>
      </c>
      <c r="E4913" s="55" t="n"/>
      <c r="F4913" s="54">
        <f>IF(E4913="","",IFERROR(IF(INDEX(lst_exp_item_cat,MATCH(E4913,lst_exp_items,0))="","❔ Без категории",INDEX(lst_exp_item_cat,MATCH(E4913,lst_exp_items,0))),"❔ Без категории"))</f>
        <v/>
      </c>
      <c r="G4913" s="43" t="n"/>
      <c r="H4913" s="56" t="n"/>
      <c r="I4913" s="43" t="n"/>
      <c r="J4913" s="57">
        <f>IF(OR(A4913="",H4913=""),"",IF(COUNTIFS(exp_year,C4913,exp_month,D4913,exp_item,E4913,exp_status,"&lt;&gt;❌ Отменено")&gt;0,1,0))</f>
        <v/>
      </c>
    </row>
    <row r="4914">
      <c r="A4914" s="52" t="n"/>
      <c r="B4914" s="53">
        <f>IF(A4914="","",CHOOSE(WEEKDAY(A4914,2),"Пн","Вт","Ср","Чт","Пт","Сб","Вс"))</f>
        <v/>
      </c>
      <c r="C4914" s="53">
        <f>IF(A4914="","",YEAR(A4914))</f>
        <v/>
      </c>
      <c r="D4914" s="54">
        <f>IF(A4914="","",INDEX(lst_months,MONTH(A4914)))</f>
        <v/>
      </c>
      <c r="E4914" s="55" t="n"/>
      <c r="F4914" s="54">
        <f>IF(E4914="","",IFERROR(IF(INDEX(lst_exp_item_cat,MATCH(E4914,lst_exp_items,0))="","❔ Без категории",INDEX(lst_exp_item_cat,MATCH(E4914,lst_exp_items,0))),"❔ Без категории"))</f>
        <v/>
      </c>
      <c r="G4914" s="43" t="n"/>
      <c r="H4914" s="56" t="n"/>
      <c r="I4914" s="43" t="n"/>
      <c r="J4914" s="57">
        <f>IF(OR(A4914="",H4914=""),"",IF(COUNTIFS(exp_year,C4914,exp_month,D4914,exp_item,E4914,exp_status,"&lt;&gt;❌ Отменено")&gt;0,1,0))</f>
        <v/>
      </c>
    </row>
    <row r="4915">
      <c r="A4915" s="52" t="n"/>
      <c r="B4915" s="53">
        <f>IF(A4915="","",CHOOSE(WEEKDAY(A4915,2),"Пн","Вт","Ср","Чт","Пт","Сб","Вс"))</f>
        <v/>
      </c>
      <c r="C4915" s="53">
        <f>IF(A4915="","",YEAR(A4915))</f>
        <v/>
      </c>
      <c r="D4915" s="54">
        <f>IF(A4915="","",INDEX(lst_months,MONTH(A4915)))</f>
        <v/>
      </c>
      <c r="E4915" s="55" t="n"/>
      <c r="F4915" s="54">
        <f>IF(E4915="","",IFERROR(IF(INDEX(lst_exp_item_cat,MATCH(E4915,lst_exp_items,0))="","❔ Без категории",INDEX(lst_exp_item_cat,MATCH(E4915,lst_exp_items,0))),"❔ Без категории"))</f>
        <v/>
      </c>
      <c r="G4915" s="43" t="n"/>
      <c r="H4915" s="56" t="n"/>
      <c r="I4915" s="43" t="n"/>
      <c r="J4915" s="57">
        <f>IF(OR(A4915="",H4915=""),"",IF(COUNTIFS(exp_year,C4915,exp_month,D4915,exp_item,E4915,exp_status,"&lt;&gt;❌ Отменено")&gt;0,1,0))</f>
        <v/>
      </c>
    </row>
    <row r="4916">
      <c r="A4916" s="52" t="n"/>
      <c r="B4916" s="53">
        <f>IF(A4916="","",CHOOSE(WEEKDAY(A4916,2),"Пн","Вт","Ср","Чт","Пт","Сб","Вс"))</f>
        <v/>
      </c>
      <c r="C4916" s="53">
        <f>IF(A4916="","",YEAR(A4916))</f>
        <v/>
      </c>
      <c r="D4916" s="54">
        <f>IF(A4916="","",INDEX(lst_months,MONTH(A4916)))</f>
        <v/>
      </c>
      <c r="E4916" s="55" t="n"/>
      <c r="F4916" s="54">
        <f>IF(E4916="","",IFERROR(IF(INDEX(lst_exp_item_cat,MATCH(E4916,lst_exp_items,0))="","❔ Без категории",INDEX(lst_exp_item_cat,MATCH(E4916,lst_exp_items,0))),"❔ Без категории"))</f>
        <v/>
      </c>
      <c r="G4916" s="43" t="n"/>
      <c r="H4916" s="56" t="n"/>
      <c r="I4916" s="43" t="n"/>
      <c r="J4916" s="57">
        <f>IF(OR(A4916="",H4916=""),"",IF(COUNTIFS(exp_year,C4916,exp_month,D4916,exp_item,E4916,exp_status,"&lt;&gt;❌ Отменено")&gt;0,1,0))</f>
        <v/>
      </c>
    </row>
    <row r="4917">
      <c r="A4917" s="52" t="n"/>
      <c r="B4917" s="53">
        <f>IF(A4917="","",CHOOSE(WEEKDAY(A4917,2),"Пн","Вт","Ср","Чт","Пт","Сб","Вс"))</f>
        <v/>
      </c>
      <c r="C4917" s="53">
        <f>IF(A4917="","",YEAR(A4917))</f>
        <v/>
      </c>
      <c r="D4917" s="54">
        <f>IF(A4917="","",INDEX(lst_months,MONTH(A4917)))</f>
        <v/>
      </c>
      <c r="E4917" s="55" t="n"/>
      <c r="F4917" s="54">
        <f>IF(E4917="","",IFERROR(IF(INDEX(lst_exp_item_cat,MATCH(E4917,lst_exp_items,0))="","❔ Без категории",INDEX(lst_exp_item_cat,MATCH(E4917,lst_exp_items,0))),"❔ Без категории"))</f>
        <v/>
      </c>
      <c r="G4917" s="43" t="n"/>
      <c r="H4917" s="56" t="n"/>
      <c r="I4917" s="43" t="n"/>
      <c r="J4917" s="57">
        <f>IF(OR(A4917="",H4917=""),"",IF(COUNTIFS(exp_year,C4917,exp_month,D4917,exp_item,E4917,exp_status,"&lt;&gt;❌ Отменено")&gt;0,1,0))</f>
        <v/>
      </c>
    </row>
    <row r="4918">
      <c r="A4918" s="52" t="n"/>
      <c r="B4918" s="53">
        <f>IF(A4918="","",CHOOSE(WEEKDAY(A4918,2),"Пн","Вт","Ср","Чт","Пт","Сб","Вс"))</f>
        <v/>
      </c>
      <c r="C4918" s="53">
        <f>IF(A4918="","",YEAR(A4918))</f>
        <v/>
      </c>
      <c r="D4918" s="54">
        <f>IF(A4918="","",INDEX(lst_months,MONTH(A4918)))</f>
        <v/>
      </c>
      <c r="E4918" s="55" t="n"/>
      <c r="F4918" s="54">
        <f>IF(E4918="","",IFERROR(IF(INDEX(lst_exp_item_cat,MATCH(E4918,lst_exp_items,0))="","❔ Без категории",INDEX(lst_exp_item_cat,MATCH(E4918,lst_exp_items,0))),"❔ Без категории"))</f>
        <v/>
      </c>
      <c r="G4918" s="43" t="n"/>
      <c r="H4918" s="56" t="n"/>
      <c r="I4918" s="43" t="n"/>
      <c r="J4918" s="57">
        <f>IF(OR(A4918="",H4918=""),"",IF(COUNTIFS(exp_year,C4918,exp_month,D4918,exp_item,E4918,exp_status,"&lt;&gt;❌ Отменено")&gt;0,1,0))</f>
        <v/>
      </c>
    </row>
    <row r="4919">
      <c r="A4919" s="52" t="n"/>
      <c r="B4919" s="53">
        <f>IF(A4919="","",CHOOSE(WEEKDAY(A4919,2),"Пн","Вт","Ср","Чт","Пт","Сб","Вс"))</f>
        <v/>
      </c>
      <c r="C4919" s="53">
        <f>IF(A4919="","",YEAR(A4919))</f>
        <v/>
      </c>
      <c r="D4919" s="54">
        <f>IF(A4919="","",INDEX(lst_months,MONTH(A4919)))</f>
        <v/>
      </c>
      <c r="E4919" s="55" t="n"/>
      <c r="F4919" s="54">
        <f>IF(E4919="","",IFERROR(IF(INDEX(lst_exp_item_cat,MATCH(E4919,lst_exp_items,0))="","❔ Без категории",INDEX(lst_exp_item_cat,MATCH(E4919,lst_exp_items,0))),"❔ Без категории"))</f>
        <v/>
      </c>
      <c r="G4919" s="43" t="n"/>
      <c r="H4919" s="56" t="n"/>
      <c r="I4919" s="43" t="n"/>
      <c r="J4919" s="57">
        <f>IF(OR(A4919="",H4919=""),"",IF(COUNTIFS(exp_year,C4919,exp_month,D4919,exp_item,E4919,exp_status,"&lt;&gt;❌ Отменено")&gt;0,1,0))</f>
        <v/>
      </c>
    </row>
    <row r="4920">
      <c r="A4920" s="52" t="n"/>
      <c r="B4920" s="53">
        <f>IF(A4920="","",CHOOSE(WEEKDAY(A4920,2),"Пн","Вт","Ср","Чт","Пт","Сб","Вс"))</f>
        <v/>
      </c>
      <c r="C4920" s="53">
        <f>IF(A4920="","",YEAR(A4920))</f>
        <v/>
      </c>
      <c r="D4920" s="54">
        <f>IF(A4920="","",INDEX(lst_months,MONTH(A4920)))</f>
        <v/>
      </c>
      <c r="E4920" s="55" t="n"/>
      <c r="F4920" s="54">
        <f>IF(E4920="","",IFERROR(IF(INDEX(lst_exp_item_cat,MATCH(E4920,lst_exp_items,0))="","❔ Без категории",INDEX(lst_exp_item_cat,MATCH(E4920,lst_exp_items,0))),"❔ Без категории"))</f>
        <v/>
      </c>
      <c r="G4920" s="43" t="n"/>
      <c r="H4920" s="56" t="n"/>
      <c r="I4920" s="43" t="n"/>
      <c r="J4920" s="57">
        <f>IF(OR(A4920="",H4920=""),"",IF(COUNTIFS(exp_year,C4920,exp_month,D4920,exp_item,E4920,exp_status,"&lt;&gt;❌ Отменено")&gt;0,1,0))</f>
        <v/>
      </c>
    </row>
    <row r="4921">
      <c r="A4921" s="52" t="n"/>
      <c r="B4921" s="53">
        <f>IF(A4921="","",CHOOSE(WEEKDAY(A4921,2),"Пн","Вт","Ср","Чт","Пт","Сб","Вс"))</f>
        <v/>
      </c>
      <c r="C4921" s="53">
        <f>IF(A4921="","",YEAR(A4921))</f>
        <v/>
      </c>
      <c r="D4921" s="54">
        <f>IF(A4921="","",INDEX(lst_months,MONTH(A4921)))</f>
        <v/>
      </c>
      <c r="E4921" s="55" t="n"/>
      <c r="F4921" s="54">
        <f>IF(E4921="","",IFERROR(IF(INDEX(lst_exp_item_cat,MATCH(E4921,lst_exp_items,0))="","❔ Без категории",INDEX(lst_exp_item_cat,MATCH(E4921,lst_exp_items,0))),"❔ Без категории"))</f>
        <v/>
      </c>
      <c r="G4921" s="43" t="n"/>
      <c r="H4921" s="56" t="n"/>
      <c r="I4921" s="43" t="n"/>
      <c r="J4921" s="57">
        <f>IF(OR(A4921="",H4921=""),"",IF(COUNTIFS(exp_year,C4921,exp_month,D4921,exp_item,E4921,exp_status,"&lt;&gt;❌ Отменено")&gt;0,1,0))</f>
        <v/>
      </c>
    </row>
    <row r="4922">
      <c r="A4922" s="52" t="n"/>
      <c r="B4922" s="53">
        <f>IF(A4922="","",CHOOSE(WEEKDAY(A4922,2),"Пн","Вт","Ср","Чт","Пт","Сб","Вс"))</f>
        <v/>
      </c>
      <c r="C4922" s="53">
        <f>IF(A4922="","",YEAR(A4922))</f>
        <v/>
      </c>
      <c r="D4922" s="54">
        <f>IF(A4922="","",INDEX(lst_months,MONTH(A4922)))</f>
        <v/>
      </c>
      <c r="E4922" s="55" t="n"/>
      <c r="F4922" s="54">
        <f>IF(E4922="","",IFERROR(IF(INDEX(lst_exp_item_cat,MATCH(E4922,lst_exp_items,0))="","❔ Без категории",INDEX(lst_exp_item_cat,MATCH(E4922,lst_exp_items,0))),"❔ Без категории"))</f>
        <v/>
      </c>
      <c r="G4922" s="43" t="n"/>
      <c r="H4922" s="56" t="n"/>
      <c r="I4922" s="43" t="n"/>
      <c r="J4922" s="57">
        <f>IF(OR(A4922="",H4922=""),"",IF(COUNTIFS(exp_year,C4922,exp_month,D4922,exp_item,E4922,exp_status,"&lt;&gt;❌ Отменено")&gt;0,1,0))</f>
        <v/>
      </c>
    </row>
    <row r="4923">
      <c r="A4923" s="52" t="n"/>
      <c r="B4923" s="53">
        <f>IF(A4923="","",CHOOSE(WEEKDAY(A4923,2),"Пн","Вт","Ср","Чт","Пт","Сб","Вс"))</f>
        <v/>
      </c>
      <c r="C4923" s="53">
        <f>IF(A4923="","",YEAR(A4923))</f>
        <v/>
      </c>
      <c r="D4923" s="54">
        <f>IF(A4923="","",INDEX(lst_months,MONTH(A4923)))</f>
        <v/>
      </c>
      <c r="E4923" s="55" t="n"/>
      <c r="F4923" s="54">
        <f>IF(E4923="","",IFERROR(IF(INDEX(lst_exp_item_cat,MATCH(E4923,lst_exp_items,0))="","❔ Без категории",INDEX(lst_exp_item_cat,MATCH(E4923,lst_exp_items,0))),"❔ Без категории"))</f>
        <v/>
      </c>
      <c r="G4923" s="43" t="n"/>
      <c r="H4923" s="56" t="n"/>
      <c r="I4923" s="43" t="n"/>
      <c r="J4923" s="57">
        <f>IF(OR(A4923="",H4923=""),"",IF(COUNTIFS(exp_year,C4923,exp_month,D4923,exp_item,E4923,exp_status,"&lt;&gt;❌ Отменено")&gt;0,1,0))</f>
        <v/>
      </c>
    </row>
    <row r="4924">
      <c r="A4924" s="52" t="n"/>
      <c r="B4924" s="53">
        <f>IF(A4924="","",CHOOSE(WEEKDAY(A4924,2),"Пн","Вт","Ср","Чт","Пт","Сб","Вс"))</f>
        <v/>
      </c>
      <c r="C4924" s="53">
        <f>IF(A4924="","",YEAR(A4924))</f>
        <v/>
      </c>
      <c r="D4924" s="54">
        <f>IF(A4924="","",INDEX(lst_months,MONTH(A4924)))</f>
        <v/>
      </c>
      <c r="E4924" s="55" t="n"/>
      <c r="F4924" s="54">
        <f>IF(E4924="","",IFERROR(IF(INDEX(lst_exp_item_cat,MATCH(E4924,lst_exp_items,0))="","❔ Без категории",INDEX(lst_exp_item_cat,MATCH(E4924,lst_exp_items,0))),"❔ Без категории"))</f>
        <v/>
      </c>
      <c r="G4924" s="43" t="n"/>
      <c r="H4924" s="56" t="n"/>
      <c r="I4924" s="43" t="n"/>
      <c r="J4924" s="57">
        <f>IF(OR(A4924="",H4924=""),"",IF(COUNTIFS(exp_year,C4924,exp_month,D4924,exp_item,E4924,exp_status,"&lt;&gt;❌ Отменено")&gt;0,1,0))</f>
        <v/>
      </c>
    </row>
    <row r="4925">
      <c r="A4925" s="52" t="n"/>
      <c r="B4925" s="53">
        <f>IF(A4925="","",CHOOSE(WEEKDAY(A4925,2),"Пн","Вт","Ср","Чт","Пт","Сб","Вс"))</f>
        <v/>
      </c>
      <c r="C4925" s="53">
        <f>IF(A4925="","",YEAR(A4925))</f>
        <v/>
      </c>
      <c r="D4925" s="54">
        <f>IF(A4925="","",INDEX(lst_months,MONTH(A4925)))</f>
        <v/>
      </c>
      <c r="E4925" s="55" t="n"/>
      <c r="F4925" s="54">
        <f>IF(E4925="","",IFERROR(IF(INDEX(lst_exp_item_cat,MATCH(E4925,lst_exp_items,0))="","❔ Без категории",INDEX(lst_exp_item_cat,MATCH(E4925,lst_exp_items,0))),"❔ Без категории"))</f>
        <v/>
      </c>
      <c r="G4925" s="43" t="n"/>
      <c r="H4925" s="56" t="n"/>
      <c r="I4925" s="43" t="n"/>
      <c r="J4925" s="57">
        <f>IF(OR(A4925="",H4925=""),"",IF(COUNTIFS(exp_year,C4925,exp_month,D4925,exp_item,E4925,exp_status,"&lt;&gt;❌ Отменено")&gt;0,1,0))</f>
        <v/>
      </c>
    </row>
    <row r="4926">
      <c r="A4926" s="52" t="n"/>
      <c r="B4926" s="53">
        <f>IF(A4926="","",CHOOSE(WEEKDAY(A4926,2),"Пн","Вт","Ср","Чт","Пт","Сб","Вс"))</f>
        <v/>
      </c>
      <c r="C4926" s="53">
        <f>IF(A4926="","",YEAR(A4926))</f>
        <v/>
      </c>
      <c r="D4926" s="54">
        <f>IF(A4926="","",INDEX(lst_months,MONTH(A4926)))</f>
        <v/>
      </c>
      <c r="E4926" s="55" t="n"/>
      <c r="F4926" s="54">
        <f>IF(E4926="","",IFERROR(IF(INDEX(lst_exp_item_cat,MATCH(E4926,lst_exp_items,0))="","❔ Без категории",INDEX(lst_exp_item_cat,MATCH(E4926,lst_exp_items,0))),"❔ Без категории"))</f>
        <v/>
      </c>
      <c r="G4926" s="43" t="n"/>
      <c r="H4926" s="56" t="n"/>
      <c r="I4926" s="43" t="n"/>
      <c r="J4926" s="57">
        <f>IF(OR(A4926="",H4926=""),"",IF(COUNTIFS(exp_year,C4926,exp_month,D4926,exp_item,E4926,exp_status,"&lt;&gt;❌ Отменено")&gt;0,1,0))</f>
        <v/>
      </c>
    </row>
    <row r="4927">
      <c r="A4927" s="52" t="n"/>
      <c r="B4927" s="53">
        <f>IF(A4927="","",CHOOSE(WEEKDAY(A4927,2),"Пн","Вт","Ср","Чт","Пт","Сб","Вс"))</f>
        <v/>
      </c>
      <c r="C4927" s="53">
        <f>IF(A4927="","",YEAR(A4927))</f>
        <v/>
      </c>
      <c r="D4927" s="54">
        <f>IF(A4927="","",INDEX(lst_months,MONTH(A4927)))</f>
        <v/>
      </c>
      <c r="E4927" s="55" t="n"/>
      <c r="F4927" s="54">
        <f>IF(E4927="","",IFERROR(IF(INDEX(lst_exp_item_cat,MATCH(E4927,lst_exp_items,0))="","❔ Без категории",INDEX(lst_exp_item_cat,MATCH(E4927,lst_exp_items,0))),"❔ Без категории"))</f>
        <v/>
      </c>
      <c r="G4927" s="43" t="n"/>
      <c r="H4927" s="56" t="n"/>
      <c r="I4927" s="43" t="n"/>
      <c r="J4927" s="57">
        <f>IF(OR(A4927="",H4927=""),"",IF(COUNTIFS(exp_year,C4927,exp_month,D4927,exp_item,E4927,exp_status,"&lt;&gt;❌ Отменено")&gt;0,1,0))</f>
        <v/>
      </c>
    </row>
    <row r="4928">
      <c r="A4928" s="52" t="n"/>
      <c r="B4928" s="53">
        <f>IF(A4928="","",CHOOSE(WEEKDAY(A4928,2),"Пн","Вт","Ср","Чт","Пт","Сб","Вс"))</f>
        <v/>
      </c>
      <c r="C4928" s="53">
        <f>IF(A4928="","",YEAR(A4928))</f>
        <v/>
      </c>
      <c r="D4928" s="54">
        <f>IF(A4928="","",INDEX(lst_months,MONTH(A4928)))</f>
        <v/>
      </c>
      <c r="E4928" s="55" t="n"/>
      <c r="F4928" s="54">
        <f>IF(E4928="","",IFERROR(IF(INDEX(lst_exp_item_cat,MATCH(E4928,lst_exp_items,0))="","❔ Без категории",INDEX(lst_exp_item_cat,MATCH(E4928,lst_exp_items,0))),"❔ Без категории"))</f>
        <v/>
      </c>
      <c r="G4928" s="43" t="n"/>
      <c r="H4928" s="56" t="n"/>
      <c r="I4928" s="43" t="n"/>
      <c r="J4928" s="57">
        <f>IF(OR(A4928="",H4928=""),"",IF(COUNTIFS(exp_year,C4928,exp_month,D4928,exp_item,E4928,exp_status,"&lt;&gt;❌ Отменено")&gt;0,1,0))</f>
        <v/>
      </c>
    </row>
    <row r="4929">
      <c r="A4929" s="52" t="n"/>
      <c r="B4929" s="53">
        <f>IF(A4929="","",CHOOSE(WEEKDAY(A4929,2),"Пн","Вт","Ср","Чт","Пт","Сб","Вс"))</f>
        <v/>
      </c>
      <c r="C4929" s="53">
        <f>IF(A4929="","",YEAR(A4929))</f>
        <v/>
      </c>
      <c r="D4929" s="54">
        <f>IF(A4929="","",INDEX(lst_months,MONTH(A4929)))</f>
        <v/>
      </c>
      <c r="E4929" s="55" t="n"/>
      <c r="F4929" s="54">
        <f>IF(E4929="","",IFERROR(IF(INDEX(lst_exp_item_cat,MATCH(E4929,lst_exp_items,0))="","❔ Без категории",INDEX(lst_exp_item_cat,MATCH(E4929,lst_exp_items,0))),"❔ Без категории"))</f>
        <v/>
      </c>
      <c r="G4929" s="43" t="n"/>
      <c r="H4929" s="56" t="n"/>
      <c r="I4929" s="43" t="n"/>
      <c r="J4929" s="57">
        <f>IF(OR(A4929="",H4929=""),"",IF(COUNTIFS(exp_year,C4929,exp_month,D4929,exp_item,E4929,exp_status,"&lt;&gt;❌ Отменено")&gt;0,1,0))</f>
        <v/>
      </c>
    </row>
    <row r="4930">
      <c r="A4930" s="52" t="n"/>
      <c r="B4930" s="53">
        <f>IF(A4930="","",CHOOSE(WEEKDAY(A4930,2),"Пн","Вт","Ср","Чт","Пт","Сб","Вс"))</f>
        <v/>
      </c>
      <c r="C4930" s="53">
        <f>IF(A4930="","",YEAR(A4930))</f>
        <v/>
      </c>
      <c r="D4930" s="54">
        <f>IF(A4930="","",INDEX(lst_months,MONTH(A4930)))</f>
        <v/>
      </c>
      <c r="E4930" s="55" t="n"/>
      <c r="F4930" s="54">
        <f>IF(E4930="","",IFERROR(IF(INDEX(lst_exp_item_cat,MATCH(E4930,lst_exp_items,0))="","❔ Без категории",INDEX(lst_exp_item_cat,MATCH(E4930,lst_exp_items,0))),"❔ Без категории"))</f>
        <v/>
      </c>
      <c r="G4930" s="43" t="n"/>
      <c r="H4930" s="56" t="n"/>
      <c r="I4930" s="43" t="n"/>
      <c r="J4930" s="57">
        <f>IF(OR(A4930="",H4930=""),"",IF(COUNTIFS(exp_year,C4930,exp_month,D4930,exp_item,E4930,exp_status,"&lt;&gt;❌ Отменено")&gt;0,1,0))</f>
        <v/>
      </c>
    </row>
    <row r="4931">
      <c r="A4931" s="52" t="n"/>
      <c r="B4931" s="53">
        <f>IF(A4931="","",CHOOSE(WEEKDAY(A4931,2),"Пн","Вт","Ср","Чт","Пт","Сб","Вс"))</f>
        <v/>
      </c>
      <c r="C4931" s="53">
        <f>IF(A4931="","",YEAR(A4931))</f>
        <v/>
      </c>
      <c r="D4931" s="54">
        <f>IF(A4931="","",INDEX(lst_months,MONTH(A4931)))</f>
        <v/>
      </c>
      <c r="E4931" s="55" t="n"/>
      <c r="F4931" s="54">
        <f>IF(E4931="","",IFERROR(IF(INDEX(lst_exp_item_cat,MATCH(E4931,lst_exp_items,0))="","❔ Без категории",INDEX(lst_exp_item_cat,MATCH(E4931,lst_exp_items,0))),"❔ Без категории"))</f>
        <v/>
      </c>
      <c r="G4931" s="43" t="n"/>
      <c r="H4931" s="56" t="n"/>
      <c r="I4931" s="43" t="n"/>
      <c r="J4931" s="57">
        <f>IF(OR(A4931="",H4931=""),"",IF(COUNTIFS(exp_year,C4931,exp_month,D4931,exp_item,E4931,exp_status,"&lt;&gt;❌ Отменено")&gt;0,1,0))</f>
        <v/>
      </c>
    </row>
    <row r="4932">
      <c r="A4932" s="52" t="n"/>
      <c r="B4932" s="53">
        <f>IF(A4932="","",CHOOSE(WEEKDAY(A4932,2),"Пн","Вт","Ср","Чт","Пт","Сб","Вс"))</f>
        <v/>
      </c>
      <c r="C4932" s="53">
        <f>IF(A4932="","",YEAR(A4932))</f>
        <v/>
      </c>
      <c r="D4932" s="54">
        <f>IF(A4932="","",INDEX(lst_months,MONTH(A4932)))</f>
        <v/>
      </c>
      <c r="E4932" s="55" t="n"/>
      <c r="F4932" s="54">
        <f>IF(E4932="","",IFERROR(IF(INDEX(lst_exp_item_cat,MATCH(E4932,lst_exp_items,0))="","❔ Без категории",INDEX(lst_exp_item_cat,MATCH(E4932,lst_exp_items,0))),"❔ Без категории"))</f>
        <v/>
      </c>
      <c r="G4932" s="43" t="n"/>
      <c r="H4932" s="56" t="n"/>
      <c r="I4932" s="43" t="n"/>
      <c r="J4932" s="57">
        <f>IF(OR(A4932="",H4932=""),"",IF(COUNTIFS(exp_year,C4932,exp_month,D4932,exp_item,E4932,exp_status,"&lt;&gt;❌ Отменено")&gt;0,1,0))</f>
        <v/>
      </c>
    </row>
    <row r="4933">
      <c r="A4933" s="52" t="n"/>
      <c r="B4933" s="53">
        <f>IF(A4933="","",CHOOSE(WEEKDAY(A4933,2),"Пн","Вт","Ср","Чт","Пт","Сб","Вс"))</f>
        <v/>
      </c>
      <c r="C4933" s="53">
        <f>IF(A4933="","",YEAR(A4933))</f>
        <v/>
      </c>
      <c r="D4933" s="54">
        <f>IF(A4933="","",INDEX(lst_months,MONTH(A4933)))</f>
        <v/>
      </c>
      <c r="E4933" s="55" t="n"/>
      <c r="F4933" s="54">
        <f>IF(E4933="","",IFERROR(IF(INDEX(lst_exp_item_cat,MATCH(E4933,lst_exp_items,0))="","❔ Без категории",INDEX(lst_exp_item_cat,MATCH(E4933,lst_exp_items,0))),"❔ Без категории"))</f>
        <v/>
      </c>
      <c r="G4933" s="43" t="n"/>
      <c r="H4933" s="56" t="n"/>
      <c r="I4933" s="43" t="n"/>
      <c r="J4933" s="57">
        <f>IF(OR(A4933="",H4933=""),"",IF(COUNTIFS(exp_year,C4933,exp_month,D4933,exp_item,E4933,exp_status,"&lt;&gt;❌ Отменено")&gt;0,1,0))</f>
        <v/>
      </c>
    </row>
    <row r="4934">
      <c r="A4934" s="52" t="n"/>
      <c r="B4934" s="53">
        <f>IF(A4934="","",CHOOSE(WEEKDAY(A4934,2),"Пн","Вт","Ср","Чт","Пт","Сб","Вс"))</f>
        <v/>
      </c>
      <c r="C4934" s="53">
        <f>IF(A4934="","",YEAR(A4934))</f>
        <v/>
      </c>
      <c r="D4934" s="54">
        <f>IF(A4934="","",INDEX(lst_months,MONTH(A4934)))</f>
        <v/>
      </c>
      <c r="E4934" s="55" t="n"/>
      <c r="F4934" s="54">
        <f>IF(E4934="","",IFERROR(IF(INDEX(lst_exp_item_cat,MATCH(E4934,lst_exp_items,0))="","❔ Без категории",INDEX(lst_exp_item_cat,MATCH(E4934,lst_exp_items,0))),"❔ Без категории"))</f>
        <v/>
      </c>
      <c r="G4934" s="43" t="n"/>
      <c r="H4934" s="56" t="n"/>
      <c r="I4934" s="43" t="n"/>
      <c r="J4934" s="57">
        <f>IF(OR(A4934="",H4934=""),"",IF(COUNTIFS(exp_year,C4934,exp_month,D4934,exp_item,E4934,exp_status,"&lt;&gt;❌ Отменено")&gt;0,1,0))</f>
        <v/>
      </c>
    </row>
    <row r="4935">
      <c r="A4935" s="52" t="n"/>
      <c r="B4935" s="53">
        <f>IF(A4935="","",CHOOSE(WEEKDAY(A4935,2),"Пн","Вт","Ср","Чт","Пт","Сб","Вс"))</f>
        <v/>
      </c>
      <c r="C4935" s="53">
        <f>IF(A4935="","",YEAR(A4935))</f>
        <v/>
      </c>
      <c r="D4935" s="54">
        <f>IF(A4935="","",INDEX(lst_months,MONTH(A4935)))</f>
        <v/>
      </c>
      <c r="E4935" s="55" t="n"/>
      <c r="F4935" s="54">
        <f>IF(E4935="","",IFERROR(IF(INDEX(lst_exp_item_cat,MATCH(E4935,lst_exp_items,0))="","❔ Без категории",INDEX(lst_exp_item_cat,MATCH(E4935,lst_exp_items,0))),"❔ Без категории"))</f>
        <v/>
      </c>
      <c r="G4935" s="43" t="n"/>
      <c r="H4935" s="56" t="n"/>
      <c r="I4935" s="43" t="n"/>
      <c r="J4935" s="57">
        <f>IF(OR(A4935="",H4935=""),"",IF(COUNTIFS(exp_year,C4935,exp_month,D4935,exp_item,E4935,exp_status,"&lt;&gt;❌ Отменено")&gt;0,1,0))</f>
        <v/>
      </c>
    </row>
    <row r="4936">
      <c r="A4936" s="52" t="n"/>
      <c r="B4936" s="53">
        <f>IF(A4936="","",CHOOSE(WEEKDAY(A4936,2),"Пн","Вт","Ср","Чт","Пт","Сб","Вс"))</f>
        <v/>
      </c>
      <c r="C4936" s="53">
        <f>IF(A4936="","",YEAR(A4936))</f>
        <v/>
      </c>
      <c r="D4936" s="54">
        <f>IF(A4936="","",INDEX(lst_months,MONTH(A4936)))</f>
        <v/>
      </c>
      <c r="E4936" s="55" t="n"/>
      <c r="F4936" s="54">
        <f>IF(E4936="","",IFERROR(IF(INDEX(lst_exp_item_cat,MATCH(E4936,lst_exp_items,0))="","❔ Без категории",INDEX(lst_exp_item_cat,MATCH(E4936,lst_exp_items,0))),"❔ Без категории"))</f>
        <v/>
      </c>
      <c r="G4936" s="43" t="n"/>
      <c r="H4936" s="56" t="n"/>
      <c r="I4936" s="43" t="n"/>
      <c r="J4936" s="57">
        <f>IF(OR(A4936="",H4936=""),"",IF(COUNTIFS(exp_year,C4936,exp_month,D4936,exp_item,E4936,exp_status,"&lt;&gt;❌ Отменено")&gt;0,1,0))</f>
        <v/>
      </c>
    </row>
    <row r="4937">
      <c r="A4937" s="52" t="n"/>
      <c r="B4937" s="53">
        <f>IF(A4937="","",CHOOSE(WEEKDAY(A4937,2),"Пн","Вт","Ср","Чт","Пт","Сб","Вс"))</f>
        <v/>
      </c>
      <c r="C4937" s="53">
        <f>IF(A4937="","",YEAR(A4937))</f>
        <v/>
      </c>
      <c r="D4937" s="54">
        <f>IF(A4937="","",INDEX(lst_months,MONTH(A4937)))</f>
        <v/>
      </c>
      <c r="E4937" s="55" t="n"/>
      <c r="F4937" s="54">
        <f>IF(E4937="","",IFERROR(IF(INDEX(lst_exp_item_cat,MATCH(E4937,lst_exp_items,0))="","❔ Без категории",INDEX(lst_exp_item_cat,MATCH(E4937,lst_exp_items,0))),"❔ Без категории"))</f>
        <v/>
      </c>
      <c r="G4937" s="43" t="n"/>
      <c r="H4937" s="56" t="n"/>
      <c r="I4937" s="43" t="n"/>
      <c r="J4937" s="57">
        <f>IF(OR(A4937="",H4937=""),"",IF(COUNTIFS(exp_year,C4937,exp_month,D4937,exp_item,E4937,exp_status,"&lt;&gt;❌ Отменено")&gt;0,1,0))</f>
        <v/>
      </c>
    </row>
    <row r="4938">
      <c r="A4938" s="52" t="n"/>
      <c r="B4938" s="53">
        <f>IF(A4938="","",CHOOSE(WEEKDAY(A4938,2),"Пн","Вт","Ср","Чт","Пт","Сб","Вс"))</f>
        <v/>
      </c>
      <c r="C4938" s="53">
        <f>IF(A4938="","",YEAR(A4938))</f>
        <v/>
      </c>
      <c r="D4938" s="54">
        <f>IF(A4938="","",INDEX(lst_months,MONTH(A4938)))</f>
        <v/>
      </c>
      <c r="E4938" s="55" t="n"/>
      <c r="F4938" s="54">
        <f>IF(E4938="","",IFERROR(IF(INDEX(lst_exp_item_cat,MATCH(E4938,lst_exp_items,0))="","❔ Без категории",INDEX(lst_exp_item_cat,MATCH(E4938,lst_exp_items,0))),"❔ Без категории"))</f>
        <v/>
      </c>
      <c r="G4938" s="43" t="n"/>
      <c r="H4938" s="56" t="n"/>
      <c r="I4938" s="43" t="n"/>
      <c r="J4938" s="57">
        <f>IF(OR(A4938="",H4938=""),"",IF(COUNTIFS(exp_year,C4938,exp_month,D4938,exp_item,E4938,exp_status,"&lt;&gt;❌ Отменено")&gt;0,1,0))</f>
        <v/>
      </c>
    </row>
    <row r="4939">
      <c r="A4939" s="52" t="n"/>
      <c r="B4939" s="53">
        <f>IF(A4939="","",CHOOSE(WEEKDAY(A4939,2),"Пн","Вт","Ср","Чт","Пт","Сб","Вс"))</f>
        <v/>
      </c>
      <c r="C4939" s="53">
        <f>IF(A4939="","",YEAR(A4939))</f>
        <v/>
      </c>
      <c r="D4939" s="54">
        <f>IF(A4939="","",INDEX(lst_months,MONTH(A4939)))</f>
        <v/>
      </c>
      <c r="E4939" s="55" t="n"/>
      <c r="F4939" s="54">
        <f>IF(E4939="","",IFERROR(IF(INDEX(lst_exp_item_cat,MATCH(E4939,lst_exp_items,0))="","❔ Без категории",INDEX(lst_exp_item_cat,MATCH(E4939,lst_exp_items,0))),"❔ Без категории"))</f>
        <v/>
      </c>
      <c r="G4939" s="43" t="n"/>
      <c r="H4939" s="56" t="n"/>
      <c r="I4939" s="43" t="n"/>
      <c r="J4939" s="57">
        <f>IF(OR(A4939="",H4939=""),"",IF(COUNTIFS(exp_year,C4939,exp_month,D4939,exp_item,E4939,exp_status,"&lt;&gt;❌ Отменено")&gt;0,1,0))</f>
        <v/>
      </c>
    </row>
    <row r="4940">
      <c r="A4940" s="52" t="n"/>
      <c r="B4940" s="53">
        <f>IF(A4940="","",CHOOSE(WEEKDAY(A4940,2),"Пн","Вт","Ср","Чт","Пт","Сб","Вс"))</f>
        <v/>
      </c>
      <c r="C4940" s="53">
        <f>IF(A4940="","",YEAR(A4940))</f>
        <v/>
      </c>
      <c r="D4940" s="54">
        <f>IF(A4940="","",INDEX(lst_months,MONTH(A4940)))</f>
        <v/>
      </c>
      <c r="E4940" s="55" t="n"/>
      <c r="F4940" s="54">
        <f>IF(E4940="","",IFERROR(IF(INDEX(lst_exp_item_cat,MATCH(E4940,lst_exp_items,0))="","❔ Без категории",INDEX(lst_exp_item_cat,MATCH(E4940,lst_exp_items,0))),"❔ Без категории"))</f>
        <v/>
      </c>
      <c r="G4940" s="43" t="n"/>
      <c r="H4940" s="56" t="n"/>
      <c r="I4940" s="43" t="n"/>
      <c r="J4940" s="57">
        <f>IF(OR(A4940="",H4940=""),"",IF(COUNTIFS(exp_year,C4940,exp_month,D4940,exp_item,E4940,exp_status,"&lt;&gt;❌ Отменено")&gt;0,1,0))</f>
        <v/>
      </c>
    </row>
    <row r="4941">
      <c r="A4941" s="52" t="n"/>
      <c r="B4941" s="53">
        <f>IF(A4941="","",CHOOSE(WEEKDAY(A4941,2),"Пн","Вт","Ср","Чт","Пт","Сб","Вс"))</f>
        <v/>
      </c>
      <c r="C4941" s="53">
        <f>IF(A4941="","",YEAR(A4941))</f>
        <v/>
      </c>
      <c r="D4941" s="54">
        <f>IF(A4941="","",INDEX(lst_months,MONTH(A4941)))</f>
        <v/>
      </c>
      <c r="E4941" s="55" t="n"/>
      <c r="F4941" s="54">
        <f>IF(E4941="","",IFERROR(IF(INDEX(lst_exp_item_cat,MATCH(E4941,lst_exp_items,0))="","❔ Без категории",INDEX(lst_exp_item_cat,MATCH(E4941,lst_exp_items,0))),"❔ Без категории"))</f>
        <v/>
      </c>
      <c r="G4941" s="43" t="n"/>
      <c r="H4941" s="56" t="n"/>
      <c r="I4941" s="43" t="n"/>
      <c r="J4941" s="57">
        <f>IF(OR(A4941="",H4941=""),"",IF(COUNTIFS(exp_year,C4941,exp_month,D4941,exp_item,E4941,exp_status,"&lt;&gt;❌ Отменено")&gt;0,1,0))</f>
        <v/>
      </c>
    </row>
    <row r="4942">
      <c r="A4942" s="52" t="n"/>
      <c r="B4942" s="53">
        <f>IF(A4942="","",CHOOSE(WEEKDAY(A4942,2),"Пн","Вт","Ср","Чт","Пт","Сб","Вс"))</f>
        <v/>
      </c>
      <c r="C4942" s="53">
        <f>IF(A4942="","",YEAR(A4942))</f>
        <v/>
      </c>
      <c r="D4942" s="54">
        <f>IF(A4942="","",INDEX(lst_months,MONTH(A4942)))</f>
        <v/>
      </c>
      <c r="E4942" s="55" t="n"/>
      <c r="F4942" s="54">
        <f>IF(E4942="","",IFERROR(IF(INDEX(lst_exp_item_cat,MATCH(E4942,lst_exp_items,0))="","❔ Без категории",INDEX(lst_exp_item_cat,MATCH(E4942,lst_exp_items,0))),"❔ Без категории"))</f>
        <v/>
      </c>
      <c r="G4942" s="43" t="n"/>
      <c r="H4942" s="56" t="n"/>
      <c r="I4942" s="43" t="n"/>
      <c r="J4942" s="57">
        <f>IF(OR(A4942="",H4942=""),"",IF(COUNTIFS(exp_year,C4942,exp_month,D4942,exp_item,E4942,exp_status,"&lt;&gt;❌ Отменено")&gt;0,1,0))</f>
        <v/>
      </c>
    </row>
    <row r="4943">
      <c r="A4943" s="52" t="n"/>
      <c r="B4943" s="53">
        <f>IF(A4943="","",CHOOSE(WEEKDAY(A4943,2),"Пн","Вт","Ср","Чт","Пт","Сб","Вс"))</f>
        <v/>
      </c>
      <c r="C4943" s="53">
        <f>IF(A4943="","",YEAR(A4943))</f>
        <v/>
      </c>
      <c r="D4943" s="54">
        <f>IF(A4943="","",INDEX(lst_months,MONTH(A4943)))</f>
        <v/>
      </c>
      <c r="E4943" s="55" t="n"/>
      <c r="F4943" s="54">
        <f>IF(E4943="","",IFERROR(IF(INDEX(lst_exp_item_cat,MATCH(E4943,lst_exp_items,0))="","❔ Без категории",INDEX(lst_exp_item_cat,MATCH(E4943,lst_exp_items,0))),"❔ Без категории"))</f>
        <v/>
      </c>
      <c r="G4943" s="43" t="n"/>
      <c r="H4943" s="56" t="n"/>
      <c r="I4943" s="43" t="n"/>
      <c r="J4943" s="57">
        <f>IF(OR(A4943="",H4943=""),"",IF(COUNTIFS(exp_year,C4943,exp_month,D4943,exp_item,E4943,exp_status,"&lt;&gt;❌ Отменено")&gt;0,1,0))</f>
        <v/>
      </c>
    </row>
    <row r="4944">
      <c r="A4944" s="52" t="n"/>
      <c r="B4944" s="53">
        <f>IF(A4944="","",CHOOSE(WEEKDAY(A4944,2),"Пн","Вт","Ср","Чт","Пт","Сб","Вс"))</f>
        <v/>
      </c>
      <c r="C4944" s="53">
        <f>IF(A4944="","",YEAR(A4944))</f>
        <v/>
      </c>
      <c r="D4944" s="54">
        <f>IF(A4944="","",INDEX(lst_months,MONTH(A4944)))</f>
        <v/>
      </c>
      <c r="E4944" s="55" t="n"/>
      <c r="F4944" s="54">
        <f>IF(E4944="","",IFERROR(IF(INDEX(lst_exp_item_cat,MATCH(E4944,lst_exp_items,0))="","❔ Без категории",INDEX(lst_exp_item_cat,MATCH(E4944,lst_exp_items,0))),"❔ Без категории"))</f>
        <v/>
      </c>
      <c r="G4944" s="43" t="n"/>
      <c r="H4944" s="56" t="n"/>
      <c r="I4944" s="43" t="n"/>
      <c r="J4944" s="57">
        <f>IF(OR(A4944="",H4944=""),"",IF(COUNTIFS(exp_year,C4944,exp_month,D4944,exp_item,E4944,exp_status,"&lt;&gt;❌ Отменено")&gt;0,1,0))</f>
        <v/>
      </c>
    </row>
    <row r="4945">
      <c r="A4945" s="52" t="n"/>
      <c r="B4945" s="53">
        <f>IF(A4945="","",CHOOSE(WEEKDAY(A4945,2),"Пн","Вт","Ср","Чт","Пт","Сб","Вс"))</f>
        <v/>
      </c>
      <c r="C4945" s="53">
        <f>IF(A4945="","",YEAR(A4945))</f>
        <v/>
      </c>
      <c r="D4945" s="54">
        <f>IF(A4945="","",INDEX(lst_months,MONTH(A4945)))</f>
        <v/>
      </c>
      <c r="E4945" s="55" t="n"/>
      <c r="F4945" s="54">
        <f>IF(E4945="","",IFERROR(IF(INDEX(lst_exp_item_cat,MATCH(E4945,lst_exp_items,0))="","❔ Без категории",INDEX(lst_exp_item_cat,MATCH(E4945,lst_exp_items,0))),"❔ Без категории"))</f>
        <v/>
      </c>
      <c r="G4945" s="43" t="n"/>
      <c r="H4945" s="56" t="n"/>
      <c r="I4945" s="43" t="n"/>
      <c r="J4945" s="57">
        <f>IF(OR(A4945="",H4945=""),"",IF(COUNTIFS(exp_year,C4945,exp_month,D4945,exp_item,E4945,exp_status,"&lt;&gt;❌ Отменено")&gt;0,1,0))</f>
        <v/>
      </c>
    </row>
    <row r="4946">
      <c r="A4946" s="52" t="n"/>
      <c r="B4946" s="53">
        <f>IF(A4946="","",CHOOSE(WEEKDAY(A4946,2),"Пн","Вт","Ср","Чт","Пт","Сб","Вс"))</f>
        <v/>
      </c>
      <c r="C4946" s="53">
        <f>IF(A4946="","",YEAR(A4946))</f>
        <v/>
      </c>
      <c r="D4946" s="54">
        <f>IF(A4946="","",INDEX(lst_months,MONTH(A4946)))</f>
        <v/>
      </c>
      <c r="E4946" s="55" t="n"/>
      <c r="F4946" s="54">
        <f>IF(E4946="","",IFERROR(IF(INDEX(lst_exp_item_cat,MATCH(E4946,lst_exp_items,0))="","❔ Без категории",INDEX(lst_exp_item_cat,MATCH(E4946,lst_exp_items,0))),"❔ Без категории"))</f>
        <v/>
      </c>
      <c r="G4946" s="43" t="n"/>
      <c r="H4946" s="56" t="n"/>
      <c r="I4946" s="43" t="n"/>
      <c r="J4946" s="57">
        <f>IF(OR(A4946="",H4946=""),"",IF(COUNTIFS(exp_year,C4946,exp_month,D4946,exp_item,E4946,exp_status,"&lt;&gt;❌ Отменено")&gt;0,1,0))</f>
        <v/>
      </c>
    </row>
    <row r="4947">
      <c r="A4947" s="52" t="n"/>
      <c r="B4947" s="53">
        <f>IF(A4947="","",CHOOSE(WEEKDAY(A4947,2),"Пн","Вт","Ср","Чт","Пт","Сб","Вс"))</f>
        <v/>
      </c>
      <c r="C4947" s="53">
        <f>IF(A4947="","",YEAR(A4947))</f>
        <v/>
      </c>
      <c r="D4947" s="54">
        <f>IF(A4947="","",INDEX(lst_months,MONTH(A4947)))</f>
        <v/>
      </c>
      <c r="E4947" s="55" t="n"/>
      <c r="F4947" s="54">
        <f>IF(E4947="","",IFERROR(IF(INDEX(lst_exp_item_cat,MATCH(E4947,lst_exp_items,0))="","❔ Без категории",INDEX(lst_exp_item_cat,MATCH(E4947,lst_exp_items,0))),"❔ Без категории"))</f>
        <v/>
      </c>
      <c r="G4947" s="43" t="n"/>
      <c r="H4947" s="56" t="n"/>
      <c r="I4947" s="43" t="n"/>
      <c r="J4947" s="57">
        <f>IF(OR(A4947="",H4947=""),"",IF(COUNTIFS(exp_year,C4947,exp_month,D4947,exp_item,E4947,exp_status,"&lt;&gt;❌ Отменено")&gt;0,1,0))</f>
        <v/>
      </c>
    </row>
    <row r="4948">
      <c r="A4948" s="52" t="n"/>
      <c r="B4948" s="53">
        <f>IF(A4948="","",CHOOSE(WEEKDAY(A4948,2),"Пн","Вт","Ср","Чт","Пт","Сб","Вс"))</f>
        <v/>
      </c>
      <c r="C4948" s="53">
        <f>IF(A4948="","",YEAR(A4948))</f>
        <v/>
      </c>
      <c r="D4948" s="54">
        <f>IF(A4948="","",INDEX(lst_months,MONTH(A4948)))</f>
        <v/>
      </c>
      <c r="E4948" s="55" t="n"/>
      <c r="F4948" s="54">
        <f>IF(E4948="","",IFERROR(IF(INDEX(lst_exp_item_cat,MATCH(E4948,lst_exp_items,0))="","❔ Без категории",INDEX(lst_exp_item_cat,MATCH(E4948,lst_exp_items,0))),"❔ Без категории"))</f>
        <v/>
      </c>
      <c r="G4948" s="43" t="n"/>
      <c r="H4948" s="56" t="n"/>
      <c r="I4948" s="43" t="n"/>
      <c r="J4948" s="57">
        <f>IF(OR(A4948="",H4948=""),"",IF(COUNTIFS(exp_year,C4948,exp_month,D4948,exp_item,E4948,exp_status,"&lt;&gt;❌ Отменено")&gt;0,1,0))</f>
        <v/>
      </c>
    </row>
    <row r="4949">
      <c r="A4949" s="52" t="n"/>
      <c r="B4949" s="53">
        <f>IF(A4949="","",CHOOSE(WEEKDAY(A4949,2),"Пн","Вт","Ср","Чт","Пт","Сб","Вс"))</f>
        <v/>
      </c>
      <c r="C4949" s="53">
        <f>IF(A4949="","",YEAR(A4949))</f>
        <v/>
      </c>
      <c r="D4949" s="54">
        <f>IF(A4949="","",INDEX(lst_months,MONTH(A4949)))</f>
        <v/>
      </c>
      <c r="E4949" s="55" t="n"/>
      <c r="F4949" s="54">
        <f>IF(E4949="","",IFERROR(IF(INDEX(lst_exp_item_cat,MATCH(E4949,lst_exp_items,0))="","❔ Без категории",INDEX(lst_exp_item_cat,MATCH(E4949,lst_exp_items,0))),"❔ Без категории"))</f>
        <v/>
      </c>
      <c r="G4949" s="43" t="n"/>
      <c r="H4949" s="56" t="n"/>
      <c r="I4949" s="43" t="n"/>
      <c r="J4949" s="57">
        <f>IF(OR(A4949="",H4949=""),"",IF(COUNTIFS(exp_year,C4949,exp_month,D4949,exp_item,E4949,exp_status,"&lt;&gt;❌ Отменено")&gt;0,1,0))</f>
        <v/>
      </c>
    </row>
    <row r="4950">
      <c r="A4950" s="52" t="n"/>
      <c r="B4950" s="53">
        <f>IF(A4950="","",CHOOSE(WEEKDAY(A4950,2),"Пн","Вт","Ср","Чт","Пт","Сб","Вс"))</f>
        <v/>
      </c>
      <c r="C4950" s="53">
        <f>IF(A4950="","",YEAR(A4950))</f>
        <v/>
      </c>
      <c r="D4950" s="54">
        <f>IF(A4950="","",INDEX(lst_months,MONTH(A4950)))</f>
        <v/>
      </c>
      <c r="E4950" s="55" t="n"/>
      <c r="F4950" s="54">
        <f>IF(E4950="","",IFERROR(IF(INDEX(lst_exp_item_cat,MATCH(E4950,lst_exp_items,0))="","❔ Без категории",INDEX(lst_exp_item_cat,MATCH(E4950,lst_exp_items,0))),"❔ Без категории"))</f>
        <v/>
      </c>
      <c r="G4950" s="43" t="n"/>
      <c r="H4950" s="56" t="n"/>
      <c r="I4950" s="43" t="n"/>
      <c r="J4950" s="57">
        <f>IF(OR(A4950="",H4950=""),"",IF(COUNTIFS(exp_year,C4950,exp_month,D4950,exp_item,E4950,exp_status,"&lt;&gt;❌ Отменено")&gt;0,1,0))</f>
        <v/>
      </c>
    </row>
    <row r="4951">
      <c r="A4951" s="52" t="n"/>
      <c r="B4951" s="53">
        <f>IF(A4951="","",CHOOSE(WEEKDAY(A4951,2),"Пн","Вт","Ср","Чт","Пт","Сб","Вс"))</f>
        <v/>
      </c>
      <c r="C4951" s="53">
        <f>IF(A4951="","",YEAR(A4951))</f>
        <v/>
      </c>
      <c r="D4951" s="54">
        <f>IF(A4951="","",INDEX(lst_months,MONTH(A4951)))</f>
        <v/>
      </c>
      <c r="E4951" s="55" t="n"/>
      <c r="F4951" s="54">
        <f>IF(E4951="","",IFERROR(IF(INDEX(lst_exp_item_cat,MATCH(E4951,lst_exp_items,0))="","❔ Без категории",INDEX(lst_exp_item_cat,MATCH(E4951,lst_exp_items,0))),"❔ Без категории"))</f>
        <v/>
      </c>
      <c r="G4951" s="43" t="n"/>
      <c r="H4951" s="56" t="n"/>
      <c r="I4951" s="43" t="n"/>
      <c r="J4951" s="57">
        <f>IF(OR(A4951="",H4951=""),"",IF(COUNTIFS(exp_year,C4951,exp_month,D4951,exp_item,E4951,exp_status,"&lt;&gt;❌ Отменено")&gt;0,1,0))</f>
        <v/>
      </c>
    </row>
    <row r="4952">
      <c r="A4952" s="52" t="n"/>
      <c r="B4952" s="53">
        <f>IF(A4952="","",CHOOSE(WEEKDAY(A4952,2),"Пн","Вт","Ср","Чт","Пт","Сб","Вс"))</f>
        <v/>
      </c>
      <c r="C4952" s="53">
        <f>IF(A4952="","",YEAR(A4952))</f>
        <v/>
      </c>
      <c r="D4952" s="54">
        <f>IF(A4952="","",INDEX(lst_months,MONTH(A4952)))</f>
        <v/>
      </c>
      <c r="E4952" s="55" t="n"/>
      <c r="F4952" s="54">
        <f>IF(E4952="","",IFERROR(IF(INDEX(lst_exp_item_cat,MATCH(E4952,lst_exp_items,0))="","❔ Без категории",INDEX(lst_exp_item_cat,MATCH(E4952,lst_exp_items,0))),"❔ Без категории"))</f>
        <v/>
      </c>
      <c r="G4952" s="43" t="n"/>
      <c r="H4952" s="56" t="n"/>
      <c r="I4952" s="43" t="n"/>
      <c r="J4952" s="57">
        <f>IF(OR(A4952="",H4952=""),"",IF(COUNTIFS(exp_year,C4952,exp_month,D4952,exp_item,E4952,exp_status,"&lt;&gt;❌ Отменено")&gt;0,1,0))</f>
        <v/>
      </c>
    </row>
    <row r="4953">
      <c r="A4953" s="52" t="n"/>
      <c r="B4953" s="53">
        <f>IF(A4953="","",CHOOSE(WEEKDAY(A4953,2),"Пн","Вт","Ср","Чт","Пт","Сб","Вс"))</f>
        <v/>
      </c>
      <c r="C4953" s="53">
        <f>IF(A4953="","",YEAR(A4953))</f>
        <v/>
      </c>
      <c r="D4953" s="54">
        <f>IF(A4953="","",INDEX(lst_months,MONTH(A4953)))</f>
        <v/>
      </c>
      <c r="E4953" s="55" t="n"/>
      <c r="F4953" s="54">
        <f>IF(E4953="","",IFERROR(IF(INDEX(lst_exp_item_cat,MATCH(E4953,lst_exp_items,0))="","❔ Без категории",INDEX(lst_exp_item_cat,MATCH(E4953,lst_exp_items,0))),"❔ Без категории"))</f>
        <v/>
      </c>
      <c r="G4953" s="43" t="n"/>
      <c r="H4953" s="56" t="n"/>
      <c r="I4953" s="43" t="n"/>
      <c r="J4953" s="57">
        <f>IF(OR(A4953="",H4953=""),"",IF(COUNTIFS(exp_year,C4953,exp_month,D4953,exp_item,E4953,exp_status,"&lt;&gt;❌ Отменено")&gt;0,1,0))</f>
        <v/>
      </c>
    </row>
    <row r="4954">
      <c r="A4954" s="52" t="n"/>
      <c r="B4954" s="53">
        <f>IF(A4954="","",CHOOSE(WEEKDAY(A4954,2),"Пн","Вт","Ср","Чт","Пт","Сб","Вс"))</f>
        <v/>
      </c>
      <c r="C4954" s="53">
        <f>IF(A4954="","",YEAR(A4954))</f>
        <v/>
      </c>
      <c r="D4954" s="54">
        <f>IF(A4954="","",INDEX(lst_months,MONTH(A4954)))</f>
        <v/>
      </c>
      <c r="E4954" s="55" t="n"/>
      <c r="F4954" s="54">
        <f>IF(E4954="","",IFERROR(IF(INDEX(lst_exp_item_cat,MATCH(E4954,lst_exp_items,0))="","❔ Без категории",INDEX(lst_exp_item_cat,MATCH(E4954,lst_exp_items,0))),"❔ Без категории"))</f>
        <v/>
      </c>
      <c r="G4954" s="43" t="n"/>
      <c r="H4954" s="56" t="n"/>
      <c r="I4954" s="43" t="n"/>
      <c r="J4954" s="57">
        <f>IF(OR(A4954="",H4954=""),"",IF(COUNTIFS(exp_year,C4954,exp_month,D4954,exp_item,E4954,exp_status,"&lt;&gt;❌ Отменено")&gt;0,1,0))</f>
        <v/>
      </c>
    </row>
    <row r="4955">
      <c r="A4955" s="52" t="n"/>
      <c r="B4955" s="53">
        <f>IF(A4955="","",CHOOSE(WEEKDAY(A4955,2),"Пн","Вт","Ср","Чт","Пт","Сб","Вс"))</f>
        <v/>
      </c>
      <c r="C4955" s="53">
        <f>IF(A4955="","",YEAR(A4955))</f>
        <v/>
      </c>
      <c r="D4955" s="54">
        <f>IF(A4955="","",INDEX(lst_months,MONTH(A4955)))</f>
        <v/>
      </c>
      <c r="E4955" s="55" t="n"/>
      <c r="F4955" s="54">
        <f>IF(E4955="","",IFERROR(IF(INDEX(lst_exp_item_cat,MATCH(E4955,lst_exp_items,0))="","❔ Без категории",INDEX(lst_exp_item_cat,MATCH(E4955,lst_exp_items,0))),"❔ Без категории"))</f>
        <v/>
      </c>
      <c r="G4955" s="43" t="n"/>
      <c r="H4955" s="56" t="n"/>
      <c r="I4955" s="43" t="n"/>
      <c r="J4955" s="57">
        <f>IF(OR(A4955="",H4955=""),"",IF(COUNTIFS(exp_year,C4955,exp_month,D4955,exp_item,E4955,exp_status,"&lt;&gt;❌ Отменено")&gt;0,1,0))</f>
        <v/>
      </c>
    </row>
    <row r="4956">
      <c r="A4956" s="52" t="n"/>
      <c r="B4956" s="53">
        <f>IF(A4956="","",CHOOSE(WEEKDAY(A4956,2),"Пн","Вт","Ср","Чт","Пт","Сб","Вс"))</f>
        <v/>
      </c>
      <c r="C4956" s="53">
        <f>IF(A4956="","",YEAR(A4956))</f>
        <v/>
      </c>
      <c r="D4956" s="54">
        <f>IF(A4956="","",INDEX(lst_months,MONTH(A4956)))</f>
        <v/>
      </c>
      <c r="E4956" s="55" t="n"/>
      <c r="F4956" s="54">
        <f>IF(E4956="","",IFERROR(IF(INDEX(lst_exp_item_cat,MATCH(E4956,lst_exp_items,0))="","❔ Без категории",INDEX(lst_exp_item_cat,MATCH(E4956,lst_exp_items,0))),"❔ Без категории"))</f>
        <v/>
      </c>
      <c r="G4956" s="43" t="n"/>
      <c r="H4956" s="56" t="n"/>
      <c r="I4956" s="43" t="n"/>
      <c r="J4956" s="57">
        <f>IF(OR(A4956="",H4956=""),"",IF(COUNTIFS(exp_year,C4956,exp_month,D4956,exp_item,E4956,exp_status,"&lt;&gt;❌ Отменено")&gt;0,1,0))</f>
        <v/>
      </c>
    </row>
    <row r="4957">
      <c r="A4957" s="52" t="n"/>
      <c r="B4957" s="53">
        <f>IF(A4957="","",CHOOSE(WEEKDAY(A4957,2),"Пн","Вт","Ср","Чт","Пт","Сб","Вс"))</f>
        <v/>
      </c>
      <c r="C4957" s="53">
        <f>IF(A4957="","",YEAR(A4957))</f>
        <v/>
      </c>
      <c r="D4957" s="54">
        <f>IF(A4957="","",INDEX(lst_months,MONTH(A4957)))</f>
        <v/>
      </c>
      <c r="E4957" s="55" t="n"/>
      <c r="F4957" s="54">
        <f>IF(E4957="","",IFERROR(IF(INDEX(lst_exp_item_cat,MATCH(E4957,lst_exp_items,0))="","❔ Без категории",INDEX(lst_exp_item_cat,MATCH(E4957,lst_exp_items,0))),"❔ Без категории"))</f>
        <v/>
      </c>
      <c r="G4957" s="43" t="n"/>
      <c r="H4957" s="56" t="n"/>
      <c r="I4957" s="43" t="n"/>
      <c r="J4957" s="57">
        <f>IF(OR(A4957="",H4957=""),"",IF(COUNTIFS(exp_year,C4957,exp_month,D4957,exp_item,E4957,exp_status,"&lt;&gt;❌ Отменено")&gt;0,1,0))</f>
        <v/>
      </c>
    </row>
    <row r="4958">
      <c r="A4958" s="52" t="n"/>
      <c r="B4958" s="53">
        <f>IF(A4958="","",CHOOSE(WEEKDAY(A4958,2),"Пн","Вт","Ср","Чт","Пт","Сб","Вс"))</f>
        <v/>
      </c>
      <c r="C4958" s="53">
        <f>IF(A4958="","",YEAR(A4958))</f>
        <v/>
      </c>
      <c r="D4958" s="54">
        <f>IF(A4958="","",INDEX(lst_months,MONTH(A4958)))</f>
        <v/>
      </c>
      <c r="E4958" s="55" t="n"/>
      <c r="F4958" s="54">
        <f>IF(E4958="","",IFERROR(IF(INDEX(lst_exp_item_cat,MATCH(E4958,lst_exp_items,0))="","❔ Без категории",INDEX(lst_exp_item_cat,MATCH(E4958,lst_exp_items,0))),"❔ Без категории"))</f>
        <v/>
      </c>
      <c r="G4958" s="43" t="n"/>
      <c r="H4958" s="56" t="n"/>
      <c r="I4958" s="43" t="n"/>
      <c r="J4958" s="57">
        <f>IF(OR(A4958="",H4958=""),"",IF(COUNTIFS(exp_year,C4958,exp_month,D4958,exp_item,E4958,exp_status,"&lt;&gt;❌ Отменено")&gt;0,1,0))</f>
        <v/>
      </c>
    </row>
    <row r="4959">
      <c r="A4959" s="52" t="n"/>
      <c r="B4959" s="53">
        <f>IF(A4959="","",CHOOSE(WEEKDAY(A4959,2),"Пн","Вт","Ср","Чт","Пт","Сб","Вс"))</f>
        <v/>
      </c>
      <c r="C4959" s="53">
        <f>IF(A4959="","",YEAR(A4959))</f>
        <v/>
      </c>
      <c r="D4959" s="54">
        <f>IF(A4959="","",INDEX(lst_months,MONTH(A4959)))</f>
        <v/>
      </c>
      <c r="E4959" s="55" t="n"/>
      <c r="F4959" s="54">
        <f>IF(E4959="","",IFERROR(IF(INDEX(lst_exp_item_cat,MATCH(E4959,lst_exp_items,0))="","❔ Без категории",INDEX(lst_exp_item_cat,MATCH(E4959,lst_exp_items,0))),"❔ Без категории"))</f>
        <v/>
      </c>
      <c r="G4959" s="43" t="n"/>
      <c r="H4959" s="56" t="n"/>
      <c r="I4959" s="43" t="n"/>
      <c r="J4959" s="57">
        <f>IF(OR(A4959="",H4959=""),"",IF(COUNTIFS(exp_year,C4959,exp_month,D4959,exp_item,E4959,exp_status,"&lt;&gt;❌ Отменено")&gt;0,1,0))</f>
        <v/>
      </c>
    </row>
    <row r="4960">
      <c r="A4960" s="52" t="n"/>
      <c r="B4960" s="53">
        <f>IF(A4960="","",CHOOSE(WEEKDAY(A4960,2),"Пн","Вт","Ср","Чт","Пт","Сб","Вс"))</f>
        <v/>
      </c>
      <c r="C4960" s="53">
        <f>IF(A4960="","",YEAR(A4960))</f>
        <v/>
      </c>
      <c r="D4960" s="54">
        <f>IF(A4960="","",INDEX(lst_months,MONTH(A4960)))</f>
        <v/>
      </c>
      <c r="E4960" s="55" t="n"/>
      <c r="F4960" s="54">
        <f>IF(E4960="","",IFERROR(IF(INDEX(lst_exp_item_cat,MATCH(E4960,lst_exp_items,0))="","❔ Без категории",INDEX(lst_exp_item_cat,MATCH(E4960,lst_exp_items,0))),"❔ Без категории"))</f>
        <v/>
      </c>
      <c r="G4960" s="43" t="n"/>
      <c r="H4960" s="56" t="n"/>
      <c r="I4960" s="43" t="n"/>
      <c r="J4960" s="57">
        <f>IF(OR(A4960="",H4960=""),"",IF(COUNTIFS(exp_year,C4960,exp_month,D4960,exp_item,E4960,exp_status,"&lt;&gt;❌ Отменено")&gt;0,1,0))</f>
        <v/>
      </c>
    </row>
    <row r="4961">
      <c r="A4961" s="52" t="n"/>
      <c r="B4961" s="53">
        <f>IF(A4961="","",CHOOSE(WEEKDAY(A4961,2),"Пн","Вт","Ср","Чт","Пт","Сб","Вс"))</f>
        <v/>
      </c>
      <c r="C4961" s="53">
        <f>IF(A4961="","",YEAR(A4961))</f>
        <v/>
      </c>
      <c r="D4961" s="54">
        <f>IF(A4961="","",INDEX(lst_months,MONTH(A4961)))</f>
        <v/>
      </c>
      <c r="E4961" s="55" t="n"/>
      <c r="F4961" s="54">
        <f>IF(E4961="","",IFERROR(IF(INDEX(lst_exp_item_cat,MATCH(E4961,lst_exp_items,0))="","❔ Без категории",INDEX(lst_exp_item_cat,MATCH(E4961,lst_exp_items,0))),"❔ Без категории"))</f>
        <v/>
      </c>
      <c r="G4961" s="43" t="n"/>
      <c r="H4961" s="56" t="n"/>
      <c r="I4961" s="43" t="n"/>
      <c r="J4961" s="57">
        <f>IF(OR(A4961="",H4961=""),"",IF(COUNTIFS(exp_year,C4961,exp_month,D4961,exp_item,E4961,exp_status,"&lt;&gt;❌ Отменено")&gt;0,1,0))</f>
        <v/>
      </c>
    </row>
    <row r="4962">
      <c r="A4962" s="52" t="n"/>
      <c r="B4962" s="53">
        <f>IF(A4962="","",CHOOSE(WEEKDAY(A4962,2),"Пн","Вт","Ср","Чт","Пт","Сб","Вс"))</f>
        <v/>
      </c>
      <c r="C4962" s="53">
        <f>IF(A4962="","",YEAR(A4962))</f>
        <v/>
      </c>
      <c r="D4962" s="54">
        <f>IF(A4962="","",INDEX(lst_months,MONTH(A4962)))</f>
        <v/>
      </c>
      <c r="E4962" s="55" t="n"/>
      <c r="F4962" s="54">
        <f>IF(E4962="","",IFERROR(IF(INDEX(lst_exp_item_cat,MATCH(E4962,lst_exp_items,0))="","❔ Без категории",INDEX(lst_exp_item_cat,MATCH(E4962,lst_exp_items,0))),"❔ Без категории"))</f>
        <v/>
      </c>
      <c r="G4962" s="43" t="n"/>
      <c r="H4962" s="56" t="n"/>
      <c r="I4962" s="43" t="n"/>
      <c r="J4962" s="57">
        <f>IF(OR(A4962="",H4962=""),"",IF(COUNTIFS(exp_year,C4962,exp_month,D4962,exp_item,E4962,exp_status,"&lt;&gt;❌ Отменено")&gt;0,1,0))</f>
        <v/>
      </c>
    </row>
    <row r="4963">
      <c r="A4963" s="52" t="n"/>
      <c r="B4963" s="53">
        <f>IF(A4963="","",CHOOSE(WEEKDAY(A4963,2),"Пн","Вт","Ср","Чт","Пт","Сб","Вс"))</f>
        <v/>
      </c>
      <c r="C4963" s="53">
        <f>IF(A4963="","",YEAR(A4963))</f>
        <v/>
      </c>
      <c r="D4963" s="54">
        <f>IF(A4963="","",INDEX(lst_months,MONTH(A4963)))</f>
        <v/>
      </c>
      <c r="E4963" s="55" t="n"/>
      <c r="F4963" s="54">
        <f>IF(E4963="","",IFERROR(IF(INDEX(lst_exp_item_cat,MATCH(E4963,lst_exp_items,0))="","❔ Без категории",INDEX(lst_exp_item_cat,MATCH(E4963,lst_exp_items,0))),"❔ Без категории"))</f>
        <v/>
      </c>
      <c r="G4963" s="43" t="n"/>
      <c r="H4963" s="56" t="n"/>
      <c r="I4963" s="43" t="n"/>
      <c r="J4963" s="57">
        <f>IF(OR(A4963="",H4963=""),"",IF(COUNTIFS(exp_year,C4963,exp_month,D4963,exp_item,E4963,exp_status,"&lt;&gt;❌ Отменено")&gt;0,1,0))</f>
        <v/>
      </c>
    </row>
    <row r="4964">
      <c r="A4964" s="52" t="n"/>
      <c r="B4964" s="53">
        <f>IF(A4964="","",CHOOSE(WEEKDAY(A4964,2),"Пн","Вт","Ср","Чт","Пт","Сб","Вс"))</f>
        <v/>
      </c>
      <c r="C4964" s="53">
        <f>IF(A4964="","",YEAR(A4964))</f>
        <v/>
      </c>
      <c r="D4964" s="54">
        <f>IF(A4964="","",INDEX(lst_months,MONTH(A4964)))</f>
        <v/>
      </c>
      <c r="E4964" s="55" t="n"/>
      <c r="F4964" s="54">
        <f>IF(E4964="","",IFERROR(IF(INDEX(lst_exp_item_cat,MATCH(E4964,lst_exp_items,0))="","❔ Без категории",INDEX(lst_exp_item_cat,MATCH(E4964,lst_exp_items,0))),"❔ Без категории"))</f>
        <v/>
      </c>
      <c r="G4964" s="43" t="n"/>
      <c r="H4964" s="56" t="n"/>
      <c r="I4964" s="43" t="n"/>
      <c r="J4964" s="57">
        <f>IF(OR(A4964="",H4964=""),"",IF(COUNTIFS(exp_year,C4964,exp_month,D4964,exp_item,E4964,exp_status,"&lt;&gt;❌ Отменено")&gt;0,1,0))</f>
        <v/>
      </c>
    </row>
    <row r="4965">
      <c r="A4965" s="52" t="n"/>
      <c r="B4965" s="53">
        <f>IF(A4965="","",CHOOSE(WEEKDAY(A4965,2),"Пн","Вт","Ср","Чт","Пт","Сб","Вс"))</f>
        <v/>
      </c>
      <c r="C4965" s="53">
        <f>IF(A4965="","",YEAR(A4965))</f>
        <v/>
      </c>
      <c r="D4965" s="54">
        <f>IF(A4965="","",INDEX(lst_months,MONTH(A4965)))</f>
        <v/>
      </c>
      <c r="E4965" s="55" t="n"/>
      <c r="F4965" s="54">
        <f>IF(E4965="","",IFERROR(IF(INDEX(lst_exp_item_cat,MATCH(E4965,lst_exp_items,0))="","❔ Без категории",INDEX(lst_exp_item_cat,MATCH(E4965,lst_exp_items,0))),"❔ Без категории"))</f>
        <v/>
      </c>
      <c r="G4965" s="43" t="n"/>
      <c r="H4965" s="56" t="n"/>
      <c r="I4965" s="43" t="n"/>
      <c r="J4965" s="57">
        <f>IF(OR(A4965="",H4965=""),"",IF(COUNTIFS(exp_year,C4965,exp_month,D4965,exp_item,E4965,exp_status,"&lt;&gt;❌ Отменено")&gt;0,1,0))</f>
        <v/>
      </c>
    </row>
    <row r="4966">
      <c r="A4966" s="52" t="n"/>
      <c r="B4966" s="53">
        <f>IF(A4966="","",CHOOSE(WEEKDAY(A4966,2),"Пн","Вт","Ср","Чт","Пт","Сб","Вс"))</f>
        <v/>
      </c>
      <c r="C4966" s="53">
        <f>IF(A4966="","",YEAR(A4966))</f>
        <v/>
      </c>
      <c r="D4966" s="54">
        <f>IF(A4966="","",INDEX(lst_months,MONTH(A4966)))</f>
        <v/>
      </c>
      <c r="E4966" s="55" t="n"/>
      <c r="F4966" s="54">
        <f>IF(E4966="","",IFERROR(IF(INDEX(lst_exp_item_cat,MATCH(E4966,lst_exp_items,0))="","❔ Без категории",INDEX(lst_exp_item_cat,MATCH(E4966,lst_exp_items,0))),"❔ Без категории"))</f>
        <v/>
      </c>
      <c r="G4966" s="43" t="n"/>
      <c r="H4966" s="56" t="n"/>
      <c r="I4966" s="43" t="n"/>
      <c r="J4966" s="57">
        <f>IF(OR(A4966="",H4966=""),"",IF(COUNTIFS(exp_year,C4966,exp_month,D4966,exp_item,E4966,exp_status,"&lt;&gt;❌ Отменено")&gt;0,1,0))</f>
        <v/>
      </c>
    </row>
    <row r="4967">
      <c r="A4967" s="52" t="n"/>
      <c r="B4967" s="53">
        <f>IF(A4967="","",CHOOSE(WEEKDAY(A4967,2),"Пн","Вт","Ср","Чт","Пт","Сб","Вс"))</f>
        <v/>
      </c>
      <c r="C4967" s="53">
        <f>IF(A4967="","",YEAR(A4967))</f>
        <v/>
      </c>
      <c r="D4967" s="54">
        <f>IF(A4967="","",INDEX(lst_months,MONTH(A4967)))</f>
        <v/>
      </c>
      <c r="E4967" s="55" t="n"/>
      <c r="F4967" s="54">
        <f>IF(E4967="","",IFERROR(IF(INDEX(lst_exp_item_cat,MATCH(E4967,lst_exp_items,0))="","❔ Без категории",INDEX(lst_exp_item_cat,MATCH(E4967,lst_exp_items,0))),"❔ Без категории"))</f>
        <v/>
      </c>
      <c r="G4967" s="43" t="n"/>
      <c r="H4967" s="56" t="n"/>
      <c r="I4967" s="43" t="n"/>
      <c r="J4967" s="57">
        <f>IF(OR(A4967="",H4967=""),"",IF(COUNTIFS(exp_year,C4967,exp_month,D4967,exp_item,E4967,exp_status,"&lt;&gt;❌ Отменено")&gt;0,1,0))</f>
        <v/>
      </c>
    </row>
    <row r="4968">
      <c r="A4968" s="52" t="n"/>
      <c r="B4968" s="53">
        <f>IF(A4968="","",CHOOSE(WEEKDAY(A4968,2),"Пн","Вт","Ср","Чт","Пт","Сб","Вс"))</f>
        <v/>
      </c>
      <c r="C4968" s="53">
        <f>IF(A4968="","",YEAR(A4968))</f>
        <v/>
      </c>
      <c r="D4968" s="54">
        <f>IF(A4968="","",INDEX(lst_months,MONTH(A4968)))</f>
        <v/>
      </c>
      <c r="E4968" s="55" t="n"/>
      <c r="F4968" s="54">
        <f>IF(E4968="","",IFERROR(IF(INDEX(lst_exp_item_cat,MATCH(E4968,lst_exp_items,0))="","❔ Без категории",INDEX(lst_exp_item_cat,MATCH(E4968,lst_exp_items,0))),"❔ Без категории"))</f>
        <v/>
      </c>
      <c r="G4968" s="43" t="n"/>
      <c r="H4968" s="56" t="n"/>
      <c r="I4968" s="43" t="n"/>
      <c r="J4968" s="57">
        <f>IF(OR(A4968="",H4968=""),"",IF(COUNTIFS(exp_year,C4968,exp_month,D4968,exp_item,E4968,exp_status,"&lt;&gt;❌ Отменено")&gt;0,1,0))</f>
        <v/>
      </c>
    </row>
    <row r="4969">
      <c r="A4969" s="52" t="n"/>
      <c r="B4969" s="53">
        <f>IF(A4969="","",CHOOSE(WEEKDAY(A4969,2),"Пн","Вт","Ср","Чт","Пт","Сб","Вс"))</f>
        <v/>
      </c>
      <c r="C4969" s="53">
        <f>IF(A4969="","",YEAR(A4969))</f>
        <v/>
      </c>
      <c r="D4969" s="54">
        <f>IF(A4969="","",INDEX(lst_months,MONTH(A4969)))</f>
        <v/>
      </c>
      <c r="E4969" s="55" t="n"/>
      <c r="F4969" s="54">
        <f>IF(E4969="","",IFERROR(IF(INDEX(lst_exp_item_cat,MATCH(E4969,lst_exp_items,0))="","❔ Без категории",INDEX(lst_exp_item_cat,MATCH(E4969,lst_exp_items,0))),"❔ Без категории"))</f>
        <v/>
      </c>
      <c r="G4969" s="43" t="n"/>
      <c r="H4969" s="56" t="n"/>
      <c r="I4969" s="43" t="n"/>
      <c r="J4969" s="57">
        <f>IF(OR(A4969="",H4969=""),"",IF(COUNTIFS(exp_year,C4969,exp_month,D4969,exp_item,E4969,exp_status,"&lt;&gt;❌ Отменено")&gt;0,1,0))</f>
        <v/>
      </c>
    </row>
    <row r="4970">
      <c r="A4970" s="52" t="n"/>
      <c r="B4970" s="53">
        <f>IF(A4970="","",CHOOSE(WEEKDAY(A4970,2),"Пн","Вт","Ср","Чт","Пт","Сб","Вс"))</f>
        <v/>
      </c>
      <c r="C4970" s="53">
        <f>IF(A4970="","",YEAR(A4970))</f>
        <v/>
      </c>
      <c r="D4970" s="54">
        <f>IF(A4970="","",INDEX(lst_months,MONTH(A4970)))</f>
        <v/>
      </c>
      <c r="E4970" s="55" t="n"/>
      <c r="F4970" s="54">
        <f>IF(E4970="","",IFERROR(IF(INDEX(lst_exp_item_cat,MATCH(E4970,lst_exp_items,0))="","❔ Без категории",INDEX(lst_exp_item_cat,MATCH(E4970,lst_exp_items,0))),"❔ Без категории"))</f>
        <v/>
      </c>
      <c r="G4970" s="43" t="n"/>
      <c r="H4970" s="56" t="n"/>
      <c r="I4970" s="43" t="n"/>
      <c r="J4970" s="57">
        <f>IF(OR(A4970="",H4970=""),"",IF(COUNTIFS(exp_year,C4970,exp_month,D4970,exp_item,E4970,exp_status,"&lt;&gt;❌ Отменено")&gt;0,1,0))</f>
        <v/>
      </c>
    </row>
    <row r="4971">
      <c r="A4971" s="52" t="n"/>
      <c r="B4971" s="53">
        <f>IF(A4971="","",CHOOSE(WEEKDAY(A4971,2),"Пн","Вт","Ср","Чт","Пт","Сб","Вс"))</f>
        <v/>
      </c>
      <c r="C4971" s="53">
        <f>IF(A4971="","",YEAR(A4971))</f>
        <v/>
      </c>
      <c r="D4971" s="54">
        <f>IF(A4971="","",INDEX(lst_months,MONTH(A4971)))</f>
        <v/>
      </c>
      <c r="E4971" s="55" t="n"/>
      <c r="F4971" s="54">
        <f>IF(E4971="","",IFERROR(IF(INDEX(lst_exp_item_cat,MATCH(E4971,lst_exp_items,0))="","❔ Без категории",INDEX(lst_exp_item_cat,MATCH(E4971,lst_exp_items,0))),"❔ Без категории"))</f>
        <v/>
      </c>
      <c r="G4971" s="43" t="n"/>
      <c r="H4971" s="56" t="n"/>
      <c r="I4971" s="43" t="n"/>
      <c r="J4971" s="57">
        <f>IF(OR(A4971="",H4971=""),"",IF(COUNTIFS(exp_year,C4971,exp_month,D4971,exp_item,E4971,exp_status,"&lt;&gt;❌ Отменено")&gt;0,1,0))</f>
        <v/>
      </c>
    </row>
    <row r="4972">
      <c r="A4972" s="52" t="n"/>
      <c r="B4972" s="53">
        <f>IF(A4972="","",CHOOSE(WEEKDAY(A4972,2),"Пн","Вт","Ср","Чт","Пт","Сб","Вс"))</f>
        <v/>
      </c>
      <c r="C4972" s="53">
        <f>IF(A4972="","",YEAR(A4972))</f>
        <v/>
      </c>
      <c r="D4972" s="54">
        <f>IF(A4972="","",INDEX(lst_months,MONTH(A4972)))</f>
        <v/>
      </c>
      <c r="E4972" s="55" t="n"/>
      <c r="F4972" s="54">
        <f>IF(E4972="","",IFERROR(IF(INDEX(lst_exp_item_cat,MATCH(E4972,lst_exp_items,0))="","❔ Без категории",INDEX(lst_exp_item_cat,MATCH(E4972,lst_exp_items,0))),"❔ Без категории"))</f>
        <v/>
      </c>
      <c r="G4972" s="43" t="n"/>
      <c r="H4972" s="56" t="n"/>
      <c r="I4972" s="43" t="n"/>
      <c r="J4972" s="57">
        <f>IF(OR(A4972="",H4972=""),"",IF(COUNTIFS(exp_year,C4972,exp_month,D4972,exp_item,E4972,exp_status,"&lt;&gt;❌ Отменено")&gt;0,1,0))</f>
        <v/>
      </c>
    </row>
    <row r="4973">
      <c r="A4973" s="52" t="n"/>
      <c r="B4973" s="53">
        <f>IF(A4973="","",CHOOSE(WEEKDAY(A4973,2),"Пн","Вт","Ср","Чт","Пт","Сб","Вс"))</f>
        <v/>
      </c>
      <c r="C4973" s="53">
        <f>IF(A4973="","",YEAR(A4973))</f>
        <v/>
      </c>
      <c r="D4973" s="54">
        <f>IF(A4973="","",INDEX(lst_months,MONTH(A4973)))</f>
        <v/>
      </c>
      <c r="E4973" s="55" t="n"/>
      <c r="F4973" s="54">
        <f>IF(E4973="","",IFERROR(IF(INDEX(lst_exp_item_cat,MATCH(E4973,lst_exp_items,0))="","❔ Без категории",INDEX(lst_exp_item_cat,MATCH(E4973,lst_exp_items,0))),"❔ Без категории"))</f>
        <v/>
      </c>
      <c r="G4973" s="43" t="n"/>
      <c r="H4973" s="56" t="n"/>
      <c r="I4973" s="43" t="n"/>
      <c r="J4973" s="57">
        <f>IF(OR(A4973="",H4973=""),"",IF(COUNTIFS(exp_year,C4973,exp_month,D4973,exp_item,E4973,exp_status,"&lt;&gt;❌ Отменено")&gt;0,1,0))</f>
        <v/>
      </c>
    </row>
    <row r="4974">
      <c r="A4974" s="52" t="n"/>
      <c r="B4974" s="53">
        <f>IF(A4974="","",CHOOSE(WEEKDAY(A4974,2),"Пн","Вт","Ср","Чт","Пт","Сб","Вс"))</f>
        <v/>
      </c>
      <c r="C4974" s="53">
        <f>IF(A4974="","",YEAR(A4974))</f>
        <v/>
      </c>
      <c r="D4974" s="54">
        <f>IF(A4974="","",INDEX(lst_months,MONTH(A4974)))</f>
        <v/>
      </c>
      <c r="E4974" s="55" t="n"/>
      <c r="F4974" s="54">
        <f>IF(E4974="","",IFERROR(IF(INDEX(lst_exp_item_cat,MATCH(E4974,lst_exp_items,0))="","❔ Без категории",INDEX(lst_exp_item_cat,MATCH(E4974,lst_exp_items,0))),"❔ Без категории"))</f>
        <v/>
      </c>
      <c r="G4974" s="43" t="n"/>
      <c r="H4974" s="56" t="n"/>
      <c r="I4974" s="43" t="n"/>
      <c r="J4974" s="57">
        <f>IF(OR(A4974="",H4974=""),"",IF(COUNTIFS(exp_year,C4974,exp_month,D4974,exp_item,E4974,exp_status,"&lt;&gt;❌ Отменено")&gt;0,1,0))</f>
        <v/>
      </c>
    </row>
    <row r="4975">
      <c r="A4975" s="52" t="n"/>
      <c r="B4975" s="53">
        <f>IF(A4975="","",CHOOSE(WEEKDAY(A4975,2),"Пн","Вт","Ср","Чт","Пт","Сб","Вс"))</f>
        <v/>
      </c>
      <c r="C4975" s="53">
        <f>IF(A4975="","",YEAR(A4975))</f>
        <v/>
      </c>
      <c r="D4975" s="54">
        <f>IF(A4975="","",INDEX(lst_months,MONTH(A4975)))</f>
        <v/>
      </c>
      <c r="E4975" s="55" t="n"/>
      <c r="F4975" s="54">
        <f>IF(E4975="","",IFERROR(IF(INDEX(lst_exp_item_cat,MATCH(E4975,lst_exp_items,0))="","❔ Без категории",INDEX(lst_exp_item_cat,MATCH(E4975,lst_exp_items,0))),"❔ Без категории"))</f>
        <v/>
      </c>
      <c r="G4975" s="43" t="n"/>
      <c r="H4975" s="56" t="n"/>
      <c r="I4975" s="43" t="n"/>
      <c r="J4975" s="57">
        <f>IF(OR(A4975="",H4975=""),"",IF(COUNTIFS(exp_year,C4975,exp_month,D4975,exp_item,E4975,exp_status,"&lt;&gt;❌ Отменено")&gt;0,1,0))</f>
        <v/>
      </c>
    </row>
    <row r="4976">
      <c r="A4976" s="52" t="n"/>
      <c r="B4976" s="53">
        <f>IF(A4976="","",CHOOSE(WEEKDAY(A4976,2),"Пн","Вт","Ср","Чт","Пт","Сб","Вс"))</f>
        <v/>
      </c>
      <c r="C4976" s="53">
        <f>IF(A4976="","",YEAR(A4976))</f>
        <v/>
      </c>
      <c r="D4976" s="54">
        <f>IF(A4976="","",INDEX(lst_months,MONTH(A4976)))</f>
        <v/>
      </c>
      <c r="E4976" s="55" t="n"/>
      <c r="F4976" s="54">
        <f>IF(E4976="","",IFERROR(IF(INDEX(lst_exp_item_cat,MATCH(E4976,lst_exp_items,0))="","❔ Без категории",INDEX(lst_exp_item_cat,MATCH(E4976,lst_exp_items,0))),"❔ Без категории"))</f>
        <v/>
      </c>
      <c r="G4976" s="43" t="n"/>
      <c r="H4976" s="56" t="n"/>
      <c r="I4976" s="43" t="n"/>
      <c r="J4976" s="57">
        <f>IF(OR(A4976="",H4976=""),"",IF(COUNTIFS(exp_year,C4976,exp_month,D4976,exp_item,E4976,exp_status,"&lt;&gt;❌ Отменено")&gt;0,1,0))</f>
        <v/>
      </c>
    </row>
    <row r="4977">
      <c r="A4977" s="52" t="n"/>
      <c r="B4977" s="53">
        <f>IF(A4977="","",CHOOSE(WEEKDAY(A4977,2),"Пн","Вт","Ср","Чт","Пт","Сб","Вс"))</f>
        <v/>
      </c>
      <c r="C4977" s="53">
        <f>IF(A4977="","",YEAR(A4977))</f>
        <v/>
      </c>
      <c r="D4977" s="54">
        <f>IF(A4977="","",INDEX(lst_months,MONTH(A4977)))</f>
        <v/>
      </c>
      <c r="E4977" s="55" t="n"/>
      <c r="F4977" s="54">
        <f>IF(E4977="","",IFERROR(IF(INDEX(lst_exp_item_cat,MATCH(E4977,lst_exp_items,0))="","❔ Без категории",INDEX(lst_exp_item_cat,MATCH(E4977,lst_exp_items,0))),"❔ Без категории"))</f>
        <v/>
      </c>
      <c r="G4977" s="43" t="n"/>
      <c r="H4977" s="56" t="n"/>
      <c r="I4977" s="43" t="n"/>
      <c r="J4977" s="57">
        <f>IF(OR(A4977="",H4977=""),"",IF(COUNTIFS(exp_year,C4977,exp_month,D4977,exp_item,E4977,exp_status,"&lt;&gt;❌ Отменено")&gt;0,1,0))</f>
        <v/>
      </c>
    </row>
    <row r="4978">
      <c r="A4978" s="52" t="n"/>
      <c r="B4978" s="53">
        <f>IF(A4978="","",CHOOSE(WEEKDAY(A4978,2),"Пн","Вт","Ср","Чт","Пт","Сб","Вс"))</f>
        <v/>
      </c>
      <c r="C4978" s="53">
        <f>IF(A4978="","",YEAR(A4978))</f>
        <v/>
      </c>
      <c r="D4978" s="54">
        <f>IF(A4978="","",INDEX(lst_months,MONTH(A4978)))</f>
        <v/>
      </c>
      <c r="E4978" s="55" t="n"/>
      <c r="F4978" s="54">
        <f>IF(E4978="","",IFERROR(IF(INDEX(lst_exp_item_cat,MATCH(E4978,lst_exp_items,0))="","❔ Без категории",INDEX(lst_exp_item_cat,MATCH(E4978,lst_exp_items,0))),"❔ Без категории"))</f>
        <v/>
      </c>
      <c r="G4978" s="43" t="n"/>
      <c r="H4978" s="56" t="n"/>
      <c r="I4978" s="43" t="n"/>
      <c r="J4978" s="57">
        <f>IF(OR(A4978="",H4978=""),"",IF(COUNTIFS(exp_year,C4978,exp_month,D4978,exp_item,E4978,exp_status,"&lt;&gt;❌ Отменено")&gt;0,1,0))</f>
        <v/>
      </c>
    </row>
    <row r="4979">
      <c r="A4979" s="52" t="n"/>
      <c r="B4979" s="53">
        <f>IF(A4979="","",CHOOSE(WEEKDAY(A4979,2),"Пн","Вт","Ср","Чт","Пт","Сб","Вс"))</f>
        <v/>
      </c>
      <c r="C4979" s="53">
        <f>IF(A4979="","",YEAR(A4979))</f>
        <v/>
      </c>
      <c r="D4979" s="54">
        <f>IF(A4979="","",INDEX(lst_months,MONTH(A4979)))</f>
        <v/>
      </c>
      <c r="E4979" s="55" t="n"/>
      <c r="F4979" s="54">
        <f>IF(E4979="","",IFERROR(IF(INDEX(lst_exp_item_cat,MATCH(E4979,lst_exp_items,0))="","❔ Без категории",INDEX(lst_exp_item_cat,MATCH(E4979,lst_exp_items,0))),"❔ Без категории"))</f>
        <v/>
      </c>
      <c r="G4979" s="43" t="n"/>
      <c r="H4979" s="56" t="n"/>
      <c r="I4979" s="43" t="n"/>
      <c r="J4979" s="57">
        <f>IF(OR(A4979="",H4979=""),"",IF(COUNTIFS(exp_year,C4979,exp_month,D4979,exp_item,E4979,exp_status,"&lt;&gt;❌ Отменено")&gt;0,1,0))</f>
        <v/>
      </c>
    </row>
    <row r="4980">
      <c r="A4980" s="52" t="n"/>
      <c r="B4980" s="53">
        <f>IF(A4980="","",CHOOSE(WEEKDAY(A4980,2),"Пн","Вт","Ср","Чт","Пт","Сб","Вс"))</f>
        <v/>
      </c>
      <c r="C4980" s="53">
        <f>IF(A4980="","",YEAR(A4980))</f>
        <v/>
      </c>
      <c r="D4980" s="54">
        <f>IF(A4980="","",INDEX(lst_months,MONTH(A4980)))</f>
        <v/>
      </c>
      <c r="E4980" s="55" t="n"/>
      <c r="F4980" s="54">
        <f>IF(E4980="","",IFERROR(IF(INDEX(lst_exp_item_cat,MATCH(E4980,lst_exp_items,0))="","❔ Без категории",INDEX(lst_exp_item_cat,MATCH(E4980,lst_exp_items,0))),"❔ Без категории"))</f>
        <v/>
      </c>
      <c r="G4980" s="43" t="n"/>
      <c r="H4980" s="56" t="n"/>
      <c r="I4980" s="43" t="n"/>
      <c r="J4980" s="57">
        <f>IF(OR(A4980="",H4980=""),"",IF(COUNTIFS(exp_year,C4980,exp_month,D4980,exp_item,E4980,exp_status,"&lt;&gt;❌ Отменено")&gt;0,1,0))</f>
        <v/>
      </c>
    </row>
    <row r="4981">
      <c r="A4981" s="52" t="n"/>
      <c r="B4981" s="53">
        <f>IF(A4981="","",CHOOSE(WEEKDAY(A4981,2),"Пн","Вт","Ср","Чт","Пт","Сб","Вс"))</f>
        <v/>
      </c>
      <c r="C4981" s="53">
        <f>IF(A4981="","",YEAR(A4981))</f>
        <v/>
      </c>
      <c r="D4981" s="54">
        <f>IF(A4981="","",INDEX(lst_months,MONTH(A4981)))</f>
        <v/>
      </c>
      <c r="E4981" s="55" t="n"/>
      <c r="F4981" s="54">
        <f>IF(E4981="","",IFERROR(IF(INDEX(lst_exp_item_cat,MATCH(E4981,lst_exp_items,0))="","❔ Без категории",INDEX(lst_exp_item_cat,MATCH(E4981,lst_exp_items,0))),"❔ Без категории"))</f>
        <v/>
      </c>
      <c r="G4981" s="43" t="n"/>
      <c r="H4981" s="56" t="n"/>
      <c r="I4981" s="43" t="n"/>
      <c r="J4981" s="57">
        <f>IF(OR(A4981="",H4981=""),"",IF(COUNTIFS(exp_year,C4981,exp_month,D4981,exp_item,E4981,exp_status,"&lt;&gt;❌ Отменено")&gt;0,1,0))</f>
        <v/>
      </c>
    </row>
    <row r="4982">
      <c r="A4982" s="52" t="n"/>
      <c r="B4982" s="53">
        <f>IF(A4982="","",CHOOSE(WEEKDAY(A4982,2),"Пн","Вт","Ср","Чт","Пт","Сб","Вс"))</f>
        <v/>
      </c>
      <c r="C4982" s="53">
        <f>IF(A4982="","",YEAR(A4982))</f>
        <v/>
      </c>
      <c r="D4982" s="54">
        <f>IF(A4982="","",INDEX(lst_months,MONTH(A4982)))</f>
        <v/>
      </c>
      <c r="E4982" s="55" t="n"/>
      <c r="F4982" s="54">
        <f>IF(E4982="","",IFERROR(IF(INDEX(lst_exp_item_cat,MATCH(E4982,lst_exp_items,0))="","❔ Без категории",INDEX(lst_exp_item_cat,MATCH(E4982,lst_exp_items,0))),"❔ Без категории"))</f>
        <v/>
      </c>
      <c r="G4982" s="43" t="n"/>
      <c r="H4982" s="56" t="n"/>
      <c r="I4982" s="43" t="n"/>
      <c r="J4982" s="57">
        <f>IF(OR(A4982="",H4982=""),"",IF(COUNTIFS(exp_year,C4982,exp_month,D4982,exp_item,E4982,exp_status,"&lt;&gt;❌ Отменено")&gt;0,1,0))</f>
        <v/>
      </c>
    </row>
    <row r="4983">
      <c r="A4983" s="52" t="n"/>
      <c r="B4983" s="53">
        <f>IF(A4983="","",CHOOSE(WEEKDAY(A4983,2),"Пн","Вт","Ср","Чт","Пт","Сб","Вс"))</f>
        <v/>
      </c>
      <c r="C4983" s="53">
        <f>IF(A4983="","",YEAR(A4983))</f>
        <v/>
      </c>
      <c r="D4983" s="54">
        <f>IF(A4983="","",INDEX(lst_months,MONTH(A4983)))</f>
        <v/>
      </c>
      <c r="E4983" s="55" t="n"/>
      <c r="F4983" s="54">
        <f>IF(E4983="","",IFERROR(IF(INDEX(lst_exp_item_cat,MATCH(E4983,lst_exp_items,0))="","❔ Без категории",INDEX(lst_exp_item_cat,MATCH(E4983,lst_exp_items,0))),"❔ Без категории"))</f>
        <v/>
      </c>
      <c r="G4983" s="43" t="n"/>
      <c r="H4983" s="56" t="n"/>
      <c r="I4983" s="43" t="n"/>
      <c r="J4983" s="57">
        <f>IF(OR(A4983="",H4983=""),"",IF(COUNTIFS(exp_year,C4983,exp_month,D4983,exp_item,E4983,exp_status,"&lt;&gt;❌ Отменено")&gt;0,1,0))</f>
        <v/>
      </c>
    </row>
    <row r="4984">
      <c r="A4984" s="52" t="n"/>
      <c r="B4984" s="53">
        <f>IF(A4984="","",CHOOSE(WEEKDAY(A4984,2),"Пн","Вт","Ср","Чт","Пт","Сб","Вс"))</f>
        <v/>
      </c>
      <c r="C4984" s="53">
        <f>IF(A4984="","",YEAR(A4984))</f>
        <v/>
      </c>
      <c r="D4984" s="54">
        <f>IF(A4984="","",INDEX(lst_months,MONTH(A4984)))</f>
        <v/>
      </c>
      <c r="E4984" s="55" t="n"/>
      <c r="F4984" s="54">
        <f>IF(E4984="","",IFERROR(IF(INDEX(lst_exp_item_cat,MATCH(E4984,lst_exp_items,0))="","❔ Без категории",INDEX(lst_exp_item_cat,MATCH(E4984,lst_exp_items,0))),"❔ Без категории"))</f>
        <v/>
      </c>
      <c r="G4984" s="43" t="n"/>
      <c r="H4984" s="56" t="n"/>
      <c r="I4984" s="43" t="n"/>
      <c r="J4984" s="57">
        <f>IF(OR(A4984="",H4984=""),"",IF(COUNTIFS(exp_year,C4984,exp_month,D4984,exp_item,E4984,exp_status,"&lt;&gt;❌ Отменено")&gt;0,1,0))</f>
        <v/>
      </c>
    </row>
    <row r="4985">
      <c r="A4985" s="52" t="n"/>
      <c r="B4985" s="53">
        <f>IF(A4985="","",CHOOSE(WEEKDAY(A4985,2),"Пн","Вт","Ср","Чт","Пт","Сб","Вс"))</f>
        <v/>
      </c>
      <c r="C4985" s="53">
        <f>IF(A4985="","",YEAR(A4985))</f>
        <v/>
      </c>
      <c r="D4985" s="54">
        <f>IF(A4985="","",INDEX(lst_months,MONTH(A4985)))</f>
        <v/>
      </c>
      <c r="E4985" s="55" t="n"/>
      <c r="F4985" s="54">
        <f>IF(E4985="","",IFERROR(IF(INDEX(lst_exp_item_cat,MATCH(E4985,lst_exp_items,0))="","❔ Без категории",INDEX(lst_exp_item_cat,MATCH(E4985,lst_exp_items,0))),"❔ Без категории"))</f>
        <v/>
      </c>
      <c r="G4985" s="43" t="n"/>
      <c r="H4985" s="56" t="n"/>
      <c r="I4985" s="43" t="n"/>
      <c r="J4985" s="57">
        <f>IF(OR(A4985="",H4985=""),"",IF(COUNTIFS(exp_year,C4985,exp_month,D4985,exp_item,E4985,exp_status,"&lt;&gt;❌ Отменено")&gt;0,1,0))</f>
        <v/>
      </c>
    </row>
    <row r="4986">
      <c r="A4986" s="52" t="n"/>
      <c r="B4986" s="53">
        <f>IF(A4986="","",CHOOSE(WEEKDAY(A4986,2),"Пн","Вт","Ср","Чт","Пт","Сб","Вс"))</f>
        <v/>
      </c>
      <c r="C4986" s="53">
        <f>IF(A4986="","",YEAR(A4986))</f>
        <v/>
      </c>
      <c r="D4986" s="54">
        <f>IF(A4986="","",INDEX(lst_months,MONTH(A4986)))</f>
        <v/>
      </c>
      <c r="E4986" s="55" t="n"/>
      <c r="F4986" s="54">
        <f>IF(E4986="","",IFERROR(IF(INDEX(lst_exp_item_cat,MATCH(E4986,lst_exp_items,0))="","❔ Без категории",INDEX(lst_exp_item_cat,MATCH(E4986,lst_exp_items,0))),"❔ Без категории"))</f>
        <v/>
      </c>
      <c r="G4986" s="43" t="n"/>
      <c r="H4986" s="56" t="n"/>
      <c r="I4986" s="43" t="n"/>
      <c r="J4986" s="57">
        <f>IF(OR(A4986="",H4986=""),"",IF(COUNTIFS(exp_year,C4986,exp_month,D4986,exp_item,E4986,exp_status,"&lt;&gt;❌ Отменено")&gt;0,1,0))</f>
        <v/>
      </c>
    </row>
    <row r="4987">
      <c r="A4987" s="52" t="n"/>
      <c r="B4987" s="53">
        <f>IF(A4987="","",CHOOSE(WEEKDAY(A4987,2),"Пн","Вт","Ср","Чт","Пт","Сб","Вс"))</f>
        <v/>
      </c>
      <c r="C4987" s="53">
        <f>IF(A4987="","",YEAR(A4987))</f>
        <v/>
      </c>
      <c r="D4987" s="54">
        <f>IF(A4987="","",INDEX(lst_months,MONTH(A4987)))</f>
        <v/>
      </c>
      <c r="E4987" s="55" t="n"/>
      <c r="F4987" s="54">
        <f>IF(E4987="","",IFERROR(IF(INDEX(lst_exp_item_cat,MATCH(E4987,lst_exp_items,0))="","❔ Без категории",INDEX(lst_exp_item_cat,MATCH(E4987,lst_exp_items,0))),"❔ Без категории"))</f>
        <v/>
      </c>
      <c r="G4987" s="43" t="n"/>
      <c r="H4987" s="56" t="n"/>
      <c r="I4987" s="43" t="n"/>
      <c r="J4987" s="57">
        <f>IF(OR(A4987="",H4987=""),"",IF(COUNTIFS(exp_year,C4987,exp_month,D4987,exp_item,E4987,exp_status,"&lt;&gt;❌ Отменено")&gt;0,1,0))</f>
        <v/>
      </c>
    </row>
    <row r="4988">
      <c r="A4988" s="52" t="n"/>
      <c r="B4988" s="53">
        <f>IF(A4988="","",CHOOSE(WEEKDAY(A4988,2),"Пн","Вт","Ср","Чт","Пт","Сб","Вс"))</f>
        <v/>
      </c>
      <c r="C4988" s="53">
        <f>IF(A4988="","",YEAR(A4988))</f>
        <v/>
      </c>
      <c r="D4988" s="54">
        <f>IF(A4988="","",INDEX(lst_months,MONTH(A4988)))</f>
        <v/>
      </c>
      <c r="E4988" s="55" t="n"/>
      <c r="F4988" s="54">
        <f>IF(E4988="","",IFERROR(IF(INDEX(lst_exp_item_cat,MATCH(E4988,lst_exp_items,0))="","❔ Без категории",INDEX(lst_exp_item_cat,MATCH(E4988,lst_exp_items,0))),"❔ Без категории"))</f>
        <v/>
      </c>
      <c r="G4988" s="43" t="n"/>
      <c r="H4988" s="56" t="n"/>
      <c r="I4988" s="43" t="n"/>
      <c r="J4988" s="57">
        <f>IF(OR(A4988="",H4988=""),"",IF(COUNTIFS(exp_year,C4988,exp_month,D4988,exp_item,E4988,exp_status,"&lt;&gt;❌ Отменено")&gt;0,1,0))</f>
        <v/>
      </c>
    </row>
    <row r="4989">
      <c r="A4989" s="52" t="n"/>
      <c r="B4989" s="53">
        <f>IF(A4989="","",CHOOSE(WEEKDAY(A4989,2),"Пн","Вт","Ср","Чт","Пт","Сб","Вс"))</f>
        <v/>
      </c>
      <c r="C4989" s="53">
        <f>IF(A4989="","",YEAR(A4989))</f>
        <v/>
      </c>
      <c r="D4989" s="54">
        <f>IF(A4989="","",INDEX(lst_months,MONTH(A4989)))</f>
        <v/>
      </c>
      <c r="E4989" s="55" t="n"/>
      <c r="F4989" s="54">
        <f>IF(E4989="","",IFERROR(IF(INDEX(lst_exp_item_cat,MATCH(E4989,lst_exp_items,0))="","❔ Без категории",INDEX(lst_exp_item_cat,MATCH(E4989,lst_exp_items,0))),"❔ Без категории"))</f>
        <v/>
      </c>
      <c r="G4989" s="43" t="n"/>
      <c r="H4989" s="56" t="n"/>
      <c r="I4989" s="43" t="n"/>
      <c r="J4989" s="57">
        <f>IF(OR(A4989="",H4989=""),"",IF(COUNTIFS(exp_year,C4989,exp_month,D4989,exp_item,E4989,exp_status,"&lt;&gt;❌ Отменено")&gt;0,1,0))</f>
        <v/>
      </c>
    </row>
    <row r="4990">
      <c r="A4990" s="52" t="n"/>
      <c r="B4990" s="53">
        <f>IF(A4990="","",CHOOSE(WEEKDAY(A4990,2),"Пн","Вт","Ср","Чт","Пт","Сб","Вс"))</f>
        <v/>
      </c>
      <c r="C4990" s="53">
        <f>IF(A4990="","",YEAR(A4990))</f>
        <v/>
      </c>
      <c r="D4990" s="54">
        <f>IF(A4990="","",INDEX(lst_months,MONTH(A4990)))</f>
        <v/>
      </c>
      <c r="E4990" s="55" t="n"/>
      <c r="F4990" s="54">
        <f>IF(E4990="","",IFERROR(IF(INDEX(lst_exp_item_cat,MATCH(E4990,lst_exp_items,0))="","❔ Без категории",INDEX(lst_exp_item_cat,MATCH(E4990,lst_exp_items,0))),"❔ Без категории"))</f>
        <v/>
      </c>
      <c r="G4990" s="43" t="n"/>
      <c r="H4990" s="56" t="n"/>
      <c r="I4990" s="43" t="n"/>
      <c r="J4990" s="57">
        <f>IF(OR(A4990="",H4990=""),"",IF(COUNTIFS(exp_year,C4990,exp_month,D4990,exp_item,E4990,exp_status,"&lt;&gt;❌ Отменено")&gt;0,1,0))</f>
        <v/>
      </c>
    </row>
    <row r="4991">
      <c r="A4991" s="52" t="n"/>
      <c r="B4991" s="53">
        <f>IF(A4991="","",CHOOSE(WEEKDAY(A4991,2),"Пн","Вт","Ср","Чт","Пт","Сб","Вс"))</f>
        <v/>
      </c>
      <c r="C4991" s="53">
        <f>IF(A4991="","",YEAR(A4991))</f>
        <v/>
      </c>
      <c r="D4991" s="54">
        <f>IF(A4991="","",INDEX(lst_months,MONTH(A4991)))</f>
        <v/>
      </c>
      <c r="E4991" s="55" t="n"/>
      <c r="F4991" s="54">
        <f>IF(E4991="","",IFERROR(IF(INDEX(lst_exp_item_cat,MATCH(E4991,lst_exp_items,0))="","❔ Без категории",INDEX(lst_exp_item_cat,MATCH(E4991,lst_exp_items,0))),"❔ Без категории"))</f>
        <v/>
      </c>
      <c r="G4991" s="43" t="n"/>
      <c r="H4991" s="56" t="n"/>
      <c r="I4991" s="43" t="n"/>
      <c r="J4991" s="57">
        <f>IF(OR(A4991="",H4991=""),"",IF(COUNTIFS(exp_year,C4991,exp_month,D4991,exp_item,E4991,exp_status,"&lt;&gt;❌ Отменено")&gt;0,1,0))</f>
        <v/>
      </c>
    </row>
    <row r="4992">
      <c r="A4992" s="52" t="n"/>
      <c r="B4992" s="53">
        <f>IF(A4992="","",CHOOSE(WEEKDAY(A4992,2),"Пн","Вт","Ср","Чт","Пт","Сб","Вс"))</f>
        <v/>
      </c>
      <c r="C4992" s="53">
        <f>IF(A4992="","",YEAR(A4992))</f>
        <v/>
      </c>
      <c r="D4992" s="54">
        <f>IF(A4992="","",INDEX(lst_months,MONTH(A4992)))</f>
        <v/>
      </c>
      <c r="E4992" s="55" t="n"/>
      <c r="F4992" s="54">
        <f>IF(E4992="","",IFERROR(IF(INDEX(lst_exp_item_cat,MATCH(E4992,lst_exp_items,0))="","❔ Без категории",INDEX(lst_exp_item_cat,MATCH(E4992,lst_exp_items,0))),"❔ Без категории"))</f>
        <v/>
      </c>
      <c r="G4992" s="43" t="n"/>
      <c r="H4992" s="56" t="n"/>
      <c r="I4992" s="43" t="n"/>
      <c r="J4992" s="57">
        <f>IF(OR(A4992="",H4992=""),"",IF(COUNTIFS(exp_year,C4992,exp_month,D4992,exp_item,E4992,exp_status,"&lt;&gt;❌ Отменено")&gt;0,1,0))</f>
        <v/>
      </c>
    </row>
    <row r="4993">
      <c r="A4993" s="52" t="n"/>
      <c r="B4993" s="53">
        <f>IF(A4993="","",CHOOSE(WEEKDAY(A4993,2),"Пн","Вт","Ср","Чт","Пт","Сб","Вс"))</f>
        <v/>
      </c>
      <c r="C4993" s="53">
        <f>IF(A4993="","",YEAR(A4993))</f>
        <v/>
      </c>
      <c r="D4993" s="54">
        <f>IF(A4993="","",INDEX(lst_months,MONTH(A4993)))</f>
        <v/>
      </c>
      <c r="E4993" s="55" t="n"/>
      <c r="F4993" s="54">
        <f>IF(E4993="","",IFERROR(IF(INDEX(lst_exp_item_cat,MATCH(E4993,lst_exp_items,0))="","❔ Без категории",INDEX(lst_exp_item_cat,MATCH(E4993,lst_exp_items,0))),"❔ Без категории"))</f>
        <v/>
      </c>
      <c r="G4993" s="43" t="n"/>
      <c r="H4993" s="56" t="n"/>
      <c r="I4993" s="43" t="n"/>
      <c r="J4993" s="57">
        <f>IF(OR(A4993="",H4993=""),"",IF(COUNTIFS(exp_year,C4993,exp_month,D4993,exp_item,E4993,exp_status,"&lt;&gt;❌ Отменено")&gt;0,1,0))</f>
        <v/>
      </c>
    </row>
    <row r="4994">
      <c r="A4994" s="52" t="n"/>
      <c r="B4994" s="53">
        <f>IF(A4994="","",CHOOSE(WEEKDAY(A4994,2),"Пн","Вт","Ср","Чт","Пт","Сб","Вс"))</f>
        <v/>
      </c>
      <c r="C4994" s="53">
        <f>IF(A4994="","",YEAR(A4994))</f>
        <v/>
      </c>
      <c r="D4994" s="54">
        <f>IF(A4994="","",INDEX(lst_months,MONTH(A4994)))</f>
        <v/>
      </c>
      <c r="E4994" s="55" t="n"/>
      <c r="F4994" s="54">
        <f>IF(E4994="","",IFERROR(IF(INDEX(lst_exp_item_cat,MATCH(E4994,lst_exp_items,0))="","❔ Без категории",INDEX(lst_exp_item_cat,MATCH(E4994,lst_exp_items,0))),"❔ Без категории"))</f>
        <v/>
      </c>
      <c r="G4994" s="43" t="n"/>
      <c r="H4994" s="56" t="n"/>
      <c r="I4994" s="43" t="n"/>
      <c r="J4994" s="57">
        <f>IF(OR(A4994="",H4994=""),"",IF(COUNTIFS(exp_year,C4994,exp_month,D4994,exp_item,E4994,exp_status,"&lt;&gt;❌ Отменено")&gt;0,1,0))</f>
        <v/>
      </c>
    </row>
    <row r="4995">
      <c r="A4995" s="52" t="n"/>
      <c r="B4995" s="53">
        <f>IF(A4995="","",CHOOSE(WEEKDAY(A4995,2),"Пн","Вт","Ср","Чт","Пт","Сб","Вс"))</f>
        <v/>
      </c>
      <c r="C4995" s="53">
        <f>IF(A4995="","",YEAR(A4995))</f>
        <v/>
      </c>
      <c r="D4995" s="54">
        <f>IF(A4995="","",INDEX(lst_months,MONTH(A4995)))</f>
        <v/>
      </c>
      <c r="E4995" s="55" t="n"/>
      <c r="F4995" s="54">
        <f>IF(E4995="","",IFERROR(IF(INDEX(lst_exp_item_cat,MATCH(E4995,lst_exp_items,0))="","❔ Без категории",INDEX(lst_exp_item_cat,MATCH(E4995,lst_exp_items,0))),"❔ Без категории"))</f>
        <v/>
      </c>
      <c r="G4995" s="43" t="n"/>
      <c r="H4995" s="56" t="n"/>
      <c r="I4995" s="43" t="n"/>
      <c r="J4995" s="57">
        <f>IF(OR(A4995="",H4995=""),"",IF(COUNTIFS(exp_year,C4995,exp_month,D4995,exp_item,E4995,exp_status,"&lt;&gt;❌ Отменено")&gt;0,1,0))</f>
        <v/>
      </c>
    </row>
    <row r="4996">
      <c r="A4996" s="52" t="n"/>
      <c r="B4996" s="53">
        <f>IF(A4996="","",CHOOSE(WEEKDAY(A4996,2),"Пн","Вт","Ср","Чт","Пт","Сб","Вс"))</f>
        <v/>
      </c>
      <c r="C4996" s="53">
        <f>IF(A4996="","",YEAR(A4996))</f>
        <v/>
      </c>
      <c r="D4996" s="54">
        <f>IF(A4996="","",INDEX(lst_months,MONTH(A4996)))</f>
        <v/>
      </c>
      <c r="E4996" s="55" t="n"/>
      <c r="F4996" s="54">
        <f>IF(E4996="","",IFERROR(IF(INDEX(lst_exp_item_cat,MATCH(E4996,lst_exp_items,0))="","❔ Без категории",INDEX(lst_exp_item_cat,MATCH(E4996,lst_exp_items,0))),"❔ Без категории"))</f>
        <v/>
      </c>
      <c r="G4996" s="43" t="n"/>
      <c r="H4996" s="56" t="n"/>
      <c r="I4996" s="43" t="n"/>
      <c r="J4996" s="57">
        <f>IF(OR(A4996="",H4996=""),"",IF(COUNTIFS(exp_year,C4996,exp_month,D4996,exp_item,E4996,exp_status,"&lt;&gt;❌ Отменено")&gt;0,1,0))</f>
        <v/>
      </c>
    </row>
    <row r="4997">
      <c r="A4997" s="52" t="n"/>
      <c r="B4997" s="53">
        <f>IF(A4997="","",CHOOSE(WEEKDAY(A4997,2),"Пн","Вт","Ср","Чт","Пт","Сб","Вс"))</f>
        <v/>
      </c>
      <c r="C4997" s="53">
        <f>IF(A4997="","",YEAR(A4997))</f>
        <v/>
      </c>
      <c r="D4997" s="54">
        <f>IF(A4997="","",INDEX(lst_months,MONTH(A4997)))</f>
        <v/>
      </c>
      <c r="E4997" s="55" t="n"/>
      <c r="F4997" s="54">
        <f>IF(E4997="","",IFERROR(IF(INDEX(lst_exp_item_cat,MATCH(E4997,lst_exp_items,0))="","❔ Без категории",INDEX(lst_exp_item_cat,MATCH(E4997,lst_exp_items,0))),"❔ Без категории"))</f>
        <v/>
      </c>
      <c r="G4997" s="43" t="n"/>
      <c r="H4997" s="56" t="n"/>
      <c r="I4997" s="43" t="n"/>
      <c r="J4997" s="57">
        <f>IF(OR(A4997="",H4997=""),"",IF(COUNTIFS(exp_year,C4997,exp_month,D4997,exp_item,E4997,exp_status,"&lt;&gt;❌ Отменено")&gt;0,1,0))</f>
        <v/>
      </c>
    </row>
    <row r="4998">
      <c r="A4998" s="52" t="n"/>
      <c r="B4998" s="53">
        <f>IF(A4998="","",CHOOSE(WEEKDAY(A4998,2),"Пн","Вт","Ср","Чт","Пт","Сб","Вс"))</f>
        <v/>
      </c>
      <c r="C4998" s="53">
        <f>IF(A4998="","",YEAR(A4998))</f>
        <v/>
      </c>
      <c r="D4998" s="54">
        <f>IF(A4998="","",INDEX(lst_months,MONTH(A4998)))</f>
        <v/>
      </c>
      <c r="E4998" s="55" t="n"/>
      <c r="F4998" s="54">
        <f>IF(E4998="","",IFERROR(IF(INDEX(lst_exp_item_cat,MATCH(E4998,lst_exp_items,0))="","❔ Без категории",INDEX(lst_exp_item_cat,MATCH(E4998,lst_exp_items,0))),"❔ Без категории"))</f>
        <v/>
      </c>
      <c r="G4998" s="43" t="n"/>
      <c r="H4998" s="56" t="n"/>
      <c r="I4998" s="43" t="n"/>
      <c r="J4998" s="57">
        <f>IF(OR(A4998="",H4998=""),"",IF(COUNTIFS(exp_year,C4998,exp_month,D4998,exp_item,E4998,exp_status,"&lt;&gt;❌ Отменено")&gt;0,1,0))</f>
        <v/>
      </c>
    </row>
    <row r="4999">
      <c r="A4999" s="52" t="n"/>
      <c r="B4999" s="53">
        <f>IF(A4999="","",CHOOSE(WEEKDAY(A4999,2),"Пн","Вт","Ср","Чт","Пт","Сб","Вс"))</f>
        <v/>
      </c>
      <c r="C4999" s="53">
        <f>IF(A4999="","",YEAR(A4999))</f>
        <v/>
      </c>
      <c r="D4999" s="54">
        <f>IF(A4999="","",INDEX(lst_months,MONTH(A4999)))</f>
        <v/>
      </c>
      <c r="E4999" s="55" t="n"/>
      <c r="F4999" s="54">
        <f>IF(E4999="","",IFERROR(IF(INDEX(lst_exp_item_cat,MATCH(E4999,lst_exp_items,0))="","❔ Без категории",INDEX(lst_exp_item_cat,MATCH(E4999,lst_exp_items,0))),"❔ Без категории"))</f>
        <v/>
      </c>
      <c r="G4999" s="43" t="n"/>
      <c r="H4999" s="56" t="n"/>
      <c r="I4999" s="43" t="n"/>
      <c r="J4999" s="57">
        <f>IF(OR(A4999="",H4999=""),"",IF(COUNTIFS(exp_year,C4999,exp_month,D4999,exp_item,E4999,exp_status,"&lt;&gt;❌ Отменено")&gt;0,1,0))</f>
        <v/>
      </c>
    </row>
    <row r="5000">
      <c r="A5000" s="52" t="n"/>
      <c r="B5000" s="53">
        <f>IF(A5000="","",CHOOSE(WEEKDAY(A5000,2),"Пн","Вт","Ср","Чт","Пт","Сб","Вс"))</f>
        <v/>
      </c>
      <c r="C5000" s="53">
        <f>IF(A5000="","",YEAR(A5000))</f>
        <v/>
      </c>
      <c r="D5000" s="54">
        <f>IF(A5000="","",INDEX(lst_months,MONTH(A5000)))</f>
        <v/>
      </c>
      <c r="E5000" s="55" t="n"/>
      <c r="F5000" s="54">
        <f>IF(E5000="","",IFERROR(IF(INDEX(lst_exp_item_cat,MATCH(E5000,lst_exp_items,0))="","❔ Без категории",INDEX(lst_exp_item_cat,MATCH(E5000,lst_exp_items,0))),"❔ Без категории"))</f>
        <v/>
      </c>
      <c r="G5000" s="43" t="n"/>
      <c r="H5000" s="56" t="n"/>
      <c r="I5000" s="43" t="n"/>
      <c r="J5000" s="57">
        <f>IF(OR(A5000="",H5000=""),"",IF(COUNTIFS(exp_year,C5000,exp_month,D5000,exp_item,E5000,exp_status,"&lt;&gt;❌ Отменено")&gt;0,1,0))</f>
        <v/>
      </c>
    </row>
    <row r="5001">
      <c r="A5001" s="52" t="n"/>
      <c r="B5001" s="53">
        <f>IF(A5001="","",CHOOSE(WEEKDAY(A5001,2),"Пн","Вт","Ср","Чт","Пт","Сб","Вс"))</f>
        <v/>
      </c>
      <c r="C5001" s="53">
        <f>IF(A5001="","",YEAR(A5001))</f>
        <v/>
      </c>
      <c r="D5001" s="54">
        <f>IF(A5001="","",INDEX(lst_months,MONTH(A5001)))</f>
        <v/>
      </c>
      <c r="E5001" s="55" t="n"/>
      <c r="F5001" s="54">
        <f>IF(E5001="","",IFERROR(IF(INDEX(lst_exp_item_cat,MATCH(E5001,lst_exp_items,0))="","❔ Без категории",INDEX(lst_exp_item_cat,MATCH(E5001,lst_exp_items,0))),"❔ Без категории"))</f>
        <v/>
      </c>
      <c r="G5001" s="43" t="n"/>
      <c r="H5001" s="56" t="n"/>
      <c r="I5001" s="43" t="n"/>
      <c r="J5001" s="57">
        <f>IF(OR(A5001="",H5001=""),"",IF(COUNTIFS(exp_year,C5001,exp_month,D5001,exp_item,E5001,exp_status,"&lt;&gt;❌ Отменено")&gt;0,1,0))</f>
        <v/>
      </c>
    </row>
    <row r="5002">
      <c r="A5002" s="52" t="n"/>
      <c r="B5002" s="53">
        <f>IF(A5002="","",CHOOSE(WEEKDAY(A5002,2),"Пн","Вт","Ср","Чт","Пт","Сб","Вс"))</f>
        <v/>
      </c>
      <c r="C5002" s="53">
        <f>IF(A5002="","",YEAR(A5002))</f>
        <v/>
      </c>
      <c r="D5002" s="54">
        <f>IF(A5002="","",INDEX(lst_months,MONTH(A5002)))</f>
        <v/>
      </c>
      <c r="E5002" s="55" t="n"/>
      <c r="F5002" s="54">
        <f>IF(E5002="","",IFERROR(IF(INDEX(lst_exp_item_cat,MATCH(E5002,lst_exp_items,0))="","❔ Без категории",INDEX(lst_exp_item_cat,MATCH(E5002,lst_exp_items,0))),"❔ Без категории"))</f>
        <v/>
      </c>
      <c r="G5002" s="43" t="n"/>
      <c r="H5002" s="56" t="n"/>
      <c r="I5002" s="43" t="n"/>
      <c r="J5002" s="57">
        <f>IF(OR(A5002="",H5002=""),"",IF(COUNTIFS(exp_year,C5002,exp_month,D5002,exp_item,E5002,exp_status,"&lt;&gt;❌ Отменено")&gt;0,1,0))</f>
        <v/>
      </c>
    </row>
    <row r="5003">
      <c r="A5003" s="52" t="n"/>
      <c r="B5003" s="53">
        <f>IF(A5003="","",CHOOSE(WEEKDAY(A5003,2),"Пн","Вт","Ср","Чт","Пт","Сб","Вс"))</f>
        <v/>
      </c>
      <c r="C5003" s="53">
        <f>IF(A5003="","",YEAR(A5003))</f>
        <v/>
      </c>
      <c r="D5003" s="54">
        <f>IF(A5003="","",INDEX(lst_months,MONTH(A5003)))</f>
        <v/>
      </c>
      <c r="E5003" s="55" t="n"/>
      <c r="F5003" s="54">
        <f>IF(E5003="","",IFERROR(IF(INDEX(lst_exp_item_cat,MATCH(E5003,lst_exp_items,0))="","❔ Без категории",INDEX(lst_exp_item_cat,MATCH(E5003,lst_exp_items,0))),"❔ Без категории"))</f>
        <v/>
      </c>
      <c r="G5003" s="43" t="n"/>
      <c r="H5003" s="56" t="n"/>
      <c r="I5003" s="43" t="n"/>
      <c r="J5003" s="57">
        <f>IF(OR(A5003="",H5003=""),"",IF(COUNTIFS(exp_year,C5003,exp_month,D5003,exp_item,E5003,exp_status,"&lt;&gt;❌ Отменено")&gt;0,1,0))</f>
        <v/>
      </c>
    </row>
    <row r="5004">
      <c r="A5004" s="52" t="n"/>
      <c r="B5004" s="53">
        <f>IF(A5004="","",CHOOSE(WEEKDAY(A5004,2),"Пн","Вт","Ср","Чт","Пт","Сб","Вс"))</f>
        <v/>
      </c>
      <c r="C5004" s="53">
        <f>IF(A5004="","",YEAR(A5004))</f>
        <v/>
      </c>
      <c r="D5004" s="54">
        <f>IF(A5004="","",INDEX(lst_months,MONTH(A5004)))</f>
        <v/>
      </c>
      <c r="E5004" s="55" t="n"/>
      <c r="F5004" s="54">
        <f>IF(E5004="","",IFERROR(IF(INDEX(lst_exp_item_cat,MATCH(E5004,lst_exp_items,0))="","❔ Без категории",INDEX(lst_exp_item_cat,MATCH(E5004,lst_exp_items,0))),"❔ Без категории"))</f>
        <v/>
      </c>
      <c r="G5004" s="43" t="n"/>
      <c r="H5004" s="56" t="n"/>
      <c r="I5004" s="43" t="n"/>
      <c r="J5004" s="57">
        <f>IF(OR(A5004="",H5004=""),"",IF(COUNTIFS(exp_year,C5004,exp_month,D5004,exp_item,E5004,exp_status,"&lt;&gt;❌ Отменено")&gt;0,1,0))</f>
        <v/>
      </c>
    </row>
  </sheetData>
  <autoFilter ref="A4:J5004"/>
  <mergeCells count="2">
    <mergeCell ref="A1:J1"/>
    <mergeCell ref="A2:J2"/>
  </mergeCells>
  <conditionalFormatting sqref="A5:J5004">
    <cfRule type="expression" priority="1" dxfId="6">
      <formula>$A5=TODAY()</formula>
    </cfRule>
  </conditionalFormatting>
  <conditionalFormatting sqref="J5:J5004">
    <cfRule type="cellIs" priority="2" operator="equal" dxfId="7">
      <formula>0</formula>
    </cfRule>
    <cfRule type="cellIs" priority="3" operator="equal" dxfId="8">
      <formula>1</formula>
    </cfRule>
  </conditionalFormatting>
  <conditionalFormatting sqref="B5:B5004">
    <cfRule type="expression" priority="4" dxfId="0">
      <formula>OR($B5="Сб",$B5="Вс")</formula>
    </cfRule>
  </conditionalFormatting>
  <conditionalFormatting sqref="F5:F5004">
    <cfRule type="expression" priority="5" dxfId="9">
      <formula>$F5="❔ Без категории"</formula>
    </cfRule>
  </conditionalFormatting>
  <conditionalFormatting sqref="M12">
    <cfRule type="cellIs" priority="6" operator="lessThan" dxfId="10">
      <formula>0</formula>
    </cfRule>
  </conditionalFormatting>
  <conditionalFormatting sqref="M9">
    <cfRule type="cellIs" priority="7" operator="greaterThan" dxfId="11">
      <formula>0</formula>
    </cfRule>
  </conditionalFormatting>
  <conditionalFormatting sqref="M16:M31">
    <cfRule type="dataBar" priority="8">
      <dataBar>
        <cfvo type="num" val="0"/>
        <cfvo type="max"/>
        <color rgb="00E76F51"/>
      </dataBar>
    </cfRule>
  </conditionalFormatting>
  <dataValidations count="3">
    <dataValidation sqref="A5:A5004" showDropDown="0" showInputMessage="1" showErrorMessage="1" allowBlank="1" errorTitle="Неверная дата" error="Введите дату с 01.01.2026 по 31.12.2030, например 05.10.2026" prompt="Дата покупки, например 05.10.2026 (Ctrl+; — сегодня)" type="date" operator="between">
      <formula1>DATE(2026,1,1)</formula1>
      <formula2>DATE(2030,12,31)</formula2>
    </dataValidation>
    <dataValidation sqref="E5:E5004" showDropDown="0" showInputMessage="0" showErrorMessage="1" allowBlank="1" errorTitle="Значение не из справочника" error="Выберите значение из списка (его можно дополнить в листе «📚 Справочник»)" type="list">
      <formula1>'📚 Справочник'!$H$5:$H$104</formula1>
    </dataValidation>
    <dataValidation sqref="I5:I5004" showDropDown="0" showInputMessage="0" showErrorMessage="1" allowBlank="1" errorTitle="Значение не из справочника" error="Выберите значение из списка (его можно дополнить в листе «📚 Справочник»)" type="list">
      <formula1>'📚 Справочник'!$T$5:$T$14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62839"/>
    <outlinePr summaryBelow="1" summaryRight="1"/>
    <pageSetUpPr/>
  </sheetPr>
  <dimension ref="A1:J3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22" customWidth="1" min="3" max="3"/>
    <col width="20" customWidth="1" min="4" max="4"/>
    <col width="32" customWidth="1" min="5" max="5"/>
    <col width="16" customWidth="1" min="6" max="6"/>
    <col width="16" customWidth="1" min="7" max="7"/>
    <col width="14" customWidth="1" min="8" max="8"/>
    <col width="16" customWidth="1" min="9" max="9"/>
    <col width="26" customWidth="1" min="10" max="10"/>
  </cols>
  <sheetData>
    <row r="1" ht="36" customHeight="1">
      <c r="A1" s="63" t="inlineStr">
        <is>
          <t>💰 Доходы — сколько могу заработать и сколько получил</t>
        </is>
      </c>
      <c r="B1" s="64" t="n"/>
      <c r="C1" s="64" t="n"/>
      <c r="D1" s="64" t="n"/>
      <c r="E1" s="64" t="n"/>
      <c r="F1" s="64" t="n"/>
      <c r="G1" s="64" t="n"/>
      <c r="H1" s="64" t="n"/>
      <c r="I1" s="64" t="n"/>
      <c r="J1" s="64" t="n"/>
    </row>
    <row r="2" ht="30" customHeight="1">
      <c r="A2" s="3" t="inlineStr">
        <is>
          <t>Синяя колонка «ПЛАН» — сколько потенциально можно заработать (ЗП, проект, разовая услуга…), зелёная «ФАКТ» — сколько реально пришло. Статус «✅ Получено» зачёркивает строку.</t>
        </is>
      </c>
    </row>
    <row r="3">
      <c r="E3" s="35" t="inlineStr">
        <is>
          <t>Σ видимых →</t>
        </is>
      </c>
      <c r="F3" s="36">
        <f>SUBTOTAL(9,F5:F304)</f>
        <v/>
      </c>
      <c r="G3" s="37">
        <f>SUBTOTAL(9,G5:G304)</f>
        <v/>
      </c>
    </row>
    <row r="4" ht="34" customHeight="1">
      <c r="A4" s="65" t="inlineStr">
        <is>
          <t>📆 Год</t>
        </is>
      </c>
      <c r="B4" s="65" t="inlineStr">
        <is>
          <t>🗓 Месяц</t>
        </is>
      </c>
      <c r="C4" s="65" t="inlineStr">
        <is>
          <t>💰 Источник</t>
        </is>
      </c>
      <c r="D4" s="65" t="inlineStr">
        <is>
          <t>💼 Тип дохода</t>
        </is>
      </c>
      <c r="E4" s="65" t="inlineStr">
        <is>
          <t>✏️ Описание</t>
        </is>
      </c>
      <c r="F4" s="40" t="inlineStr">
        <is>
          <t>📝 ПЛАН, ₸
(потенциально)</t>
        </is>
      </c>
      <c r="G4" s="41" t="inlineStr">
        <is>
          <t>✅ ФАКТ, ₸
(получено)</t>
        </is>
      </c>
      <c r="H4" s="65" t="inlineStr">
        <is>
          <t>± Разница
(факт − план)</t>
        </is>
      </c>
      <c r="I4" s="65" t="inlineStr">
        <is>
          <t>🚦 Статус</t>
        </is>
      </c>
      <c r="J4" s="65" t="inlineStr">
        <is>
          <t>💬 Комментарий</t>
        </is>
      </c>
    </row>
    <row r="5">
      <c r="A5" s="42" t="n">
        <v>2026</v>
      </c>
      <c r="B5" s="42" t="inlineStr">
        <is>
          <t>Октябрь</t>
        </is>
      </c>
      <c r="C5" s="43" t="inlineStr">
        <is>
          <t>Основная работа</t>
        </is>
      </c>
      <c r="D5" s="43" t="inlineStr">
        <is>
          <t>💼 Зарплата</t>
        </is>
      </c>
      <c r="E5" s="43" t="inlineStr">
        <is>
          <t>Оклад</t>
        </is>
      </c>
      <c r="F5" s="44" t="n">
        <v>500000</v>
      </c>
      <c r="G5" s="45" t="n">
        <v>500000</v>
      </c>
      <c r="H5" s="48">
        <f>IF(OR(F5="",G5=""),"",G5-F5)</f>
        <v/>
      </c>
      <c r="I5" s="43" t="inlineStr">
        <is>
          <t>✅ Получено</t>
        </is>
      </c>
      <c r="J5" s="43" t="n"/>
    </row>
    <row r="6">
      <c r="A6" s="42" t="n">
        <v>2026</v>
      </c>
      <c r="B6" s="42" t="inlineStr">
        <is>
          <t>Октябрь</t>
        </is>
      </c>
      <c r="C6" s="43" t="inlineStr">
        <is>
          <t>Консультация</t>
        </is>
      </c>
      <c r="D6" s="43" t="inlineStr">
        <is>
          <t>🛠 Разовая услуга</t>
        </is>
      </c>
      <c r="E6" s="43" t="inlineStr">
        <is>
          <t>Настройка CRM</t>
        </is>
      </c>
      <c r="F6" s="44" t="n">
        <v>50000</v>
      </c>
      <c r="G6" s="45" t="n">
        <v>65000</v>
      </c>
      <c r="H6" s="48">
        <f>IF(OR(F6="",G6=""),"",G6-F6)</f>
        <v/>
      </c>
      <c r="I6" s="43" t="inlineStr">
        <is>
          <t>✅ Получено</t>
        </is>
      </c>
      <c r="J6" s="43" t="n"/>
    </row>
    <row r="7">
      <c r="A7" s="42" t="n">
        <v>2026</v>
      </c>
      <c r="B7" s="42" t="inlineStr">
        <is>
          <t>Ноябрь</t>
        </is>
      </c>
      <c r="C7" s="43" t="inlineStr">
        <is>
          <t>Основная работа</t>
        </is>
      </c>
      <c r="D7" s="43" t="inlineStr">
        <is>
          <t>💼 Зарплата</t>
        </is>
      </c>
      <c r="E7" s="43" t="inlineStr">
        <is>
          <t>Оклад</t>
        </is>
      </c>
      <c r="F7" s="44" t="n">
        <v>500000</v>
      </c>
      <c r="G7" s="45" t="n"/>
      <c r="H7" s="48">
        <f>IF(OR(F7="",G7=""),"",G7-F7)</f>
        <v/>
      </c>
      <c r="I7" s="43" t="inlineStr">
        <is>
          <t>⏳ Ожидается</t>
        </is>
      </c>
      <c r="J7" s="43" t="n"/>
    </row>
    <row r="8">
      <c r="A8" s="42" t="n">
        <v>2026</v>
      </c>
      <c r="B8" s="42" t="inlineStr">
        <is>
          <t>Ноябрь</t>
        </is>
      </c>
      <c r="C8" s="43" t="inlineStr">
        <is>
          <t>Фриланс-проект</t>
        </is>
      </c>
      <c r="D8" s="43" t="inlineStr">
        <is>
          <t>🚀 Проект</t>
        </is>
      </c>
      <c r="E8" s="43" t="inlineStr">
        <is>
          <t>Сайт для клиента (50% аванс)</t>
        </is>
      </c>
      <c r="F8" s="44" t="n">
        <v>300000</v>
      </c>
      <c r="G8" s="45" t="n"/>
      <c r="H8" s="48">
        <f>IF(OR(F8="",G8=""),"",G8-F8)</f>
        <v/>
      </c>
      <c r="I8" s="43" t="inlineStr">
        <is>
          <t>⏳ Ожидается</t>
        </is>
      </c>
      <c r="J8" s="43" t="n"/>
    </row>
    <row r="9">
      <c r="A9" s="42" t="n">
        <v>2026</v>
      </c>
      <c r="B9" s="42" t="inlineStr">
        <is>
          <t>Декабрь</t>
        </is>
      </c>
      <c r="C9" s="43" t="inlineStr">
        <is>
          <t>Основная работа</t>
        </is>
      </c>
      <c r="D9" s="43" t="inlineStr">
        <is>
          <t>💼 Зарплата</t>
        </is>
      </c>
      <c r="E9" s="43" t="inlineStr">
        <is>
          <t>Оклад + годовая премия</t>
        </is>
      </c>
      <c r="F9" s="44" t="n">
        <v>750000</v>
      </c>
      <c r="G9" s="45" t="n"/>
      <c r="H9" s="48">
        <f>IF(OR(F9="",G9=""),"",G9-F9)</f>
        <v/>
      </c>
      <c r="I9" s="43" t="inlineStr">
        <is>
          <t>⏳ Ожидается</t>
        </is>
      </c>
      <c r="J9" s="43" t="n"/>
    </row>
    <row r="10">
      <c r="A10" s="42" t="n">
        <v>2027</v>
      </c>
      <c r="B10" s="42" t="inlineStr">
        <is>
          <t>Январь</t>
        </is>
      </c>
      <c r="C10" s="43" t="inlineStr">
        <is>
          <t>Основная работа</t>
        </is>
      </c>
      <c r="D10" s="43" t="inlineStr">
        <is>
          <t>💼 Зарплата</t>
        </is>
      </c>
      <c r="E10" s="43" t="inlineStr">
        <is>
          <t>Оклад (после индексации)</t>
        </is>
      </c>
      <c r="F10" s="44" t="n">
        <v>550000</v>
      </c>
      <c r="G10" s="45" t="n"/>
      <c r="H10" s="48">
        <f>IF(OR(F10="",G10=""),"",G10-F10)</f>
        <v/>
      </c>
      <c r="I10" s="43" t="inlineStr">
        <is>
          <t>⏳ Ожидается</t>
        </is>
      </c>
      <c r="J10" s="43" t="n"/>
    </row>
    <row r="11">
      <c r="A11" s="42" t="n"/>
      <c r="B11" s="42" t="n"/>
      <c r="C11" s="43" t="n"/>
      <c r="D11" s="43" t="n"/>
      <c r="E11" s="43" t="n"/>
      <c r="F11" s="44" t="n"/>
      <c r="G11" s="45" t="n"/>
      <c r="H11" s="48">
        <f>IF(OR(F11="",G11=""),"",G11-F11)</f>
        <v/>
      </c>
      <c r="I11" s="43" t="n"/>
      <c r="J11" s="43" t="n"/>
    </row>
    <row r="12">
      <c r="A12" s="42" t="n"/>
      <c r="B12" s="42" t="n"/>
      <c r="C12" s="43" t="n"/>
      <c r="D12" s="43" t="n"/>
      <c r="E12" s="43" t="n"/>
      <c r="F12" s="44" t="n"/>
      <c r="G12" s="45" t="n"/>
      <c r="H12" s="48">
        <f>IF(OR(F12="",G12=""),"",G12-F12)</f>
        <v/>
      </c>
      <c r="I12" s="43" t="n"/>
      <c r="J12" s="43" t="n"/>
    </row>
    <row r="13">
      <c r="A13" s="42" t="n"/>
      <c r="B13" s="42" t="n"/>
      <c r="C13" s="43" t="n"/>
      <c r="D13" s="43" t="n"/>
      <c r="E13" s="43" t="n"/>
      <c r="F13" s="44" t="n"/>
      <c r="G13" s="45" t="n"/>
      <c r="H13" s="48">
        <f>IF(OR(F13="",G13=""),"",G13-F13)</f>
        <v/>
      </c>
      <c r="I13" s="43" t="n"/>
      <c r="J13" s="43" t="n"/>
    </row>
    <row r="14">
      <c r="A14" s="42" t="n"/>
      <c r="B14" s="42" t="n"/>
      <c r="C14" s="43" t="n"/>
      <c r="D14" s="43" t="n"/>
      <c r="E14" s="43" t="n"/>
      <c r="F14" s="44" t="n"/>
      <c r="G14" s="45" t="n"/>
      <c r="H14" s="48">
        <f>IF(OR(F14="",G14=""),"",G14-F14)</f>
        <v/>
      </c>
      <c r="I14" s="43" t="n"/>
      <c r="J14" s="43" t="n"/>
    </row>
    <row r="15">
      <c r="A15" s="42" t="n"/>
      <c r="B15" s="42" t="n"/>
      <c r="C15" s="43" t="n"/>
      <c r="D15" s="43" t="n"/>
      <c r="E15" s="43" t="n"/>
      <c r="F15" s="44" t="n"/>
      <c r="G15" s="45" t="n"/>
      <c r="H15" s="48">
        <f>IF(OR(F15="",G15=""),"",G15-F15)</f>
        <v/>
      </c>
      <c r="I15" s="43" t="n"/>
      <c r="J15" s="43" t="n"/>
    </row>
    <row r="16">
      <c r="A16" s="42" t="n"/>
      <c r="B16" s="42" t="n"/>
      <c r="C16" s="43" t="n"/>
      <c r="D16" s="43" t="n"/>
      <c r="E16" s="43" t="n"/>
      <c r="F16" s="44" t="n"/>
      <c r="G16" s="45" t="n"/>
      <c r="H16" s="48">
        <f>IF(OR(F16="",G16=""),"",G16-F16)</f>
        <v/>
      </c>
      <c r="I16" s="43" t="n"/>
      <c r="J16" s="43" t="n"/>
    </row>
    <row r="17">
      <c r="A17" s="42" t="n"/>
      <c r="B17" s="42" t="n"/>
      <c r="C17" s="43" t="n"/>
      <c r="D17" s="43" t="n"/>
      <c r="E17" s="43" t="n"/>
      <c r="F17" s="44" t="n"/>
      <c r="G17" s="45" t="n"/>
      <c r="H17" s="48">
        <f>IF(OR(F17="",G17=""),"",G17-F17)</f>
        <v/>
      </c>
      <c r="I17" s="43" t="n"/>
      <c r="J17" s="43" t="n"/>
    </row>
    <row r="18">
      <c r="A18" s="42" t="n"/>
      <c r="B18" s="42" t="n"/>
      <c r="C18" s="43" t="n"/>
      <c r="D18" s="43" t="n"/>
      <c r="E18" s="43" t="n"/>
      <c r="F18" s="44" t="n"/>
      <c r="G18" s="45" t="n"/>
      <c r="H18" s="48">
        <f>IF(OR(F18="",G18=""),"",G18-F18)</f>
        <v/>
      </c>
      <c r="I18" s="43" t="n"/>
      <c r="J18" s="43" t="n"/>
    </row>
    <row r="19">
      <c r="A19" s="42" t="n"/>
      <c r="B19" s="42" t="n"/>
      <c r="C19" s="43" t="n"/>
      <c r="D19" s="43" t="n"/>
      <c r="E19" s="43" t="n"/>
      <c r="F19" s="44" t="n"/>
      <c r="G19" s="45" t="n"/>
      <c r="H19" s="48">
        <f>IF(OR(F19="",G19=""),"",G19-F19)</f>
        <v/>
      </c>
      <c r="I19" s="43" t="n"/>
      <c r="J19" s="43" t="n"/>
    </row>
    <row r="20">
      <c r="A20" s="42" t="n"/>
      <c r="B20" s="42" t="n"/>
      <c r="C20" s="43" t="n"/>
      <c r="D20" s="43" t="n"/>
      <c r="E20" s="43" t="n"/>
      <c r="F20" s="44" t="n"/>
      <c r="G20" s="45" t="n"/>
      <c r="H20" s="48">
        <f>IF(OR(F20="",G20=""),"",G20-F20)</f>
        <v/>
      </c>
      <c r="I20" s="43" t="n"/>
      <c r="J20" s="43" t="n"/>
    </row>
    <row r="21">
      <c r="A21" s="42" t="n"/>
      <c r="B21" s="42" t="n"/>
      <c r="C21" s="43" t="n"/>
      <c r="D21" s="43" t="n"/>
      <c r="E21" s="43" t="n"/>
      <c r="F21" s="44" t="n"/>
      <c r="G21" s="45" t="n"/>
      <c r="H21" s="48">
        <f>IF(OR(F21="",G21=""),"",G21-F21)</f>
        <v/>
      </c>
      <c r="I21" s="43" t="n"/>
      <c r="J21" s="43" t="n"/>
    </row>
    <row r="22">
      <c r="A22" s="42" t="n"/>
      <c r="B22" s="42" t="n"/>
      <c r="C22" s="43" t="n"/>
      <c r="D22" s="43" t="n"/>
      <c r="E22" s="43" t="n"/>
      <c r="F22" s="44" t="n"/>
      <c r="G22" s="45" t="n"/>
      <c r="H22" s="48">
        <f>IF(OR(F22="",G22=""),"",G22-F22)</f>
        <v/>
      </c>
      <c r="I22" s="43" t="n"/>
      <c r="J22" s="43" t="n"/>
    </row>
    <row r="23">
      <c r="A23" s="42" t="n"/>
      <c r="B23" s="42" t="n"/>
      <c r="C23" s="43" t="n"/>
      <c r="D23" s="43" t="n"/>
      <c r="E23" s="43" t="n"/>
      <c r="F23" s="44" t="n"/>
      <c r="G23" s="45" t="n"/>
      <c r="H23" s="48">
        <f>IF(OR(F23="",G23=""),"",G23-F23)</f>
        <v/>
      </c>
      <c r="I23" s="43" t="n"/>
      <c r="J23" s="43" t="n"/>
    </row>
    <row r="24">
      <c r="A24" s="42" t="n"/>
      <c r="B24" s="42" t="n"/>
      <c r="C24" s="43" t="n"/>
      <c r="D24" s="43" t="n"/>
      <c r="E24" s="43" t="n"/>
      <c r="F24" s="44" t="n"/>
      <c r="G24" s="45" t="n"/>
      <c r="H24" s="48">
        <f>IF(OR(F24="",G24=""),"",G24-F24)</f>
        <v/>
      </c>
      <c r="I24" s="43" t="n"/>
      <c r="J24" s="43" t="n"/>
    </row>
    <row r="25">
      <c r="A25" s="42" t="n"/>
      <c r="B25" s="42" t="n"/>
      <c r="C25" s="43" t="n"/>
      <c r="D25" s="43" t="n"/>
      <c r="E25" s="43" t="n"/>
      <c r="F25" s="44" t="n"/>
      <c r="G25" s="45" t="n"/>
      <c r="H25" s="48">
        <f>IF(OR(F25="",G25=""),"",G25-F25)</f>
        <v/>
      </c>
      <c r="I25" s="43" t="n"/>
      <c r="J25" s="43" t="n"/>
    </row>
    <row r="26">
      <c r="A26" s="42" t="n"/>
      <c r="B26" s="42" t="n"/>
      <c r="C26" s="43" t="n"/>
      <c r="D26" s="43" t="n"/>
      <c r="E26" s="43" t="n"/>
      <c r="F26" s="44" t="n"/>
      <c r="G26" s="45" t="n"/>
      <c r="H26" s="48">
        <f>IF(OR(F26="",G26=""),"",G26-F26)</f>
        <v/>
      </c>
      <c r="I26" s="43" t="n"/>
      <c r="J26" s="43" t="n"/>
    </row>
    <row r="27">
      <c r="A27" s="42" t="n"/>
      <c r="B27" s="42" t="n"/>
      <c r="C27" s="43" t="n"/>
      <c r="D27" s="43" t="n"/>
      <c r="E27" s="43" t="n"/>
      <c r="F27" s="44" t="n"/>
      <c r="G27" s="45" t="n"/>
      <c r="H27" s="48">
        <f>IF(OR(F27="",G27=""),"",G27-F27)</f>
        <v/>
      </c>
      <c r="I27" s="43" t="n"/>
      <c r="J27" s="43" t="n"/>
    </row>
    <row r="28">
      <c r="A28" s="42" t="n"/>
      <c r="B28" s="42" t="n"/>
      <c r="C28" s="43" t="n"/>
      <c r="D28" s="43" t="n"/>
      <c r="E28" s="43" t="n"/>
      <c r="F28" s="44" t="n"/>
      <c r="G28" s="45" t="n"/>
      <c r="H28" s="48">
        <f>IF(OR(F28="",G28=""),"",G28-F28)</f>
        <v/>
      </c>
      <c r="I28" s="43" t="n"/>
      <c r="J28" s="43" t="n"/>
    </row>
    <row r="29">
      <c r="A29" s="42" t="n"/>
      <c r="B29" s="42" t="n"/>
      <c r="C29" s="43" t="n"/>
      <c r="D29" s="43" t="n"/>
      <c r="E29" s="43" t="n"/>
      <c r="F29" s="44" t="n"/>
      <c r="G29" s="45" t="n"/>
      <c r="H29" s="48">
        <f>IF(OR(F29="",G29=""),"",G29-F29)</f>
        <v/>
      </c>
      <c r="I29" s="43" t="n"/>
      <c r="J29" s="43" t="n"/>
    </row>
    <row r="30">
      <c r="A30" s="42" t="n"/>
      <c r="B30" s="42" t="n"/>
      <c r="C30" s="43" t="n"/>
      <c r="D30" s="43" t="n"/>
      <c r="E30" s="43" t="n"/>
      <c r="F30" s="44" t="n"/>
      <c r="G30" s="45" t="n"/>
      <c r="H30" s="48">
        <f>IF(OR(F30="",G30=""),"",G30-F30)</f>
        <v/>
      </c>
      <c r="I30" s="43" t="n"/>
      <c r="J30" s="43" t="n"/>
    </row>
    <row r="31">
      <c r="A31" s="42" t="n"/>
      <c r="B31" s="42" t="n"/>
      <c r="C31" s="43" t="n"/>
      <c r="D31" s="43" t="n"/>
      <c r="E31" s="43" t="n"/>
      <c r="F31" s="44" t="n"/>
      <c r="G31" s="45" t="n"/>
      <c r="H31" s="48">
        <f>IF(OR(F31="",G31=""),"",G31-F31)</f>
        <v/>
      </c>
      <c r="I31" s="43" t="n"/>
      <c r="J31" s="43" t="n"/>
    </row>
    <row r="32">
      <c r="A32" s="42" t="n"/>
      <c r="B32" s="42" t="n"/>
      <c r="C32" s="43" t="n"/>
      <c r="D32" s="43" t="n"/>
      <c r="E32" s="43" t="n"/>
      <c r="F32" s="44" t="n"/>
      <c r="G32" s="45" t="n"/>
      <c r="H32" s="48">
        <f>IF(OR(F32="",G32=""),"",G32-F32)</f>
        <v/>
      </c>
      <c r="I32" s="43" t="n"/>
      <c r="J32" s="43" t="n"/>
    </row>
    <row r="33">
      <c r="A33" s="42" t="n"/>
      <c r="B33" s="42" t="n"/>
      <c r="C33" s="43" t="n"/>
      <c r="D33" s="43" t="n"/>
      <c r="E33" s="43" t="n"/>
      <c r="F33" s="44" t="n"/>
      <c r="G33" s="45" t="n"/>
      <c r="H33" s="48">
        <f>IF(OR(F33="",G33=""),"",G33-F33)</f>
        <v/>
      </c>
      <c r="I33" s="43" t="n"/>
      <c r="J33" s="43" t="n"/>
    </row>
    <row r="34">
      <c r="A34" s="42" t="n"/>
      <c r="B34" s="42" t="n"/>
      <c r="C34" s="43" t="n"/>
      <c r="D34" s="43" t="n"/>
      <c r="E34" s="43" t="n"/>
      <c r="F34" s="44" t="n"/>
      <c r="G34" s="45" t="n"/>
      <c r="H34" s="48">
        <f>IF(OR(F34="",G34=""),"",G34-F34)</f>
        <v/>
      </c>
      <c r="I34" s="43" t="n"/>
      <c r="J34" s="43" t="n"/>
    </row>
    <row r="35">
      <c r="A35" s="42" t="n"/>
      <c r="B35" s="42" t="n"/>
      <c r="C35" s="43" t="n"/>
      <c r="D35" s="43" t="n"/>
      <c r="E35" s="43" t="n"/>
      <c r="F35" s="44" t="n"/>
      <c r="G35" s="45" t="n"/>
      <c r="H35" s="48">
        <f>IF(OR(F35="",G35=""),"",G35-F35)</f>
        <v/>
      </c>
      <c r="I35" s="43" t="n"/>
      <c r="J35" s="43" t="n"/>
    </row>
    <row r="36">
      <c r="A36" s="42" t="n"/>
      <c r="B36" s="42" t="n"/>
      <c r="C36" s="43" t="n"/>
      <c r="D36" s="43" t="n"/>
      <c r="E36" s="43" t="n"/>
      <c r="F36" s="44" t="n"/>
      <c r="G36" s="45" t="n"/>
      <c r="H36" s="48">
        <f>IF(OR(F36="",G36=""),"",G36-F36)</f>
        <v/>
      </c>
      <c r="I36" s="43" t="n"/>
      <c r="J36" s="43" t="n"/>
    </row>
    <row r="37">
      <c r="A37" s="42" t="n"/>
      <c r="B37" s="42" t="n"/>
      <c r="C37" s="43" t="n"/>
      <c r="D37" s="43" t="n"/>
      <c r="E37" s="43" t="n"/>
      <c r="F37" s="44" t="n"/>
      <c r="G37" s="45" t="n"/>
      <c r="H37" s="48">
        <f>IF(OR(F37="",G37=""),"",G37-F37)</f>
        <v/>
      </c>
      <c r="I37" s="43" t="n"/>
      <c r="J37" s="43" t="n"/>
    </row>
    <row r="38">
      <c r="A38" s="42" t="n"/>
      <c r="B38" s="42" t="n"/>
      <c r="C38" s="43" t="n"/>
      <c r="D38" s="43" t="n"/>
      <c r="E38" s="43" t="n"/>
      <c r="F38" s="44" t="n"/>
      <c r="G38" s="45" t="n"/>
      <c r="H38" s="48">
        <f>IF(OR(F38="",G38=""),"",G38-F38)</f>
        <v/>
      </c>
      <c r="I38" s="43" t="n"/>
      <c r="J38" s="43" t="n"/>
    </row>
    <row r="39">
      <c r="A39" s="42" t="n"/>
      <c r="B39" s="42" t="n"/>
      <c r="C39" s="43" t="n"/>
      <c r="D39" s="43" t="n"/>
      <c r="E39" s="43" t="n"/>
      <c r="F39" s="44" t="n"/>
      <c r="G39" s="45" t="n"/>
      <c r="H39" s="48">
        <f>IF(OR(F39="",G39=""),"",G39-F39)</f>
        <v/>
      </c>
      <c r="I39" s="43" t="n"/>
      <c r="J39" s="43" t="n"/>
    </row>
    <row r="40">
      <c r="A40" s="42" t="n"/>
      <c r="B40" s="42" t="n"/>
      <c r="C40" s="43" t="n"/>
      <c r="D40" s="43" t="n"/>
      <c r="E40" s="43" t="n"/>
      <c r="F40" s="44" t="n"/>
      <c r="G40" s="45" t="n"/>
      <c r="H40" s="48">
        <f>IF(OR(F40="",G40=""),"",G40-F40)</f>
        <v/>
      </c>
      <c r="I40" s="43" t="n"/>
      <c r="J40" s="43" t="n"/>
    </row>
    <row r="41">
      <c r="A41" s="42" t="n"/>
      <c r="B41" s="42" t="n"/>
      <c r="C41" s="43" t="n"/>
      <c r="D41" s="43" t="n"/>
      <c r="E41" s="43" t="n"/>
      <c r="F41" s="44" t="n"/>
      <c r="G41" s="45" t="n"/>
      <c r="H41" s="48">
        <f>IF(OR(F41="",G41=""),"",G41-F41)</f>
        <v/>
      </c>
      <c r="I41" s="43" t="n"/>
      <c r="J41" s="43" t="n"/>
    </row>
    <row r="42">
      <c r="A42" s="42" t="n"/>
      <c r="B42" s="42" t="n"/>
      <c r="C42" s="43" t="n"/>
      <c r="D42" s="43" t="n"/>
      <c r="E42" s="43" t="n"/>
      <c r="F42" s="44" t="n"/>
      <c r="G42" s="45" t="n"/>
      <c r="H42" s="48">
        <f>IF(OR(F42="",G42=""),"",G42-F42)</f>
        <v/>
      </c>
      <c r="I42" s="43" t="n"/>
      <c r="J42" s="43" t="n"/>
    </row>
    <row r="43">
      <c r="A43" s="42" t="n"/>
      <c r="B43" s="42" t="n"/>
      <c r="C43" s="43" t="n"/>
      <c r="D43" s="43" t="n"/>
      <c r="E43" s="43" t="n"/>
      <c r="F43" s="44" t="n"/>
      <c r="G43" s="45" t="n"/>
      <c r="H43" s="48">
        <f>IF(OR(F43="",G43=""),"",G43-F43)</f>
        <v/>
      </c>
      <c r="I43" s="43" t="n"/>
      <c r="J43" s="43" t="n"/>
    </row>
    <row r="44">
      <c r="A44" s="42" t="n"/>
      <c r="B44" s="42" t="n"/>
      <c r="C44" s="43" t="n"/>
      <c r="D44" s="43" t="n"/>
      <c r="E44" s="43" t="n"/>
      <c r="F44" s="44" t="n"/>
      <c r="G44" s="45" t="n"/>
      <c r="H44" s="48">
        <f>IF(OR(F44="",G44=""),"",G44-F44)</f>
        <v/>
      </c>
      <c r="I44" s="43" t="n"/>
      <c r="J44" s="43" t="n"/>
    </row>
    <row r="45">
      <c r="A45" s="42" t="n"/>
      <c r="B45" s="42" t="n"/>
      <c r="C45" s="43" t="n"/>
      <c r="D45" s="43" t="n"/>
      <c r="E45" s="43" t="n"/>
      <c r="F45" s="44" t="n"/>
      <c r="G45" s="45" t="n"/>
      <c r="H45" s="48">
        <f>IF(OR(F45="",G45=""),"",G45-F45)</f>
        <v/>
      </c>
      <c r="I45" s="43" t="n"/>
      <c r="J45" s="43" t="n"/>
    </row>
    <row r="46">
      <c r="A46" s="42" t="n"/>
      <c r="B46" s="42" t="n"/>
      <c r="C46" s="43" t="n"/>
      <c r="D46" s="43" t="n"/>
      <c r="E46" s="43" t="n"/>
      <c r="F46" s="44" t="n"/>
      <c r="G46" s="45" t="n"/>
      <c r="H46" s="48">
        <f>IF(OR(F46="",G46=""),"",G46-F46)</f>
        <v/>
      </c>
      <c r="I46" s="43" t="n"/>
      <c r="J46" s="43" t="n"/>
    </row>
    <row r="47">
      <c r="A47" s="42" t="n"/>
      <c r="B47" s="42" t="n"/>
      <c r="C47" s="43" t="n"/>
      <c r="D47" s="43" t="n"/>
      <c r="E47" s="43" t="n"/>
      <c r="F47" s="44" t="n"/>
      <c r="G47" s="45" t="n"/>
      <c r="H47" s="48">
        <f>IF(OR(F47="",G47=""),"",G47-F47)</f>
        <v/>
      </c>
      <c r="I47" s="43" t="n"/>
      <c r="J47" s="43" t="n"/>
    </row>
    <row r="48">
      <c r="A48" s="42" t="n"/>
      <c r="B48" s="42" t="n"/>
      <c r="C48" s="43" t="n"/>
      <c r="D48" s="43" t="n"/>
      <c r="E48" s="43" t="n"/>
      <c r="F48" s="44" t="n"/>
      <c r="G48" s="45" t="n"/>
      <c r="H48" s="48">
        <f>IF(OR(F48="",G48=""),"",G48-F48)</f>
        <v/>
      </c>
      <c r="I48" s="43" t="n"/>
      <c r="J48" s="43" t="n"/>
    </row>
    <row r="49">
      <c r="A49" s="42" t="n"/>
      <c r="B49" s="42" t="n"/>
      <c r="C49" s="43" t="n"/>
      <c r="D49" s="43" t="n"/>
      <c r="E49" s="43" t="n"/>
      <c r="F49" s="44" t="n"/>
      <c r="G49" s="45" t="n"/>
      <c r="H49" s="48">
        <f>IF(OR(F49="",G49=""),"",G49-F49)</f>
        <v/>
      </c>
      <c r="I49" s="43" t="n"/>
      <c r="J49" s="43" t="n"/>
    </row>
    <row r="50">
      <c r="A50" s="42" t="n"/>
      <c r="B50" s="42" t="n"/>
      <c r="C50" s="43" t="n"/>
      <c r="D50" s="43" t="n"/>
      <c r="E50" s="43" t="n"/>
      <c r="F50" s="44" t="n"/>
      <c r="G50" s="45" t="n"/>
      <c r="H50" s="48">
        <f>IF(OR(F50="",G50=""),"",G50-F50)</f>
        <v/>
      </c>
      <c r="I50" s="43" t="n"/>
      <c r="J50" s="43" t="n"/>
    </row>
    <row r="51">
      <c r="A51" s="42" t="n"/>
      <c r="B51" s="42" t="n"/>
      <c r="C51" s="43" t="n"/>
      <c r="D51" s="43" t="n"/>
      <c r="E51" s="43" t="n"/>
      <c r="F51" s="44" t="n"/>
      <c r="G51" s="45" t="n"/>
      <c r="H51" s="48">
        <f>IF(OR(F51="",G51=""),"",G51-F51)</f>
        <v/>
      </c>
      <c r="I51" s="43" t="n"/>
      <c r="J51" s="43" t="n"/>
    </row>
    <row r="52">
      <c r="A52" s="42" t="n"/>
      <c r="B52" s="42" t="n"/>
      <c r="C52" s="43" t="n"/>
      <c r="D52" s="43" t="n"/>
      <c r="E52" s="43" t="n"/>
      <c r="F52" s="44" t="n"/>
      <c r="G52" s="45" t="n"/>
      <c r="H52" s="48">
        <f>IF(OR(F52="",G52=""),"",G52-F52)</f>
        <v/>
      </c>
      <c r="I52" s="43" t="n"/>
      <c r="J52" s="43" t="n"/>
    </row>
    <row r="53">
      <c r="A53" s="42" t="n"/>
      <c r="B53" s="42" t="n"/>
      <c r="C53" s="43" t="n"/>
      <c r="D53" s="43" t="n"/>
      <c r="E53" s="43" t="n"/>
      <c r="F53" s="44" t="n"/>
      <c r="G53" s="45" t="n"/>
      <c r="H53" s="48">
        <f>IF(OR(F53="",G53=""),"",G53-F53)</f>
        <v/>
      </c>
      <c r="I53" s="43" t="n"/>
      <c r="J53" s="43" t="n"/>
    </row>
    <row r="54">
      <c r="A54" s="42" t="n"/>
      <c r="B54" s="42" t="n"/>
      <c r="C54" s="43" t="n"/>
      <c r="D54" s="43" t="n"/>
      <c r="E54" s="43" t="n"/>
      <c r="F54" s="44" t="n"/>
      <c r="G54" s="45" t="n"/>
      <c r="H54" s="48">
        <f>IF(OR(F54="",G54=""),"",G54-F54)</f>
        <v/>
      </c>
      <c r="I54" s="43" t="n"/>
      <c r="J54" s="43" t="n"/>
    </row>
    <row r="55">
      <c r="A55" s="42" t="n"/>
      <c r="B55" s="42" t="n"/>
      <c r="C55" s="43" t="n"/>
      <c r="D55" s="43" t="n"/>
      <c r="E55" s="43" t="n"/>
      <c r="F55" s="44" t="n"/>
      <c r="G55" s="45" t="n"/>
      <c r="H55" s="48">
        <f>IF(OR(F55="",G55=""),"",G55-F55)</f>
        <v/>
      </c>
      <c r="I55" s="43" t="n"/>
      <c r="J55" s="43" t="n"/>
    </row>
    <row r="56">
      <c r="A56" s="42" t="n"/>
      <c r="B56" s="42" t="n"/>
      <c r="C56" s="43" t="n"/>
      <c r="D56" s="43" t="n"/>
      <c r="E56" s="43" t="n"/>
      <c r="F56" s="44" t="n"/>
      <c r="G56" s="45" t="n"/>
      <c r="H56" s="48">
        <f>IF(OR(F56="",G56=""),"",G56-F56)</f>
        <v/>
      </c>
      <c r="I56" s="43" t="n"/>
      <c r="J56" s="43" t="n"/>
    </row>
    <row r="57">
      <c r="A57" s="42" t="n"/>
      <c r="B57" s="42" t="n"/>
      <c r="C57" s="43" t="n"/>
      <c r="D57" s="43" t="n"/>
      <c r="E57" s="43" t="n"/>
      <c r="F57" s="44" t="n"/>
      <c r="G57" s="45" t="n"/>
      <c r="H57" s="48">
        <f>IF(OR(F57="",G57=""),"",G57-F57)</f>
        <v/>
      </c>
      <c r="I57" s="43" t="n"/>
      <c r="J57" s="43" t="n"/>
    </row>
    <row r="58">
      <c r="A58" s="42" t="n"/>
      <c r="B58" s="42" t="n"/>
      <c r="C58" s="43" t="n"/>
      <c r="D58" s="43" t="n"/>
      <c r="E58" s="43" t="n"/>
      <c r="F58" s="44" t="n"/>
      <c r="G58" s="45" t="n"/>
      <c r="H58" s="48">
        <f>IF(OR(F58="",G58=""),"",G58-F58)</f>
        <v/>
      </c>
      <c r="I58" s="43" t="n"/>
      <c r="J58" s="43" t="n"/>
    </row>
    <row r="59">
      <c r="A59" s="42" t="n"/>
      <c r="B59" s="42" t="n"/>
      <c r="C59" s="43" t="n"/>
      <c r="D59" s="43" t="n"/>
      <c r="E59" s="43" t="n"/>
      <c r="F59" s="44" t="n"/>
      <c r="G59" s="45" t="n"/>
      <c r="H59" s="48">
        <f>IF(OR(F59="",G59=""),"",G59-F59)</f>
        <v/>
      </c>
      <c r="I59" s="43" t="n"/>
      <c r="J59" s="43" t="n"/>
    </row>
    <row r="60">
      <c r="A60" s="42" t="n"/>
      <c r="B60" s="42" t="n"/>
      <c r="C60" s="43" t="n"/>
      <c r="D60" s="43" t="n"/>
      <c r="E60" s="43" t="n"/>
      <c r="F60" s="44" t="n"/>
      <c r="G60" s="45" t="n"/>
      <c r="H60" s="48">
        <f>IF(OR(F60="",G60=""),"",G60-F60)</f>
        <v/>
      </c>
      <c r="I60" s="43" t="n"/>
      <c r="J60" s="43" t="n"/>
    </row>
    <row r="61">
      <c r="A61" s="42" t="n"/>
      <c r="B61" s="42" t="n"/>
      <c r="C61" s="43" t="n"/>
      <c r="D61" s="43" t="n"/>
      <c r="E61" s="43" t="n"/>
      <c r="F61" s="44" t="n"/>
      <c r="G61" s="45" t="n"/>
      <c r="H61" s="48">
        <f>IF(OR(F61="",G61=""),"",G61-F61)</f>
        <v/>
      </c>
      <c r="I61" s="43" t="n"/>
      <c r="J61" s="43" t="n"/>
    </row>
    <row r="62">
      <c r="A62" s="42" t="n"/>
      <c r="B62" s="42" t="n"/>
      <c r="C62" s="43" t="n"/>
      <c r="D62" s="43" t="n"/>
      <c r="E62" s="43" t="n"/>
      <c r="F62" s="44" t="n"/>
      <c r="G62" s="45" t="n"/>
      <c r="H62" s="48">
        <f>IF(OR(F62="",G62=""),"",G62-F62)</f>
        <v/>
      </c>
      <c r="I62" s="43" t="n"/>
      <c r="J62" s="43" t="n"/>
    </row>
    <row r="63">
      <c r="A63" s="42" t="n"/>
      <c r="B63" s="42" t="n"/>
      <c r="C63" s="43" t="n"/>
      <c r="D63" s="43" t="n"/>
      <c r="E63" s="43" t="n"/>
      <c r="F63" s="44" t="n"/>
      <c r="G63" s="45" t="n"/>
      <c r="H63" s="48">
        <f>IF(OR(F63="",G63=""),"",G63-F63)</f>
        <v/>
      </c>
      <c r="I63" s="43" t="n"/>
      <c r="J63" s="43" t="n"/>
    </row>
    <row r="64">
      <c r="A64" s="42" t="n"/>
      <c r="B64" s="42" t="n"/>
      <c r="C64" s="43" t="n"/>
      <c r="D64" s="43" t="n"/>
      <c r="E64" s="43" t="n"/>
      <c r="F64" s="44" t="n"/>
      <c r="G64" s="45" t="n"/>
      <c r="H64" s="48">
        <f>IF(OR(F64="",G64=""),"",G64-F64)</f>
        <v/>
      </c>
      <c r="I64" s="43" t="n"/>
      <c r="J64" s="43" t="n"/>
    </row>
    <row r="65">
      <c r="A65" s="42" t="n"/>
      <c r="B65" s="42" t="n"/>
      <c r="C65" s="43" t="n"/>
      <c r="D65" s="43" t="n"/>
      <c r="E65" s="43" t="n"/>
      <c r="F65" s="44" t="n"/>
      <c r="G65" s="45" t="n"/>
      <c r="H65" s="48">
        <f>IF(OR(F65="",G65=""),"",G65-F65)</f>
        <v/>
      </c>
      <c r="I65" s="43" t="n"/>
      <c r="J65" s="43" t="n"/>
    </row>
    <row r="66">
      <c r="A66" s="42" t="n"/>
      <c r="B66" s="42" t="n"/>
      <c r="C66" s="43" t="n"/>
      <c r="D66" s="43" t="n"/>
      <c r="E66" s="43" t="n"/>
      <c r="F66" s="44" t="n"/>
      <c r="G66" s="45" t="n"/>
      <c r="H66" s="48">
        <f>IF(OR(F66="",G66=""),"",G66-F66)</f>
        <v/>
      </c>
      <c r="I66" s="43" t="n"/>
      <c r="J66" s="43" t="n"/>
    </row>
    <row r="67">
      <c r="A67" s="42" t="n"/>
      <c r="B67" s="42" t="n"/>
      <c r="C67" s="43" t="n"/>
      <c r="D67" s="43" t="n"/>
      <c r="E67" s="43" t="n"/>
      <c r="F67" s="44" t="n"/>
      <c r="G67" s="45" t="n"/>
      <c r="H67" s="48">
        <f>IF(OR(F67="",G67=""),"",G67-F67)</f>
        <v/>
      </c>
      <c r="I67" s="43" t="n"/>
      <c r="J67" s="43" t="n"/>
    </row>
    <row r="68">
      <c r="A68" s="42" t="n"/>
      <c r="B68" s="42" t="n"/>
      <c r="C68" s="43" t="n"/>
      <c r="D68" s="43" t="n"/>
      <c r="E68" s="43" t="n"/>
      <c r="F68" s="44" t="n"/>
      <c r="G68" s="45" t="n"/>
      <c r="H68" s="48">
        <f>IF(OR(F68="",G68=""),"",G68-F68)</f>
        <v/>
      </c>
      <c r="I68" s="43" t="n"/>
      <c r="J68" s="43" t="n"/>
    </row>
    <row r="69">
      <c r="A69" s="42" t="n"/>
      <c r="B69" s="42" t="n"/>
      <c r="C69" s="43" t="n"/>
      <c r="D69" s="43" t="n"/>
      <c r="E69" s="43" t="n"/>
      <c r="F69" s="44" t="n"/>
      <c r="G69" s="45" t="n"/>
      <c r="H69" s="48">
        <f>IF(OR(F69="",G69=""),"",G69-F69)</f>
        <v/>
      </c>
      <c r="I69" s="43" t="n"/>
      <c r="J69" s="43" t="n"/>
    </row>
    <row r="70">
      <c r="A70" s="42" t="n"/>
      <c r="B70" s="42" t="n"/>
      <c r="C70" s="43" t="n"/>
      <c r="D70" s="43" t="n"/>
      <c r="E70" s="43" t="n"/>
      <c r="F70" s="44" t="n"/>
      <c r="G70" s="45" t="n"/>
      <c r="H70" s="48">
        <f>IF(OR(F70="",G70=""),"",G70-F70)</f>
        <v/>
      </c>
      <c r="I70" s="43" t="n"/>
      <c r="J70" s="43" t="n"/>
    </row>
    <row r="71">
      <c r="A71" s="42" t="n"/>
      <c r="B71" s="42" t="n"/>
      <c r="C71" s="43" t="n"/>
      <c r="D71" s="43" t="n"/>
      <c r="E71" s="43" t="n"/>
      <c r="F71" s="44" t="n"/>
      <c r="G71" s="45" t="n"/>
      <c r="H71" s="48">
        <f>IF(OR(F71="",G71=""),"",G71-F71)</f>
        <v/>
      </c>
      <c r="I71" s="43" t="n"/>
      <c r="J71" s="43" t="n"/>
    </row>
    <row r="72">
      <c r="A72" s="42" t="n"/>
      <c r="B72" s="42" t="n"/>
      <c r="C72" s="43" t="n"/>
      <c r="D72" s="43" t="n"/>
      <c r="E72" s="43" t="n"/>
      <c r="F72" s="44" t="n"/>
      <c r="G72" s="45" t="n"/>
      <c r="H72" s="48">
        <f>IF(OR(F72="",G72=""),"",G72-F72)</f>
        <v/>
      </c>
      <c r="I72" s="43" t="n"/>
      <c r="J72" s="43" t="n"/>
    </row>
    <row r="73">
      <c r="A73" s="42" t="n"/>
      <c r="B73" s="42" t="n"/>
      <c r="C73" s="43" t="n"/>
      <c r="D73" s="43" t="n"/>
      <c r="E73" s="43" t="n"/>
      <c r="F73" s="44" t="n"/>
      <c r="G73" s="45" t="n"/>
      <c r="H73" s="48">
        <f>IF(OR(F73="",G73=""),"",G73-F73)</f>
        <v/>
      </c>
      <c r="I73" s="43" t="n"/>
      <c r="J73" s="43" t="n"/>
    </row>
    <row r="74">
      <c r="A74" s="42" t="n"/>
      <c r="B74" s="42" t="n"/>
      <c r="C74" s="43" t="n"/>
      <c r="D74" s="43" t="n"/>
      <c r="E74" s="43" t="n"/>
      <c r="F74" s="44" t="n"/>
      <c r="G74" s="45" t="n"/>
      <c r="H74" s="48">
        <f>IF(OR(F74="",G74=""),"",G74-F74)</f>
        <v/>
      </c>
      <c r="I74" s="43" t="n"/>
      <c r="J74" s="43" t="n"/>
    </row>
    <row r="75">
      <c r="A75" s="42" t="n"/>
      <c r="B75" s="42" t="n"/>
      <c r="C75" s="43" t="n"/>
      <c r="D75" s="43" t="n"/>
      <c r="E75" s="43" t="n"/>
      <c r="F75" s="44" t="n"/>
      <c r="G75" s="45" t="n"/>
      <c r="H75" s="48">
        <f>IF(OR(F75="",G75=""),"",G75-F75)</f>
        <v/>
      </c>
      <c r="I75" s="43" t="n"/>
      <c r="J75" s="43" t="n"/>
    </row>
    <row r="76">
      <c r="A76" s="42" t="n"/>
      <c r="B76" s="42" t="n"/>
      <c r="C76" s="43" t="n"/>
      <c r="D76" s="43" t="n"/>
      <c r="E76" s="43" t="n"/>
      <c r="F76" s="44" t="n"/>
      <c r="G76" s="45" t="n"/>
      <c r="H76" s="48">
        <f>IF(OR(F76="",G76=""),"",G76-F76)</f>
        <v/>
      </c>
      <c r="I76" s="43" t="n"/>
      <c r="J76" s="43" t="n"/>
    </row>
    <row r="77">
      <c r="A77" s="42" t="n"/>
      <c r="B77" s="42" t="n"/>
      <c r="C77" s="43" t="n"/>
      <c r="D77" s="43" t="n"/>
      <c r="E77" s="43" t="n"/>
      <c r="F77" s="44" t="n"/>
      <c r="G77" s="45" t="n"/>
      <c r="H77" s="48">
        <f>IF(OR(F77="",G77=""),"",G77-F77)</f>
        <v/>
      </c>
      <c r="I77" s="43" t="n"/>
      <c r="J77" s="43" t="n"/>
    </row>
    <row r="78">
      <c r="A78" s="42" t="n"/>
      <c r="B78" s="42" t="n"/>
      <c r="C78" s="43" t="n"/>
      <c r="D78" s="43" t="n"/>
      <c r="E78" s="43" t="n"/>
      <c r="F78" s="44" t="n"/>
      <c r="G78" s="45" t="n"/>
      <c r="H78" s="48">
        <f>IF(OR(F78="",G78=""),"",G78-F78)</f>
        <v/>
      </c>
      <c r="I78" s="43" t="n"/>
      <c r="J78" s="43" t="n"/>
    </row>
    <row r="79">
      <c r="A79" s="42" t="n"/>
      <c r="B79" s="42" t="n"/>
      <c r="C79" s="43" t="n"/>
      <c r="D79" s="43" t="n"/>
      <c r="E79" s="43" t="n"/>
      <c r="F79" s="44" t="n"/>
      <c r="G79" s="45" t="n"/>
      <c r="H79" s="48">
        <f>IF(OR(F79="",G79=""),"",G79-F79)</f>
        <v/>
      </c>
      <c r="I79" s="43" t="n"/>
      <c r="J79" s="43" t="n"/>
    </row>
    <row r="80">
      <c r="A80" s="42" t="n"/>
      <c r="B80" s="42" t="n"/>
      <c r="C80" s="43" t="n"/>
      <c r="D80" s="43" t="n"/>
      <c r="E80" s="43" t="n"/>
      <c r="F80" s="44" t="n"/>
      <c r="G80" s="45" t="n"/>
      <c r="H80" s="48">
        <f>IF(OR(F80="",G80=""),"",G80-F80)</f>
        <v/>
      </c>
      <c r="I80" s="43" t="n"/>
      <c r="J80" s="43" t="n"/>
    </row>
    <row r="81">
      <c r="A81" s="42" t="n"/>
      <c r="B81" s="42" t="n"/>
      <c r="C81" s="43" t="n"/>
      <c r="D81" s="43" t="n"/>
      <c r="E81" s="43" t="n"/>
      <c r="F81" s="44" t="n"/>
      <c r="G81" s="45" t="n"/>
      <c r="H81" s="48">
        <f>IF(OR(F81="",G81=""),"",G81-F81)</f>
        <v/>
      </c>
      <c r="I81" s="43" t="n"/>
      <c r="J81" s="43" t="n"/>
    </row>
    <row r="82">
      <c r="A82" s="42" t="n"/>
      <c r="B82" s="42" t="n"/>
      <c r="C82" s="43" t="n"/>
      <c r="D82" s="43" t="n"/>
      <c r="E82" s="43" t="n"/>
      <c r="F82" s="44" t="n"/>
      <c r="G82" s="45" t="n"/>
      <c r="H82" s="48">
        <f>IF(OR(F82="",G82=""),"",G82-F82)</f>
        <v/>
      </c>
      <c r="I82" s="43" t="n"/>
      <c r="J82" s="43" t="n"/>
    </row>
    <row r="83">
      <c r="A83" s="42" t="n"/>
      <c r="B83" s="42" t="n"/>
      <c r="C83" s="43" t="n"/>
      <c r="D83" s="43" t="n"/>
      <c r="E83" s="43" t="n"/>
      <c r="F83" s="44" t="n"/>
      <c r="G83" s="45" t="n"/>
      <c r="H83" s="48">
        <f>IF(OR(F83="",G83=""),"",G83-F83)</f>
        <v/>
      </c>
      <c r="I83" s="43" t="n"/>
      <c r="J83" s="43" t="n"/>
    </row>
    <row r="84">
      <c r="A84" s="42" t="n"/>
      <c r="B84" s="42" t="n"/>
      <c r="C84" s="43" t="n"/>
      <c r="D84" s="43" t="n"/>
      <c r="E84" s="43" t="n"/>
      <c r="F84" s="44" t="n"/>
      <c r="G84" s="45" t="n"/>
      <c r="H84" s="48">
        <f>IF(OR(F84="",G84=""),"",G84-F84)</f>
        <v/>
      </c>
      <c r="I84" s="43" t="n"/>
      <c r="J84" s="43" t="n"/>
    </row>
    <row r="85">
      <c r="A85" s="42" t="n"/>
      <c r="B85" s="42" t="n"/>
      <c r="C85" s="43" t="n"/>
      <c r="D85" s="43" t="n"/>
      <c r="E85" s="43" t="n"/>
      <c r="F85" s="44" t="n"/>
      <c r="G85" s="45" t="n"/>
      <c r="H85" s="48">
        <f>IF(OR(F85="",G85=""),"",G85-F85)</f>
        <v/>
      </c>
      <c r="I85" s="43" t="n"/>
      <c r="J85" s="43" t="n"/>
    </row>
    <row r="86">
      <c r="A86" s="42" t="n"/>
      <c r="B86" s="42" t="n"/>
      <c r="C86" s="43" t="n"/>
      <c r="D86" s="43" t="n"/>
      <c r="E86" s="43" t="n"/>
      <c r="F86" s="44" t="n"/>
      <c r="G86" s="45" t="n"/>
      <c r="H86" s="48">
        <f>IF(OR(F86="",G86=""),"",G86-F86)</f>
        <v/>
      </c>
      <c r="I86" s="43" t="n"/>
      <c r="J86" s="43" t="n"/>
    </row>
    <row r="87">
      <c r="A87" s="42" t="n"/>
      <c r="B87" s="42" t="n"/>
      <c r="C87" s="43" t="n"/>
      <c r="D87" s="43" t="n"/>
      <c r="E87" s="43" t="n"/>
      <c r="F87" s="44" t="n"/>
      <c r="G87" s="45" t="n"/>
      <c r="H87" s="48">
        <f>IF(OR(F87="",G87=""),"",G87-F87)</f>
        <v/>
      </c>
      <c r="I87" s="43" t="n"/>
      <c r="J87" s="43" t="n"/>
    </row>
    <row r="88">
      <c r="A88" s="42" t="n"/>
      <c r="B88" s="42" t="n"/>
      <c r="C88" s="43" t="n"/>
      <c r="D88" s="43" t="n"/>
      <c r="E88" s="43" t="n"/>
      <c r="F88" s="44" t="n"/>
      <c r="G88" s="45" t="n"/>
      <c r="H88" s="48">
        <f>IF(OR(F88="",G88=""),"",G88-F88)</f>
        <v/>
      </c>
      <c r="I88" s="43" t="n"/>
      <c r="J88" s="43" t="n"/>
    </row>
    <row r="89">
      <c r="A89" s="42" t="n"/>
      <c r="B89" s="42" t="n"/>
      <c r="C89" s="43" t="n"/>
      <c r="D89" s="43" t="n"/>
      <c r="E89" s="43" t="n"/>
      <c r="F89" s="44" t="n"/>
      <c r="G89" s="45" t="n"/>
      <c r="H89" s="48">
        <f>IF(OR(F89="",G89=""),"",G89-F89)</f>
        <v/>
      </c>
      <c r="I89" s="43" t="n"/>
      <c r="J89" s="43" t="n"/>
    </row>
    <row r="90">
      <c r="A90" s="42" t="n"/>
      <c r="B90" s="42" t="n"/>
      <c r="C90" s="43" t="n"/>
      <c r="D90" s="43" t="n"/>
      <c r="E90" s="43" t="n"/>
      <c r="F90" s="44" t="n"/>
      <c r="G90" s="45" t="n"/>
      <c r="H90" s="48">
        <f>IF(OR(F90="",G90=""),"",G90-F90)</f>
        <v/>
      </c>
      <c r="I90" s="43" t="n"/>
      <c r="J90" s="43" t="n"/>
    </row>
    <row r="91">
      <c r="A91" s="42" t="n"/>
      <c r="B91" s="42" t="n"/>
      <c r="C91" s="43" t="n"/>
      <c r="D91" s="43" t="n"/>
      <c r="E91" s="43" t="n"/>
      <c r="F91" s="44" t="n"/>
      <c r="G91" s="45" t="n"/>
      <c r="H91" s="48">
        <f>IF(OR(F91="",G91=""),"",G91-F91)</f>
        <v/>
      </c>
      <c r="I91" s="43" t="n"/>
      <c r="J91" s="43" t="n"/>
    </row>
    <row r="92">
      <c r="A92" s="42" t="n"/>
      <c r="B92" s="42" t="n"/>
      <c r="C92" s="43" t="n"/>
      <c r="D92" s="43" t="n"/>
      <c r="E92" s="43" t="n"/>
      <c r="F92" s="44" t="n"/>
      <c r="G92" s="45" t="n"/>
      <c r="H92" s="48">
        <f>IF(OR(F92="",G92=""),"",G92-F92)</f>
        <v/>
      </c>
      <c r="I92" s="43" t="n"/>
      <c r="J92" s="43" t="n"/>
    </row>
    <row r="93">
      <c r="A93" s="42" t="n"/>
      <c r="B93" s="42" t="n"/>
      <c r="C93" s="43" t="n"/>
      <c r="D93" s="43" t="n"/>
      <c r="E93" s="43" t="n"/>
      <c r="F93" s="44" t="n"/>
      <c r="G93" s="45" t="n"/>
      <c r="H93" s="48">
        <f>IF(OR(F93="",G93=""),"",G93-F93)</f>
        <v/>
      </c>
      <c r="I93" s="43" t="n"/>
      <c r="J93" s="43" t="n"/>
    </row>
    <row r="94">
      <c r="A94" s="42" t="n"/>
      <c r="B94" s="42" t="n"/>
      <c r="C94" s="43" t="n"/>
      <c r="D94" s="43" t="n"/>
      <c r="E94" s="43" t="n"/>
      <c r="F94" s="44" t="n"/>
      <c r="G94" s="45" t="n"/>
      <c r="H94" s="48">
        <f>IF(OR(F94="",G94=""),"",G94-F94)</f>
        <v/>
      </c>
      <c r="I94" s="43" t="n"/>
      <c r="J94" s="43" t="n"/>
    </row>
    <row r="95">
      <c r="A95" s="42" t="n"/>
      <c r="B95" s="42" t="n"/>
      <c r="C95" s="43" t="n"/>
      <c r="D95" s="43" t="n"/>
      <c r="E95" s="43" t="n"/>
      <c r="F95" s="44" t="n"/>
      <c r="G95" s="45" t="n"/>
      <c r="H95" s="48">
        <f>IF(OR(F95="",G95=""),"",G95-F95)</f>
        <v/>
      </c>
      <c r="I95" s="43" t="n"/>
      <c r="J95" s="43" t="n"/>
    </row>
    <row r="96">
      <c r="A96" s="42" t="n"/>
      <c r="B96" s="42" t="n"/>
      <c r="C96" s="43" t="n"/>
      <c r="D96" s="43" t="n"/>
      <c r="E96" s="43" t="n"/>
      <c r="F96" s="44" t="n"/>
      <c r="G96" s="45" t="n"/>
      <c r="H96" s="48">
        <f>IF(OR(F96="",G96=""),"",G96-F96)</f>
        <v/>
      </c>
      <c r="I96" s="43" t="n"/>
      <c r="J96" s="43" t="n"/>
    </row>
    <row r="97">
      <c r="A97" s="42" t="n"/>
      <c r="B97" s="42" t="n"/>
      <c r="C97" s="43" t="n"/>
      <c r="D97" s="43" t="n"/>
      <c r="E97" s="43" t="n"/>
      <c r="F97" s="44" t="n"/>
      <c r="G97" s="45" t="n"/>
      <c r="H97" s="48">
        <f>IF(OR(F97="",G97=""),"",G97-F97)</f>
        <v/>
      </c>
      <c r="I97" s="43" t="n"/>
      <c r="J97" s="43" t="n"/>
    </row>
    <row r="98">
      <c r="A98" s="42" t="n"/>
      <c r="B98" s="42" t="n"/>
      <c r="C98" s="43" t="n"/>
      <c r="D98" s="43" t="n"/>
      <c r="E98" s="43" t="n"/>
      <c r="F98" s="44" t="n"/>
      <c r="G98" s="45" t="n"/>
      <c r="H98" s="48">
        <f>IF(OR(F98="",G98=""),"",G98-F98)</f>
        <v/>
      </c>
      <c r="I98" s="43" t="n"/>
      <c r="J98" s="43" t="n"/>
    </row>
    <row r="99">
      <c r="A99" s="42" t="n"/>
      <c r="B99" s="42" t="n"/>
      <c r="C99" s="43" t="n"/>
      <c r="D99" s="43" t="n"/>
      <c r="E99" s="43" t="n"/>
      <c r="F99" s="44" t="n"/>
      <c r="G99" s="45" t="n"/>
      <c r="H99" s="48">
        <f>IF(OR(F99="",G99=""),"",G99-F99)</f>
        <v/>
      </c>
      <c r="I99" s="43" t="n"/>
      <c r="J99" s="43" t="n"/>
    </row>
    <row r="100">
      <c r="A100" s="42" t="n"/>
      <c r="B100" s="42" t="n"/>
      <c r="C100" s="43" t="n"/>
      <c r="D100" s="43" t="n"/>
      <c r="E100" s="43" t="n"/>
      <c r="F100" s="44" t="n"/>
      <c r="G100" s="45" t="n"/>
      <c r="H100" s="48">
        <f>IF(OR(F100="",G100=""),"",G100-F100)</f>
        <v/>
      </c>
      <c r="I100" s="43" t="n"/>
      <c r="J100" s="43" t="n"/>
    </row>
    <row r="101">
      <c r="A101" s="42" t="n"/>
      <c r="B101" s="42" t="n"/>
      <c r="C101" s="43" t="n"/>
      <c r="D101" s="43" t="n"/>
      <c r="E101" s="43" t="n"/>
      <c r="F101" s="44" t="n"/>
      <c r="G101" s="45" t="n"/>
      <c r="H101" s="48">
        <f>IF(OR(F101="",G101=""),"",G101-F101)</f>
        <v/>
      </c>
      <c r="I101" s="43" t="n"/>
      <c r="J101" s="43" t="n"/>
    </row>
    <row r="102">
      <c r="A102" s="42" t="n"/>
      <c r="B102" s="42" t="n"/>
      <c r="C102" s="43" t="n"/>
      <c r="D102" s="43" t="n"/>
      <c r="E102" s="43" t="n"/>
      <c r="F102" s="44" t="n"/>
      <c r="G102" s="45" t="n"/>
      <c r="H102" s="48">
        <f>IF(OR(F102="",G102=""),"",G102-F102)</f>
        <v/>
      </c>
      <c r="I102" s="43" t="n"/>
      <c r="J102" s="43" t="n"/>
    </row>
    <row r="103">
      <c r="A103" s="42" t="n"/>
      <c r="B103" s="42" t="n"/>
      <c r="C103" s="43" t="n"/>
      <c r="D103" s="43" t="n"/>
      <c r="E103" s="43" t="n"/>
      <c r="F103" s="44" t="n"/>
      <c r="G103" s="45" t="n"/>
      <c r="H103" s="48">
        <f>IF(OR(F103="",G103=""),"",G103-F103)</f>
        <v/>
      </c>
      <c r="I103" s="43" t="n"/>
      <c r="J103" s="43" t="n"/>
    </row>
    <row r="104">
      <c r="A104" s="42" t="n"/>
      <c r="B104" s="42" t="n"/>
      <c r="C104" s="43" t="n"/>
      <c r="D104" s="43" t="n"/>
      <c r="E104" s="43" t="n"/>
      <c r="F104" s="44" t="n"/>
      <c r="G104" s="45" t="n"/>
      <c r="H104" s="48">
        <f>IF(OR(F104="",G104=""),"",G104-F104)</f>
        <v/>
      </c>
      <c r="I104" s="43" t="n"/>
      <c r="J104" s="43" t="n"/>
    </row>
    <row r="105">
      <c r="A105" s="42" t="n"/>
      <c r="B105" s="42" t="n"/>
      <c r="C105" s="43" t="n"/>
      <c r="D105" s="43" t="n"/>
      <c r="E105" s="43" t="n"/>
      <c r="F105" s="44" t="n"/>
      <c r="G105" s="45" t="n"/>
      <c r="H105" s="48">
        <f>IF(OR(F105="",G105=""),"",G105-F105)</f>
        <v/>
      </c>
      <c r="I105" s="43" t="n"/>
      <c r="J105" s="43" t="n"/>
    </row>
    <row r="106">
      <c r="A106" s="42" t="n"/>
      <c r="B106" s="42" t="n"/>
      <c r="C106" s="43" t="n"/>
      <c r="D106" s="43" t="n"/>
      <c r="E106" s="43" t="n"/>
      <c r="F106" s="44" t="n"/>
      <c r="G106" s="45" t="n"/>
      <c r="H106" s="48">
        <f>IF(OR(F106="",G106=""),"",G106-F106)</f>
        <v/>
      </c>
      <c r="I106" s="43" t="n"/>
      <c r="J106" s="43" t="n"/>
    </row>
    <row r="107">
      <c r="A107" s="42" t="n"/>
      <c r="B107" s="42" t="n"/>
      <c r="C107" s="43" t="n"/>
      <c r="D107" s="43" t="n"/>
      <c r="E107" s="43" t="n"/>
      <c r="F107" s="44" t="n"/>
      <c r="G107" s="45" t="n"/>
      <c r="H107" s="48">
        <f>IF(OR(F107="",G107=""),"",G107-F107)</f>
        <v/>
      </c>
      <c r="I107" s="43" t="n"/>
      <c r="J107" s="43" t="n"/>
    </row>
    <row r="108">
      <c r="A108" s="42" t="n"/>
      <c r="B108" s="42" t="n"/>
      <c r="C108" s="43" t="n"/>
      <c r="D108" s="43" t="n"/>
      <c r="E108" s="43" t="n"/>
      <c r="F108" s="44" t="n"/>
      <c r="G108" s="45" t="n"/>
      <c r="H108" s="48">
        <f>IF(OR(F108="",G108=""),"",G108-F108)</f>
        <v/>
      </c>
      <c r="I108" s="43" t="n"/>
      <c r="J108" s="43" t="n"/>
    </row>
    <row r="109">
      <c r="A109" s="42" t="n"/>
      <c r="B109" s="42" t="n"/>
      <c r="C109" s="43" t="n"/>
      <c r="D109" s="43" t="n"/>
      <c r="E109" s="43" t="n"/>
      <c r="F109" s="44" t="n"/>
      <c r="G109" s="45" t="n"/>
      <c r="H109" s="48">
        <f>IF(OR(F109="",G109=""),"",G109-F109)</f>
        <v/>
      </c>
      <c r="I109" s="43" t="n"/>
      <c r="J109" s="43" t="n"/>
    </row>
    <row r="110">
      <c r="A110" s="42" t="n"/>
      <c r="B110" s="42" t="n"/>
      <c r="C110" s="43" t="n"/>
      <c r="D110" s="43" t="n"/>
      <c r="E110" s="43" t="n"/>
      <c r="F110" s="44" t="n"/>
      <c r="G110" s="45" t="n"/>
      <c r="H110" s="48">
        <f>IF(OR(F110="",G110=""),"",G110-F110)</f>
        <v/>
      </c>
      <c r="I110" s="43" t="n"/>
      <c r="J110" s="43" t="n"/>
    </row>
    <row r="111">
      <c r="A111" s="42" t="n"/>
      <c r="B111" s="42" t="n"/>
      <c r="C111" s="43" t="n"/>
      <c r="D111" s="43" t="n"/>
      <c r="E111" s="43" t="n"/>
      <c r="F111" s="44" t="n"/>
      <c r="G111" s="45" t="n"/>
      <c r="H111" s="48">
        <f>IF(OR(F111="",G111=""),"",G111-F111)</f>
        <v/>
      </c>
      <c r="I111" s="43" t="n"/>
      <c r="J111" s="43" t="n"/>
    </row>
    <row r="112">
      <c r="A112" s="42" t="n"/>
      <c r="B112" s="42" t="n"/>
      <c r="C112" s="43" t="n"/>
      <c r="D112" s="43" t="n"/>
      <c r="E112" s="43" t="n"/>
      <c r="F112" s="44" t="n"/>
      <c r="G112" s="45" t="n"/>
      <c r="H112" s="48">
        <f>IF(OR(F112="",G112=""),"",G112-F112)</f>
        <v/>
      </c>
      <c r="I112" s="43" t="n"/>
      <c r="J112" s="43" t="n"/>
    </row>
    <row r="113">
      <c r="A113" s="42" t="n"/>
      <c r="B113" s="42" t="n"/>
      <c r="C113" s="43" t="n"/>
      <c r="D113" s="43" t="n"/>
      <c r="E113" s="43" t="n"/>
      <c r="F113" s="44" t="n"/>
      <c r="G113" s="45" t="n"/>
      <c r="H113" s="48">
        <f>IF(OR(F113="",G113=""),"",G113-F113)</f>
        <v/>
      </c>
      <c r="I113" s="43" t="n"/>
      <c r="J113" s="43" t="n"/>
    </row>
    <row r="114">
      <c r="A114" s="42" t="n"/>
      <c r="B114" s="42" t="n"/>
      <c r="C114" s="43" t="n"/>
      <c r="D114" s="43" t="n"/>
      <c r="E114" s="43" t="n"/>
      <c r="F114" s="44" t="n"/>
      <c r="G114" s="45" t="n"/>
      <c r="H114" s="48">
        <f>IF(OR(F114="",G114=""),"",G114-F114)</f>
        <v/>
      </c>
      <c r="I114" s="43" t="n"/>
      <c r="J114" s="43" t="n"/>
    </row>
    <row r="115">
      <c r="A115" s="42" t="n"/>
      <c r="B115" s="42" t="n"/>
      <c r="C115" s="43" t="n"/>
      <c r="D115" s="43" t="n"/>
      <c r="E115" s="43" t="n"/>
      <c r="F115" s="44" t="n"/>
      <c r="G115" s="45" t="n"/>
      <c r="H115" s="48">
        <f>IF(OR(F115="",G115=""),"",G115-F115)</f>
        <v/>
      </c>
      <c r="I115" s="43" t="n"/>
      <c r="J115" s="43" t="n"/>
    </row>
    <row r="116">
      <c r="A116" s="42" t="n"/>
      <c r="B116" s="42" t="n"/>
      <c r="C116" s="43" t="n"/>
      <c r="D116" s="43" t="n"/>
      <c r="E116" s="43" t="n"/>
      <c r="F116" s="44" t="n"/>
      <c r="G116" s="45" t="n"/>
      <c r="H116" s="48">
        <f>IF(OR(F116="",G116=""),"",G116-F116)</f>
        <v/>
      </c>
      <c r="I116" s="43" t="n"/>
      <c r="J116" s="43" t="n"/>
    </row>
    <row r="117">
      <c r="A117" s="42" t="n"/>
      <c r="B117" s="42" t="n"/>
      <c r="C117" s="43" t="n"/>
      <c r="D117" s="43" t="n"/>
      <c r="E117" s="43" t="n"/>
      <c r="F117" s="44" t="n"/>
      <c r="G117" s="45" t="n"/>
      <c r="H117" s="48">
        <f>IF(OR(F117="",G117=""),"",G117-F117)</f>
        <v/>
      </c>
      <c r="I117" s="43" t="n"/>
      <c r="J117" s="43" t="n"/>
    </row>
    <row r="118">
      <c r="A118" s="42" t="n"/>
      <c r="B118" s="42" t="n"/>
      <c r="C118" s="43" t="n"/>
      <c r="D118" s="43" t="n"/>
      <c r="E118" s="43" t="n"/>
      <c r="F118" s="44" t="n"/>
      <c r="G118" s="45" t="n"/>
      <c r="H118" s="48">
        <f>IF(OR(F118="",G118=""),"",G118-F118)</f>
        <v/>
      </c>
      <c r="I118" s="43" t="n"/>
      <c r="J118" s="43" t="n"/>
    </row>
    <row r="119">
      <c r="A119" s="42" t="n"/>
      <c r="B119" s="42" t="n"/>
      <c r="C119" s="43" t="n"/>
      <c r="D119" s="43" t="n"/>
      <c r="E119" s="43" t="n"/>
      <c r="F119" s="44" t="n"/>
      <c r="G119" s="45" t="n"/>
      <c r="H119" s="48">
        <f>IF(OR(F119="",G119=""),"",G119-F119)</f>
        <v/>
      </c>
      <c r="I119" s="43" t="n"/>
      <c r="J119" s="43" t="n"/>
    </row>
    <row r="120">
      <c r="A120" s="42" t="n"/>
      <c r="B120" s="42" t="n"/>
      <c r="C120" s="43" t="n"/>
      <c r="D120" s="43" t="n"/>
      <c r="E120" s="43" t="n"/>
      <c r="F120" s="44" t="n"/>
      <c r="G120" s="45" t="n"/>
      <c r="H120" s="48">
        <f>IF(OR(F120="",G120=""),"",G120-F120)</f>
        <v/>
      </c>
      <c r="I120" s="43" t="n"/>
      <c r="J120" s="43" t="n"/>
    </row>
    <row r="121">
      <c r="A121" s="42" t="n"/>
      <c r="B121" s="42" t="n"/>
      <c r="C121" s="43" t="n"/>
      <c r="D121" s="43" t="n"/>
      <c r="E121" s="43" t="n"/>
      <c r="F121" s="44" t="n"/>
      <c r="G121" s="45" t="n"/>
      <c r="H121" s="48">
        <f>IF(OR(F121="",G121=""),"",G121-F121)</f>
        <v/>
      </c>
      <c r="I121" s="43" t="n"/>
      <c r="J121" s="43" t="n"/>
    </row>
    <row r="122">
      <c r="A122" s="42" t="n"/>
      <c r="B122" s="42" t="n"/>
      <c r="C122" s="43" t="n"/>
      <c r="D122" s="43" t="n"/>
      <c r="E122" s="43" t="n"/>
      <c r="F122" s="44" t="n"/>
      <c r="G122" s="45" t="n"/>
      <c r="H122" s="48">
        <f>IF(OR(F122="",G122=""),"",G122-F122)</f>
        <v/>
      </c>
      <c r="I122" s="43" t="n"/>
      <c r="J122" s="43" t="n"/>
    </row>
    <row r="123">
      <c r="A123" s="42" t="n"/>
      <c r="B123" s="42" t="n"/>
      <c r="C123" s="43" t="n"/>
      <c r="D123" s="43" t="n"/>
      <c r="E123" s="43" t="n"/>
      <c r="F123" s="44" t="n"/>
      <c r="G123" s="45" t="n"/>
      <c r="H123" s="48">
        <f>IF(OR(F123="",G123=""),"",G123-F123)</f>
        <v/>
      </c>
      <c r="I123" s="43" t="n"/>
      <c r="J123" s="43" t="n"/>
    </row>
    <row r="124">
      <c r="A124" s="42" t="n"/>
      <c r="B124" s="42" t="n"/>
      <c r="C124" s="43" t="n"/>
      <c r="D124" s="43" t="n"/>
      <c r="E124" s="43" t="n"/>
      <c r="F124" s="44" t="n"/>
      <c r="G124" s="45" t="n"/>
      <c r="H124" s="48">
        <f>IF(OR(F124="",G124=""),"",G124-F124)</f>
        <v/>
      </c>
      <c r="I124" s="43" t="n"/>
      <c r="J124" s="43" t="n"/>
    </row>
    <row r="125">
      <c r="A125" s="42" t="n"/>
      <c r="B125" s="42" t="n"/>
      <c r="C125" s="43" t="n"/>
      <c r="D125" s="43" t="n"/>
      <c r="E125" s="43" t="n"/>
      <c r="F125" s="44" t="n"/>
      <c r="G125" s="45" t="n"/>
      <c r="H125" s="48">
        <f>IF(OR(F125="",G125=""),"",G125-F125)</f>
        <v/>
      </c>
      <c r="I125" s="43" t="n"/>
      <c r="J125" s="43" t="n"/>
    </row>
    <row r="126">
      <c r="A126" s="42" t="n"/>
      <c r="B126" s="42" t="n"/>
      <c r="C126" s="43" t="n"/>
      <c r="D126" s="43" t="n"/>
      <c r="E126" s="43" t="n"/>
      <c r="F126" s="44" t="n"/>
      <c r="G126" s="45" t="n"/>
      <c r="H126" s="48">
        <f>IF(OR(F126="",G126=""),"",G126-F126)</f>
        <v/>
      </c>
      <c r="I126" s="43" t="n"/>
      <c r="J126" s="43" t="n"/>
    </row>
    <row r="127">
      <c r="A127" s="42" t="n"/>
      <c r="B127" s="42" t="n"/>
      <c r="C127" s="43" t="n"/>
      <c r="D127" s="43" t="n"/>
      <c r="E127" s="43" t="n"/>
      <c r="F127" s="44" t="n"/>
      <c r="G127" s="45" t="n"/>
      <c r="H127" s="48">
        <f>IF(OR(F127="",G127=""),"",G127-F127)</f>
        <v/>
      </c>
      <c r="I127" s="43" t="n"/>
      <c r="J127" s="43" t="n"/>
    </row>
    <row r="128">
      <c r="A128" s="42" t="n"/>
      <c r="B128" s="42" t="n"/>
      <c r="C128" s="43" t="n"/>
      <c r="D128" s="43" t="n"/>
      <c r="E128" s="43" t="n"/>
      <c r="F128" s="44" t="n"/>
      <c r="G128" s="45" t="n"/>
      <c r="H128" s="48">
        <f>IF(OR(F128="",G128=""),"",G128-F128)</f>
        <v/>
      </c>
      <c r="I128" s="43" t="n"/>
      <c r="J128" s="43" t="n"/>
    </row>
    <row r="129">
      <c r="A129" s="42" t="n"/>
      <c r="B129" s="42" t="n"/>
      <c r="C129" s="43" t="n"/>
      <c r="D129" s="43" t="n"/>
      <c r="E129" s="43" t="n"/>
      <c r="F129" s="44" t="n"/>
      <c r="G129" s="45" t="n"/>
      <c r="H129" s="48">
        <f>IF(OR(F129="",G129=""),"",G129-F129)</f>
        <v/>
      </c>
      <c r="I129" s="43" t="n"/>
      <c r="J129" s="43" t="n"/>
    </row>
    <row r="130">
      <c r="A130" s="42" t="n"/>
      <c r="B130" s="42" t="n"/>
      <c r="C130" s="43" t="n"/>
      <c r="D130" s="43" t="n"/>
      <c r="E130" s="43" t="n"/>
      <c r="F130" s="44" t="n"/>
      <c r="G130" s="45" t="n"/>
      <c r="H130" s="48">
        <f>IF(OR(F130="",G130=""),"",G130-F130)</f>
        <v/>
      </c>
      <c r="I130" s="43" t="n"/>
      <c r="J130" s="43" t="n"/>
    </row>
    <row r="131">
      <c r="A131" s="42" t="n"/>
      <c r="B131" s="42" t="n"/>
      <c r="C131" s="43" t="n"/>
      <c r="D131" s="43" t="n"/>
      <c r="E131" s="43" t="n"/>
      <c r="F131" s="44" t="n"/>
      <c r="G131" s="45" t="n"/>
      <c r="H131" s="48">
        <f>IF(OR(F131="",G131=""),"",G131-F131)</f>
        <v/>
      </c>
      <c r="I131" s="43" t="n"/>
      <c r="J131" s="43" t="n"/>
    </row>
    <row r="132">
      <c r="A132" s="42" t="n"/>
      <c r="B132" s="42" t="n"/>
      <c r="C132" s="43" t="n"/>
      <c r="D132" s="43" t="n"/>
      <c r="E132" s="43" t="n"/>
      <c r="F132" s="44" t="n"/>
      <c r="G132" s="45" t="n"/>
      <c r="H132" s="48">
        <f>IF(OR(F132="",G132=""),"",G132-F132)</f>
        <v/>
      </c>
      <c r="I132" s="43" t="n"/>
      <c r="J132" s="43" t="n"/>
    </row>
    <row r="133">
      <c r="A133" s="42" t="n"/>
      <c r="B133" s="42" t="n"/>
      <c r="C133" s="43" t="n"/>
      <c r="D133" s="43" t="n"/>
      <c r="E133" s="43" t="n"/>
      <c r="F133" s="44" t="n"/>
      <c r="G133" s="45" t="n"/>
      <c r="H133" s="48">
        <f>IF(OR(F133="",G133=""),"",G133-F133)</f>
        <v/>
      </c>
      <c r="I133" s="43" t="n"/>
      <c r="J133" s="43" t="n"/>
    </row>
    <row r="134">
      <c r="A134" s="42" t="n"/>
      <c r="B134" s="42" t="n"/>
      <c r="C134" s="43" t="n"/>
      <c r="D134" s="43" t="n"/>
      <c r="E134" s="43" t="n"/>
      <c r="F134" s="44" t="n"/>
      <c r="G134" s="45" t="n"/>
      <c r="H134" s="48">
        <f>IF(OR(F134="",G134=""),"",G134-F134)</f>
        <v/>
      </c>
      <c r="I134" s="43" t="n"/>
      <c r="J134" s="43" t="n"/>
    </row>
    <row r="135">
      <c r="A135" s="42" t="n"/>
      <c r="B135" s="42" t="n"/>
      <c r="C135" s="43" t="n"/>
      <c r="D135" s="43" t="n"/>
      <c r="E135" s="43" t="n"/>
      <c r="F135" s="44" t="n"/>
      <c r="G135" s="45" t="n"/>
      <c r="H135" s="48">
        <f>IF(OR(F135="",G135=""),"",G135-F135)</f>
        <v/>
      </c>
      <c r="I135" s="43" t="n"/>
      <c r="J135" s="43" t="n"/>
    </row>
    <row r="136">
      <c r="A136" s="42" t="n"/>
      <c r="B136" s="42" t="n"/>
      <c r="C136" s="43" t="n"/>
      <c r="D136" s="43" t="n"/>
      <c r="E136" s="43" t="n"/>
      <c r="F136" s="44" t="n"/>
      <c r="G136" s="45" t="n"/>
      <c r="H136" s="48">
        <f>IF(OR(F136="",G136=""),"",G136-F136)</f>
        <v/>
      </c>
      <c r="I136" s="43" t="n"/>
      <c r="J136" s="43" t="n"/>
    </row>
    <row r="137">
      <c r="A137" s="42" t="n"/>
      <c r="B137" s="42" t="n"/>
      <c r="C137" s="43" t="n"/>
      <c r="D137" s="43" t="n"/>
      <c r="E137" s="43" t="n"/>
      <c r="F137" s="44" t="n"/>
      <c r="G137" s="45" t="n"/>
      <c r="H137" s="48">
        <f>IF(OR(F137="",G137=""),"",G137-F137)</f>
        <v/>
      </c>
      <c r="I137" s="43" t="n"/>
      <c r="J137" s="43" t="n"/>
    </row>
    <row r="138">
      <c r="A138" s="42" t="n"/>
      <c r="B138" s="42" t="n"/>
      <c r="C138" s="43" t="n"/>
      <c r="D138" s="43" t="n"/>
      <c r="E138" s="43" t="n"/>
      <c r="F138" s="44" t="n"/>
      <c r="G138" s="45" t="n"/>
      <c r="H138" s="48">
        <f>IF(OR(F138="",G138=""),"",G138-F138)</f>
        <v/>
      </c>
      <c r="I138" s="43" t="n"/>
      <c r="J138" s="43" t="n"/>
    </row>
    <row r="139">
      <c r="A139" s="42" t="n"/>
      <c r="B139" s="42" t="n"/>
      <c r="C139" s="43" t="n"/>
      <c r="D139" s="43" t="n"/>
      <c r="E139" s="43" t="n"/>
      <c r="F139" s="44" t="n"/>
      <c r="G139" s="45" t="n"/>
      <c r="H139" s="48">
        <f>IF(OR(F139="",G139=""),"",G139-F139)</f>
        <v/>
      </c>
      <c r="I139" s="43" t="n"/>
      <c r="J139" s="43" t="n"/>
    </row>
    <row r="140">
      <c r="A140" s="42" t="n"/>
      <c r="B140" s="42" t="n"/>
      <c r="C140" s="43" t="n"/>
      <c r="D140" s="43" t="n"/>
      <c r="E140" s="43" t="n"/>
      <c r="F140" s="44" t="n"/>
      <c r="G140" s="45" t="n"/>
      <c r="H140" s="48">
        <f>IF(OR(F140="",G140=""),"",G140-F140)</f>
        <v/>
      </c>
      <c r="I140" s="43" t="n"/>
      <c r="J140" s="43" t="n"/>
    </row>
    <row r="141">
      <c r="A141" s="42" t="n"/>
      <c r="B141" s="42" t="n"/>
      <c r="C141" s="43" t="n"/>
      <c r="D141" s="43" t="n"/>
      <c r="E141" s="43" t="n"/>
      <c r="F141" s="44" t="n"/>
      <c r="G141" s="45" t="n"/>
      <c r="H141" s="48">
        <f>IF(OR(F141="",G141=""),"",G141-F141)</f>
        <v/>
      </c>
      <c r="I141" s="43" t="n"/>
      <c r="J141" s="43" t="n"/>
    </row>
    <row r="142">
      <c r="A142" s="42" t="n"/>
      <c r="B142" s="42" t="n"/>
      <c r="C142" s="43" t="n"/>
      <c r="D142" s="43" t="n"/>
      <c r="E142" s="43" t="n"/>
      <c r="F142" s="44" t="n"/>
      <c r="G142" s="45" t="n"/>
      <c r="H142" s="48">
        <f>IF(OR(F142="",G142=""),"",G142-F142)</f>
        <v/>
      </c>
      <c r="I142" s="43" t="n"/>
      <c r="J142" s="43" t="n"/>
    </row>
    <row r="143">
      <c r="A143" s="42" t="n"/>
      <c r="B143" s="42" t="n"/>
      <c r="C143" s="43" t="n"/>
      <c r="D143" s="43" t="n"/>
      <c r="E143" s="43" t="n"/>
      <c r="F143" s="44" t="n"/>
      <c r="G143" s="45" t="n"/>
      <c r="H143" s="48">
        <f>IF(OR(F143="",G143=""),"",G143-F143)</f>
        <v/>
      </c>
      <c r="I143" s="43" t="n"/>
      <c r="J143" s="43" t="n"/>
    </row>
    <row r="144">
      <c r="A144" s="42" t="n"/>
      <c r="B144" s="42" t="n"/>
      <c r="C144" s="43" t="n"/>
      <c r="D144" s="43" t="n"/>
      <c r="E144" s="43" t="n"/>
      <c r="F144" s="44" t="n"/>
      <c r="G144" s="45" t="n"/>
      <c r="H144" s="48">
        <f>IF(OR(F144="",G144=""),"",G144-F144)</f>
        <v/>
      </c>
      <c r="I144" s="43" t="n"/>
      <c r="J144" s="43" t="n"/>
    </row>
    <row r="145">
      <c r="A145" s="42" t="n"/>
      <c r="B145" s="42" t="n"/>
      <c r="C145" s="43" t="n"/>
      <c r="D145" s="43" t="n"/>
      <c r="E145" s="43" t="n"/>
      <c r="F145" s="44" t="n"/>
      <c r="G145" s="45" t="n"/>
      <c r="H145" s="48">
        <f>IF(OR(F145="",G145=""),"",G145-F145)</f>
        <v/>
      </c>
      <c r="I145" s="43" t="n"/>
      <c r="J145" s="43" t="n"/>
    </row>
    <row r="146">
      <c r="A146" s="42" t="n"/>
      <c r="B146" s="42" t="n"/>
      <c r="C146" s="43" t="n"/>
      <c r="D146" s="43" t="n"/>
      <c r="E146" s="43" t="n"/>
      <c r="F146" s="44" t="n"/>
      <c r="G146" s="45" t="n"/>
      <c r="H146" s="48">
        <f>IF(OR(F146="",G146=""),"",G146-F146)</f>
        <v/>
      </c>
      <c r="I146" s="43" t="n"/>
      <c r="J146" s="43" t="n"/>
    </row>
    <row r="147">
      <c r="A147" s="42" t="n"/>
      <c r="B147" s="42" t="n"/>
      <c r="C147" s="43" t="n"/>
      <c r="D147" s="43" t="n"/>
      <c r="E147" s="43" t="n"/>
      <c r="F147" s="44" t="n"/>
      <c r="G147" s="45" t="n"/>
      <c r="H147" s="48">
        <f>IF(OR(F147="",G147=""),"",G147-F147)</f>
        <v/>
      </c>
      <c r="I147" s="43" t="n"/>
      <c r="J147" s="43" t="n"/>
    </row>
    <row r="148">
      <c r="A148" s="42" t="n"/>
      <c r="B148" s="42" t="n"/>
      <c r="C148" s="43" t="n"/>
      <c r="D148" s="43" t="n"/>
      <c r="E148" s="43" t="n"/>
      <c r="F148" s="44" t="n"/>
      <c r="G148" s="45" t="n"/>
      <c r="H148" s="48">
        <f>IF(OR(F148="",G148=""),"",G148-F148)</f>
        <v/>
      </c>
      <c r="I148" s="43" t="n"/>
      <c r="J148" s="43" t="n"/>
    </row>
    <row r="149">
      <c r="A149" s="42" t="n"/>
      <c r="B149" s="42" t="n"/>
      <c r="C149" s="43" t="n"/>
      <c r="D149" s="43" t="n"/>
      <c r="E149" s="43" t="n"/>
      <c r="F149" s="44" t="n"/>
      <c r="G149" s="45" t="n"/>
      <c r="H149" s="48">
        <f>IF(OR(F149="",G149=""),"",G149-F149)</f>
        <v/>
      </c>
      <c r="I149" s="43" t="n"/>
      <c r="J149" s="43" t="n"/>
    </row>
    <row r="150">
      <c r="A150" s="42" t="n"/>
      <c r="B150" s="42" t="n"/>
      <c r="C150" s="43" t="n"/>
      <c r="D150" s="43" t="n"/>
      <c r="E150" s="43" t="n"/>
      <c r="F150" s="44" t="n"/>
      <c r="G150" s="45" t="n"/>
      <c r="H150" s="48">
        <f>IF(OR(F150="",G150=""),"",G150-F150)</f>
        <v/>
      </c>
      <c r="I150" s="43" t="n"/>
      <c r="J150" s="43" t="n"/>
    </row>
    <row r="151">
      <c r="A151" s="42" t="n"/>
      <c r="B151" s="42" t="n"/>
      <c r="C151" s="43" t="n"/>
      <c r="D151" s="43" t="n"/>
      <c r="E151" s="43" t="n"/>
      <c r="F151" s="44" t="n"/>
      <c r="G151" s="45" t="n"/>
      <c r="H151" s="48">
        <f>IF(OR(F151="",G151=""),"",G151-F151)</f>
        <v/>
      </c>
      <c r="I151" s="43" t="n"/>
      <c r="J151" s="43" t="n"/>
    </row>
    <row r="152">
      <c r="A152" s="42" t="n"/>
      <c r="B152" s="42" t="n"/>
      <c r="C152" s="43" t="n"/>
      <c r="D152" s="43" t="n"/>
      <c r="E152" s="43" t="n"/>
      <c r="F152" s="44" t="n"/>
      <c r="G152" s="45" t="n"/>
      <c r="H152" s="48">
        <f>IF(OR(F152="",G152=""),"",G152-F152)</f>
        <v/>
      </c>
      <c r="I152" s="43" t="n"/>
      <c r="J152" s="43" t="n"/>
    </row>
    <row r="153">
      <c r="A153" s="42" t="n"/>
      <c r="B153" s="42" t="n"/>
      <c r="C153" s="43" t="n"/>
      <c r="D153" s="43" t="n"/>
      <c r="E153" s="43" t="n"/>
      <c r="F153" s="44" t="n"/>
      <c r="G153" s="45" t="n"/>
      <c r="H153" s="48">
        <f>IF(OR(F153="",G153=""),"",G153-F153)</f>
        <v/>
      </c>
      <c r="I153" s="43" t="n"/>
      <c r="J153" s="43" t="n"/>
    </row>
    <row r="154">
      <c r="A154" s="42" t="n"/>
      <c r="B154" s="42" t="n"/>
      <c r="C154" s="43" t="n"/>
      <c r="D154" s="43" t="n"/>
      <c r="E154" s="43" t="n"/>
      <c r="F154" s="44" t="n"/>
      <c r="G154" s="45" t="n"/>
      <c r="H154" s="48">
        <f>IF(OR(F154="",G154=""),"",G154-F154)</f>
        <v/>
      </c>
      <c r="I154" s="43" t="n"/>
      <c r="J154" s="43" t="n"/>
    </row>
    <row r="155">
      <c r="A155" s="42" t="n"/>
      <c r="B155" s="42" t="n"/>
      <c r="C155" s="43" t="n"/>
      <c r="D155" s="43" t="n"/>
      <c r="E155" s="43" t="n"/>
      <c r="F155" s="44" t="n"/>
      <c r="G155" s="45" t="n"/>
      <c r="H155" s="48">
        <f>IF(OR(F155="",G155=""),"",G155-F155)</f>
        <v/>
      </c>
      <c r="I155" s="43" t="n"/>
      <c r="J155" s="43" t="n"/>
    </row>
    <row r="156">
      <c r="A156" s="42" t="n"/>
      <c r="B156" s="42" t="n"/>
      <c r="C156" s="43" t="n"/>
      <c r="D156" s="43" t="n"/>
      <c r="E156" s="43" t="n"/>
      <c r="F156" s="44" t="n"/>
      <c r="G156" s="45" t="n"/>
      <c r="H156" s="48">
        <f>IF(OR(F156="",G156=""),"",G156-F156)</f>
        <v/>
      </c>
      <c r="I156" s="43" t="n"/>
      <c r="J156" s="43" t="n"/>
    </row>
    <row r="157">
      <c r="A157" s="42" t="n"/>
      <c r="B157" s="42" t="n"/>
      <c r="C157" s="43" t="n"/>
      <c r="D157" s="43" t="n"/>
      <c r="E157" s="43" t="n"/>
      <c r="F157" s="44" t="n"/>
      <c r="G157" s="45" t="n"/>
      <c r="H157" s="48">
        <f>IF(OR(F157="",G157=""),"",G157-F157)</f>
        <v/>
      </c>
      <c r="I157" s="43" t="n"/>
      <c r="J157" s="43" t="n"/>
    </row>
    <row r="158">
      <c r="A158" s="42" t="n"/>
      <c r="B158" s="42" t="n"/>
      <c r="C158" s="43" t="n"/>
      <c r="D158" s="43" t="n"/>
      <c r="E158" s="43" t="n"/>
      <c r="F158" s="44" t="n"/>
      <c r="G158" s="45" t="n"/>
      <c r="H158" s="48">
        <f>IF(OR(F158="",G158=""),"",G158-F158)</f>
        <v/>
      </c>
      <c r="I158" s="43" t="n"/>
      <c r="J158" s="43" t="n"/>
    </row>
    <row r="159">
      <c r="A159" s="42" t="n"/>
      <c r="B159" s="42" t="n"/>
      <c r="C159" s="43" t="n"/>
      <c r="D159" s="43" t="n"/>
      <c r="E159" s="43" t="n"/>
      <c r="F159" s="44" t="n"/>
      <c r="G159" s="45" t="n"/>
      <c r="H159" s="48">
        <f>IF(OR(F159="",G159=""),"",G159-F159)</f>
        <v/>
      </c>
      <c r="I159" s="43" t="n"/>
      <c r="J159" s="43" t="n"/>
    </row>
    <row r="160">
      <c r="A160" s="42" t="n"/>
      <c r="B160" s="42" t="n"/>
      <c r="C160" s="43" t="n"/>
      <c r="D160" s="43" t="n"/>
      <c r="E160" s="43" t="n"/>
      <c r="F160" s="44" t="n"/>
      <c r="G160" s="45" t="n"/>
      <c r="H160" s="48">
        <f>IF(OR(F160="",G160=""),"",G160-F160)</f>
        <v/>
      </c>
      <c r="I160" s="43" t="n"/>
      <c r="J160" s="43" t="n"/>
    </row>
    <row r="161">
      <c r="A161" s="42" t="n"/>
      <c r="B161" s="42" t="n"/>
      <c r="C161" s="43" t="n"/>
      <c r="D161" s="43" t="n"/>
      <c r="E161" s="43" t="n"/>
      <c r="F161" s="44" t="n"/>
      <c r="G161" s="45" t="n"/>
      <c r="H161" s="48">
        <f>IF(OR(F161="",G161=""),"",G161-F161)</f>
        <v/>
      </c>
      <c r="I161" s="43" t="n"/>
      <c r="J161" s="43" t="n"/>
    </row>
    <row r="162">
      <c r="A162" s="42" t="n"/>
      <c r="B162" s="42" t="n"/>
      <c r="C162" s="43" t="n"/>
      <c r="D162" s="43" t="n"/>
      <c r="E162" s="43" t="n"/>
      <c r="F162" s="44" t="n"/>
      <c r="G162" s="45" t="n"/>
      <c r="H162" s="48">
        <f>IF(OR(F162="",G162=""),"",G162-F162)</f>
        <v/>
      </c>
      <c r="I162" s="43" t="n"/>
      <c r="J162" s="43" t="n"/>
    </row>
    <row r="163">
      <c r="A163" s="42" t="n"/>
      <c r="B163" s="42" t="n"/>
      <c r="C163" s="43" t="n"/>
      <c r="D163" s="43" t="n"/>
      <c r="E163" s="43" t="n"/>
      <c r="F163" s="44" t="n"/>
      <c r="G163" s="45" t="n"/>
      <c r="H163" s="48">
        <f>IF(OR(F163="",G163=""),"",G163-F163)</f>
        <v/>
      </c>
      <c r="I163" s="43" t="n"/>
      <c r="J163" s="43" t="n"/>
    </row>
    <row r="164">
      <c r="A164" s="42" t="n"/>
      <c r="B164" s="42" t="n"/>
      <c r="C164" s="43" t="n"/>
      <c r="D164" s="43" t="n"/>
      <c r="E164" s="43" t="n"/>
      <c r="F164" s="44" t="n"/>
      <c r="G164" s="45" t="n"/>
      <c r="H164" s="48">
        <f>IF(OR(F164="",G164=""),"",G164-F164)</f>
        <v/>
      </c>
      <c r="I164" s="43" t="n"/>
      <c r="J164" s="43" t="n"/>
    </row>
    <row r="165">
      <c r="A165" s="42" t="n"/>
      <c r="B165" s="42" t="n"/>
      <c r="C165" s="43" t="n"/>
      <c r="D165" s="43" t="n"/>
      <c r="E165" s="43" t="n"/>
      <c r="F165" s="44" t="n"/>
      <c r="G165" s="45" t="n"/>
      <c r="H165" s="48">
        <f>IF(OR(F165="",G165=""),"",G165-F165)</f>
        <v/>
      </c>
      <c r="I165" s="43" t="n"/>
      <c r="J165" s="43" t="n"/>
    </row>
    <row r="166">
      <c r="A166" s="42" t="n"/>
      <c r="B166" s="42" t="n"/>
      <c r="C166" s="43" t="n"/>
      <c r="D166" s="43" t="n"/>
      <c r="E166" s="43" t="n"/>
      <c r="F166" s="44" t="n"/>
      <c r="G166" s="45" t="n"/>
      <c r="H166" s="48">
        <f>IF(OR(F166="",G166=""),"",G166-F166)</f>
        <v/>
      </c>
      <c r="I166" s="43" t="n"/>
      <c r="J166" s="43" t="n"/>
    </row>
    <row r="167">
      <c r="A167" s="42" t="n"/>
      <c r="B167" s="42" t="n"/>
      <c r="C167" s="43" t="n"/>
      <c r="D167" s="43" t="n"/>
      <c r="E167" s="43" t="n"/>
      <c r="F167" s="44" t="n"/>
      <c r="G167" s="45" t="n"/>
      <c r="H167" s="48">
        <f>IF(OR(F167="",G167=""),"",G167-F167)</f>
        <v/>
      </c>
      <c r="I167" s="43" t="n"/>
      <c r="J167" s="43" t="n"/>
    </row>
    <row r="168">
      <c r="A168" s="42" t="n"/>
      <c r="B168" s="42" t="n"/>
      <c r="C168" s="43" t="n"/>
      <c r="D168" s="43" t="n"/>
      <c r="E168" s="43" t="n"/>
      <c r="F168" s="44" t="n"/>
      <c r="G168" s="45" t="n"/>
      <c r="H168" s="48">
        <f>IF(OR(F168="",G168=""),"",G168-F168)</f>
        <v/>
      </c>
      <c r="I168" s="43" t="n"/>
      <c r="J168" s="43" t="n"/>
    </row>
    <row r="169">
      <c r="A169" s="42" t="n"/>
      <c r="B169" s="42" t="n"/>
      <c r="C169" s="43" t="n"/>
      <c r="D169" s="43" t="n"/>
      <c r="E169" s="43" t="n"/>
      <c r="F169" s="44" t="n"/>
      <c r="G169" s="45" t="n"/>
      <c r="H169" s="48">
        <f>IF(OR(F169="",G169=""),"",G169-F169)</f>
        <v/>
      </c>
      <c r="I169" s="43" t="n"/>
      <c r="J169" s="43" t="n"/>
    </row>
    <row r="170">
      <c r="A170" s="42" t="n"/>
      <c r="B170" s="42" t="n"/>
      <c r="C170" s="43" t="n"/>
      <c r="D170" s="43" t="n"/>
      <c r="E170" s="43" t="n"/>
      <c r="F170" s="44" t="n"/>
      <c r="G170" s="45" t="n"/>
      <c r="H170" s="48">
        <f>IF(OR(F170="",G170=""),"",G170-F170)</f>
        <v/>
      </c>
      <c r="I170" s="43" t="n"/>
      <c r="J170" s="43" t="n"/>
    </row>
    <row r="171">
      <c r="A171" s="42" t="n"/>
      <c r="B171" s="42" t="n"/>
      <c r="C171" s="43" t="n"/>
      <c r="D171" s="43" t="n"/>
      <c r="E171" s="43" t="n"/>
      <c r="F171" s="44" t="n"/>
      <c r="G171" s="45" t="n"/>
      <c r="H171" s="48">
        <f>IF(OR(F171="",G171=""),"",G171-F171)</f>
        <v/>
      </c>
      <c r="I171" s="43" t="n"/>
      <c r="J171" s="43" t="n"/>
    </row>
    <row r="172">
      <c r="A172" s="42" t="n"/>
      <c r="B172" s="42" t="n"/>
      <c r="C172" s="43" t="n"/>
      <c r="D172" s="43" t="n"/>
      <c r="E172" s="43" t="n"/>
      <c r="F172" s="44" t="n"/>
      <c r="G172" s="45" t="n"/>
      <c r="H172" s="48">
        <f>IF(OR(F172="",G172=""),"",G172-F172)</f>
        <v/>
      </c>
      <c r="I172" s="43" t="n"/>
      <c r="J172" s="43" t="n"/>
    </row>
    <row r="173">
      <c r="A173" s="42" t="n"/>
      <c r="B173" s="42" t="n"/>
      <c r="C173" s="43" t="n"/>
      <c r="D173" s="43" t="n"/>
      <c r="E173" s="43" t="n"/>
      <c r="F173" s="44" t="n"/>
      <c r="G173" s="45" t="n"/>
      <c r="H173" s="48">
        <f>IF(OR(F173="",G173=""),"",G173-F173)</f>
        <v/>
      </c>
      <c r="I173" s="43" t="n"/>
      <c r="J173" s="43" t="n"/>
    </row>
    <row r="174">
      <c r="A174" s="42" t="n"/>
      <c r="B174" s="42" t="n"/>
      <c r="C174" s="43" t="n"/>
      <c r="D174" s="43" t="n"/>
      <c r="E174" s="43" t="n"/>
      <c r="F174" s="44" t="n"/>
      <c r="G174" s="45" t="n"/>
      <c r="H174" s="48">
        <f>IF(OR(F174="",G174=""),"",G174-F174)</f>
        <v/>
      </c>
      <c r="I174" s="43" t="n"/>
      <c r="J174" s="43" t="n"/>
    </row>
    <row r="175">
      <c r="A175" s="42" t="n"/>
      <c r="B175" s="42" t="n"/>
      <c r="C175" s="43" t="n"/>
      <c r="D175" s="43" t="n"/>
      <c r="E175" s="43" t="n"/>
      <c r="F175" s="44" t="n"/>
      <c r="G175" s="45" t="n"/>
      <c r="H175" s="48">
        <f>IF(OR(F175="",G175=""),"",G175-F175)</f>
        <v/>
      </c>
      <c r="I175" s="43" t="n"/>
      <c r="J175" s="43" t="n"/>
    </row>
    <row r="176">
      <c r="A176" s="42" t="n"/>
      <c r="B176" s="42" t="n"/>
      <c r="C176" s="43" t="n"/>
      <c r="D176" s="43" t="n"/>
      <c r="E176" s="43" t="n"/>
      <c r="F176" s="44" t="n"/>
      <c r="G176" s="45" t="n"/>
      <c r="H176" s="48">
        <f>IF(OR(F176="",G176=""),"",G176-F176)</f>
        <v/>
      </c>
      <c r="I176" s="43" t="n"/>
      <c r="J176" s="43" t="n"/>
    </row>
    <row r="177">
      <c r="A177" s="42" t="n"/>
      <c r="B177" s="42" t="n"/>
      <c r="C177" s="43" t="n"/>
      <c r="D177" s="43" t="n"/>
      <c r="E177" s="43" t="n"/>
      <c r="F177" s="44" t="n"/>
      <c r="G177" s="45" t="n"/>
      <c r="H177" s="48">
        <f>IF(OR(F177="",G177=""),"",G177-F177)</f>
        <v/>
      </c>
      <c r="I177" s="43" t="n"/>
      <c r="J177" s="43" t="n"/>
    </row>
    <row r="178">
      <c r="A178" s="42" t="n"/>
      <c r="B178" s="42" t="n"/>
      <c r="C178" s="43" t="n"/>
      <c r="D178" s="43" t="n"/>
      <c r="E178" s="43" t="n"/>
      <c r="F178" s="44" t="n"/>
      <c r="G178" s="45" t="n"/>
      <c r="H178" s="48">
        <f>IF(OR(F178="",G178=""),"",G178-F178)</f>
        <v/>
      </c>
      <c r="I178" s="43" t="n"/>
      <c r="J178" s="43" t="n"/>
    </row>
    <row r="179">
      <c r="A179" s="42" t="n"/>
      <c r="B179" s="42" t="n"/>
      <c r="C179" s="43" t="n"/>
      <c r="D179" s="43" t="n"/>
      <c r="E179" s="43" t="n"/>
      <c r="F179" s="44" t="n"/>
      <c r="G179" s="45" t="n"/>
      <c r="H179" s="48">
        <f>IF(OR(F179="",G179=""),"",G179-F179)</f>
        <v/>
      </c>
      <c r="I179" s="43" t="n"/>
      <c r="J179" s="43" t="n"/>
    </row>
    <row r="180">
      <c r="A180" s="42" t="n"/>
      <c r="B180" s="42" t="n"/>
      <c r="C180" s="43" t="n"/>
      <c r="D180" s="43" t="n"/>
      <c r="E180" s="43" t="n"/>
      <c r="F180" s="44" t="n"/>
      <c r="G180" s="45" t="n"/>
      <c r="H180" s="48">
        <f>IF(OR(F180="",G180=""),"",G180-F180)</f>
        <v/>
      </c>
      <c r="I180" s="43" t="n"/>
      <c r="J180" s="43" t="n"/>
    </row>
    <row r="181">
      <c r="A181" s="42" t="n"/>
      <c r="B181" s="42" t="n"/>
      <c r="C181" s="43" t="n"/>
      <c r="D181" s="43" t="n"/>
      <c r="E181" s="43" t="n"/>
      <c r="F181" s="44" t="n"/>
      <c r="G181" s="45" t="n"/>
      <c r="H181" s="48">
        <f>IF(OR(F181="",G181=""),"",G181-F181)</f>
        <v/>
      </c>
      <c r="I181" s="43" t="n"/>
      <c r="J181" s="43" t="n"/>
    </row>
    <row r="182">
      <c r="A182" s="42" t="n"/>
      <c r="B182" s="42" t="n"/>
      <c r="C182" s="43" t="n"/>
      <c r="D182" s="43" t="n"/>
      <c r="E182" s="43" t="n"/>
      <c r="F182" s="44" t="n"/>
      <c r="G182" s="45" t="n"/>
      <c r="H182" s="48">
        <f>IF(OR(F182="",G182=""),"",G182-F182)</f>
        <v/>
      </c>
      <c r="I182" s="43" t="n"/>
      <c r="J182" s="43" t="n"/>
    </row>
    <row r="183">
      <c r="A183" s="42" t="n"/>
      <c r="B183" s="42" t="n"/>
      <c r="C183" s="43" t="n"/>
      <c r="D183" s="43" t="n"/>
      <c r="E183" s="43" t="n"/>
      <c r="F183" s="44" t="n"/>
      <c r="G183" s="45" t="n"/>
      <c r="H183" s="48">
        <f>IF(OR(F183="",G183=""),"",G183-F183)</f>
        <v/>
      </c>
      <c r="I183" s="43" t="n"/>
      <c r="J183" s="43" t="n"/>
    </row>
    <row r="184">
      <c r="A184" s="42" t="n"/>
      <c r="B184" s="42" t="n"/>
      <c r="C184" s="43" t="n"/>
      <c r="D184" s="43" t="n"/>
      <c r="E184" s="43" t="n"/>
      <c r="F184" s="44" t="n"/>
      <c r="G184" s="45" t="n"/>
      <c r="H184" s="48">
        <f>IF(OR(F184="",G184=""),"",G184-F184)</f>
        <v/>
      </c>
      <c r="I184" s="43" t="n"/>
      <c r="J184" s="43" t="n"/>
    </row>
    <row r="185">
      <c r="A185" s="42" t="n"/>
      <c r="B185" s="42" t="n"/>
      <c r="C185" s="43" t="n"/>
      <c r="D185" s="43" t="n"/>
      <c r="E185" s="43" t="n"/>
      <c r="F185" s="44" t="n"/>
      <c r="G185" s="45" t="n"/>
      <c r="H185" s="48">
        <f>IF(OR(F185="",G185=""),"",G185-F185)</f>
        <v/>
      </c>
      <c r="I185" s="43" t="n"/>
      <c r="J185" s="43" t="n"/>
    </row>
    <row r="186">
      <c r="A186" s="42" t="n"/>
      <c r="B186" s="42" t="n"/>
      <c r="C186" s="43" t="n"/>
      <c r="D186" s="43" t="n"/>
      <c r="E186" s="43" t="n"/>
      <c r="F186" s="44" t="n"/>
      <c r="G186" s="45" t="n"/>
      <c r="H186" s="48">
        <f>IF(OR(F186="",G186=""),"",G186-F186)</f>
        <v/>
      </c>
      <c r="I186" s="43" t="n"/>
      <c r="J186" s="43" t="n"/>
    </row>
    <row r="187">
      <c r="A187" s="42" t="n"/>
      <c r="B187" s="42" t="n"/>
      <c r="C187" s="43" t="n"/>
      <c r="D187" s="43" t="n"/>
      <c r="E187" s="43" t="n"/>
      <c r="F187" s="44" t="n"/>
      <c r="G187" s="45" t="n"/>
      <c r="H187" s="48">
        <f>IF(OR(F187="",G187=""),"",G187-F187)</f>
        <v/>
      </c>
      <c r="I187" s="43" t="n"/>
      <c r="J187" s="43" t="n"/>
    </row>
    <row r="188">
      <c r="A188" s="42" t="n"/>
      <c r="B188" s="42" t="n"/>
      <c r="C188" s="43" t="n"/>
      <c r="D188" s="43" t="n"/>
      <c r="E188" s="43" t="n"/>
      <c r="F188" s="44" t="n"/>
      <c r="G188" s="45" t="n"/>
      <c r="H188" s="48">
        <f>IF(OR(F188="",G188=""),"",G188-F188)</f>
        <v/>
      </c>
      <c r="I188" s="43" t="n"/>
      <c r="J188" s="43" t="n"/>
    </row>
    <row r="189">
      <c r="A189" s="42" t="n"/>
      <c r="B189" s="42" t="n"/>
      <c r="C189" s="43" t="n"/>
      <c r="D189" s="43" t="n"/>
      <c r="E189" s="43" t="n"/>
      <c r="F189" s="44" t="n"/>
      <c r="G189" s="45" t="n"/>
      <c r="H189" s="48">
        <f>IF(OR(F189="",G189=""),"",G189-F189)</f>
        <v/>
      </c>
      <c r="I189" s="43" t="n"/>
      <c r="J189" s="43" t="n"/>
    </row>
    <row r="190">
      <c r="A190" s="42" t="n"/>
      <c r="B190" s="42" t="n"/>
      <c r="C190" s="43" t="n"/>
      <c r="D190" s="43" t="n"/>
      <c r="E190" s="43" t="n"/>
      <c r="F190" s="44" t="n"/>
      <c r="G190" s="45" t="n"/>
      <c r="H190" s="48">
        <f>IF(OR(F190="",G190=""),"",G190-F190)</f>
        <v/>
      </c>
      <c r="I190" s="43" t="n"/>
      <c r="J190" s="43" t="n"/>
    </row>
    <row r="191">
      <c r="A191" s="42" t="n"/>
      <c r="B191" s="42" t="n"/>
      <c r="C191" s="43" t="n"/>
      <c r="D191" s="43" t="n"/>
      <c r="E191" s="43" t="n"/>
      <c r="F191" s="44" t="n"/>
      <c r="G191" s="45" t="n"/>
      <c r="H191" s="48">
        <f>IF(OR(F191="",G191=""),"",G191-F191)</f>
        <v/>
      </c>
      <c r="I191" s="43" t="n"/>
      <c r="J191" s="43" t="n"/>
    </row>
    <row r="192">
      <c r="A192" s="42" t="n"/>
      <c r="B192" s="42" t="n"/>
      <c r="C192" s="43" t="n"/>
      <c r="D192" s="43" t="n"/>
      <c r="E192" s="43" t="n"/>
      <c r="F192" s="44" t="n"/>
      <c r="G192" s="45" t="n"/>
      <c r="H192" s="48">
        <f>IF(OR(F192="",G192=""),"",G192-F192)</f>
        <v/>
      </c>
      <c r="I192" s="43" t="n"/>
      <c r="J192" s="43" t="n"/>
    </row>
    <row r="193">
      <c r="A193" s="42" t="n"/>
      <c r="B193" s="42" t="n"/>
      <c r="C193" s="43" t="n"/>
      <c r="D193" s="43" t="n"/>
      <c r="E193" s="43" t="n"/>
      <c r="F193" s="44" t="n"/>
      <c r="G193" s="45" t="n"/>
      <c r="H193" s="48">
        <f>IF(OR(F193="",G193=""),"",G193-F193)</f>
        <v/>
      </c>
      <c r="I193" s="43" t="n"/>
      <c r="J193" s="43" t="n"/>
    </row>
    <row r="194">
      <c r="A194" s="42" t="n"/>
      <c r="B194" s="42" t="n"/>
      <c r="C194" s="43" t="n"/>
      <c r="D194" s="43" t="n"/>
      <c r="E194" s="43" t="n"/>
      <c r="F194" s="44" t="n"/>
      <c r="G194" s="45" t="n"/>
      <c r="H194" s="48">
        <f>IF(OR(F194="",G194=""),"",G194-F194)</f>
        <v/>
      </c>
      <c r="I194" s="43" t="n"/>
      <c r="J194" s="43" t="n"/>
    </row>
    <row r="195">
      <c r="A195" s="42" t="n"/>
      <c r="B195" s="42" t="n"/>
      <c r="C195" s="43" t="n"/>
      <c r="D195" s="43" t="n"/>
      <c r="E195" s="43" t="n"/>
      <c r="F195" s="44" t="n"/>
      <c r="G195" s="45" t="n"/>
      <c r="H195" s="48">
        <f>IF(OR(F195="",G195=""),"",G195-F195)</f>
        <v/>
      </c>
      <c r="I195" s="43" t="n"/>
      <c r="J195" s="43" t="n"/>
    </row>
    <row r="196">
      <c r="A196" s="42" t="n"/>
      <c r="B196" s="42" t="n"/>
      <c r="C196" s="43" t="n"/>
      <c r="D196" s="43" t="n"/>
      <c r="E196" s="43" t="n"/>
      <c r="F196" s="44" t="n"/>
      <c r="G196" s="45" t="n"/>
      <c r="H196" s="48">
        <f>IF(OR(F196="",G196=""),"",G196-F196)</f>
        <v/>
      </c>
      <c r="I196" s="43" t="n"/>
      <c r="J196" s="43" t="n"/>
    </row>
    <row r="197">
      <c r="A197" s="42" t="n"/>
      <c r="B197" s="42" t="n"/>
      <c r="C197" s="43" t="n"/>
      <c r="D197" s="43" t="n"/>
      <c r="E197" s="43" t="n"/>
      <c r="F197" s="44" t="n"/>
      <c r="G197" s="45" t="n"/>
      <c r="H197" s="48">
        <f>IF(OR(F197="",G197=""),"",G197-F197)</f>
        <v/>
      </c>
      <c r="I197" s="43" t="n"/>
      <c r="J197" s="43" t="n"/>
    </row>
    <row r="198">
      <c r="A198" s="42" t="n"/>
      <c r="B198" s="42" t="n"/>
      <c r="C198" s="43" t="n"/>
      <c r="D198" s="43" t="n"/>
      <c r="E198" s="43" t="n"/>
      <c r="F198" s="44" t="n"/>
      <c r="G198" s="45" t="n"/>
      <c r="H198" s="48">
        <f>IF(OR(F198="",G198=""),"",G198-F198)</f>
        <v/>
      </c>
      <c r="I198" s="43" t="n"/>
      <c r="J198" s="43" t="n"/>
    </row>
    <row r="199">
      <c r="A199" s="42" t="n"/>
      <c r="B199" s="42" t="n"/>
      <c r="C199" s="43" t="n"/>
      <c r="D199" s="43" t="n"/>
      <c r="E199" s="43" t="n"/>
      <c r="F199" s="44" t="n"/>
      <c r="G199" s="45" t="n"/>
      <c r="H199" s="48">
        <f>IF(OR(F199="",G199=""),"",G199-F199)</f>
        <v/>
      </c>
      <c r="I199" s="43" t="n"/>
      <c r="J199" s="43" t="n"/>
    </row>
    <row r="200">
      <c r="A200" s="42" t="n"/>
      <c r="B200" s="42" t="n"/>
      <c r="C200" s="43" t="n"/>
      <c r="D200" s="43" t="n"/>
      <c r="E200" s="43" t="n"/>
      <c r="F200" s="44" t="n"/>
      <c r="G200" s="45" t="n"/>
      <c r="H200" s="48">
        <f>IF(OR(F200="",G200=""),"",G200-F200)</f>
        <v/>
      </c>
      <c r="I200" s="43" t="n"/>
      <c r="J200" s="43" t="n"/>
    </row>
    <row r="201">
      <c r="A201" s="42" t="n"/>
      <c r="B201" s="42" t="n"/>
      <c r="C201" s="43" t="n"/>
      <c r="D201" s="43" t="n"/>
      <c r="E201" s="43" t="n"/>
      <c r="F201" s="44" t="n"/>
      <c r="G201" s="45" t="n"/>
      <c r="H201" s="48">
        <f>IF(OR(F201="",G201=""),"",G201-F201)</f>
        <v/>
      </c>
      <c r="I201" s="43" t="n"/>
      <c r="J201" s="43" t="n"/>
    </row>
    <row r="202">
      <c r="A202" s="42" t="n"/>
      <c r="B202" s="42" t="n"/>
      <c r="C202" s="43" t="n"/>
      <c r="D202" s="43" t="n"/>
      <c r="E202" s="43" t="n"/>
      <c r="F202" s="44" t="n"/>
      <c r="G202" s="45" t="n"/>
      <c r="H202" s="48">
        <f>IF(OR(F202="",G202=""),"",G202-F202)</f>
        <v/>
      </c>
      <c r="I202" s="43" t="n"/>
      <c r="J202" s="43" t="n"/>
    </row>
    <row r="203">
      <c r="A203" s="42" t="n"/>
      <c r="B203" s="42" t="n"/>
      <c r="C203" s="43" t="n"/>
      <c r="D203" s="43" t="n"/>
      <c r="E203" s="43" t="n"/>
      <c r="F203" s="44" t="n"/>
      <c r="G203" s="45" t="n"/>
      <c r="H203" s="48">
        <f>IF(OR(F203="",G203=""),"",G203-F203)</f>
        <v/>
      </c>
      <c r="I203" s="43" t="n"/>
      <c r="J203" s="43" t="n"/>
    </row>
    <row r="204">
      <c r="A204" s="42" t="n"/>
      <c r="B204" s="42" t="n"/>
      <c r="C204" s="43" t="n"/>
      <c r="D204" s="43" t="n"/>
      <c r="E204" s="43" t="n"/>
      <c r="F204" s="44" t="n"/>
      <c r="G204" s="45" t="n"/>
      <c r="H204" s="48">
        <f>IF(OR(F204="",G204=""),"",G204-F204)</f>
        <v/>
      </c>
      <c r="I204" s="43" t="n"/>
      <c r="J204" s="43" t="n"/>
    </row>
    <row r="205">
      <c r="A205" s="42" t="n"/>
      <c r="B205" s="42" t="n"/>
      <c r="C205" s="43" t="n"/>
      <c r="D205" s="43" t="n"/>
      <c r="E205" s="43" t="n"/>
      <c r="F205" s="44" t="n"/>
      <c r="G205" s="45" t="n"/>
      <c r="H205" s="48">
        <f>IF(OR(F205="",G205=""),"",G205-F205)</f>
        <v/>
      </c>
      <c r="I205" s="43" t="n"/>
      <c r="J205" s="43" t="n"/>
    </row>
    <row r="206">
      <c r="A206" s="42" t="n"/>
      <c r="B206" s="42" t="n"/>
      <c r="C206" s="43" t="n"/>
      <c r="D206" s="43" t="n"/>
      <c r="E206" s="43" t="n"/>
      <c r="F206" s="44" t="n"/>
      <c r="G206" s="45" t="n"/>
      <c r="H206" s="48">
        <f>IF(OR(F206="",G206=""),"",G206-F206)</f>
        <v/>
      </c>
      <c r="I206" s="43" t="n"/>
      <c r="J206" s="43" t="n"/>
    </row>
    <row r="207">
      <c r="A207" s="42" t="n"/>
      <c r="B207" s="42" t="n"/>
      <c r="C207" s="43" t="n"/>
      <c r="D207" s="43" t="n"/>
      <c r="E207" s="43" t="n"/>
      <c r="F207" s="44" t="n"/>
      <c r="G207" s="45" t="n"/>
      <c r="H207" s="48">
        <f>IF(OR(F207="",G207=""),"",G207-F207)</f>
        <v/>
      </c>
      <c r="I207" s="43" t="n"/>
      <c r="J207" s="43" t="n"/>
    </row>
    <row r="208">
      <c r="A208" s="42" t="n"/>
      <c r="B208" s="42" t="n"/>
      <c r="C208" s="43" t="n"/>
      <c r="D208" s="43" t="n"/>
      <c r="E208" s="43" t="n"/>
      <c r="F208" s="44" t="n"/>
      <c r="G208" s="45" t="n"/>
      <c r="H208" s="48">
        <f>IF(OR(F208="",G208=""),"",G208-F208)</f>
        <v/>
      </c>
      <c r="I208" s="43" t="n"/>
      <c r="J208" s="43" t="n"/>
    </row>
    <row r="209">
      <c r="A209" s="42" t="n"/>
      <c r="B209" s="42" t="n"/>
      <c r="C209" s="43" t="n"/>
      <c r="D209" s="43" t="n"/>
      <c r="E209" s="43" t="n"/>
      <c r="F209" s="44" t="n"/>
      <c r="G209" s="45" t="n"/>
      <c r="H209" s="48">
        <f>IF(OR(F209="",G209=""),"",G209-F209)</f>
        <v/>
      </c>
      <c r="I209" s="43" t="n"/>
      <c r="J209" s="43" t="n"/>
    </row>
    <row r="210">
      <c r="A210" s="42" t="n"/>
      <c r="B210" s="42" t="n"/>
      <c r="C210" s="43" t="n"/>
      <c r="D210" s="43" t="n"/>
      <c r="E210" s="43" t="n"/>
      <c r="F210" s="44" t="n"/>
      <c r="G210" s="45" t="n"/>
      <c r="H210" s="48">
        <f>IF(OR(F210="",G210=""),"",G210-F210)</f>
        <v/>
      </c>
      <c r="I210" s="43" t="n"/>
      <c r="J210" s="43" t="n"/>
    </row>
    <row r="211">
      <c r="A211" s="42" t="n"/>
      <c r="B211" s="42" t="n"/>
      <c r="C211" s="43" t="n"/>
      <c r="D211" s="43" t="n"/>
      <c r="E211" s="43" t="n"/>
      <c r="F211" s="44" t="n"/>
      <c r="G211" s="45" t="n"/>
      <c r="H211" s="48">
        <f>IF(OR(F211="",G211=""),"",G211-F211)</f>
        <v/>
      </c>
      <c r="I211" s="43" t="n"/>
      <c r="J211" s="43" t="n"/>
    </row>
    <row r="212">
      <c r="A212" s="42" t="n"/>
      <c r="B212" s="42" t="n"/>
      <c r="C212" s="43" t="n"/>
      <c r="D212" s="43" t="n"/>
      <c r="E212" s="43" t="n"/>
      <c r="F212" s="44" t="n"/>
      <c r="G212" s="45" t="n"/>
      <c r="H212" s="48">
        <f>IF(OR(F212="",G212=""),"",G212-F212)</f>
        <v/>
      </c>
      <c r="I212" s="43" t="n"/>
      <c r="J212" s="43" t="n"/>
    </row>
    <row r="213">
      <c r="A213" s="42" t="n"/>
      <c r="B213" s="42" t="n"/>
      <c r="C213" s="43" t="n"/>
      <c r="D213" s="43" t="n"/>
      <c r="E213" s="43" t="n"/>
      <c r="F213" s="44" t="n"/>
      <c r="G213" s="45" t="n"/>
      <c r="H213" s="48">
        <f>IF(OR(F213="",G213=""),"",G213-F213)</f>
        <v/>
      </c>
      <c r="I213" s="43" t="n"/>
      <c r="J213" s="43" t="n"/>
    </row>
    <row r="214">
      <c r="A214" s="42" t="n"/>
      <c r="B214" s="42" t="n"/>
      <c r="C214" s="43" t="n"/>
      <c r="D214" s="43" t="n"/>
      <c r="E214" s="43" t="n"/>
      <c r="F214" s="44" t="n"/>
      <c r="G214" s="45" t="n"/>
      <c r="H214" s="48">
        <f>IF(OR(F214="",G214=""),"",G214-F214)</f>
        <v/>
      </c>
      <c r="I214" s="43" t="n"/>
      <c r="J214" s="43" t="n"/>
    </row>
    <row r="215">
      <c r="A215" s="42" t="n"/>
      <c r="B215" s="42" t="n"/>
      <c r="C215" s="43" t="n"/>
      <c r="D215" s="43" t="n"/>
      <c r="E215" s="43" t="n"/>
      <c r="F215" s="44" t="n"/>
      <c r="G215" s="45" t="n"/>
      <c r="H215" s="48">
        <f>IF(OR(F215="",G215=""),"",G215-F215)</f>
        <v/>
      </c>
      <c r="I215" s="43" t="n"/>
      <c r="J215" s="43" t="n"/>
    </row>
    <row r="216">
      <c r="A216" s="42" t="n"/>
      <c r="B216" s="42" t="n"/>
      <c r="C216" s="43" t="n"/>
      <c r="D216" s="43" t="n"/>
      <c r="E216" s="43" t="n"/>
      <c r="F216" s="44" t="n"/>
      <c r="G216" s="45" t="n"/>
      <c r="H216" s="48">
        <f>IF(OR(F216="",G216=""),"",G216-F216)</f>
        <v/>
      </c>
      <c r="I216" s="43" t="n"/>
      <c r="J216" s="43" t="n"/>
    </row>
    <row r="217">
      <c r="A217" s="42" t="n"/>
      <c r="B217" s="42" t="n"/>
      <c r="C217" s="43" t="n"/>
      <c r="D217" s="43" t="n"/>
      <c r="E217" s="43" t="n"/>
      <c r="F217" s="44" t="n"/>
      <c r="G217" s="45" t="n"/>
      <c r="H217" s="48">
        <f>IF(OR(F217="",G217=""),"",G217-F217)</f>
        <v/>
      </c>
      <c r="I217" s="43" t="n"/>
      <c r="J217" s="43" t="n"/>
    </row>
    <row r="218">
      <c r="A218" s="42" t="n"/>
      <c r="B218" s="42" t="n"/>
      <c r="C218" s="43" t="n"/>
      <c r="D218" s="43" t="n"/>
      <c r="E218" s="43" t="n"/>
      <c r="F218" s="44" t="n"/>
      <c r="G218" s="45" t="n"/>
      <c r="H218" s="48">
        <f>IF(OR(F218="",G218=""),"",G218-F218)</f>
        <v/>
      </c>
      <c r="I218" s="43" t="n"/>
      <c r="J218" s="43" t="n"/>
    </row>
    <row r="219">
      <c r="A219" s="42" t="n"/>
      <c r="B219" s="42" t="n"/>
      <c r="C219" s="43" t="n"/>
      <c r="D219" s="43" t="n"/>
      <c r="E219" s="43" t="n"/>
      <c r="F219" s="44" t="n"/>
      <c r="G219" s="45" t="n"/>
      <c r="H219" s="48">
        <f>IF(OR(F219="",G219=""),"",G219-F219)</f>
        <v/>
      </c>
      <c r="I219" s="43" t="n"/>
      <c r="J219" s="43" t="n"/>
    </row>
    <row r="220">
      <c r="A220" s="42" t="n"/>
      <c r="B220" s="42" t="n"/>
      <c r="C220" s="43" t="n"/>
      <c r="D220" s="43" t="n"/>
      <c r="E220" s="43" t="n"/>
      <c r="F220" s="44" t="n"/>
      <c r="G220" s="45" t="n"/>
      <c r="H220" s="48">
        <f>IF(OR(F220="",G220=""),"",G220-F220)</f>
        <v/>
      </c>
      <c r="I220" s="43" t="n"/>
      <c r="J220" s="43" t="n"/>
    </row>
    <row r="221">
      <c r="A221" s="42" t="n"/>
      <c r="B221" s="42" t="n"/>
      <c r="C221" s="43" t="n"/>
      <c r="D221" s="43" t="n"/>
      <c r="E221" s="43" t="n"/>
      <c r="F221" s="44" t="n"/>
      <c r="G221" s="45" t="n"/>
      <c r="H221" s="48">
        <f>IF(OR(F221="",G221=""),"",G221-F221)</f>
        <v/>
      </c>
      <c r="I221" s="43" t="n"/>
      <c r="J221" s="43" t="n"/>
    </row>
    <row r="222">
      <c r="A222" s="42" t="n"/>
      <c r="B222" s="42" t="n"/>
      <c r="C222" s="43" t="n"/>
      <c r="D222" s="43" t="n"/>
      <c r="E222" s="43" t="n"/>
      <c r="F222" s="44" t="n"/>
      <c r="G222" s="45" t="n"/>
      <c r="H222" s="48">
        <f>IF(OR(F222="",G222=""),"",G222-F222)</f>
        <v/>
      </c>
      <c r="I222" s="43" t="n"/>
      <c r="J222" s="43" t="n"/>
    </row>
    <row r="223">
      <c r="A223" s="42" t="n"/>
      <c r="B223" s="42" t="n"/>
      <c r="C223" s="43" t="n"/>
      <c r="D223" s="43" t="n"/>
      <c r="E223" s="43" t="n"/>
      <c r="F223" s="44" t="n"/>
      <c r="G223" s="45" t="n"/>
      <c r="H223" s="48">
        <f>IF(OR(F223="",G223=""),"",G223-F223)</f>
        <v/>
      </c>
      <c r="I223" s="43" t="n"/>
      <c r="J223" s="43" t="n"/>
    </row>
    <row r="224">
      <c r="A224" s="42" t="n"/>
      <c r="B224" s="42" t="n"/>
      <c r="C224" s="43" t="n"/>
      <c r="D224" s="43" t="n"/>
      <c r="E224" s="43" t="n"/>
      <c r="F224" s="44" t="n"/>
      <c r="G224" s="45" t="n"/>
      <c r="H224" s="48">
        <f>IF(OR(F224="",G224=""),"",G224-F224)</f>
        <v/>
      </c>
      <c r="I224" s="43" t="n"/>
      <c r="J224" s="43" t="n"/>
    </row>
    <row r="225">
      <c r="A225" s="42" t="n"/>
      <c r="B225" s="42" t="n"/>
      <c r="C225" s="43" t="n"/>
      <c r="D225" s="43" t="n"/>
      <c r="E225" s="43" t="n"/>
      <c r="F225" s="44" t="n"/>
      <c r="G225" s="45" t="n"/>
      <c r="H225" s="48">
        <f>IF(OR(F225="",G225=""),"",G225-F225)</f>
        <v/>
      </c>
      <c r="I225" s="43" t="n"/>
      <c r="J225" s="43" t="n"/>
    </row>
    <row r="226">
      <c r="A226" s="42" t="n"/>
      <c r="B226" s="42" t="n"/>
      <c r="C226" s="43" t="n"/>
      <c r="D226" s="43" t="n"/>
      <c r="E226" s="43" t="n"/>
      <c r="F226" s="44" t="n"/>
      <c r="G226" s="45" t="n"/>
      <c r="H226" s="48">
        <f>IF(OR(F226="",G226=""),"",G226-F226)</f>
        <v/>
      </c>
      <c r="I226" s="43" t="n"/>
      <c r="J226" s="43" t="n"/>
    </row>
    <row r="227">
      <c r="A227" s="42" t="n"/>
      <c r="B227" s="42" t="n"/>
      <c r="C227" s="43" t="n"/>
      <c r="D227" s="43" t="n"/>
      <c r="E227" s="43" t="n"/>
      <c r="F227" s="44" t="n"/>
      <c r="G227" s="45" t="n"/>
      <c r="H227" s="48">
        <f>IF(OR(F227="",G227=""),"",G227-F227)</f>
        <v/>
      </c>
      <c r="I227" s="43" t="n"/>
      <c r="J227" s="43" t="n"/>
    </row>
    <row r="228">
      <c r="A228" s="42" t="n"/>
      <c r="B228" s="42" t="n"/>
      <c r="C228" s="43" t="n"/>
      <c r="D228" s="43" t="n"/>
      <c r="E228" s="43" t="n"/>
      <c r="F228" s="44" t="n"/>
      <c r="G228" s="45" t="n"/>
      <c r="H228" s="48">
        <f>IF(OR(F228="",G228=""),"",G228-F228)</f>
        <v/>
      </c>
      <c r="I228" s="43" t="n"/>
      <c r="J228" s="43" t="n"/>
    </row>
    <row r="229">
      <c r="A229" s="42" t="n"/>
      <c r="B229" s="42" t="n"/>
      <c r="C229" s="43" t="n"/>
      <c r="D229" s="43" t="n"/>
      <c r="E229" s="43" t="n"/>
      <c r="F229" s="44" t="n"/>
      <c r="G229" s="45" t="n"/>
      <c r="H229" s="48">
        <f>IF(OR(F229="",G229=""),"",G229-F229)</f>
        <v/>
      </c>
      <c r="I229" s="43" t="n"/>
      <c r="J229" s="43" t="n"/>
    </row>
    <row r="230">
      <c r="A230" s="42" t="n"/>
      <c r="B230" s="42" t="n"/>
      <c r="C230" s="43" t="n"/>
      <c r="D230" s="43" t="n"/>
      <c r="E230" s="43" t="n"/>
      <c r="F230" s="44" t="n"/>
      <c r="G230" s="45" t="n"/>
      <c r="H230" s="48">
        <f>IF(OR(F230="",G230=""),"",G230-F230)</f>
        <v/>
      </c>
      <c r="I230" s="43" t="n"/>
      <c r="J230" s="43" t="n"/>
    </row>
    <row r="231">
      <c r="A231" s="42" t="n"/>
      <c r="B231" s="42" t="n"/>
      <c r="C231" s="43" t="n"/>
      <c r="D231" s="43" t="n"/>
      <c r="E231" s="43" t="n"/>
      <c r="F231" s="44" t="n"/>
      <c r="G231" s="45" t="n"/>
      <c r="H231" s="48">
        <f>IF(OR(F231="",G231=""),"",G231-F231)</f>
        <v/>
      </c>
      <c r="I231" s="43" t="n"/>
      <c r="J231" s="43" t="n"/>
    </row>
    <row r="232">
      <c r="A232" s="42" t="n"/>
      <c r="B232" s="42" t="n"/>
      <c r="C232" s="43" t="n"/>
      <c r="D232" s="43" t="n"/>
      <c r="E232" s="43" t="n"/>
      <c r="F232" s="44" t="n"/>
      <c r="G232" s="45" t="n"/>
      <c r="H232" s="48">
        <f>IF(OR(F232="",G232=""),"",G232-F232)</f>
        <v/>
      </c>
      <c r="I232" s="43" t="n"/>
      <c r="J232" s="43" t="n"/>
    </row>
    <row r="233">
      <c r="A233" s="42" t="n"/>
      <c r="B233" s="42" t="n"/>
      <c r="C233" s="43" t="n"/>
      <c r="D233" s="43" t="n"/>
      <c r="E233" s="43" t="n"/>
      <c r="F233" s="44" t="n"/>
      <c r="G233" s="45" t="n"/>
      <c r="H233" s="48">
        <f>IF(OR(F233="",G233=""),"",G233-F233)</f>
        <v/>
      </c>
      <c r="I233" s="43" t="n"/>
      <c r="J233" s="43" t="n"/>
    </row>
    <row r="234">
      <c r="A234" s="42" t="n"/>
      <c r="B234" s="42" t="n"/>
      <c r="C234" s="43" t="n"/>
      <c r="D234" s="43" t="n"/>
      <c r="E234" s="43" t="n"/>
      <c r="F234" s="44" t="n"/>
      <c r="G234" s="45" t="n"/>
      <c r="H234" s="48">
        <f>IF(OR(F234="",G234=""),"",G234-F234)</f>
        <v/>
      </c>
      <c r="I234" s="43" t="n"/>
      <c r="J234" s="43" t="n"/>
    </row>
    <row r="235">
      <c r="A235" s="42" t="n"/>
      <c r="B235" s="42" t="n"/>
      <c r="C235" s="43" t="n"/>
      <c r="D235" s="43" t="n"/>
      <c r="E235" s="43" t="n"/>
      <c r="F235" s="44" t="n"/>
      <c r="G235" s="45" t="n"/>
      <c r="H235" s="48">
        <f>IF(OR(F235="",G235=""),"",G235-F235)</f>
        <v/>
      </c>
      <c r="I235" s="43" t="n"/>
      <c r="J235" s="43" t="n"/>
    </row>
    <row r="236">
      <c r="A236" s="42" t="n"/>
      <c r="B236" s="42" t="n"/>
      <c r="C236" s="43" t="n"/>
      <c r="D236" s="43" t="n"/>
      <c r="E236" s="43" t="n"/>
      <c r="F236" s="44" t="n"/>
      <c r="G236" s="45" t="n"/>
      <c r="H236" s="48">
        <f>IF(OR(F236="",G236=""),"",G236-F236)</f>
        <v/>
      </c>
      <c r="I236" s="43" t="n"/>
      <c r="J236" s="43" t="n"/>
    </row>
    <row r="237">
      <c r="A237" s="42" t="n"/>
      <c r="B237" s="42" t="n"/>
      <c r="C237" s="43" t="n"/>
      <c r="D237" s="43" t="n"/>
      <c r="E237" s="43" t="n"/>
      <c r="F237" s="44" t="n"/>
      <c r="G237" s="45" t="n"/>
      <c r="H237" s="48">
        <f>IF(OR(F237="",G237=""),"",G237-F237)</f>
        <v/>
      </c>
      <c r="I237" s="43" t="n"/>
      <c r="J237" s="43" t="n"/>
    </row>
    <row r="238">
      <c r="A238" s="42" t="n"/>
      <c r="B238" s="42" t="n"/>
      <c r="C238" s="43" t="n"/>
      <c r="D238" s="43" t="n"/>
      <c r="E238" s="43" t="n"/>
      <c r="F238" s="44" t="n"/>
      <c r="G238" s="45" t="n"/>
      <c r="H238" s="48">
        <f>IF(OR(F238="",G238=""),"",G238-F238)</f>
        <v/>
      </c>
      <c r="I238" s="43" t="n"/>
      <c r="J238" s="43" t="n"/>
    </row>
    <row r="239">
      <c r="A239" s="42" t="n"/>
      <c r="B239" s="42" t="n"/>
      <c r="C239" s="43" t="n"/>
      <c r="D239" s="43" t="n"/>
      <c r="E239" s="43" t="n"/>
      <c r="F239" s="44" t="n"/>
      <c r="G239" s="45" t="n"/>
      <c r="H239" s="48">
        <f>IF(OR(F239="",G239=""),"",G239-F239)</f>
        <v/>
      </c>
      <c r="I239" s="43" t="n"/>
      <c r="J239" s="43" t="n"/>
    </row>
    <row r="240">
      <c r="A240" s="42" t="n"/>
      <c r="B240" s="42" t="n"/>
      <c r="C240" s="43" t="n"/>
      <c r="D240" s="43" t="n"/>
      <c r="E240" s="43" t="n"/>
      <c r="F240" s="44" t="n"/>
      <c r="G240" s="45" t="n"/>
      <c r="H240" s="48">
        <f>IF(OR(F240="",G240=""),"",G240-F240)</f>
        <v/>
      </c>
      <c r="I240" s="43" t="n"/>
      <c r="J240" s="43" t="n"/>
    </row>
    <row r="241">
      <c r="A241" s="42" t="n"/>
      <c r="B241" s="42" t="n"/>
      <c r="C241" s="43" t="n"/>
      <c r="D241" s="43" t="n"/>
      <c r="E241" s="43" t="n"/>
      <c r="F241" s="44" t="n"/>
      <c r="G241" s="45" t="n"/>
      <c r="H241" s="48">
        <f>IF(OR(F241="",G241=""),"",G241-F241)</f>
        <v/>
      </c>
      <c r="I241" s="43" t="n"/>
      <c r="J241" s="43" t="n"/>
    </row>
    <row r="242">
      <c r="A242" s="42" t="n"/>
      <c r="B242" s="42" t="n"/>
      <c r="C242" s="43" t="n"/>
      <c r="D242" s="43" t="n"/>
      <c r="E242" s="43" t="n"/>
      <c r="F242" s="44" t="n"/>
      <c r="G242" s="45" t="n"/>
      <c r="H242" s="48">
        <f>IF(OR(F242="",G242=""),"",G242-F242)</f>
        <v/>
      </c>
      <c r="I242" s="43" t="n"/>
      <c r="J242" s="43" t="n"/>
    </row>
    <row r="243">
      <c r="A243" s="42" t="n"/>
      <c r="B243" s="42" t="n"/>
      <c r="C243" s="43" t="n"/>
      <c r="D243" s="43" t="n"/>
      <c r="E243" s="43" t="n"/>
      <c r="F243" s="44" t="n"/>
      <c r="G243" s="45" t="n"/>
      <c r="H243" s="48">
        <f>IF(OR(F243="",G243=""),"",G243-F243)</f>
        <v/>
      </c>
      <c r="I243" s="43" t="n"/>
      <c r="J243" s="43" t="n"/>
    </row>
    <row r="244">
      <c r="A244" s="42" t="n"/>
      <c r="B244" s="42" t="n"/>
      <c r="C244" s="43" t="n"/>
      <c r="D244" s="43" t="n"/>
      <c r="E244" s="43" t="n"/>
      <c r="F244" s="44" t="n"/>
      <c r="G244" s="45" t="n"/>
      <c r="H244" s="48">
        <f>IF(OR(F244="",G244=""),"",G244-F244)</f>
        <v/>
      </c>
      <c r="I244" s="43" t="n"/>
      <c r="J244" s="43" t="n"/>
    </row>
    <row r="245">
      <c r="A245" s="42" t="n"/>
      <c r="B245" s="42" t="n"/>
      <c r="C245" s="43" t="n"/>
      <c r="D245" s="43" t="n"/>
      <c r="E245" s="43" t="n"/>
      <c r="F245" s="44" t="n"/>
      <c r="G245" s="45" t="n"/>
      <c r="H245" s="48">
        <f>IF(OR(F245="",G245=""),"",G245-F245)</f>
        <v/>
      </c>
      <c r="I245" s="43" t="n"/>
      <c r="J245" s="43" t="n"/>
    </row>
    <row r="246">
      <c r="A246" s="42" t="n"/>
      <c r="B246" s="42" t="n"/>
      <c r="C246" s="43" t="n"/>
      <c r="D246" s="43" t="n"/>
      <c r="E246" s="43" t="n"/>
      <c r="F246" s="44" t="n"/>
      <c r="G246" s="45" t="n"/>
      <c r="H246" s="48">
        <f>IF(OR(F246="",G246=""),"",G246-F246)</f>
        <v/>
      </c>
      <c r="I246" s="43" t="n"/>
      <c r="J246" s="43" t="n"/>
    </row>
    <row r="247">
      <c r="A247" s="42" t="n"/>
      <c r="B247" s="42" t="n"/>
      <c r="C247" s="43" t="n"/>
      <c r="D247" s="43" t="n"/>
      <c r="E247" s="43" t="n"/>
      <c r="F247" s="44" t="n"/>
      <c r="G247" s="45" t="n"/>
      <c r="H247" s="48">
        <f>IF(OR(F247="",G247=""),"",G247-F247)</f>
        <v/>
      </c>
      <c r="I247" s="43" t="n"/>
      <c r="J247" s="43" t="n"/>
    </row>
    <row r="248">
      <c r="A248" s="42" t="n"/>
      <c r="B248" s="42" t="n"/>
      <c r="C248" s="43" t="n"/>
      <c r="D248" s="43" t="n"/>
      <c r="E248" s="43" t="n"/>
      <c r="F248" s="44" t="n"/>
      <c r="G248" s="45" t="n"/>
      <c r="H248" s="48">
        <f>IF(OR(F248="",G248=""),"",G248-F248)</f>
        <v/>
      </c>
      <c r="I248" s="43" t="n"/>
      <c r="J248" s="43" t="n"/>
    </row>
    <row r="249">
      <c r="A249" s="42" t="n"/>
      <c r="B249" s="42" t="n"/>
      <c r="C249" s="43" t="n"/>
      <c r="D249" s="43" t="n"/>
      <c r="E249" s="43" t="n"/>
      <c r="F249" s="44" t="n"/>
      <c r="G249" s="45" t="n"/>
      <c r="H249" s="48">
        <f>IF(OR(F249="",G249=""),"",G249-F249)</f>
        <v/>
      </c>
      <c r="I249" s="43" t="n"/>
      <c r="J249" s="43" t="n"/>
    </row>
    <row r="250">
      <c r="A250" s="42" t="n"/>
      <c r="B250" s="42" t="n"/>
      <c r="C250" s="43" t="n"/>
      <c r="D250" s="43" t="n"/>
      <c r="E250" s="43" t="n"/>
      <c r="F250" s="44" t="n"/>
      <c r="G250" s="45" t="n"/>
      <c r="H250" s="48">
        <f>IF(OR(F250="",G250=""),"",G250-F250)</f>
        <v/>
      </c>
      <c r="I250" s="43" t="n"/>
      <c r="J250" s="43" t="n"/>
    </row>
    <row r="251">
      <c r="A251" s="42" t="n"/>
      <c r="B251" s="42" t="n"/>
      <c r="C251" s="43" t="n"/>
      <c r="D251" s="43" t="n"/>
      <c r="E251" s="43" t="n"/>
      <c r="F251" s="44" t="n"/>
      <c r="G251" s="45" t="n"/>
      <c r="H251" s="48">
        <f>IF(OR(F251="",G251=""),"",G251-F251)</f>
        <v/>
      </c>
      <c r="I251" s="43" t="n"/>
      <c r="J251" s="43" t="n"/>
    </row>
    <row r="252">
      <c r="A252" s="42" t="n"/>
      <c r="B252" s="42" t="n"/>
      <c r="C252" s="43" t="n"/>
      <c r="D252" s="43" t="n"/>
      <c r="E252" s="43" t="n"/>
      <c r="F252" s="44" t="n"/>
      <c r="G252" s="45" t="n"/>
      <c r="H252" s="48">
        <f>IF(OR(F252="",G252=""),"",G252-F252)</f>
        <v/>
      </c>
      <c r="I252" s="43" t="n"/>
      <c r="J252" s="43" t="n"/>
    </row>
    <row r="253">
      <c r="A253" s="42" t="n"/>
      <c r="B253" s="42" t="n"/>
      <c r="C253" s="43" t="n"/>
      <c r="D253" s="43" t="n"/>
      <c r="E253" s="43" t="n"/>
      <c r="F253" s="44" t="n"/>
      <c r="G253" s="45" t="n"/>
      <c r="H253" s="48">
        <f>IF(OR(F253="",G253=""),"",G253-F253)</f>
        <v/>
      </c>
      <c r="I253" s="43" t="n"/>
      <c r="J253" s="43" t="n"/>
    </row>
    <row r="254">
      <c r="A254" s="42" t="n"/>
      <c r="B254" s="42" t="n"/>
      <c r="C254" s="43" t="n"/>
      <c r="D254" s="43" t="n"/>
      <c r="E254" s="43" t="n"/>
      <c r="F254" s="44" t="n"/>
      <c r="G254" s="45" t="n"/>
      <c r="H254" s="48">
        <f>IF(OR(F254="",G254=""),"",G254-F254)</f>
        <v/>
      </c>
      <c r="I254" s="43" t="n"/>
      <c r="J254" s="43" t="n"/>
    </row>
    <row r="255">
      <c r="A255" s="42" t="n"/>
      <c r="B255" s="42" t="n"/>
      <c r="C255" s="43" t="n"/>
      <c r="D255" s="43" t="n"/>
      <c r="E255" s="43" t="n"/>
      <c r="F255" s="44" t="n"/>
      <c r="G255" s="45" t="n"/>
      <c r="H255" s="48">
        <f>IF(OR(F255="",G255=""),"",G255-F255)</f>
        <v/>
      </c>
      <c r="I255" s="43" t="n"/>
      <c r="J255" s="43" t="n"/>
    </row>
    <row r="256">
      <c r="A256" s="42" t="n"/>
      <c r="B256" s="42" t="n"/>
      <c r="C256" s="43" t="n"/>
      <c r="D256" s="43" t="n"/>
      <c r="E256" s="43" t="n"/>
      <c r="F256" s="44" t="n"/>
      <c r="G256" s="45" t="n"/>
      <c r="H256" s="48">
        <f>IF(OR(F256="",G256=""),"",G256-F256)</f>
        <v/>
      </c>
      <c r="I256" s="43" t="n"/>
      <c r="J256" s="43" t="n"/>
    </row>
    <row r="257">
      <c r="A257" s="42" t="n"/>
      <c r="B257" s="42" t="n"/>
      <c r="C257" s="43" t="n"/>
      <c r="D257" s="43" t="n"/>
      <c r="E257" s="43" t="n"/>
      <c r="F257" s="44" t="n"/>
      <c r="G257" s="45" t="n"/>
      <c r="H257" s="48">
        <f>IF(OR(F257="",G257=""),"",G257-F257)</f>
        <v/>
      </c>
      <c r="I257" s="43" t="n"/>
      <c r="J257" s="43" t="n"/>
    </row>
    <row r="258">
      <c r="A258" s="42" t="n"/>
      <c r="B258" s="42" t="n"/>
      <c r="C258" s="43" t="n"/>
      <c r="D258" s="43" t="n"/>
      <c r="E258" s="43" t="n"/>
      <c r="F258" s="44" t="n"/>
      <c r="G258" s="45" t="n"/>
      <c r="H258" s="48">
        <f>IF(OR(F258="",G258=""),"",G258-F258)</f>
        <v/>
      </c>
      <c r="I258" s="43" t="n"/>
      <c r="J258" s="43" t="n"/>
    </row>
    <row r="259">
      <c r="A259" s="42" t="n"/>
      <c r="B259" s="42" t="n"/>
      <c r="C259" s="43" t="n"/>
      <c r="D259" s="43" t="n"/>
      <c r="E259" s="43" t="n"/>
      <c r="F259" s="44" t="n"/>
      <c r="G259" s="45" t="n"/>
      <c r="H259" s="48">
        <f>IF(OR(F259="",G259=""),"",G259-F259)</f>
        <v/>
      </c>
      <c r="I259" s="43" t="n"/>
      <c r="J259" s="43" t="n"/>
    </row>
    <row r="260">
      <c r="A260" s="42" t="n"/>
      <c r="B260" s="42" t="n"/>
      <c r="C260" s="43" t="n"/>
      <c r="D260" s="43" t="n"/>
      <c r="E260" s="43" t="n"/>
      <c r="F260" s="44" t="n"/>
      <c r="G260" s="45" t="n"/>
      <c r="H260" s="48">
        <f>IF(OR(F260="",G260=""),"",G260-F260)</f>
        <v/>
      </c>
      <c r="I260" s="43" t="n"/>
      <c r="J260" s="43" t="n"/>
    </row>
    <row r="261">
      <c r="A261" s="42" t="n"/>
      <c r="B261" s="42" t="n"/>
      <c r="C261" s="43" t="n"/>
      <c r="D261" s="43" t="n"/>
      <c r="E261" s="43" t="n"/>
      <c r="F261" s="44" t="n"/>
      <c r="G261" s="45" t="n"/>
      <c r="H261" s="48">
        <f>IF(OR(F261="",G261=""),"",G261-F261)</f>
        <v/>
      </c>
      <c r="I261" s="43" t="n"/>
      <c r="J261" s="43" t="n"/>
    </row>
    <row r="262">
      <c r="A262" s="42" t="n"/>
      <c r="B262" s="42" t="n"/>
      <c r="C262" s="43" t="n"/>
      <c r="D262" s="43" t="n"/>
      <c r="E262" s="43" t="n"/>
      <c r="F262" s="44" t="n"/>
      <c r="G262" s="45" t="n"/>
      <c r="H262" s="48">
        <f>IF(OR(F262="",G262=""),"",G262-F262)</f>
        <v/>
      </c>
      <c r="I262" s="43" t="n"/>
      <c r="J262" s="43" t="n"/>
    </row>
    <row r="263">
      <c r="A263" s="42" t="n"/>
      <c r="B263" s="42" t="n"/>
      <c r="C263" s="43" t="n"/>
      <c r="D263" s="43" t="n"/>
      <c r="E263" s="43" t="n"/>
      <c r="F263" s="44" t="n"/>
      <c r="G263" s="45" t="n"/>
      <c r="H263" s="48">
        <f>IF(OR(F263="",G263=""),"",G263-F263)</f>
        <v/>
      </c>
      <c r="I263" s="43" t="n"/>
      <c r="J263" s="43" t="n"/>
    </row>
    <row r="264">
      <c r="A264" s="42" t="n"/>
      <c r="B264" s="42" t="n"/>
      <c r="C264" s="43" t="n"/>
      <c r="D264" s="43" t="n"/>
      <c r="E264" s="43" t="n"/>
      <c r="F264" s="44" t="n"/>
      <c r="G264" s="45" t="n"/>
      <c r="H264" s="48">
        <f>IF(OR(F264="",G264=""),"",G264-F264)</f>
        <v/>
      </c>
      <c r="I264" s="43" t="n"/>
      <c r="J264" s="43" t="n"/>
    </row>
    <row r="265">
      <c r="A265" s="42" t="n"/>
      <c r="B265" s="42" t="n"/>
      <c r="C265" s="43" t="n"/>
      <c r="D265" s="43" t="n"/>
      <c r="E265" s="43" t="n"/>
      <c r="F265" s="44" t="n"/>
      <c r="G265" s="45" t="n"/>
      <c r="H265" s="48">
        <f>IF(OR(F265="",G265=""),"",G265-F265)</f>
        <v/>
      </c>
      <c r="I265" s="43" t="n"/>
      <c r="J265" s="43" t="n"/>
    </row>
    <row r="266">
      <c r="A266" s="42" t="n"/>
      <c r="B266" s="42" t="n"/>
      <c r="C266" s="43" t="n"/>
      <c r="D266" s="43" t="n"/>
      <c r="E266" s="43" t="n"/>
      <c r="F266" s="44" t="n"/>
      <c r="G266" s="45" t="n"/>
      <c r="H266" s="48">
        <f>IF(OR(F266="",G266=""),"",G266-F266)</f>
        <v/>
      </c>
      <c r="I266" s="43" t="n"/>
      <c r="J266" s="43" t="n"/>
    </row>
    <row r="267">
      <c r="A267" s="42" t="n"/>
      <c r="B267" s="42" t="n"/>
      <c r="C267" s="43" t="n"/>
      <c r="D267" s="43" t="n"/>
      <c r="E267" s="43" t="n"/>
      <c r="F267" s="44" t="n"/>
      <c r="G267" s="45" t="n"/>
      <c r="H267" s="48">
        <f>IF(OR(F267="",G267=""),"",G267-F267)</f>
        <v/>
      </c>
      <c r="I267" s="43" t="n"/>
      <c r="J267" s="43" t="n"/>
    </row>
    <row r="268">
      <c r="A268" s="42" t="n"/>
      <c r="B268" s="42" t="n"/>
      <c r="C268" s="43" t="n"/>
      <c r="D268" s="43" t="n"/>
      <c r="E268" s="43" t="n"/>
      <c r="F268" s="44" t="n"/>
      <c r="G268" s="45" t="n"/>
      <c r="H268" s="48">
        <f>IF(OR(F268="",G268=""),"",G268-F268)</f>
        <v/>
      </c>
      <c r="I268" s="43" t="n"/>
      <c r="J268" s="43" t="n"/>
    </row>
    <row r="269">
      <c r="A269" s="42" t="n"/>
      <c r="B269" s="42" t="n"/>
      <c r="C269" s="43" t="n"/>
      <c r="D269" s="43" t="n"/>
      <c r="E269" s="43" t="n"/>
      <c r="F269" s="44" t="n"/>
      <c r="G269" s="45" t="n"/>
      <c r="H269" s="48">
        <f>IF(OR(F269="",G269=""),"",G269-F269)</f>
        <v/>
      </c>
      <c r="I269" s="43" t="n"/>
      <c r="J269" s="43" t="n"/>
    </row>
    <row r="270">
      <c r="A270" s="42" t="n"/>
      <c r="B270" s="42" t="n"/>
      <c r="C270" s="43" t="n"/>
      <c r="D270" s="43" t="n"/>
      <c r="E270" s="43" t="n"/>
      <c r="F270" s="44" t="n"/>
      <c r="G270" s="45" t="n"/>
      <c r="H270" s="48">
        <f>IF(OR(F270="",G270=""),"",G270-F270)</f>
        <v/>
      </c>
      <c r="I270" s="43" t="n"/>
      <c r="J270" s="43" t="n"/>
    </row>
    <row r="271">
      <c r="A271" s="42" t="n"/>
      <c r="B271" s="42" t="n"/>
      <c r="C271" s="43" t="n"/>
      <c r="D271" s="43" t="n"/>
      <c r="E271" s="43" t="n"/>
      <c r="F271" s="44" t="n"/>
      <c r="G271" s="45" t="n"/>
      <c r="H271" s="48">
        <f>IF(OR(F271="",G271=""),"",G271-F271)</f>
        <v/>
      </c>
      <c r="I271" s="43" t="n"/>
      <c r="J271" s="43" t="n"/>
    </row>
    <row r="272">
      <c r="A272" s="42" t="n"/>
      <c r="B272" s="42" t="n"/>
      <c r="C272" s="43" t="n"/>
      <c r="D272" s="43" t="n"/>
      <c r="E272" s="43" t="n"/>
      <c r="F272" s="44" t="n"/>
      <c r="G272" s="45" t="n"/>
      <c r="H272" s="48">
        <f>IF(OR(F272="",G272=""),"",G272-F272)</f>
        <v/>
      </c>
      <c r="I272" s="43" t="n"/>
      <c r="J272" s="43" t="n"/>
    </row>
    <row r="273">
      <c r="A273" s="42" t="n"/>
      <c r="B273" s="42" t="n"/>
      <c r="C273" s="43" t="n"/>
      <c r="D273" s="43" t="n"/>
      <c r="E273" s="43" t="n"/>
      <c r="F273" s="44" t="n"/>
      <c r="G273" s="45" t="n"/>
      <c r="H273" s="48">
        <f>IF(OR(F273="",G273=""),"",G273-F273)</f>
        <v/>
      </c>
      <c r="I273" s="43" t="n"/>
      <c r="J273" s="43" t="n"/>
    </row>
    <row r="274">
      <c r="A274" s="42" t="n"/>
      <c r="B274" s="42" t="n"/>
      <c r="C274" s="43" t="n"/>
      <c r="D274" s="43" t="n"/>
      <c r="E274" s="43" t="n"/>
      <c r="F274" s="44" t="n"/>
      <c r="G274" s="45" t="n"/>
      <c r="H274" s="48">
        <f>IF(OR(F274="",G274=""),"",G274-F274)</f>
        <v/>
      </c>
      <c r="I274" s="43" t="n"/>
      <c r="J274" s="43" t="n"/>
    </row>
    <row r="275">
      <c r="A275" s="42" t="n"/>
      <c r="B275" s="42" t="n"/>
      <c r="C275" s="43" t="n"/>
      <c r="D275" s="43" t="n"/>
      <c r="E275" s="43" t="n"/>
      <c r="F275" s="44" t="n"/>
      <c r="G275" s="45" t="n"/>
      <c r="H275" s="48">
        <f>IF(OR(F275="",G275=""),"",G275-F275)</f>
        <v/>
      </c>
      <c r="I275" s="43" t="n"/>
      <c r="J275" s="43" t="n"/>
    </row>
    <row r="276">
      <c r="A276" s="42" t="n"/>
      <c r="B276" s="42" t="n"/>
      <c r="C276" s="43" t="n"/>
      <c r="D276" s="43" t="n"/>
      <c r="E276" s="43" t="n"/>
      <c r="F276" s="44" t="n"/>
      <c r="G276" s="45" t="n"/>
      <c r="H276" s="48">
        <f>IF(OR(F276="",G276=""),"",G276-F276)</f>
        <v/>
      </c>
      <c r="I276" s="43" t="n"/>
      <c r="J276" s="43" t="n"/>
    </row>
    <row r="277">
      <c r="A277" s="42" t="n"/>
      <c r="B277" s="42" t="n"/>
      <c r="C277" s="43" t="n"/>
      <c r="D277" s="43" t="n"/>
      <c r="E277" s="43" t="n"/>
      <c r="F277" s="44" t="n"/>
      <c r="G277" s="45" t="n"/>
      <c r="H277" s="48">
        <f>IF(OR(F277="",G277=""),"",G277-F277)</f>
        <v/>
      </c>
      <c r="I277" s="43" t="n"/>
      <c r="J277" s="43" t="n"/>
    </row>
    <row r="278">
      <c r="A278" s="42" t="n"/>
      <c r="B278" s="42" t="n"/>
      <c r="C278" s="43" t="n"/>
      <c r="D278" s="43" t="n"/>
      <c r="E278" s="43" t="n"/>
      <c r="F278" s="44" t="n"/>
      <c r="G278" s="45" t="n"/>
      <c r="H278" s="48">
        <f>IF(OR(F278="",G278=""),"",G278-F278)</f>
        <v/>
      </c>
      <c r="I278" s="43" t="n"/>
      <c r="J278" s="43" t="n"/>
    </row>
    <row r="279">
      <c r="A279" s="42" t="n"/>
      <c r="B279" s="42" t="n"/>
      <c r="C279" s="43" t="n"/>
      <c r="D279" s="43" t="n"/>
      <c r="E279" s="43" t="n"/>
      <c r="F279" s="44" t="n"/>
      <c r="G279" s="45" t="n"/>
      <c r="H279" s="48">
        <f>IF(OR(F279="",G279=""),"",G279-F279)</f>
        <v/>
      </c>
      <c r="I279" s="43" t="n"/>
      <c r="J279" s="43" t="n"/>
    </row>
    <row r="280">
      <c r="A280" s="42" t="n"/>
      <c r="B280" s="42" t="n"/>
      <c r="C280" s="43" t="n"/>
      <c r="D280" s="43" t="n"/>
      <c r="E280" s="43" t="n"/>
      <c r="F280" s="44" t="n"/>
      <c r="G280" s="45" t="n"/>
      <c r="H280" s="48">
        <f>IF(OR(F280="",G280=""),"",G280-F280)</f>
        <v/>
      </c>
      <c r="I280" s="43" t="n"/>
      <c r="J280" s="43" t="n"/>
    </row>
    <row r="281">
      <c r="A281" s="42" t="n"/>
      <c r="B281" s="42" t="n"/>
      <c r="C281" s="43" t="n"/>
      <c r="D281" s="43" t="n"/>
      <c r="E281" s="43" t="n"/>
      <c r="F281" s="44" t="n"/>
      <c r="G281" s="45" t="n"/>
      <c r="H281" s="48">
        <f>IF(OR(F281="",G281=""),"",G281-F281)</f>
        <v/>
      </c>
      <c r="I281" s="43" t="n"/>
      <c r="J281" s="43" t="n"/>
    </row>
    <row r="282">
      <c r="A282" s="42" t="n"/>
      <c r="B282" s="42" t="n"/>
      <c r="C282" s="43" t="n"/>
      <c r="D282" s="43" t="n"/>
      <c r="E282" s="43" t="n"/>
      <c r="F282" s="44" t="n"/>
      <c r="G282" s="45" t="n"/>
      <c r="H282" s="48">
        <f>IF(OR(F282="",G282=""),"",G282-F282)</f>
        <v/>
      </c>
      <c r="I282" s="43" t="n"/>
      <c r="J282" s="43" t="n"/>
    </row>
    <row r="283">
      <c r="A283" s="42" t="n"/>
      <c r="B283" s="42" t="n"/>
      <c r="C283" s="43" t="n"/>
      <c r="D283" s="43" t="n"/>
      <c r="E283" s="43" t="n"/>
      <c r="F283" s="44" t="n"/>
      <c r="G283" s="45" t="n"/>
      <c r="H283" s="48">
        <f>IF(OR(F283="",G283=""),"",G283-F283)</f>
        <v/>
      </c>
      <c r="I283" s="43" t="n"/>
      <c r="J283" s="43" t="n"/>
    </row>
    <row r="284">
      <c r="A284" s="42" t="n"/>
      <c r="B284" s="42" t="n"/>
      <c r="C284" s="43" t="n"/>
      <c r="D284" s="43" t="n"/>
      <c r="E284" s="43" t="n"/>
      <c r="F284" s="44" t="n"/>
      <c r="G284" s="45" t="n"/>
      <c r="H284" s="48">
        <f>IF(OR(F284="",G284=""),"",G284-F284)</f>
        <v/>
      </c>
      <c r="I284" s="43" t="n"/>
      <c r="J284" s="43" t="n"/>
    </row>
    <row r="285">
      <c r="A285" s="42" t="n"/>
      <c r="B285" s="42" t="n"/>
      <c r="C285" s="43" t="n"/>
      <c r="D285" s="43" t="n"/>
      <c r="E285" s="43" t="n"/>
      <c r="F285" s="44" t="n"/>
      <c r="G285" s="45" t="n"/>
      <c r="H285" s="48">
        <f>IF(OR(F285="",G285=""),"",G285-F285)</f>
        <v/>
      </c>
      <c r="I285" s="43" t="n"/>
      <c r="J285" s="43" t="n"/>
    </row>
    <row r="286">
      <c r="A286" s="42" t="n"/>
      <c r="B286" s="42" t="n"/>
      <c r="C286" s="43" t="n"/>
      <c r="D286" s="43" t="n"/>
      <c r="E286" s="43" t="n"/>
      <c r="F286" s="44" t="n"/>
      <c r="G286" s="45" t="n"/>
      <c r="H286" s="48">
        <f>IF(OR(F286="",G286=""),"",G286-F286)</f>
        <v/>
      </c>
      <c r="I286" s="43" t="n"/>
      <c r="J286" s="43" t="n"/>
    </row>
    <row r="287">
      <c r="A287" s="42" t="n"/>
      <c r="B287" s="42" t="n"/>
      <c r="C287" s="43" t="n"/>
      <c r="D287" s="43" t="n"/>
      <c r="E287" s="43" t="n"/>
      <c r="F287" s="44" t="n"/>
      <c r="G287" s="45" t="n"/>
      <c r="H287" s="48">
        <f>IF(OR(F287="",G287=""),"",G287-F287)</f>
        <v/>
      </c>
      <c r="I287" s="43" t="n"/>
      <c r="J287" s="43" t="n"/>
    </row>
    <row r="288">
      <c r="A288" s="42" t="n"/>
      <c r="B288" s="42" t="n"/>
      <c r="C288" s="43" t="n"/>
      <c r="D288" s="43" t="n"/>
      <c r="E288" s="43" t="n"/>
      <c r="F288" s="44" t="n"/>
      <c r="G288" s="45" t="n"/>
      <c r="H288" s="48">
        <f>IF(OR(F288="",G288=""),"",G288-F288)</f>
        <v/>
      </c>
      <c r="I288" s="43" t="n"/>
      <c r="J288" s="43" t="n"/>
    </row>
    <row r="289">
      <c r="A289" s="42" t="n"/>
      <c r="B289" s="42" t="n"/>
      <c r="C289" s="43" t="n"/>
      <c r="D289" s="43" t="n"/>
      <c r="E289" s="43" t="n"/>
      <c r="F289" s="44" t="n"/>
      <c r="G289" s="45" t="n"/>
      <c r="H289" s="48">
        <f>IF(OR(F289="",G289=""),"",G289-F289)</f>
        <v/>
      </c>
      <c r="I289" s="43" t="n"/>
      <c r="J289" s="43" t="n"/>
    </row>
    <row r="290">
      <c r="A290" s="42" t="n"/>
      <c r="B290" s="42" t="n"/>
      <c r="C290" s="43" t="n"/>
      <c r="D290" s="43" t="n"/>
      <c r="E290" s="43" t="n"/>
      <c r="F290" s="44" t="n"/>
      <c r="G290" s="45" t="n"/>
      <c r="H290" s="48">
        <f>IF(OR(F290="",G290=""),"",G290-F290)</f>
        <v/>
      </c>
      <c r="I290" s="43" t="n"/>
      <c r="J290" s="43" t="n"/>
    </row>
    <row r="291">
      <c r="A291" s="42" t="n"/>
      <c r="B291" s="42" t="n"/>
      <c r="C291" s="43" t="n"/>
      <c r="D291" s="43" t="n"/>
      <c r="E291" s="43" t="n"/>
      <c r="F291" s="44" t="n"/>
      <c r="G291" s="45" t="n"/>
      <c r="H291" s="48">
        <f>IF(OR(F291="",G291=""),"",G291-F291)</f>
        <v/>
      </c>
      <c r="I291" s="43" t="n"/>
      <c r="J291" s="43" t="n"/>
    </row>
    <row r="292">
      <c r="A292" s="42" t="n"/>
      <c r="B292" s="42" t="n"/>
      <c r="C292" s="43" t="n"/>
      <c r="D292" s="43" t="n"/>
      <c r="E292" s="43" t="n"/>
      <c r="F292" s="44" t="n"/>
      <c r="G292" s="45" t="n"/>
      <c r="H292" s="48">
        <f>IF(OR(F292="",G292=""),"",G292-F292)</f>
        <v/>
      </c>
      <c r="I292" s="43" t="n"/>
      <c r="J292" s="43" t="n"/>
    </row>
    <row r="293">
      <c r="A293" s="42" t="n"/>
      <c r="B293" s="42" t="n"/>
      <c r="C293" s="43" t="n"/>
      <c r="D293" s="43" t="n"/>
      <c r="E293" s="43" t="n"/>
      <c r="F293" s="44" t="n"/>
      <c r="G293" s="45" t="n"/>
      <c r="H293" s="48">
        <f>IF(OR(F293="",G293=""),"",G293-F293)</f>
        <v/>
      </c>
      <c r="I293" s="43" t="n"/>
      <c r="J293" s="43" t="n"/>
    </row>
    <row r="294">
      <c r="A294" s="42" t="n"/>
      <c r="B294" s="42" t="n"/>
      <c r="C294" s="43" t="n"/>
      <c r="D294" s="43" t="n"/>
      <c r="E294" s="43" t="n"/>
      <c r="F294" s="44" t="n"/>
      <c r="G294" s="45" t="n"/>
      <c r="H294" s="48">
        <f>IF(OR(F294="",G294=""),"",G294-F294)</f>
        <v/>
      </c>
      <c r="I294" s="43" t="n"/>
      <c r="J294" s="43" t="n"/>
    </row>
    <row r="295">
      <c r="A295" s="42" t="n"/>
      <c r="B295" s="42" t="n"/>
      <c r="C295" s="43" t="n"/>
      <c r="D295" s="43" t="n"/>
      <c r="E295" s="43" t="n"/>
      <c r="F295" s="44" t="n"/>
      <c r="G295" s="45" t="n"/>
      <c r="H295" s="48">
        <f>IF(OR(F295="",G295=""),"",G295-F295)</f>
        <v/>
      </c>
      <c r="I295" s="43" t="n"/>
      <c r="J295" s="43" t="n"/>
    </row>
    <row r="296">
      <c r="A296" s="42" t="n"/>
      <c r="B296" s="42" t="n"/>
      <c r="C296" s="43" t="n"/>
      <c r="D296" s="43" t="n"/>
      <c r="E296" s="43" t="n"/>
      <c r="F296" s="44" t="n"/>
      <c r="G296" s="45" t="n"/>
      <c r="H296" s="48">
        <f>IF(OR(F296="",G296=""),"",G296-F296)</f>
        <v/>
      </c>
      <c r="I296" s="43" t="n"/>
      <c r="J296" s="43" t="n"/>
    </row>
    <row r="297">
      <c r="A297" s="42" t="n"/>
      <c r="B297" s="42" t="n"/>
      <c r="C297" s="43" t="n"/>
      <c r="D297" s="43" t="n"/>
      <c r="E297" s="43" t="n"/>
      <c r="F297" s="44" t="n"/>
      <c r="G297" s="45" t="n"/>
      <c r="H297" s="48">
        <f>IF(OR(F297="",G297=""),"",G297-F297)</f>
        <v/>
      </c>
      <c r="I297" s="43" t="n"/>
      <c r="J297" s="43" t="n"/>
    </row>
    <row r="298">
      <c r="A298" s="42" t="n"/>
      <c r="B298" s="42" t="n"/>
      <c r="C298" s="43" t="n"/>
      <c r="D298" s="43" t="n"/>
      <c r="E298" s="43" t="n"/>
      <c r="F298" s="44" t="n"/>
      <c r="G298" s="45" t="n"/>
      <c r="H298" s="48">
        <f>IF(OR(F298="",G298=""),"",G298-F298)</f>
        <v/>
      </c>
      <c r="I298" s="43" t="n"/>
      <c r="J298" s="43" t="n"/>
    </row>
    <row r="299">
      <c r="A299" s="42" t="n"/>
      <c r="B299" s="42" t="n"/>
      <c r="C299" s="43" t="n"/>
      <c r="D299" s="43" t="n"/>
      <c r="E299" s="43" t="n"/>
      <c r="F299" s="44" t="n"/>
      <c r="G299" s="45" t="n"/>
      <c r="H299" s="48">
        <f>IF(OR(F299="",G299=""),"",G299-F299)</f>
        <v/>
      </c>
      <c r="I299" s="43" t="n"/>
      <c r="J299" s="43" t="n"/>
    </row>
    <row r="300">
      <c r="A300" s="42" t="n"/>
      <c r="B300" s="42" t="n"/>
      <c r="C300" s="43" t="n"/>
      <c r="D300" s="43" t="n"/>
      <c r="E300" s="43" t="n"/>
      <c r="F300" s="44" t="n"/>
      <c r="G300" s="45" t="n"/>
      <c r="H300" s="48">
        <f>IF(OR(F300="",G300=""),"",G300-F300)</f>
        <v/>
      </c>
      <c r="I300" s="43" t="n"/>
      <c r="J300" s="43" t="n"/>
    </row>
    <row r="301">
      <c r="A301" s="42" t="n"/>
      <c r="B301" s="42" t="n"/>
      <c r="C301" s="43" t="n"/>
      <c r="D301" s="43" t="n"/>
      <c r="E301" s="43" t="n"/>
      <c r="F301" s="44" t="n"/>
      <c r="G301" s="45" t="n"/>
      <c r="H301" s="48">
        <f>IF(OR(F301="",G301=""),"",G301-F301)</f>
        <v/>
      </c>
      <c r="I301" s="43" t="n"/>
      <c r="J301" s="43" t="n"/>
    </row>
    <row r="302">
      <c r="A302" s="42" t="n"/>
      <c r="B302" s="42" t="n"/>
      <c r="C302" s="43" t="n"/>
      <c r="D302" s="43" t="n"/>
      <c r="E302" s="43" t="n"/>
      <c r="F302" s="44" t="n"/>
      <c r="G302" s="45" t="n"/>
      <c r="H302" s="48">
        <f>IF(OR(F302="",G302=""),"",G302-F302)</f>
        <v/>
      </c>
      <c r="I302" s="43" t="n"/>
      <c r="J302" s="43" t="n"/>
    </row>
    <row r="303">
      <c r="A303" s="42" t="n"/>
      <c r="B303" s="42" t="n"/>
      <c r="C303" s="43" t="n"/>
      <c r="D303" s="43" t="n"/>
      <c r="E303" s="43" t="n"/>
      <c r="F303" s="44" t="n"/>
      <c r="G303" s="45" t="n"/>
      <c r="H303" s="48">
        <f>IF(OR(F303="",G303=""),"",G303-F303)</f>
        <v/>
      </c>
      <c r="I303" s="43" t="n"/>
      <c r="J303" s="43" t="n"/>
    </row>
    <row r="304">
      <c r="A304" s="42" t="n"/>
      <c r="B304" s="42" t="n"/>
      <c r="C304" s="43" t="n"/>
      <c r="D304" s="43" t="n"/>
      <c r="E304" s="43" t="n"/>
      <c r="F304" s="44" t="n"/>
      <c r="G304" s="45" t="n"/>
      <c r="H304" s="48">
        <f>IF(OR(F304="",G304=""),"",G304-F304)</f>
        <v/>
      </c>
      <c r="I304" s="43" t="n"/>
      <c r="J304" s="43" t="n"/>
    </row>
  </sheetData>
  <autoFilter ref="A4:J304"/>
  <mergeCells count="2">
    <mergeCell ref="A1:J1"/>
    <mergeCell ref="A2:J2"/>
  </mergeCells>
  <conditionalFormatting sqref="A5:J304">
    <cfRule type="expression" priority="1" dxfId="1" stopIfTrue="1">
      <formula>$I5="✅ Получено"</formula>
    </cfRule>
    <cfRule type="expression" priority="2" dxfId="12" stopIfTrue="1">
      <formula>$I5="❌ Не получено"</formula>
    </cfRule>
  </conditionalFormatting>
  <conditionalFormatting sqref="H5:H304">
    <cfRule type="cellIs" priority="3" operator="lessThan" dxfId="0">
      <formula>0</formula>
    </cfRule>
    <cfRule type="cellIs" priority="4" operator="greaterThan" dxfId="4">
      <formula>0</formula>
    </cfRule>
  </conditionalFormatting>
  <dataValidations count="5">
    <dataValidation sqref="A5:A304" showDropDown="0" showInputMessage="0" showErrorMessage="1" allowBlank="1" errorTitle="Значение не из справочника" error="Выберите значение из списка (его можно дополнить в листе «📚 Справочник»)" type="list">
      <formula1>'📚 Справочник'!$A$5:$A$9</formula1>
    </dataValidation>
    <dataValidation sqref="B5:B304" showDropDown="0" showInputMessage="0" showErrorMessage="1" allowBlank="1" errorTitle="Значение не из справочника" error="Выберите значение из списка (его можно дополнить в листе «📚 Справочник»)" type="list">
      <formula1>'📚 Справочник'!$B$5:$B$16</formula1>
    </dataValidation>
    <dataValidation sqref="C5:C304" showDropDown="0" showInputMessage="0" showErrorMessage="1" allowBlank="1" errorTitle="Значение не из справочника" error="Выберите значение из списка (его можно дополнить в листе «📚 Справочник»)" type="list">
      <formula1>'📚 Справочник'!$M$5:$M$104</formula1>
    </dataValidation>
    <dataValidation sqref="D5:D304" showDropDown="0" showInputMessage="0" showErrorMessage="1" allowBlank="1" errorTitle="Значение не из справочника" error="Выберите значение из списка (его можно дополнить в листе «📚 Справочник»)" type="list">
      <formula1>'📚 Справочник'!$K$5:$K$24</formula1>
    </dataValidation>
    <dataValidation sqref="I5:I304" showDropDown="0" showInputMessage="0" showErrorMessage="1" allowBlank="1" errorTitle="Значение не из справочника" error="Выберите значение из списка (его можно дополнить в листе «📚 Справочник»)" type="list">
      <formula1>'📚 Справочник'!$P$5:$P$7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9E5B"/>
    <outlinePr summaryBelow="1" summaryRight="1"/>
    <pageSetUpPr/>
  </sheetPr>
  <dimension ref="A1:O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hidden="1" width="9" customWidth="1" min="3" max="3"/>
    <col width="14" customWidth="1" min="4" max="4"/>
    <col width="14" customWidth="1" min="5" max="5"/>
    <col width="11" customWidth="1" min="6" max="6"/>
    <col width="14" customWidth="1" min="7" max="7"/>
    <col width="14" customWidth="1" min="8" max="8"/>
    <col width="11" customWidth="1" min="9" max="9"/>
    <col width="14" customWidth="1" min="10" max="10"/>
    <col width="14" customWidth="1" min="11" max="11"/>
    <col width="16" customWidth="1" min="12" max="12"/>
    <col width="16" customWidth="1" min="13" max="13"/>
    <col width="16" customWidth="1" min="14" max="14"/>
    <col width="15" customWidth="1" min="15" max="15"/>
  </cols>
  <sheetData>
    <row r="1" ht="36" customHeight="1">
      <c r="A1" s="66" t="inlineStr">
        <is>
          <t>📅 Сводка по месяцам: январь 2026 → декабрь 2030</t>
        </is>
      </c>
      <c r="B1" s="67" t="n"/>
      <c r="C1" s="67" t="n"/>
      <c r="D1" s="67" t="n"/>
      <c r="E1" s="67" t="n"/>
      <c r="F1" s="67" t="n"/>
      <c r="G1" s="67" t="n"/>
      <c r="H1" s="67" t="n"/>
      <c r="I1" s="67" t="n"/>
      <c r="J1" s="67" t="n"/>
      <c r="K1" s="67" t="n"/>
      <c r="L1" s="67" t="n"/>
      <c r="M1" s="67" t="n"/>
      <c r="N1" s="67" t="n"/>
      <c r="O1" s="67" t="n"/>
    </row>
    <row r="2" ht="30" customHeight="1">
      <c r="A2" s="3" t="inlineStr">
        <is>
          <t>Считается автоматически из листов «Расходы» и «Доходы» — здесь ничего вводить не нужно. Факт расходов = ФАКТ из «Расходов» + траты «Дневника» вне плана. Текущий месяц подсвечен жёлтым.</t>
        </is>
      </c>
    </row>
    <row r="4" ht="34" customHeight="1">
      <c r="A4" s="68" t="inlineStr">
        <is>
          <t>📆 Год</t>
        </is>
      </c>
      <c r="B4" s="68" t="inlineStr">
        <is>
          <t>🗓 Месяц</t>
        </is>
      </c>
      <c r="C4" s="68" t="inlineStr">
        <is>
          <t>Подпись</t>
        </is>
      </c>
      <c r="D4" s="40" t="inlineStr">
        <is>
          <t>💰 Доход
ПЛАН</t>
        </is>
      </c>
      <c r="E4" s="41" t="inlineStr">
        <is>
          <t>💰 Доход
ФАКТ</t>
        </is>
      </c>
      <c r="F4" s="68" t="inlineStr">
        <is>
          <t>% дохода
получено</t>
        </is>
      </c>
      <c r="G4" s="40" t="inlineStr">
        <is>
          <t>💸 Расход
ПЛАН</t>
        </is>
      </c>
      <c r="H4" s="41" t="inlineStr">
        <is>
          <t>💸 Расход
ФАКТ</t>
        </is>
      </c>
      <c r="I4" s="68" t="inlineStr">
        <is>
          <t>% бюджета
потрачено</t>
        </is>
      </c>
      <c r="J4" s="40" t="inlineStr">
        <is>
          <t>⚖️ Остаток
ПЛАН</t>
        </is>
      </c>
      <c r="K4" s="41" t="inlineStr">
        <is>
          <t>⚖️ Остаток
ФАКТ</t>
        </is>
      </c>
      <c r="L4" s="40" t="inlineStr">
        <is>
          <t>🏦 Накоплено
ПЛАН (нараст.)</t>
        </is>
      </c>
      <c r="M4" s="41" t="inlineStr">
        <is>
          <t>🏦 Накоплено
ФАКТ (нараст.)</t>
        </is>
      </c>
      <c r="N4" s="41" t="inlineStr">
        <is>
          <t>🏦 Отложено в
«Накопление» (факт)</t>
        </is>
      </c>
      <c r="O4" s="41" t="inlineStr">
        <is>
          <t>⚡ Вне плана
(из дневника)</t>
        </is>
      </c>
    </row>
    <row r="5">
      <c r="A5" s="69" t="n">
        <v>2026</v>
      </c>
      <c r="B5" s="61" t="inlineStr">
        <is>
          <t>Январь</t>
        </is>
      </c>
      <c r="C5" s="61">
        <f>LEFT(B5,3)&amp;" "&amp;RIGHT(A5,2)</f>
        <v/>
      </c>
      <c r="D5" s="70">
        <f>SUMIFS(inc_plan,inc_year,A5,inc_month,B5,inc_status,"&lt;&gt;❌ Не получено")</f>
        <v/>
      </c>
      <c r="E5" s="71">
        <f>SUMIFS(inc_fact,inc_year,A5,inc_month,B5)</f>
        <v/>
      </c>
      <c r="F5" s="72">
        <f>IF(D5=0,"",E5/D5)</f>
        <v/>
      </c>
      <c r="G5" s="70">
        <f>SUMIFS(exp_plan,exp_year,A5,exp_month,B5,exp_status,"&lt;&gt;❌ Отменено")</f>
        <v/>
      </c>
      <c r="H5" s="71">
        <f>SUMIFS(exp_fact,exp_year,A5,exp_month,B5)+O5</f>
        <v/>
      </c>
      <c r="I5" s="72">
        <f>IF(G5=0,"",H5/G5)</f>
        <v/>
      </c>
      <c r="J5" s="70">
        <f>D5-G5</f>
        <v/>
      </c>
      <c r="K5" s="71">
        <f>E5-H5</f>
        <v/>
      </c>
      <c r="L5" s="70">
        <f>J5</f>
        <v/>
      </c>
      <c r="M5" s="71">
        <f>K5</f>
        <v/>
      </c>
      <c r="N5" s="71">
        <f>SUMIFS(exp_fact,exp_year,A5,exp_month,B5,exp_cat,"🏦 Накопление")</f>
        <v/>
      </c>
      <c r="O5" s="71">
        <f>SUMIFS(day_amt,day_year,A5,day_month,B5,day_inplan,0)</f>
        <v/>
      </c>
    </row>
    <row r="6">
      <c r="A6" s="69" t="n">
        <v>2026</v>
      </c>
      <c r="B6" s="61" t="inlineStr">
        <is>
          <t>Февраль</t>
        </is>
      </c>
      <c r="C6" s="61">
        <f>LEFT(B6,3)&amp;" "&amp;RIGHT(A6,2)</f>
        <v/>
      </c>
      <c r="D6" s="70">
        <f>SUMIFS(inc_plan,inc_year,A6,inc_month,B6,inc_status,"&lt;&gt;❌ Не получено")</f>
        <v/>
      </c>
      <c r="E6" s="71">
        <f>SUMIFS(inc_fact,inc_year,A6,inc_month,B6)</f>
        <v/>
      </c>
      <c r="F6" s="72">
        <f>IF(D6=0,"",E6/D6)</f>
        <v/>
      </c>
      <c r="G6" s="70">
        <f>SUMIFS(exp_plan,exp_year,A6,exp_month,B6,exp_status,"&lt;&gt;❌ Отменено")</f>
        <v/>
      </c>
      <c r="H6" s="71">
        <f>SUMIFS(exp_fact,exp_year,A6,exp_month,B6)+O6</f>
        <v/>
      </c>
      <c r="I6" s="72">
        <f>IF(G6=0,"",H6/G6)</f>
        <v/>
      </c>
      <c r="J6" s="70">
        <f>D6-G6</f>
        <v/>
      </c>
      <c r="K6" s="71">
        <f>E6-H6</f>
        <v/>
      </c>
      <c r="L6" s="70">
        <f>L5+J6</f>
        <v/>
      </c>
      <c r="M6" s="71">
        <f>M5+K6</f>
        <v/>
      </c>
      <c r="N6" s="71">
        <f>SUMIFS(exp_fact,exp_year,A6,exp_month,B6,exp_cat,"🏦 Накопление")</f>
        <v/>
      </c>
      <c r="O6" s="71">
        <f>SUMIFS(day_amt,day_year,A6,day_month,B6,day_inplan,0)</f>
        <v/>
      </c>
    </row>
    <row r="7">
      <c r="A7" s="69" t="n">
        <v>2026</v>
      </c>
      <c r="B7" s="61" t="inlineStr">
        <is>
          <t>Март</t>
        </is>
      </c>
      <c r="C7" s="61">
        <f>LEFT(B7,3)&amp;" "&amp;RIGHT(A7,2)</f>
        <v/>
      </c>
      <c r="D7" s="70">
        <f>SUMIFS(inc_plan,inc_year,A7,inc_month,B7,inc_status,"&lt;&gt;❌ Не получено")</f>
        <v/>
      </c>
      <c r="E7" s="71">
        <f>SUMIFS(inc_fact,inc_year,A7,inc_month,B7)</f>
        <v/>
      </c>
      <c r="F7" s="72">
        <f>IF(D7=0,"",E7/D7)</f>
        <v/>
      </c>
      <c r="G7" s="70">
        <f>SUMIFS(exp_plan,exp_year,A7,exp_month,B7,exp_status,"&lt;&gt;❌ Отменено")</f>
        <v/>
      </c>
      <c r="H7" s="71">
        <f>SUMIFS(exp_fact,exp_year,A7,exp_month,B7)+O7</f>
        <v/>
      </c>
      <c r="I7" s="72">
        <f>IF(G7=0,"",H7/G7)</f>
        <v/>
      </c>
      <c r="J7" s="70">
        <f>D7-G7</f>
        <v/>
      </c>
      <c r="K7" s="71">
        <f>E7-H7</f>
        <v/>
      </c>
      <c r="L7" s="70">
        <f>L6+J7</f>
        <v/>
      </c>
      <c r="M7" s="71">
        <f>M6+K7</f>
        <v/>
      </c>
      <c r="N7" s="71">
        <f>SUMIFS(exp_fact,exp_year,A7,exp_month,B7,exp_cat,"🏦 Накопление")</f>
        <v/>
      </c>
      <c r="O7" s="71">
        <f>SUMIFS(day_amt,day_year,A7,day_month,B7,day_inplan,0)</f>
        <v/>
      </c>
    </row>
    <row r="8">
      <c r="A8" s="69" t="n">
        <v>2026</v>
      </c>
      <c r="B8" s="61" t="inlineStr">
        <is>
          <t>Апрель</t>
        </is>
      </c>
      <c r="C8" s="61">
        <f>LEFT(B8,3)&amp;" "&amp;RIGHT(A8,2)</f>
        <v/>
      </c>
      <c r="D8" s="70">
        <f>SUMIFS(inc_plan,inc_year,A8,inc_month,B8,inc_status,"&lt;&gt;❌ Не получено")</f>
        <v/>
      </c>
      <c r="E8" s="71">
        <f>SUMIFS(inc_fact,inc_year,A8,inc_month,B8)</f>
        <v/>
      </c>
      <c r="F8" s="72">
        <f>IF(D8=0,"",E8/D8)</f>
        <v/>
      </c>
      <c r="G8" s="70">
        <f>SUMIFS(exp_plan,exp_year,A8,exp_month,B8,exp_status,"&lt;&gt;❌ Отменено")</f>
        <v/>
      </c>
      <c r="H8" s="71">
        <f>SUMIFS(exp_fact,exp_year,A8,exp_month,B8)+O8</f>
        <v/>
      </c>
      <c r="I8" s="72">
        <f>IF(G8=0,"",H8/G8)</f>
        <v/>
      </c>
      <c r="J8" s="70">
        <f>D8-G8</f>
        <v/>
      </c>
      <c r="K8" s="71">
        <f>E8-H8</f>
        <v/>
      </c>
      <c r="L8" s="70">
        <f>L7+J8</f>
        <v/>
      </c>
      <c r="M8" s="71">
        <f>M7+K8</f>
        <v/>
      </c>
      <c r="N8" s="71">
        <f>SUMIFS(exp_fact,exp_year,A8,exp_month,B8,exp_cat,"🏦 Накопление")</f>
        <v/>
      </c>
      <c r="O8" s="71">
        <f>SUMIFS(day_amt,day_year,A8,day_month,B8,day_inplan,0)</f>
        <v/>
      </c>
    </row>
    <row r="9">
      <c r="A9" s="69" t="n">
        <v>2026</v>
      </c>
      <c r="B9" s="61" t="inlineStr">
        <is>
          <t>Май</t>
        </is>
      </c>
      <c r="C9" s="61">
        <f>LEFT(B9,3)&amp;" "&amp;RIGHT(A9,2)</f>
        <v/>
      </c>
      <c r="D9" s="70">
        <f>SUMIFS(inc_plan,inc_year,A9,inc_month,B9,inc_status,"&lt;&gt;❌ Не получено")</f>
        <v/>
      </c>
      <c r="E9" s="71">
        <f>SUMIFS(inc_fact,inc_year,A9,inc_month,B9)</f>
        <v/>
      </c>
      <c r="F9" s="72">
        <f>IF(D9=0,"",E9/D9)</f>
        <v/>
      </c>
      <c r="G9" s="70">
        <f>SUMIFS(exp_plan,exp_year,A9,exp_month,B9,exp_status,"&lt;&gt;❌ Отменено")</f>
        <v/>
      </c>
      <c r="H9" s="71">
        <f>SUMIFS(exp_fact,exp_year,A9,exp_month,B9)+O9</f>
        <v/>
      </c>
      <c r="I9" s="72">
        <f>IF(G9=0,"",H9/G9)</f>
        <v/>
      </c>
      <c r="J9" s="70">
        <f>D9-G9</f>
        <v/>
      </c>
      <c r="K9" s="71">
        <f>E9-H9</f>
        <v/>
      </c>
      <c r="L9" s="70">
        <f>L8+J9</f>
        <v/>
      </c>
      <c r="M9" s="71">
        <f>M8+K9</f>
        <v/>
      </c>
      <c r="N9" s="71">
        <f>SUMIFS(exp_fact,exp_year,A9,exp_month,B9,exp_cat,"🏦 Накопление")</f>
        <v/>
      </c>
      <c r="O9" s="71">
        <f>SUMIFS(day_amt,day_year,A9,day_month,B9,day_inplan,0)</f>
        <v/>
      </c>
    </row>
    <row r="10">
      <c r="A10" s="69" t="n">
        <v>2026</v>
      </c>
      <c r="B10" s="61" t="inlineStr">
        <is>
          <t>Июнь</t>
        </is>
      </c>
      <c r="C10" s="61">
        <f>LEFT(B10,3)&amp;" "&amp;RIGHT(A10,2)</f>
        <v/>
      </c>
      <c r="D10" s="70">
        <f>SUMIFS(inc_plan,inc_year,A10,inc_month,B10,inc_status,"&lt;&gt;❌ Не получено")</f>
        <v/>
      </c>
      <c r="E10" s="71">
        <f>SUMIFS(inc_fact,inc_year,A10,inc_month,B10)</f>
        <v/>
      </c>
      <c r="F10" s="72">
        <f>IF(D10=0,"",E10/D10)</f>
        <v/>
      </c>
      <c r="G10" s="70">
        <f>SUMIFS(exp_plan,exp_year,A10,exp_month,B10,exp_status,"&lt;&gt;❌ Отменено")</f>
        <v/>
      </c>
      <c r="H10" s="71">
        <f>SUMIFS(exp_fact,exp_year,A10,exp_month,B10)+O10</f>
        <v/>
      </c>
      <c r="I10" s="72">
        <f>IF(G10=0,"",H10/G10)</f>
        <v/>
      </c>
      <c r="J10" s="70">
        <f>D10-G10</f>
        <v/>
      </c>
      <c r="K10" s="71">
        <f>E10-H10</f>
        <v/>
      </c>
      <c r="L10" s="70">
        <f>L9+J10</f>
        <v/>
      </c>
      <c r="M10" s="71">
        <f>M9+K10</f>
        <v/>
      </c>
      <c r="N10" s="71">
        <f>SUMIFS(exp_fact,exp_year,A10,exp_month,B10,exp_cat,"🏦 Накопление")</f>
        <v/>
      </c>
      <c r="O10" s="71">
        <f>SUMIFS(day_amt,day_year,A10,day_month,B10,day_inplan,0)</f>
        <v/>
      </c>
    </row>
    <row r="11">
      <c r="A11" s="69" t="n">
        <v>2026</v>
      </c>
      <c r="B11" s="61" t="inlineStr">
        <is>
          <t>Июль</t>
        </is>
      </c>
      <c r="C11" s="61">
        <f>LEFT(B11,3)&amp;" "&amp;RIGHT(A11,2)</f>
        <v/>
      </c>
      <c r="D11" s="70">
        <f>SUMIFS(inc_plan,inc_year,A11,inc_month,B11,inc_status,"&lt;&gt;❌ Не получено")</f>
        <v/>
      </c>
      <c r="E11" s="71">
        <f>SUMIFS(inc_fact,inc_year,A11,inc_month,B11)</f>
        <v/>
      </c>
      <c r="F11" s="72">
        <f>IF(D11=0,"",E11/D11)</f>
        <v/>
      </c>
      <c r="G11" s="70">
        <f>SUMIFS(exp_plan,exp_year,A11,exp_month,B11,exp_status,"&lt;&gt;❌ Отменено")</f>
        <v/>
      </c>
      <c r="H11" s="71">
        <f>SUMIFS(exp_fact,exp_year,A11,exp_month,B11)+O11</f>
        <v/>
      </c>
      <c r="I11" s="72">
        <f>IF(G11=0,"",H11/G11)</f>
        <v/>
      </c>
      <c r="J11" s="70">
        <f>D11-G11</f>
        <v/>
      </c>
      <c r="K11" s="71">
        <f>E11-H11</f>
        <v/>
      </c>
      <c r="L11" s="70">
        <f>L10+J11</f>
        <v/>
      </c>
      <c r="M11" s="71">
        <f>M10+K11</f>
        <v/>
      </c>
      <c r="N11" s="71">
        <f>SUMIFS(exp_fact,exp_year,A11,exp_month,B11,exp_cat,"🏦 Накопление")</f>
        <v/>
      </c>
      <c r="O11" s="71">
        <f>SUMIFS(day_amt,day_year,A11,day_month,B11,day_inplan,0)</f>
        <v/>
      </c>
    </row>
    <row r="12">
      <c r="A12" s="69" t="n">
        <v>2026</v>
      </c>
      <c r="B12" s="61" t="inlineStr">
        <is>
          <t>Август</t>
        </is>
      </c>
      <c r="C12" s="61">
        <f>LEFT(B12,3)&amp;" "&amp;RIGHT(A12,2)</f>
        <v/>
      </c>
      <c r="D12" s="70">
        <f>SUMIFS(inc_plan,inc_year,A12,inc_month,B12,inc_status,"&lt;&gt;❌ Не получено")</f>
        <v/>
      </c>
      <c r="E12" s="71">
        <f>SUMIFS(inc_fact,inc_year,A12,inc_month,B12)</f>
        <v/>
      </c>
      <c r="F12" s="72">
        <f>IF(D12=0,"",E12/D12)</f>
        <v/>
      </c>
      <c r="G12" s="70">
        <f>SUMIFS(exp_plan,exp_year,A12,exp_month,B12,exp_status,"&lt;&gt;❌ Отменено")</f>
        <v/>
      </c>
      <c r="H12" s="71">
        <f>SUMIFS(exp_fact,exp_year,A12,exp_month,B12)+O12</f>
        <v/>
      </c>
      <c r="I12" s="72">
        <f>IF(G12=0,"",H12/G12)</f>
        <v/>
      </c>
      <c r="J12" s="70">
        <f>D12-G12</f>
        <v/>
      </c>
      <c r="K12" s="71">
        <f>E12-H12</f>
        <v/>
      </c>
      <c r="L12" s="70">
        <f>L11+J12</f>
        <v/>
      </c>
      <c r="M12" s="71">
        <f>M11+K12</f>
        <v/>
      </c>
      <c r="N12" s="71">
        <f>SUMIFS(exp_fact,exp_year,A12,exp_month,B12,exp_cat,"🏦 Накопление")</f>
        <v/>
      </c>
      <c r="O12" s="71">
        <f>SUMIFS(day_amt,day_year,A12,day_month,B12,day_inplan,0)</f>
        <v/>
      </c>
    </row>
    <row r="13">
      <c r="A13" s="69" t="n">
        <v>2026</v>
      </c>
      <c r="B13" s="61" t="inlineStr">
        <is>
          <t>Сентябрь</t>
        </is>
      </c>
      <c r="C13" s="61">
        <f>LEFT(B13,3)&amp;" "&amp;RIGHT(A13,2)</f>
        <v/>
      </c>
      <c r="D13" s="70">
        <f>SUMIFS(inc_plan,inc_year,A13,inc_month,B13,inc_status,"&lt;&gt;❌ Не получено")</f>
        <v/>
      </c>
      <c r="E13" s="71">
        <f>SUMIFS(inc_fact,inc_year,A13,inc_month,B13)</f>
        <v/>
      </c>
      <c r="F13" s="72">
        <f>IF(D13=0,"",E13/D13)</f>
        <v/>
      </c>
      <c r="G13" s="70">
        <f>SUMIFS(exp_plan,exp_year,A13,exp_month,B13,exp_status,"&lt;&gt;❌ Отменено")</f>
        <v/>
      </c>
      <c r="H13" s="71">
        <f>SUMIFS(exp_fact,exp_year,A13,exp_month,B13)+O13</f>
        <v/>
      </c>
      <c r="I13" s="72">
        <f>IF(G13=0,"",H13/G13)</f>
        <v/>
      </c>
      <c r="J13" s="70">
        <f>D13-G13</f>
        <v/>
      </c>
      <c r="K13" s="71">
        <f>E13-H13</f>
        <v/>
      </c>
      <c r="L13" s="70">
        <f>L12+J13</f>
        <v/>
      </c>
      <c r="M13" s="71">
        <f>M12+K13</f>
        <v/>
      </c>
      <c r="N13" s="71">
        <f>SUMIFS(exp_fact,exp_year,A13,exp_month,B13,exp_cat,"🏦 Накопление")</f>
        <v/>
      </c>
      <c r="O13" s="71">
        <f>SUMIFS(day_amt,day_year,A13,day_month,B13,day_inplan,0)</f>
        <v/>
      </c>
    </row>
    <row r="14">
      <c r="A14" s="69" t="n">
        <v>2026</v>
      </c>
      <c r="B14" s="61" t="inlineStr">
        <is>
          <t>Октябрь</t>
        </is>
      </c>
      <c r="C14" s="61">
        <f>LEFT(B14,3)&amp;" "&amp;RIGHT(A14,2)</f>
        <v/>
      </c>
      <c r="D14" s="70">
        <f>SUMIFS(inc_plan,inc_year,A14,inc_month,B14,inc_status,"&lt;&gt;❌ Не получено")</f>
        <v/>
      </c>
      <c r="E14" s="71">
        <f>SUMIFS(inc_fact,inc_year,A14,inc_month,B14)</f>
        <v/>
      </c>
      <c r="F14" s="72">
        <f>IF(D14=0,"",E14/D14)</f>
        <v/>
      </c>
      <c r="G14" s="70">
        <f>SUMIFS(exp_plan,exp_year,A14,exp_month,B14,exp_status,"&lt;&gt;❌ Отменено")</f>
        <v/>
      </c>
      <c r="H14" s="71">
        <f>SUMIFS(exp_fact,exp_year,A14,exp_month,B14)+O14</f>
        <v/>
      </c>
      <c r="I14" s="72">
        <f>IF(G14=0,"",H14/G14)</f>
        <v/>
      </c>
      <c r="J14" s="70">
        <f>D14-G14</f>
        <v/>
      </c>
      <c r="K14" s="71">
        <f>E14-H14</f>
        <v/>
      </c>
      <c r="L14" s="70">
        <f>L13+J14</f>
        <v/>
      </c>
      <c r="M14" s="71">
        <f>M13+K14</f>
        <v/>
      </c>
      <c r="N14" s="71">
        <f>SUMIFS(exp_fact,exp_year,A14,exp_month,B14,exp_cat,"🏦 Накопление")</f>
        <v/>
      </c>
      <c r="O14" s="71">
        <f>SUMIFS(day_amt,day_year,A14,day_month,B14,day_inplan,0)</f>
        <v/>
      </c>
    </row>
    <row r="15">
      <c r="A15" s="69" t="n">
        <v>2026</v>
      </c>
      <c r="B15" s="61" t="inlineStr">
        <is>
          <t>Ноябрь</t>
        </is>
      </c>
      <c r="C15" s="61">
        <f>LEFT(B15,3)&amp;" "&amp;RIGHT(A15,2)</f>
        <v/>
      </c>
      <c r="D15" s="70">
        <f>SUMIFS(inc_plan,inc_year,A15,inc_month,B15,inc_status,"&lt;&gt;❌ Не получено")</f>
        <v/>
      </c>
      <c r="E15" s="71">
        <f>SUMIFS(inc_fact,inc_year,A15,inc_month,B15)</f>
        <v/>
      </c>
      <c r="F15" s="72">
        <f>IF(D15=0,"",E15/D15)</f>
        <v/>
      </c>
      <c r="G15" s="70">
        <f>SUMIFS(exp_plan,exp_year,A15,exp_month,B15,exp_status,"&lt;&gt;❌ Отменено")</f>
        <v/>
      </c>
      <c r="H15" s="71">
        <f>SUMIFS(exp_fact,exp_year,A15,exp_month,B15)+O15</f>
        <v/>
      </c>
      <c r="I15" s="72">
        <f>IF(G15=0,"",H15/G15)</f>
        <v/>
      </c>
      <c r="J15" s="70">
        <f>D15-G15</f>
        <v/>
      </c>
      <c r="K15" s="71">
        <f>E15-H15</f>
        <v/>
      </c>
      <c r="L15" s="70">
        <f>L14+J15</f>
        <v/>
      </c>
      <c r="M15" s="71">
        <f>M14+K15</f>
        <v/>
      </c>
      <c r="N15" s="71">
        <f>SUMIFS(exp_fact,exp_year,A15,exp_month,B15,exp_cat,"🏦 Накопление")</f>
        <v/>
      </c>
      <c r="O15" s="71">
        <f>SUMIFS(day_amt,day_year,A15,day_month,B15,day_inplan,0)</f>
        <v/>
      </c>
    </row>
    <row r="16">
      <c r="A16" s="69" t="n">
        <v>2026</v>
      </c>
      <c r="B16" s="61" t="inlineStr">
        <is>
          <t>Декабрь</t>
        </is>
      </c>
      <c r="C16" s="61">
        <f>LEFT(B16,3)&amp;" "&amp;RIGHT(A16,2)</f>
        <v/>
      </c>
      <c r="D16" s="70">
        <f>SUMIFS(inc_plan,inc_year,A16,inc_month,B16,inc_status,"&lt;&gt;❌ Не получено")</f>
        <v/>
      </c>
      <c r="E16" s="71">
        <f>SUMIFS(inc_fact,inc_year,A16,inc_month,B16)</f>
        <v/>
      </c>
      <c r="F16" s="72">
        <f>IF(D16=0,"",E16/D16)</f>
        <v/>
      </c>
      <c r="G16" s="70">
        <f>SUMIFS(exp_plan,exp_year,A16,exp_month,B16,exp_status,"&lt;&gt;❌ Отменено")</f>
        <v/>
      </c>
      <c r="H16" s="71">
        <f>SUMIFS(exp_fact,exp_year,A16,exp_month,B16)+O16</f>
        <v/>
      </c>
      <c r="I16" s="72">
        <f>IF(G16=0,"",H16/G16)</f>
        <v/>
      </c>
      <c r="J16" s="70">
        <f>D16-G16</f>
        <v/>
      </c>
      <c r="K16" s="71">
        <f>E16-H16</f>
        <v/>
      </c>
      <c r="L16" s="70">
        <f>L15+J16</f>
        <v/>
      </c>
      <c r="M16" s="71">
        <f>M15+K16</f>
        <v/>
      </c>
      <c r="N16" s="71">
        <f>SUMIFS(exp_fact,exp_year,A16,exp_month,B16,exp_cat,"🏦 Накопление")</f>
        <v/>
      </c>
      <c r="O16" s="71">
        <f>SUMIFS(day_amt,day_year,A16,day_month,B16,day_inplan,0)</f>
        <v/>
      </c>
    </row>
    <row r="17">
      <c r="A17" s="73" t="n">
        <v>2027</v>
      </c>
      <c r="B17" s="74" t="inlineStr">
        <is>
          <t>Январь</t>
        </is>
      </c>
      <c r="C17" s="74">
        <f>LEFT(B17,3)&amp;" "&amp;RIGHT(A17,2)</f>
        <v/>
      </c>
      <c r="D17" s="75">
        <f>SUMIFS(inc_plan,inc_year,A17,inc_month,B17,inc_status,"&lt;&gt;❌ Не получено")</f>
        <v/>
      </c>
      <c r="E17" s="76">
        <f>SUMIFS(inc_fact,inc_year,A17,inc_month,B17)</f>
        <v/>
      </c>
      <c r="F17" s="77">
        <f>IF(D17=0,"",E17/D17)</f>
        <v/>
      </c>
      <c r="G17" s="75">
        <f>SUMIFS(exp_plan,exp_year,A17,exp_month,B17,exp_status,"&lt;&gt;❌ Отменено")</f>
        <v/>
      </c>
      <c r="H17" s="76">
        <f>SUMIFS(exp_fact,exp_year,A17,exp_month,B17)+O17</f>
        <v/>
      </c>
      <c r="I17" s="77">
        <f>IF(G17=0,"",H17/G17)</f>
        <v/>
      </c>
      <c r="J17" s="75">
        <f>D17-G17</f>
        <v/>
      </c>
      <c r="K17" s="76">
        <f>E17-H17</f>
        <v/>
      </c>
      <c r="L17" s="75">
        <f>L16+J17</f>
        <v/>
      </c>
      <c r="M17" s="76">
        <f>M16+K17</f>
        <v/>
      </c>
      <c r="N17" s="76">
        <f>SUMIFS(exp_fact,exp_year,A17,exp_month,B17,exp_cat,"🏦 Накопление")</f>
        <v/>
      </c>
      <c r="O17" s="76">
        <f>SUMIFS(day_amt,day_year,A17,day_month,B17,day_inplan,0)</f>
        <v/>
      </c>
    </row>
    <row r="18">
      <c r="A18" s="69" t="n">
        <v>2027</v>
      </c>
      <c r="B18" s="61" t="inlineStr">
        <is>
          <t>Февраль</t>
        </is>
      </c>
      <c r="C18" s="61">
        <f>LEFT(B18,3)&amp;" "&amp;RIGHT(A18,2)</f>
        <v/>
      </c>
      <c r="D18" s="70">
        <f>SUMIFS(inc_plan,inc_year,A18,inc_month,B18,inc_status,"&lt;&gt;❌ Не получено")</f>
        <v/>
      </c>
      <c r="E18" s="71">
        <f>SUMIFS(inc_fact,inc_year,A18,inc_month,B18)</f>
        <v/>
      </c>
      <c r="F18" s="72">
        <f>IF(D18=0,"",E18/D18)</f>
        <v/>
      </c>
      <c r="G18" s="70">
        <f>SUMIFS(exp_plan,exp_year,A18,exp_month,B18,exp_status,"&lt;&gt;❌ Отменено")</f>
        <v/>
      </c>
      <c r="H18" s="71">
        <f>SUMIFS(exp_fact,exp_year,A18,exp_month,B18)+O18</f>
        <v/>
      </c>
      <c r="I18" s="72">
        <f>IF(G18=0,"",H18/G18)</f>
        <v/>
      </c>
      <c r="J18" s="70">
        <f>D18-G18</f>
        <v/>
      </c>
      <c r="K18" s="71">
        <f>E18-H18</f>
        <v/>
      </c>
      <c r="L18" s="70">
        <f>L17+J18</f>
        <v/>
      </c>
      <c r="M18" s="71">
        <f>M17+K18</f>
        <v/>
      </c>
      <c r="N18" s="71">
        <f>SUMIFS(exp_fact,exp_year,A18,exp_month,B18,exp_cat,"🏦 Накопление")</f>
        <v/>
      </c>
      <c r="O18" s="71">
        <f>SUMIFS(day_amt,day_year,A18,day_month,B18,day_inplan,0)</f>
        <v/>
      </c>
    </row>
    <row r="19">
      <c r="A19" s="69" t="n">
        <v>2027</v>
      </c>
      <c r="B19" s="61" t="inlineStr">
        <is>
          <t>Март</t>
        </is>
      </c>
      <c r="C19" s="61">
        <f>LEFT(B19,3)&amp;" "&amp;RIGHT(A19,2)</f>
        <v/>
      </c>
      <c r="D19" s="70">
        <f>SUMIFS(inc_plan,inc_year,A19,inc_month,B19,inc_status,"&lt;&gt;❌ Не получено")</f>
        <v/>
      </c>
      <c r="E19" s="71">
        <f>SUMIFS(inc_fact,inc_year,A19,inc_month,B19)</f>
        <v/>
      </c>
      <c r="F19" s="72">
        <f>IF(D19=0,"",E19/D19)</f>
        <v/>
      </c>
      <c r="G19" s="70">
        <f>SUMIFS(exp_plan,exp_year,A19,exp_month,B19,exp_status,"&lt;&gt;❌ Отменено")</f>
        <v/>
      </c>
      <c r="H19" s="71">
        <f>SUMIFS(exp_fact,exp_year,A19,exp_month,B19)+O19</f>
        <v/>
      </c>
      <c r="I19" s="72">
        <f>IF(G19=0,"",H19/G19)</f>
        <v/>
      </c>
      <c r="J19" s="70">
        <f>D19-G19</f>
        <v/>
      </c>
      <c r="K19" s="71">
        <f>E19-H19</f>
        <v/>
      </c>
      <c r="L19" s="70">
        <f>L18+J19</f>
        <v/>
      </c>
      <c r="M19" s="71">
        <f>M18+K19</f>
        <v/>
      </c>
      <c r="N19" s="71">
        <f>SUMIFS(exp_fact,exp_year,A19,exp_month,B19,exp_cat,"🏦 Накопление")</f>
        <v/>
      </c>
      <c r="O19" s="71">
        <f>SUMIFS(day_amt,day_year,A19,day_month,B19,day_inplan,0)</f>
        <v/>
      </c>
    </row>
    <row r="20">
      <c r="A20" s="69" t="n">
        <v>2027</v>
      </c>
      <c r="B20" s="61" t="inlineStr">
        <is>
          <t>Апрель</t>
        </is>
      </c>
      <c r="C20" s="61">
        <f>LEFT(B20,3)&amp;" "&amp;RIGHT(A20,2)</f>
        <v/>
      </c>
      <c r="D20" s="70">
        <f>SUMIFS(inc_plan,inc_year,A20,inc_month,B20,inc_status,"&lt;&gt;❌ Не получено")</f>
        <v/>
      </c>
      <c r="E20" s="71">
        <f>SUMIFS(inc_fact,inc_year,A20,inc_month,B20)</f>
        <v/>
      </c>
      <c r="F20" s="72">
        <f>IF(D20=0,"",E20/D20)</f>
        <v/>
      </c>
      <c r="G20" s="70">
        <f>SUMIFS(exp_plan,exp_year,A20,exp_month,B20,exp_status,"&lt;&gt;❌ Отменено")</f>
        <v/>
      </c>
      <c r="H20" s="71">
        <f>SUMIFS(exp_fact,exp_year,A20,exp_month,B20)+O20</f>
        <v/>
      </c>
      <c r="I20" s="72">
        <f>IF(G20=0,"",H20/G20)</f>
        <v/>
      </c>
      <c r="J20" s="70">
        <f>D20-G20</f>
        <v/>
      </c>
      <c r="K20" s="71">
        <f>E20-H20</f>
        <v/>
      </c>
      <c r="L20" s="70">
        <f>L19+J20</f>
        <v/>
      </c>
      <c r="M20" s="71">
        <f>M19+K20</f>
        <v/>
      </c>
      <c r="N20" s="71">
        <f>SUMIFS(exp_fact,exp_year,A20,exp_month,B20,exp_cat,"🏦 Накопление")</f>
        <v/>
      </c>
      <c r="O20" s="71">
        <f>SUMIFS(day_amt,day_year,A20,day_month,B20,day_inplan,0)</f>
        <v/>
      </c>
    </row>
    <row r="21">
      <c r="A21" s="69" t="n">
        <v>2027</v>
      </c>
      <c r="B21" s="61" t="inlineStr">
        <is>
          <t>Май</t>
        </is>
      </c>
      <c r="C21" s="61">
        <f>LEFT(B21,3)&amp;" "&amp;RIGHT(A21,2)</f>
        <v/>
      </c>
      <c r="D21" s="70">
        <f>SUMIFS(inc_plan,inc_year,A21,inc_month,B21,inc_status,"&lt;&gt;❌ Не получено")</f>
        <v/>
      </c>
      <c r="E21" s="71">
        <f>SUMIFS(inc_fact,inc_year,A21,inc_month,B21)</f>
        <v/>
      </c>
      <c r="F21" s="72">
        <f>IF(D21=0,"",E21/D21)</f>
        <v/>
      </c>
      <c r="G21" s="70">
        <f>SUMIFS(exp_plan,exp_year,A21,exp_month,B21,exp_status,"&lt;&gt;❌ Отменено")</f>
        <v/>
      </c>
      <c r="H21" s="71">
        <f>SUMIFS(exp_fact,exp_year,A21,exp_month,B21)+O21</f>
        <v/>
      </c>
      <c r="I21" s="72">
        <f>IF(G21=0,"",H21/G21)</f>
        <v/>
      </c>
      <c r="J21" s="70">
        <f>D21-G21</f>
        <v/>
      </c>
      <c r="K21" s="71">
        <f>E21-H21</f>
        <v/>
      </c>
      <c r="L21" s="70">
        <f>L20+J21</f>
        <v/>
      </c>
      <c r="M21" s="71">
        <f>M20+K21</f>
        <v/>
      </c>
      <c r="N21" s="71">
        <f>SUMIFS(exp_fact,exp_year,A21,exp_month,B21,exp_cat,"🏦 Накопление")</f>
        <v/>
      </c>
      <c r="O21" s="71">
        <f>SUMIFS(day_amt,day_year,A21,day_month,B21,day_inplan,0)</f>
        <v/>
      </c>
    </row>
    <row r="22">
      <c r="A22" s="69" t="n">
        <v>2027</v>
      </c>
      <c r="B22" s="61" t="inlineStr">
        <is>
          <t>Июнь</t>
        </is>
      </c>
      <c r="C22" s="61">
        <f>LEFT(B22,3)&amp;" "&amp;RIGHT(A22,2)</f>
        <v/>
      </c>
      <c r="D22" s="70">
        <f>SUMIFS(inc_plan,inc_year,A22,inc_month,B22,inc_status,"&lt;&gt;❌ Не получено")</f>
        <v/>
      </c>
      <c r="E22" s="71">
        <f>SUMIFS(inc_fact,inc_year,A22,inc_month,B22)</f>
        <v/>
      </c>
      <c r="F22" s="72">
        <f>IF(D22=0,"",E22/D22)</f>
        <v/>
      </c>
      <c r="G22" s="70">
        <f>SUMIFS(exp_plan,exp_year,A22,exp_month,B22,exp_status,"&lt;&gt;❌ Отменено")</f>
        <v/>
      </c>
      <c r="H22" s="71">
        <f>SUMIFS(exp_fact,exp_year,A22,exp_month,B22)+O22</f>
        <v/>
      </c>
      <c r="I22" s="72">
        <f>IF(G22=0,"",H22/G22)</f>
        <v/>
      </c>
      <c r="J22" s="70">
        <f>D22-G22</f>
        <v/>
      </c>
      <c r="K22" s="71">
        <f>E22-H22</f>
        <v/>
      </c>
      <c r="L22" s="70">
        <f>L21+J22</f>
        <v/>
      </c>
      <c r="M22" s="71">
        <f>M21+K22</f>
        <v/>
      </c>
      <c r="N22" s="71">
        <f>SUMIFS(exp_fact,exp_year,A22,exp_month,B22,exp_cat,"🏦 Накопление")</f>
        <v/>
      </c>
      <c r="O22" s="71">
        <f>SUMIFS(day_amt,day_year,A22,day_month,B22,day_inplan,0)</f>
        <v/>
      </c>
    </row>
    <row r="23">
      <c r="A23" s="69" t="n">
        <v>2027</v>
      </c>
      <c r="B23" s="61" t="inlineStr">
        <is>
          <t>Июль</t>
        </is>
      </c>
      <c r="C23" s="61">
        <f>LEFT(B23,3)&amp;" "&amp;RIGHT(A23,2)</f>
        <v/>
      </c>
      <c r="D23" s="70">
        <f>SUMIFS(inc_plan,inc_year,A23,inc_month,B23,inc_status,"&lt;&gt;❌ Не получено")</f>
        <v/>
      </c>
      <c r="E23" s="71">
        <f>SUMIFS(inc_fact,inc_year,A23,inc_month,B23)</f>
        <v/>
      </c>
      <c r="F23" s="72">
        <f>IF(D23=0,"",E23/D23)</f>
        <v/>
      </c>
      <c r="G23" s="70">
        <f>SUMIFS(exp_plan,exp_year,A23,exp_month,B23,exp_status,"&lt;&gt;❌ Отменено")</f>
        <v/>
      </c>
      <c r="H23" s="71">
        <f>SUMIFS(exp_fact,exp_year,A23,exp_month,B23)+O23</f>
        <v/>
      </c>
      <c r="I23" s="72">
        <f>IF(G23=0,"",H23/G23)</f>
        <v/>
      </c>
      <c r="J23" s="70">
        <f>D23-G23</f>
        <v/>
      </c>
      <c r="K23" s="71">
        <f>E23-H23</f>
        <v/>
      </c>
      <c r="L23" s="70">
        <f>L22+J23</f>
        <v/>
      </c>
      <c r="M23" s="71">
        <f>M22+K23</f>
        <v/>
      </c>
      <c r="N23" s="71">
        <f>SUMIFS(exp_fact,exp_year,A23,exp_month,B23,exp_cat,"🏦 Накопление")</f>
        <v/>
      </c>
      <c r="O23" s="71">
        <f>SUMIFS(day_amt,day_year,A23,day_month,B23,day_inplan,0)</f>
        <v/>
      </c>
    </row>
    <row r="24">
      <c r="A24" s="69" t="n">
        <v>2027</v>
      </c>
      <c r="B24" s="61" t="inlineStr">
        <is>
          <t>Август</t>
        </is>
      </c>
      <c r="C24" s="61">
        <f>LEFT(B24,3)&amp;" "&amp;RIGHT(A24,2)</f>
        <v/>
      </c>
      <c r="D24" s="70">
        <f>SUMIFS(inc_plan,inc_year,A24,inc_month,B24,inc_status,"&lt;&gt;❌ Не получено")</f>
        <v/>
      </c>
      <c r="E24" s="71">
        <f>SUMIFS(inc_fact,inc_year,A24,inc_month,B24)</f>
        <v/>
      </c>
      <c r="F24" s="72">
        <f>IF(D24=0,"",E24/D24)</f>
        <v/>
      </c>
      <c r="G24" s="70">
        <f>SUMIFS(exp_plan,exp_year,A24,exp_month,B24,exp_status,"&lt;&gt;❌ Отменено")</f>
        <v/>
      </c>
      <c r="H24" s="71">
        <f>SUMIFS(exp_fact,exp_year,A24,exp_month,B24)+O24</f>
        <v/>
      </c>
      <c r="I24" s="72">
        <f>IF(G24=0,"",H24/G24)</f>
        <v/>
      </c>
      <c r="J24" s="70">
        <f>D24-G24</f>
        <v/>
      </c>
      <c r="K24" s="71">
        <f>E24-H24</f>
        <v/>
      </c>
      <c r="L24" s="70">
        <f>L23+J24</f>
        <v/>
      </c>
      <c r="M24" s="71">
        <f>M23+K24</f>
        <v/>
      </c>
      <c r="N24" s="71">
        <f>SUMIFS(exp_fact,exp_year,A24,exp_month,B24,exp_cat,"🏦 Накопление")</f>
        <v/>
      </c>
      <c r="O24" s="71">
        <f>SUMIFS(day_amt,day_year,A24,day_month,B24,day_inplan,0)</f>
        <v/>
      </c>
    </row>
    <row r="25">
      <c r="A25" s="69" t="n">
        <v>2027</v>
      </c>
      <c r="B25" s="61" t="inlineStr">
        <is>
          <t>Сентябрь</t>
        </is>
      </c>
      <c r="C25" s="61">
        <f>LEFT(B25,3)&amp;" "&amp;RIGHT(A25,2)</f>
        <v/>
      </c>
      <c r="D25" s="70">
        <f>SUMIFS(inc_plan,inc_year,A25,inc_month,B25,inc_status,"&lt;&gt;❌ Не получено")</f>
        <v/>
      </c>
      <c r="E25" s="71">
        <f>SUMIFS(inc_fact,inc_year,A25,inc_month,B25)</f>
        <v/>
      </c>
      <c r="F25" s="72">
        <f>IF(D25=0,"",E25/D25)</f>
        <v/>
      </c>
      <c r="G25" s="70">
        <f>SUMIFS(exp_plan,exp_year,A25,exp_month,B25,exp_status,"&lt;&gt;❌ Отменено")</f>
        <v/>
      </c>
      <c r="H25" s="71">
        <f>SUMIFS(exp_fact,exp_year,A25,exp_month,B25)+O25</f>
        <v/>
      </c>
      <c r="I25" s="72">
        <f>IF(G25=0,"",H25/G25)</f>
        <v/>
      </c>
      <c r="J25" s="70">
        <f>D25-G25</f>
        <v/>
      </c>
      <c r="K25" s="71">
        <f>E25-H25</f>
        <v/>
      </c>
      <c r="L25" s="70">
        <f>L24+J25</f>
        <v/>
      </c>
      <c r="M25" s="71">
        <f>M24+K25</f>
        <v/>
      </c>
      <c r="N25" s="71">
        <f>SUMIFS(exp_fact,exp_year,A25,exp_month,B25,exp_cat,"🏦 Накопление")</f>
        <v/>
      </c>
      <c r="O25" s="71">
        <f>SUMIFS(day_amt,day_year,A25,day_month,B25,day_inplan,0)</f>
        <v/>
      </c>
    </row>
    <row r="26">
      <c r="A26" s="69" t="n">
        <v>2027</v>
      </c>
      <c r="B26" s="61" t="inlineStr">
        <is>
          <t>Октябрь</t>
        </is>
      </c>
      <c r="C26" s="61">
        <f>LEFT(B26,3)&amp;" "&amp;RIGHT(A26,2)</f>
        <v/>
      </c>
      <c r="D26" s="70">
        <f>SUMIFS(inc_plan,inc_year,A26,inc_month,B26,inc_status,"&lt;&gt;❌ Не получено")</f>
        <v/>
      </c>
      <c r="E26" s="71">
        <f>SUMIFS(inc_fact,inc_year,A26,inc_month,B26)</f>
        <v/>
      </c>
      <c r="F26" s="72">
        <f>IF(D26=0,"",E26/D26)</f>
        <v/>
      </c>
      <c r="G26" s="70">
        <f>SUMIFS(exp_plan,exp_year,A26,exp_month,B26,exp_status,"&lt;&gt;❌ Отменено")</f>
        <v/>
      </c>
      <c r="H26" s="71">
        <f>SUMIFS(exp_fact,exp_year,A26,exp_month,B26)+O26</f>
        <v/>
      </c>
      <c r="I26" s="72">
        <f>IF(G26=0,"",H26/G26)</f>
        <v/>
      </c>
      <c r="J26" s="70">
        <f>D26-G26</f>
        <v/>
      </c>
      <c r="K26" s="71">
        <f>E26-H26</f>
        <v/>
      </c>
      <c r="L26" s="70">
        <f>L25+J26</f>
        <v/>
      </c>
      <c r="M26" s="71">
        <f>M25+K26</f>
        <v/>
      </c>
      <c r="N26" s="71">
        <f>SUMIFS(exp_fact,exp_year,A26,exp_month,B26,exp_cat,"🏦 Накопление")</f>
        <v/>
      </c>
      <c r="O26" s="71">
        <f>SUMIFS(day_amt,day_year,A26,day_month,B26,day_inplan,0)</f>
        <v/>
      </c>
    </row>
    <row r="27">
      <c r="A27" s="69" t="n">
        <v>2027</v>
      </c>
      <c r="B27" s="61" t="inlineStr">
        <is>
          <t>Ноябрь</t>
        </is>
      </c>
      <c r="C27" s="61">
        <f>LEFT(B27,3)&amp;" "&amp;RIGHT(A27,2)</f>
        <v/>
      </c>
      <c r="D27" s="70">
        <f>SUMIFS(inc_plan,inc_year,A27,inc_month,B27,inc_status,"&lt;&gt;❌ Не получено")</f>
        <v/>
      </c>
      <c r="E27" s="71">
        <f>SUMIFS(inc_fact,inc_year,A27,inc_month,B27)</f>
        <v/>
      </c>
      <c r="F27" s="72">
        <f>IF(D27=0,"",E27/D27)</f>
        <v/>
      </c>
      <c r="G27" s="70">
        <f>SUMIFS(exp_plan,exp_year,A27,exp_month,B27,exp_status,"&lt;&gt;❌ Отменено")</f>
        <v/>
      </c>
      <c r="H27" s="71">
        <f>SUMIFS(exp_fact,exp_year,A27,exp_month,B27)+O27</f>
        <v/>
      </c>
      <c r="I27" s="72">
        <f>IF(G27=0,"",H27/G27)</f>
        <v/>
      </c>
      <c r="J27" s="70">
        <f>D27-G27</f>
        <v/>
      </c>
      <c r="K27" s="71">
        <f>E27-H27</f>
        <v/>
      </c>
      <c r="L27" s="70">
        <f>L26+J27</f>
        <v/>
      </c>
      <c r="M27" s="71">
        <f>M26+K27</f>
        <v/>
      </c>
      <c r="N27" s="71">
        <f>SUMIFS(exp_fact,exp_year,A27,exp_month,B27,exp_cat,"🏦 Накопление")</f>
        <v/>
      </c>
      <c r="O27" s="71">
        <f>SUMIFS(day_amt,day_year,A27,day_month,B27,day_inplan,0)</f>
        <v/>
      </c>
    </row>
    <row r="28">
      <c r="A28" s="69" t="n">
        <v>2027</v>
      </c>
      <c r="B28" s="61" t="inlineStr">
        <is>
          <t>Декабрь</t>
        </is>
      </c>
      <c r="C28" s="61">
        <f>LEFT(B28,3)&amp;" "&amp;RIGHT(A28,2)</f>
        <v/>
      </c>
      <c r="D28" s="70">
        <f>SUMIFS(inc_plan,inc_year,A28,inc_month,B28,inc_status,"&lt;&gt;❌ Не получено")</f>
        <v/>
      </c>
      <c r="E28" s="71">
        <f>SUMIFS(inc_fact,inc_year,A28,inc_month,B28)</f>
        <v/>
      </c>
      <c r="F28" s="72">
        <f>IF(D28=0,"",E28/D28)</f>
        <v/>
      </c>
      <c r="G28" s="70">
        <f>SUMIFS(exp_plan,exp_year,A28,exp_month,B28,exp_status,"&lt;&gt;❌ Отменено")</f>
        <v/>
      </c>
      <c r="H28" s="71">
        <f>SUMIFS(exp_fact,exp_year,A28,exp_month,B28)+O28</f>
        <v/>
      </c>
      <c r="I28" s="72">
        <f>IF(G28=0,"",H28/G28)</f>
        <v/>
      </c>
      <c r="J28" s="70">
        <f>D28-G28</f>
        <v/>
      </c>
      <c r="K28" s="71">
        <f>E28-H28</f>
        <v/>
      </c>
      <c r="L28" s="70">
        <f>L27+J28</f>
        <v/>
      </c>
      <c r="M28" s="71">
        <f>M27+K28</f>
        <v/>
      </c>
      <c r="N28" s="71">
        <f>SUMIFS(exp_fact,exp_year,A28,exp_month,B28,exp_cat,"🏦 Накопление")</f>
        <v/>
      </c>
      <c r="O28" s="71">
        <f>SUMIFS(day_amt,day_year,A28,day_month,B28,day_inplan,0)</f>
        <v/>
      </c>
    </row>
    <row r="29">
      <c r="A29" s="73" t="n">
        <v>2028</v>
      </c>
      <c r="B29" s="74" t="inlineStr">
        <is>
          <t>Январь</t>
        </is>
      </c>
      <c r="C29" s="74">
        <f>LEFT(B29,3)&amp;" "&amp;RIGHT(A29,2)</f>
        <v/>
      </c>
      <c r="D29" s="75">
        <f>SUMIFS(inc_plan,inc_year,A29,inc_month,B29,inc_status,"&lt;&gt;❌ Не получено")</f>
        <v/>
      </c>
      <c r="E29" s="76">
        <f>SUMIFS(inc_fact,inc_year,A29,inc_month,B29)</f>
        <v/>
      </c>
      <c r="F29" s="77">
        <f>IF(D29=0,"",E29/D29)</f>
        <v/>
      </c>
      <c r="G29" s="75">
        <f>SUMIFS(exp_plan,exp_year,A29,exp_month,B29,exp_status,"&lt;&gt;❌ Отменено")</f>
        <v/>
      </c>
      <c r="H29" s="76">
        <f>SUMIFS(exp_fact,exp_year,A29,exp_month,B29)+O29</f>
        <v/>
      </c>
      <c r="I29" s="77">
        <f>IF(G29=0,"",H29/G29)</f>
        <v/>
      </c>
      <c r="J29" s="75">
        <f>D29-G29</f>
        <v/>
      </c>
      <c r="K29" s="76">
        <f>E29-H29</f>
        <v/>
      </c>
      <c r="L29" s="75">
        <f>L28+J29</f>
        <v/>
      </c>
      <c r="M29" s="76">
        <f>M28+K29</f>
        <v/>
      </c>
      <c r="N29" s="76">
        <f>SUMIFS(exp_fact,exp_year,A29,exp_month,B29,exp_cat,"🏦 Накопление")</f>
        <v/>
      </c>
      <c r="O29" s="76">
        <f>SUMIFS(day_amt,day_year,A29,day_month,B29,day_inplan,0)</f>
        <v/>
      </c>
    </row>
    <row r="30">
      <c r="A30" s="69" t="n">
        <v>2028</v>
      </c>
      <c r="B30" s="61" t="inlineStr">
        <is>
          <t>Февраль</t>
        </is>
      </c>
      <c r="C30" s="61">
        <f>LEFT(B30,3)&amp;" "&amp;RIGHT(A30,2)</f>
        <v/>
      </c>
      <c r="D30" s="70">
        <f>SUMIFS(inc_plan,inc_year,A30,inc_month,B30,inc_status,"&lt;&gt;❌ Не получено")</f>
        <v/>
      </c>
      <c r="E30" s="71">
        <f>SUMIFS(inc_fact,inc_year,A30,inc_month,B30)</f>
        <v/>
      </c>
      <c r="F30" s="72">
        <f>IF(D30=0,"",E30/D30)</f>
        <v/>
      </c>
      <c r="G30" s="70">
        <f>SUMIFS(exp_plan,exp_year,A30,exp_month,B30,exp_status,"&lt;&gt;❌ Отменено")</f>
        <v/>
      </c>
      <c r="H30" s="71">
        <f>SUMIFS(exp_fact,exp_year,A30,exp_month,B30)+O30</f>
        <v/>
      </c>
      <c r="I30" s="72">
        <f>IF(G30=0,"",H30/G30)</f>
        <v/>
      </c>
      <c r="J30" s="70">
        <f>D30-G30</f>
        <v/>
      </c>
      <c r="K30" s="71">
        <f>E30-H30</f>
        <v/>
      </c>
      <c r="L30" s="70">
        <f>L29+J30</f>
        <v/>
      </c>
      <c r="M30" s="71">
        <f>M29+K30</f>
        <v/>
      </c>
      <c r="N30" s="71">
        <f>SUMIFS(exp_fact,exp_year,A30,exp_month,B30,exp_cat,"🏦 Накопление")</f>
        <v/>
      </c>
      <c r="O30" s="71">
        <f>SUMIFS(day_amt,day_year,A30,day_month,B30,day_inplan,0)</f>
        <v/>
      </c>
    </row>
    <row r="31">
      <c r="A31" s="69" t="n">
        <v>2028</v>
      </c>
      <c r="B31" s="61" t="inlineStr">
        <is>
          <t>Март</t>
        </is>
      </c>
      <c r="C31" s="61">
        <f>LEFT(B31,3)&amp;" "&amp;RIGHT(A31,2)</f>
        <v/>
      </c>
      <c r="D31" s="70">
        <f>SUMIFS(inc_plan,inc_year,A31,inc_month,B31,inc_status,"&lt;&gt;❌ Не получено")</f>
        <v/>
      </c>
      <c r="E31" s="71">
        <f>SUMIFS(inc_fact,inc_year,A31,inc_month,B31)</f>
        <v/>
      </c>
      <c r="F31" s="72">
        <f>IF(D31=0,"",E31/D31)</f>
        <v/>
      </c>
      <c r="G31" s="70">
        <f>SUMIFS(exp_plan,exp_year,A31,exp_month,B31,exp_status,"&lt;&gt;❌ Отменено")</f>
        <v/>
      </c>
      <c r="H31" s="71">
        <f>SUMIFS(exp_fact,exp_year,A31,exp_month,B31)+O31</f>
        <v/>
      </c>
      <c r="I31" s="72">
        <f>IF(G31=0,"",H31/G31)</f>
        <v/>
      </c>
      <c r="J31" s="70">
        <f>D31-G31</f>
        <v/>
      </c>
      <c r="K31" s="71">
        <f>E31-H31</f>
        <v/>
      </c>
      <c r="L31" s="70">
        <f>L30+J31</f>
        <v/>
      </c>
      <c r="M31" s="71">
        <f>M30+K31</f>
        <v/>
      </c>
      <c r="N31" s="71">
        <f>SUMIFS(exp_fact,exp_year,A31,exp_month,B31,exp_cat,"🏦 Накопление")</f>
        <v/>
      </c>
      <c r="O31" s="71">
        <f>SUMIFS(day_amt,day_year,A31,day_month,B31,day_inplan,0)</f>
        <v/>
      </c>
    </row>
    <row r="32">
      <c r="A32" s="69" t="n">
        <v>2028</v>
      </c>
      <c r="B32" s="61" t="inlineStr">
        <is>
          <t>Апрель</t>
        </is>
      </c>
      <c r="C32" s="61">
        <f>LEFT(B32,3)&amp;" "&amp;RIGHT(A32,2)</f>
        <v/>
      </c>
      <c r="D32" s="70">
        <f>SUMIFS(inc_plan,inc_year,A32,inc_month,B32,inc_status,"&lt;&gt;❌ Не получено")</f>
        <v/>
      </c>
      <c r="E32" s="71">
        <f>SUMIFS(inc_fact,inc_year,A32,inc_month,B32)</f>
        <v/>
      </c>
      <c r="F32" s="72">
        <f>IF(D32=0,"",E32/D32)</f>
        <v/>
      </c>
      <c r="G32" s="70">
        <f>SUMIFS(exp_plan,exp_year,A32,exp_month,B32,exp_status,"&lt;&gt;❌ Отменено")</f>
        <v/>
      </c>
      <c r="H32" s="71">
        <f>SUMIFS(exp_fact,exp_year,A32,exp_month,B32)+O32</f>
        <v/>
      </c>
      <c r="I32" s="72">
        <f>IF(G32=0,"",H32/G32)</f>
        <v/>
      </c>
      <c r="J32" s="70">
        <f>D32-G32</f>
        <v/>
      </c>
      <c r="K32" s="71">
        <f>E32-H32</f>
        <v/>
      </c>
      <c r="L32" s="70">
        <f>L31+J32</f>
        <v/>
      </c>
      <c r="M32" s="71">
        <f>M31+K32</f>
        <v/>
      </c>
      <c r="N32" s="71">
        <f>SUMIFS(exp_fact,exp_year,A32,exp_month,B32,exp_cat,"🏦 Накопление")</f>
        <v/>
      </c>
      <c r="O32" s="71">
        <f>SUMIFS(day_amt,day_year,A32,day_month,B32,day_inplan,0)</f>
        <v/>
      </c>
    </row>
    <row r="33">
      <c r="A33" s="69" t="n">
        <v>2028</v>
      </c>
      <c r="B33" s="61" t="inlineStr">
        <is>
          <t>Май</t>
        </is>
      </c>
      <c r="C33" s="61">
        <f>LEFT(B33,3)&amp;" "&amp;RIGHT(A33,2)</f>
        <v/>
      </c>
      <c r="D33" s="70">
        <f>SUMIFS(inc_plan,inc_year,A33,inc_month,B33,inc_status,"&lt;&gt;❌ Не получено")</f>
        <v/>
      </c>
      <c r="E33" s="71">
        <f>SUMIFS(inc_fact,inc_year,A33,inc_month,B33)</f>
        <v/>
      </c>
      <c r="F33" s="72">
        <f>IF(D33=0,"",E33/D33)</f>
        <v/>
      </c>
      <c r="G33" s="70">
        <f>SUMIFS(exp_plan,exp_year,A33,exp_month,B33,exp_status,"&lt;&gt;❌ Отменено")</f>
        <v/>
      </c>
      <c r="H33" s="71">
        <f>SUMIFS(exp_fact,exp_year,A33,exp_month,B33)+O33</f>
        <v/>
      </c>
      <c r="I33" s="72">
        <f>IF(G33=0,"",H33/G33)</f>
        <v/>
      </c>
      <c r="J33" s="70">
        <f>D33-G33</f>
        <v/>
      </c>
      <c r="K33" s="71">
        <f>E33-H33</f>
        <v/>
      </c>
      <c r="L33" s="70">
        <f>L32+J33</f>
        <v/>
      </c>
      <c r="M33" s="71">
        <f>M32+K33</f>
        <v/>
      </c>
      <c r="N33" s="71">
        <f>SUMIFS(exp_fact,exp_year,A33,exp_month,B33,exp_cat,"🏦 Накопление")</f>
        <v/>
      </c>
      <c r="O33" s="71">
        <f>SUMIFS(day_amt,day_year,A33,day_month,B33,day_inplan,0)</f>
        <v/>
      </c>
    </row>
    <row r="34">
      <c r="A34" s="69" t="n">
        <v>2028</v>
      </c>
      <c r="B34" s="61" t="inlineStr">
        <is>
          <t>Июнь</t>
        </is>
      </c>
      <c r="C34" s="61">
        <f>LEFT(B34,3)&amp;" "&amp;RIGHT(A34,2)</f>
        <v/>
      </c>
      <c r="D34" s="70">
        <f>SUMIFS(inc_plan,inc_year,A34,inc_month,B34,inc_status,"&lt;&gt;❌ Не получено")</f>
        <v/>
      </c>
      <c r="E34" s="71">
        <f>SUMIFS(inc_fact,inc_year,A34,inc_month,B34)</f>
        <v/>
      </c>
      <c r="F34" s="72">
        <f>IF(D34=0,"",E34/D34)</f>
        <v/>
      </c>
      <c r="G34" s="70">
        <f>SUMIFS(exp_plan,exp_year,A34,exp_month,B34,exp_status,"&lt;&gt;❌ Отменено")</f>
        <v/>
      </c>
      <c r="H34" s="71">
        <f>SUMIFS(exp_fact,exp_year,A34,exp_month,B34)+O34</f>
        <v/>
      </c>
      <c r="I34" s="72">
        <f>IF(G34=0,"",H34/G34)</f>
        <v/>
      </c>
      <c r="J34" s="70">
        <f>D34-G34</f>
        <v/>
      </c>
      <c r="K34" s="71">
        <f>E34-H34</f>
        <v/>
      </c>
      <c r="L34" s="70">
        <f>L33+J34</f>
        <v/>
      </c>
      <c r="M34" s="71">
        <f>M33+K34</f>
        <v/>
      </c>
      <c r="N34" s="71">
        <f>SUMIFS(exp_fact,exp_year,A34,exp_month,B34,exp_cat,"🏦 Накопление")</f>
        <v/>
      </c>
      <c r="O34" s="71">
        <f>SUMIFS(day_amt,day_year,A34,day_month,B34,day_inplan,0)</f>
        <v/>
      </c>
    </row>
    <row r="35">
      <c r="A35" s="69" t="n">
        <v>2028</v>
      </c>
      <c r="B35" s="61" t="inlineStr">
        <is>
          <t>Июль</t>
        </is>
      </c>
      <c r="C35" s="61">
        <f>LEFT(B35,3)&amp;" "&amp;RIGHT(A35,2)</f>
        <v/>
      </c>
      <c r="D35" s="70">
        <f>SUMIFS(inc_plan,inc_year,A35,inc_month,B35,inc_status,"&lt;&gt;❌ Не получено")</f>
        <v/>
      </c>
      <c r="E35" s="71">
        <f>SUMIFS(inc_fact,inc_year,A35,inc_month,B35)</f>
        <v/>
      </c>
      <c r="F35" s="72">
        <f>IF(D35=0,"",E35/D35)</f>
        <v/>
      </c>
      <c r="G35" s="70">
        <f>SUMIFS(exp_plan,exp_year,A35,exp_month,B35,exp_status,"&lt;&gt;❌ Отменено")</f>
        <v/>
      </c>
      <c r="H35" s="71">
        <f>SUMIFS(exp_fact,exp_year,A35,exp_month,B35)+O35</f>
        <v/>
      </c>
      <c r="I35" s="72">
        <f>IF(G35=0,"",H35/G35)</f>
        <v/>
      </c>
      <c r="J35" s="70">
        <f>D35-G35</f>
        <v/>
      </c>
      <c r="K35" s="71">
        <f>E35-H35</f>
        <v/>
      </c>
      <c r="L35" s="70">
        <f>L34+J35</f>
        <v/>
      </c>
      <c r="M35" s="71">
        <f>M34+K35</f>
        <v/>
      </c>
      <c r="N35" s="71">
        <f>SUMIFS(exp_fact,exp_year,A35,exp_month,B35,exp_cat,"🏦 Накопление")</f>
        <v/>
      </c>
      <c r="O35" s="71">
        <f>SUMIFS(day_amt,day_year,A35,day_month,B35,day_inplan,0)</f>
        <v/>
      </c>
    </row>
    <row r="36">
      <c r="A36" s="69" t="n">
        <v>2028</v>
      </c>
      <c r="B36" s="61" t="inlineStr">
        <is>
          <t>Август</t>
        </is>
      </c>
      <c r="C36" s="61">
        <f>LEFT(B36,3)&amp;" "&amp;RIGHT(A36,2)</f>
        <v/>
      </c>
      <c r="D36" s="70">
        <f>SUMIFS(inc_plan,inc_year,A36,inc_month,B36,inc_status,"&lt;&gt;❌ Не получено")</f>
        <v/>
      </c>
      <c r="E36" s="71">
        <f>SUMIFS(inc_fact,inc_year,A36,inc_month,B36)</f>
        <v/>
      </c>
      <c r="F36" s="72">
        <f>IF(D36=0,"",E36/D36)</f>
        <v/>
      </c>
      <c r="G36" s="70">
        <f>SUMIFS(exp_plan,exp_year,A36,exp_month,B36,exp_status,"&lt;&gt;❌ Отменено")</f>
        <v/>
      </c>
      <c r="H36" s="71">
        <f>SUMIFS(exp_fact,exp_year,A36,exp_month,B36)+O36</f>
        <v/>
      </c>
      <c r="I36" s="72">
        <f>IF(G36=0,"",H36/G36)</f>
        <v/>
      </c>
      <c r="J36" s="70">
        <f>D36-G36</f>
        <v/>
      </c>
      <c r="K36" s="71">
        <f>E36-H36</f>
        <v/>
      </c>
      <c r="L36" s="70">
        <f>L35+J36</f>
        <v/>
      </c>
      <c r="M36" s="71">
        <f>M35+K36</f>
        <v/>
      </c>
      <c r="N36" s="71">
        <f>SUMIFS(exp_fact,exp_year,A36,exp_month,B36,exp_cat,"🏦 Накопление")</f>
        <v/>
      </c>
      <c r="O36" s="71">
        <f>SUMIFS(day_amt,day_year,A36,day_month,B36,day_inplan,0)</f>
        <v/>
      </c>
    </row>
    <row r="37">
      <c r="A37" s="69" t="n">
        <v>2028</v>
      </c>
      <c r="B37" s="61" t="inlineStr">
        <is>
          <t>Сентябрь</t>
        </is>
      </c>
      <c r="C37" s="61">
        <f>LEFT(B37,3)&amp;" "&amp;RIGHT(A37,2)</f>
        <v/>
      </c>
      <c r="D37" s="70">
        <f>SUMIFS(inc_plan,inc_year,A37,inc_month,B37,inc_status,"&lt;&gt;❌ Не получено")</f>
        <v/>
      </c>
      <c r="E37" s="71">
        <f>SUMIFS(inc_fact,inc_year,A37,inc_month,B37)</f>
        <v/>
      </c>
      <c r="F37" s="72">
        <f>IF(D37=0,"",E37/D37)</f>
        <v/>
      </c>
      <c r="G37" s="70">
        <f>SUMIFS(exp_plan,exp_year,A37,exp_month,B37,exp_status,"&lt;&gt;❌ Отменено")</f>
        <v/>
      </c>
      <c r="H37" s="71">
        <f>SUMIFS(exp_fact,exp_year,A37,exp_month,B37)+O37</f>
        <v/>
      </c>
      <c r="I37" s="72">
        <f>IF(G37=0,"",H37/G37)</f>
        <v/>
      </c>
      <c r="J37" s="70">
        <f>D37-G37</f>
        <v/>
      </c>
      <c r="K37" s="71">
        <f>E37-H37</f>
        <v/>
      </c>
      <c r="L37" s="70">
        <f>L36+J37</f>
        <v/>
      </c>
      <c r="M37" s="71">
        <f>M36+K37</f>
        <v/>
      </c>
      <c r="N37" s="71">
        <f>SUMIFS(exp_fact,exp_year,A37,exp_month,B37,exp_cat,"🏦 Накопление")</f>
        <v/>
      </c>
      <c r="O37" s="71">
        <f>SUMIFS(day_amt,day_year,A37,day_month,B37,day_inplan,0)</f>
        <v/>
      </c>
    </row>
    <row r="38">
      <c r="A38" s="69" t="n">
        <v>2028</v>
      </c>
      <c r="B38" s="61" t="inlineStr">
        <is>
          <t>Октябрь</t>
        </is>
      </c>
      <c r="C38" s="61">
        <f>LEFT(B38,3)&amp;" "&amp;RIGHT(A38,2)</f>
        <v/>
      </c>
      <c r="D38" s="70">
        <f>SUMIFS(inc_plan,inc_year,A38,inc_month,B38,inc_status,"&lt;&gt;❌ Не получено")</f>
        <v/>
      </c>
      <c r="E38" s="71">
        <f>SUMIFS(inc_fact,inc_year,A38,inc_month,B38)</f>
        <v/>
      </c>
      <c r="F38" s="72">
        <f>IF(D38=0,"",E38/D38)</f>
        <v/>
      </c>
      <c r="G38" s="70">
        <f>SUMIFS(exp_plan,exp_year,A38,exp_month,B38,exp_status,"&lt;&gt;❌ Отменено")</f>
        <v/>
      </c>
      <c r="H38" s="71">
        <f>SUMIFS(exp_fact,exp_year,A38,exp_month,B38)+O38</f>
        <v/>
      </c>
      <c r="I38" s="72">
        <f>IF(G38=0,"",H38/G38)</f>
        <v/>
      </c>
      <c r="J38" s="70">
        <f>D38-G38</f>
        <v/>
      </c>
      <c r="K38" s="71">
        <f>E38-H38</f>
        <v/>
      </c>
      <c r="L38" s="70">
        <f>L37+J38</f>
        <v/>
      </c>
      <c r="M38" s="71">
        <f>M37+K38</f>
        <v/>
      </c>
      <c r="N38" s="71">
        <f>SUMIFS(exp_fact,exp_year,A38,exp_month,B38,exp_cat,"🏦 Накопление")</f>
        <v/>
      </c>
      <c r="O38" s="71">
        <f>SUMIFS(day_amt,day_year,A38,day_month,B38,day_inplan,0)</f>
        <v/>
      </c>
    </row>
    <row r="39">
      <c r="A39" s="69" t="n">
        <v>2028</v>
      </c>
      <c r="B39" s="61" t="inlineStr">
        <is>
          <t>Ноябрь</t>
        </is>
      </c>
      <c r="C39" s="61">
        <f>LEFT(B39,3)&amp;" "&amp;RIGHT(A39,2)</f>
        <v/>
      </c>
      <c r="D39" s="70">
        <f>SUMIFS(inc_plan,inc_year,A39,inc_month,B39,inc_status,"&lt;&gt;❌ Не получено")</f>
        <v/>
      </c>
      <c r="E39" s="71">
        <f>SUMIFS(inc_fact,inc_year,A39,inc_month,B39)</f>
        <v/>
      </c>
      <c r="F39" s="72">
        <f>IF(D39=0,"",E39/D39)</f>
        <v/>
      </c>
      <c r="G39" s="70">
        <f>SUMIFS(exp_plan,exp_year,A39,exp_month,B39,exp_status,"&lt;&gt;❌ Отменено")</f>
        <v/>
      </c>
      <c r="H39" s="71">
        <f>SUMIFS(exp_fact,exp_year,A39,exp_month,B39)+O39</f>
        <v/>
      </c>
      <c r="I39" s="72">
        <f>IF(G39=0,"",H39/G39)</f>
        <v/>
      </c>
      <c r="J39" s="70">
        <f>D39-G39</f>
        <v/>
      </c>
      <c r="K39" s="71">
        <f>E39-H39</f>
        <v/>
      </c>
      <c r="L39" s="70">
        <f>L38+J39</f>
        <v/>
      </c>
      <c r="M39" s="71">
        <f>M38+K39</f>
        <v/>
      </c>
      <c r="N39" s="71">
        <f>SUMIFS(exp_fact,exp_year,A39,exp_month,B39,exp_cat,"🏦 Накопление")</f>
        <v/>
      </c>
      <c r="O39" s="71">
        <f>SUMIFS(day_amt,day_year,A39,day_month,B39,day_inplan,0)</f>
        <v/>
      </c>
    </row>
    <row r="40">
      <c r="A40" s="69" t="n">
        <v>2028</v>
      </c>
      <c r="B40" s="61" t="inlineStr">
        <is>
          <t>Декабрь</t>
        </is>
      </c>
      <c r="C40" s="61">
        <f>LEFT(B40,3)&amp;" "&amp;RIGHT(A40,2)</f>
        <v/>
      </c>
      <c r="D40" s="70">
        <f>SUMIFS(inc_plan,inc_year,A40,inc_month,B40,inc_status,"&lt;&gt;❌ Не получено")</f>
        <v/>
      </c>
      <c r="E40" s="71">
        <f>SUMIFS(inc_fact,inc_year,A40,inc_month,B40)</f>
        <v/>
      </c>
      <c r="F40" s="72">
        <f>IF(D40=0,"",E40/D40)</f>
        <v/>
      </c>
      <c r="G40" s="70">
        <f>SUMIFS(exp_plan,exp_year,A40,exp_month,B40,exp_status,"&lt;&gt;❌ Отменено")</f>
        <v/>
      </c>
      <c r="H40" s="71">
        <f>SUMIFS(exp_fact,exp_year,A40,exp_month,B40)+O40</f>
        <v/>
      </c>
      <c r="I40" s="72">
        <f>IF(G40=0,"",H40/G40)</f>
        <v/>
      </c>
      <c r="J40" s="70">
        <f>D40-G40</f>
        <v/>
      </c>
      <c r="K40" s="71">
        <f>E40-H40</f>
        <v/>
      </c>
      <c r="L40" s="70">
        <f>L39+J40</f>
        <v/>
      </c>
      <c r="M40" s="71">
        <f>M39+K40</f>
        <v/>
      </c>
      <c r="N40" s="71">
        <f>SUMIFS(exp_fact,exp_year,A40,exp_month,B40,exp_cat,"🏦 Накопление")</f>
        <v/>
      </c>
      <c r="O40" s="71">
        <f>SUMIFS(day_amt,day_year,A40,day_month,B40,day_inplan,0)</f>
        <v/>
      </c>
    </row>
    <row r="41">
      <c r="A41" s="73" t="n">
        <v>2029</v>
      </c>
      <c r="B41" s="74" t="inlineStr">
        <is>
          <t>Январь</t>
        </is>
      </c>
      <c r="C41" s="74">
        <f>LEFT(B41,3)&amp;" "&amp;RIGHT(A41,2)</f>
        <v/>
      </c>
      <c r="D41" s="75">
        <f>SUMIFS(inc_plan,inc_year,A41,inc_month,B41,inc_status,"&lt;&gt;❌ Не получено")</f>
        <v/>
      </c>
      <c r="E41" s="76">
        <f>SUMIFS(inc_fact,inc_year,A41,inc_month,B41)</f>
        <v/>
      </c>
      <c r="F41" s="77">
        <f>IF(D41=0,"",E41/D41)</f>
        <v/>
      </c>
      <c r="G41" s="75">
        <f>SUMIFS(exp_plan,exp_year,A41,exp_month,B41,exp_status,"&lt;&gt;❌ Отменено")</f>
        <v/>
      </c>
      <c r="H41" s="76">
        <f>SUMIFS(exp_fact,exp_year,A41,exp_month,B41)+O41</f>
        <v/>
      </c>
      <c r="I41" s="77">
        <f>IF(G41=0,"",H41/G41)</f>
        <v/>
      </c>
      <c r="J41" s="75">
        <f>D41-G41</f>
        <v/>
      </c>
      <c r="K41" s="76">
        <f>E41-H41</f>
        <v/>
      </c>
      <c r="L41" s="75">
        <f>L40+J41</f>
        <v/>
      </c>
      <c r="M41" s="76">
        <f>M40+K41</f>
        <v/>
      </c>
      <c r="N41" s="76">
        <f>SUMIFS(exp_fact,exp_year,A41,exp_month,B41,exp_cat,"🏦 Накопление")</f>
        <v/>
      </c>
      <c r="O41" s="76">
        <f>SUMIFS(day_amt,day_year,A41,day_month,B41,day_inplan,0)</f>
        <v/>
      </c>
    </row>
    <row r="42">
      <c r="A42" s="69" t="n">
        <v>2029</v>
      </c>
      <c r="B42" s="61" t="inlineStr">
        <is>
          <t>Февраль</t>
        </is>
      </c>
      <c r="C42" s="61">
        <f>LEFT(B42,3)&amp;" "&amp;RIGHT(A42,2)</f>
        <v/>
      </c>
      <c r="D42" s="70">
        <f>SUMIFS(inc_plan,inc_year,A42,inc_month,B42,inc_status,"&lt;&gt;❌ Не получено")</f>
        <v/>
      </c>
      <c r="E42" s="71">
        <f>SUMIFS(inc_fact,inc_year,A42,inc_month,B42)</f>
        <v/>
      </c>
      <c r="F42" s="72">
        <f>IF(D42=0,"",E42/D42)</f>
        <v/>
      </c>
      <c r="G42" s="70">
        <f>SUMIFS(exp_plan,exp_year,A42,exp_month,B42,exp_status,"&lt;&gt;❌ Отменено")</f>
        <v/>
      </c>
      <c r="H42" s="71">
        <f>SUMIFS(exp_fact,exp_year,A42,exp_month,B42)+O42</f>
        <v/>
      </c>
      <c r="I42" s="72">
        <f>IF(G42=0,"",H42/G42)</f>
        <v/>
      </c>
      <c r="J42" s="70">
        <f>D42-G42</f>
        <v/>
      </c>
      <c r="K42" s="71">
        <f>E42-H42</f>
        <v/>
      </c>
      <c r="L42" s="70">
        <f>L41+J42</f>
        <v/>
      </c>
      <c r="M42" s="71">
        <f>M41+K42</f>
        <v/>
      </c>
      <c r="N42" s="71">
        <f>SUMIFS(exp_fact,exp_year,A42,exp_month,B42,exp_cat,"🏦 Накопление")</f>
        <v/>
      </c>
      <c r="O42" s="71">
        <f>SUMIFS(day_amt,day_year,A42,day_month,B42,day_inplan,0)</f>
        <v/>
      </c>
    </row>
    <row r="43">
      <c r="A43" s="69" t="n">
        <v>2029</v>
      </c>
      <c r="B43" s="61" t="inlineStr">
        <is>
          <t>Март</t>
        </is>
      </c>
      <c r="C43" s="61">
        <f>LEFT(B43,3)&amp;" "&amp;RIGHT(A43,2)</f>
        <v/>
      </c>
      <c r="D43" s="70">
        <f>SUMIFS(inc_plan,inc_year,A43,inc_month,B43,inc_status,"&lt;&gt;❌ Не получено")</f>
        <v/>
      </c>
      <c r="E43" s="71">
        <f>SUMIFS(inc_fact,inc_year,A43,inc_month,B43)</f>
        <v/>
      </c>
      <c r="F43" s="72">
        <f>IF(D43=0,"",E43/D43)</f>
        <v/>
      </c>
      <c r="G43" s="70">
        <f>SUMIFS(exp_plan,exp_year,A43,exp_month,B43,exp_status,"&lt;&gt;❌ Отменено")</f>
        <v/>
      </c>
      <c r="H43" s="71">
        <f>SUMIFS(exp_fact,exp_year,A43,exp_month,B43)+O43</f>
        <v/>
      </c>
      <c r="I43" s="72">
        <f>IF(G43=0,"",H43/G43)</f>
        <v/>
      </c>
      <c r="J43" s="70">
        <f>D43-G43</f>
        <v/>
      </c>
      <c r="K43" s="71">
        <f>E43-H43</f>
        <v/>
      </c>
      <c r="L43" s="70">
        <f>L42+J43</f>
        <v/>
      </c>
      <c r="M43" s="71">
        <f>M42+K43</f>
        <v/>
      </c>
      <c r="N43" s="71">
        <f>SUMIFS(exp_fact,exp_year,A43,exp_month,B43,exp_cat,"🏦 Накопление")</f>
        <v/>
      </c>
      <c r="O43" s="71">
        <f>SUMIFS(day_amt,day_year,A43,day_month,B43,day_inplan,0)</f>
        <v/>
      </c>
    </row>
    <row r="44">
      <c r="A44" s="69" t="n">
        <v>2029</v>
      </c>
      <c r="B44" s="61" t="inlineStr">
        <is>
          <t>Апрель</t>
        </is>
      </c>
      <c r="C44" s="61">
        <f>LEFT(B44,3)&amp;" "&amp;RIGHT(A44,2)</f>
        <v/>
      </c>
      <c r="D44" s="70">
        <f>SUMIFS(inc_plan,inc_year,A44,inc_month,B44,inc_status,"&lt;&gt;❌ Не получено")</f>
        <v/>
      </c>
      <c r="E44" s="71">
        <f>SUMIFS(inc_fact,inc_year,A44,inc_month,B44)</f>
        <v/>
      </c>
      <c r="F44" s="72">
        <f>IF(D44=0,"",E44/D44)</f>
        <v/>
      </c>
      <c r="G44" s="70">
        <f>SUMIFS(exp_plan,exp_year,A44,exp_month,B44,exp_status,"&lt;&gt;❌ Отменено")</f>
        <v/>
      </c>
      <c r="H44" s="71">
        <f>SUMIFS(exp_fact,exp_year,A44,exp_month,B44)+O44</f>
        <v/>
      </c>
      <c r="I44" s="72">
        <f>IF(G44=0,"",H44/G44)</f>
        <v/>
      </c>
      <c r="J44" s="70">
        <f>D44-G44</f>
        <v/>
      </c>
      <c r="K44" s="71">
        <f>E44-H44</f>
        <v/>
      </c>
      <c r="L44" s="70">
        <f>L43+J44</f>
        <v/>
      </c>
      <c r="M44" s="71">
        <f>M43+K44</f>
        <v/>
      </c>
      <c r="N44" s="71">
        <f>SUMIFS(exp_fact,exp_year,A44,exp_month,B44,exp_cat,"🏦 Накопление")</f>
        <v/>
      </c>
      <c r="O44" s="71">
        <f>SUMIFS(day_amt,day_year,A44,day_month,B44,day_inplan,0)</f>
        <v/>
      </c>
    </row>
    <row r="45">
      <c r="A45" s="69" t="n">
        <v>2029</v>
      </c>
      <c r="B45" s="61" t="inlineStr">
        <is>
          <t>Май</t>
        </is>
      </c>
      <c r="C45" s="61">
        <f>LEFT(B45,3)&amp;" "&amp;RIGHT(A45,2)</f>
        <v/>
      </c>
      <c r="D45" s="70">
        <f>SUMIFS(inc_plan,inc_year,A45,inc_month,B45,inc_status,"&lt;&gt;❌ Не получено")</f>
        <v/>
      </c>
      <c r="E45" s="71">
        <f>SUMIFS(inc_fact,inc_year,A45,inc_month,B45)</f>
        <v/>
      </c>
      <c r="F45" s="72">
        <f>IF(D45=0,"",E45/D45)</f>
        <v/>
      </c>
      <c r="G45" s="70">
        <f>SUMIFS(exp_plan,exp_year,A45,exp_month,B45,exp_status,"&lt;&gt;❌ Отменено")</f>
        <v/>
      </c>
      <c r="H45" s="71">
        <f>SUMIFS(exp_fact,exp_year,A45,exp_month,B45)+O45</f>
        <v/>
      </c>
      <c r="I45" s="72">
        <f>IF(G45=0,"",H45/G45)</f>
        <v/>
      </c>
      <c r="J45" s="70">
        <f>D45-G45</f>
        <v/>
      </c>
      <c r="K45" s="71">
        <f>E45-H45</f>
        <v/>
      </c>
      <c r="L45" s="70">
        <f>L44+J45</f>
        <v/>
      </c>
      <c r="M45" s="71">
        <f>M44+K45</f>
        <v/>
      </c>
      <c r="N45" s="71">
        <f>SUMIFS(exp_fact,exp_year,A45,exp_month,B45,exp_cat,"🏦 Накопление")</f>
        <v/>
      </c>
      <c r="O45" s="71">
        <f>SUMIFS(day_amt,day_year,A45,day_month,B45,day_inplan,0)</f>
        <v/>
      </c>
    </row>
    <row r="46">
      <c r="A46" s="69" t="n">
        <v>2029</v>
      </c>
      <c r="B46" s="61" t="inlineStr">
        <is>
          <t>Июнь</t>
        </is>
      </c>
      <c r="C46" s="61">
        <f>LEFT(B46,3)&amp;" "&amp;RIGHT(A46,2)</f>
        <v/>
      </c>
      <c r="D46" s="70">
        <f>SUMIFS(inc_plan,inc_year,A46,inc_month,B46,inc_status,"&lt;&gt;❌ Не получено")</f>
        <v/>
      </c>
      <c r="E46" s="71">
        <f>SUMIFS(inc_fact,inc_year,A46,inc_month,B46)</f>
        <v/>
      </c>
      <c r="F46" s="72">
        <f>IF(D46=0,"",E46/D46)</f>
        <v/>
      </c>
      <c r="G46" s="70">
        <f>SUMIFS(exp_plan,exp_year,A46,exp_month,B46,exp_status,"&lt;&gt;❌ Отменено")</f>
        <v/>
      </c>
      <c r="H46" s="71">
        <f>SUMIFS(exp_fact,exp_year,A46,exp_month,B46)+O46</f>
        <v/>
      </c>
      <c r="I46" s="72">
        <f>IF(G46=0,"",H46/G46)</f>
        <v/>
      </c>
      <c r="J46" s="70">
        <f>D46-G46</f>
        <v/>
      </c>
      <c r="K46" s="71">
        <f>E46-H46</f>
        <v/>
      </c>
      <c r="L46" s="70">
        <f>L45+J46</f>
        <v/>
      </c>
      <c r="M46" s="71">
        <f>M45+K46</f>
        <v/>
      </c>
      <c r="N46" s="71">
        <f>SUMIFS(exp_fact,exp_year,A46,exp_month,B46,exp_cat,"🏦 Накопление")</f>
        <v/>
      </c>
      <c r="O46" s="71">
        <f>SUMIFS(day_amt,day_year,A46,day_month,B46,day_inplan,0)</f>
        <v/>
      </c>
    </row>
    <row r="47">
      <c r="A47" s="69" t="n">
        <v>2029</v>
      </c>
      <c r="B47" s="61" t="inlineStr">
        <is>
          <t>Июль</t>
        </is>
      </c>
      <c r="C47" s="61">
        <f>LEFT(B47,3)&amp;" "&amp;RIGHT(A47,2)</f>
        <v/>
      </c>
      <c r="D47" s="70">
        <f>SUMIFS(inc_plan,inc_year,A47,inc_month,B47,inc_status,"&lt;&gt;❌ Не получено")</f>
        <v/>
      </c>
      <c r="E47" s="71">
        <f>SUMIFS(inc_fact,inc_year,A47,inc_month,B47)</f>
        <v/>
      </c>
      <c r="F47" s="72">
        <f>IF(D47=0,"",E47/D47)</f>
        <v/>
      </c>
      <c r="G47" s="70">
        <f>SUMIFS(exp_plan,exp_year,A47,exp_month,B47,exp_status,"&lt;&gt;❌ Отменено")</f>
        <v/>
      </c>
      <c r="H47" s="71">
        <f>SUMIFS(exp_fact,exp_year,A47,exp_month,B47)+O47</f>
        <v/>
      </c>
      <c r="I47" s="72">
        <f>IF(G47=0,"",H47/G47)</f>
        <v/>
      </c>
      <c r="J47" s="70">
        <f>D47-G47</f>
        <v/>
      </c>
      <c r="K47" s="71">
        <f>E47-H47</f>
        <v/>
      </c>
      <c r="L47" s="70">
        <f>L46+J47</f>
        <v/>
      </c>
      <c r="M47" s="71">
        <f>M46+K47</f>
        <v/>
      </c>
      <c r="N47" s="71">
        <f>SUMIFS(exp_fact,exp_year,A47,exp_month,B47,exp_cat,"🏦 Накопление")</f>
        <v/>
      </c>
      <c r="O47" s="71">
        <f>SUMIFS(day_amt,day_year,A47,day_month,B47,day_inplan,0)</f>
        <v/>
      </c>
    </row>
    <row r="48">
      <c r="A48" s="69" t="n">
        <v>2029</v>
      </c>
      <c r="B48" s="61" t="inlineStr">
        <is>
          <t>Август</t>
        </is>
      </c>
      <c r="C48" s="61">
        <f>LEFT(B48,3)&amp;" "&amp;RIGHT(A48,2)</f>
        <v/>
      </c>
      <c r="D48" s="70">
        <f>SUMIFS(inc_plan,inc_year,A48,inc_month,B48,inc_status,"&lt;&gt;❌ Не получено")</f>
        <v/>
      </c>
      <c r="E48" s="71">
        <f>SUMIFS(inc_fact,inc_year,A48,inc_month,B48)</f>
        <v/>
      </c>
      <c r="F48" s="72">
        <f>IF(D48=0,"",E48/D48)</f>
        <v/>
      </c>
      <c r="G48" s="70">
        <f>SUMIFS(exp_plan,exp_year,A48,exp_month,B48,exp_status,"&lt;&gt;❌ Отменено")</f>
        <v/>
      </c>
      <c r="H48" s="71">
        <f>SUMIFS(exp_fact,exp_year,A48,exp_month,B48)+O48</f>
        <v/>
      </c>
      <c r="I48" s="72">
        <f>IF(G48=0,"",H48/G48)</f>
        <v/>
      </c>
      <c r="J48" s="70">
        <f>D48-G48</f>
        <v/>
      </c>
      <c r="K48" s="71">
        <f>E48-H48</f>
        <v/>
      </c>
      <c r="L48" s="70">
        <f>L47+J48</f>
        <v/>
      </c>
      <c r="M48" s="71">
        <f>M47+K48</f>
        <v/>
      </c>
      <c r="N48" s="71">
        <f>SUMIFS(exp_fact,exp_year,A48,exp_month,B48,exp_cat,"🏦 Накопление")</f>
        <v/>
      </c>
      <c r="O48" s="71">
        <f>SUMIFS(day_amt,day_year,A48,day_month,B48,day_inplan,0)</f>
        <v/>
      </c>
    </row>
    <row r="49">
      <c r="A49" s="69" t="n">
        <v>2029</v>
      </c>
      <c r="B49" s="61" t="inlineStr">
        <is>
          <t>Сентябрь</t>
        </is>
      </c>
      <c r="C49" s="61">
        <f>LEFT(B49,3)&amp;" "&amp;RIGHT(A49,2)</f>
        <v/>
      </c>
      <c r="D49" s="70">
        <f>SUMIFS(inc_plan,inc_year,A49,inc_month,B49,inc_status,"&lt;&gt;❌ Не получено")</f>
        <v/>
      </c>
      <c r="E49" s="71">
        <f>SUMIFS(inc_fact,inc_year,A49,inc_month,B49)</f>
        <v/>
      </c>
      <c r="F49" s="72">
        <f>IF(D49=0,"",E49/D49)</f>
        <v/>
      </c>
      <c r="G49" s="70">
        <f>SUMIFS(exp_plan,exp_year,A49,exp_month,B49,exp_status,"&lt;&gt;❌ Отменено")</f>
        <v/>
      </c>
      <c r="H49" s="71">
        <f>SUMIFS(exp_fact,exp_year,A49,exp_month,B49)+O49</f>
        <v/>
      </c>
      <c r="I49" s="72">
        <f>IF(G49=0,"",H49/G49)</f>
        <v/>
      </c>
      <c r="J49" s="70">
        <f>D49-G49</f>
        <v/>
      </c>
      <c r="K49" s="71">
        <f>E49-H49</f>
        <v/>
      </c>
      <c r="L49" s="70">
        <f>L48+J49</f>
        <v/>
      </c>
      <c r="M49" s="71">
        <f>M48+K49</f>
        <v/>
      </c>
      <c r="N49" s="71">
        <f>SUMIFS(exp_fact,exp_year,A49,exp_month,B49,exp_cat,"🏦 Накопление")</f>
        <v/>
      </c>
      <c r="O49" s="71">
        <f>SUMIFS(day_amt,day_year,A49,day_month,B49,day_inplan,0)</f>
        <v/>
      </c>
    </row>
    <row r="50">
      <c r="A50" s="69" t="n">
        <v>2029</v>
      </c>
      <c r="B50" s="61" t="inlineStr">
        <is>
          <t>Октябрь</t>
        </is>
      </c>
      <c r="C50" s="61">
        <f>LEFT(B50,3)&amp;" "&amp;RIGHT(A50,2)</f>
        <v/>
      </c>
      <c r="D50" s="70">
        <f>SUMIFS(inc_plan,inc_year,A50,inc_month,B50,inc_status,"&lt;&gt;❌ Не получено")</f>
        <v/>
      </c>
      <c r="E50" s="71">
        <f>SUMIFS(inc_fact,inc_year,A50,inc_month,B50)</f>
        <v/>
      </c>
      <c r="F50" s="72">
        <f>IF(D50=0,"",E50/D50)</f>
        <v/>
      </c>
      <c r="G50" s="70">
        <f>SUMIFS(exp_plan,exp_year,A50,exp_month,B50,exp_status,"&lt;&gt;❌ Отменено")</f>
        <v/>
      </c>
      <c r="H50" s="71">
        <f>SUMIFS(exp_fact,exp_year,A50,exp_month,B50)+O50</f>
        <v/>
      </c>
      <c r="I50" s="72">
        <f>IF(G50=0,"",H50/G50)</f>
        <v/>
      </c>
      <c r="J50" s="70">
        <f>D50-G50</f>
        <v/>
      </c>
      <c r="K50" s="71">
        <f>E50-H50</f>
        <v/>
      </c>
      <c r="L50" s="70">
        <f>L49+J50</f>
        <v/>
      </c>
      <c r="M50" s="71">
        <f>M49+K50</f>
        <v/>
      </c>
      <c r="N50" s="71">
        <f>SUMIFS(exp_fact,exp_year,A50,exp_month,B50,exp_cat,"🏦 Накопление")</f>
        <v/>
      </c>
      <c r="O50" s="71">
        <f>SUMIFS(day_amt,day_year,A50,day_month,B50,day_inplan,0)</f>
        <v/>
      </c>
    </row>
    <row r="51">
      <c r="A51" s="69" t="n">
        <v>2029</v>
      </c>
      <c r="B51" s="61" t="inlineStr">
        <is>
          <t>Ноябрь</t>
        </is>
      </c>
      <c r="C51" s="61">
        <f>LEFT(B51,3)&amp;" "&amp;RIGHT(A51,2)</f>
        <v/>
      </c>
      <c r="D51" s="70">
        <f>SUMIFS(inc_plan,inc_year,A51,inc_month,B51,inc_status,"&lt;&gt;❌ Не получено")</f>
        <v/>
      </c>
      <c r="E51" s="71">
        <f>SUMIFS(inc_fact,inc_year,A51,inc_month,B51)</f>
        <v/>
      </c>
      <c r="F51" s="72">
        <f>IF(D51=0,"",E51/D51)</f>
        <v/>
      </c>
      <c r="G51" s="70">
        <f>SUMIFS(exp_plan,exp_year,A51,exp_month,B51,exp_status,"&lt;&gt;❌ Отменено")</f>
        <v/>
      </c>
      <c r="H51" s="71">
        <f>SUMIFS(exp_fact,exp_year,A51,exp_month,B51)+O51</f>
        <v/>
      </c>
      <c r="I51" s="72">
        <f>IF(G51=0,"",H51/G51)</f>
        <v/>
      </c>
      <c r="J51" s="70">
        <f>D51-G51</f>
        <v/>
      </c>
      <c r="K51" s="71">
        <f>E51-H51</f>
        <v/>
      </c>
      <c r="L51" s="70">
        <f>L50+J51</f>
        <v/>
      </c>
      <c r="M51" s="71">
        <f>M50+K51</f>
        <v/>
      </c>
      <c r="N51" s="71">
        <f>SUMIFS(exp_fact,exp_year,A51,exp_month,B51,exp_cat,"🏦 Накопление")</f>
        <v/>
      </c>
      <c r="O51" s="71">
        <f>SUMIFS(day_amt,day_year,A51,day_month,B51,day_inplan,0)</f>
        <v/>
      </c>
    </row>
    <row r="52">
      <c r="A52" s="69" t="n">
        <v>2029</v>
      </c>
      <c r="B52" s="61" t="inlineStr">
        <is>
          <t>Декабрь</t>
        </is>
      </c>
      <c r="C52" s="61">
        <f>LEFT(B52,3)&amp;" "&amp;RIGHT(A52,2)</f>
        <v/>
      </c>
      <c r="D52" s="70">
        <f>SUMIFS(inc_plan,inc_year,A52,inc_month,B52,inc_status,"&lt;&gt;❌ Не получено")</f>
        <v/>
      </c>
      <c r="E52" s="71">
        <f>SUMIFS(inc_fact,inc_year,A52,inc_month,B52)</f>
        <v/>
      </c>
      <c r="F52" s="72">
        <f>IF(D52=0,"",E52/D52)</f>
        <v/>
      </c>
      <c r="G52" s="70">
        <f>SUMIFS(exp_plan,exp_year,A52,exp_month,B52,exp_status,"&lt;&gt;❌ Отменено")</f>
        <v/>
      </c>
      <c r="H52" s="71">
        <f>SUMIFS(exp_fact,exp_year,A52,exp_month,B52)+O52</f>
        <v/>
      </c>
      <c r="I52" s="72">
        <f>IF(G52=0,"",H52/G52)</f>
        <v/>
      </c>
      <c r="J52" s="70">
        <f>D52-G52</f>
        <v/>
      </c>
      <c r="K52" s="71">
        <f>E52-H52</f>
        <v/>
      </c>
      <c r="L52" s="70">
        <f>L51+J52</f>
        <v/>
      </c>
      <c r="M52" s="71">
        <f>M51+K52</f>
        <v/>
      </c>
      <c r="N52" s="71">
        <f>SUMIFS(exp_fact,exp_year,A52,exp_month,B52,exp_cat,"🏦 Накопление")</f>
        <v/>
      </c>
      <c r="O52" s="71">
        <f>SUMIFS(day_amt,day_year,A52,day_month,B52,day_inplan,0)</f>
        <v/>
      </c>
    </row>
    <row r="53">
      <c r="A53" s="73" t="n">
        <v>2030</v>
      </c>
      <c r="B53" s="74" t="inlineStr">
        <is>
          <t>Январь</t>
        </is>
      </c>
      <c r="C53" s="74">
        <f>LEFT(B53,3)&amp;" "&amp;RIGHT(A53,2)</f>
        <v/>
      </c>
      <c r="D53" s="75">
        <f>SUMIFS(inc_plan,inc_year,A53,inc_month,B53,inc_status,"&lt;&gt;❌ Не получено")</f>
        <v/>
      </c>
      <c r="E53" s="76">
        <f>SUMIFS(inc_fact,inc_year,A53,inc_month,B53)</f>
        <v/>
      </c>
      <c r="F53" s="77">
        <f>IF(D53=0,"",E53/D53)</f>
        <v/>
      </c>
      <c r="G53" s="75">
        <f>SUMIFS(exp_plan,exp_year,A53,exp_month,B53,exp_status,"&lt;&gt;❌ Отменено")</f>
        <v/>
      </c>
      <c r="H53" s="76">
        <f>SUMIFS(exp_fact,exp_year,A53,exp_month,B53)+O53</f>
        <v/>
      </c>
      <c r="I53" s="77">
        <f>IF(G53=0,"",H53/G53)</f>
        <v/>
      </c>
      <c r="J53" s="75">
        <f>D53-G53</f>
        <v/>
      </c>
      <c r="K53" s="76">
        <f>E53-H53</f>
        <v/>
      </c>
      <c r="L53" s="75">
        <f>L52+J53</f>
        <v/>
      </c>
      <c r="M53" s="76">
        <f>M52+K53</f>
        <v/>
      </c>
      <c r="N53" s="76">
        <f>SUMIFS(exp_fact,exp_year,A53,exp_month,B53,exp_cat,"🏦 Накопление")</f>
        <v/>
      </c>
      <c r="O53" s="76">
        <f>SUMIFS(day_amt,day_year,A53,day_month,B53,day_inplan,0)</f>
        <v/>
      </c>
    </row>
    <row r="54">
      <c r="A54" s="69" t="n">
        <v>2030</v>
      </c>
      <c r="B54" s="61" t="inlineStr">
        <is>
          <t>Февраль</t>
        </is>
      </c>
      <c r="C54" s="61">
        <f>LEFT(B54,3)&amp;" "&amp;RIGHT(A54,2)</f>
        <v/>
      </c>
      <c r="D54" s="70">
        <f>SUMIFS(inc_plan,inc_year,A54,inc_month,B54,inc_status,"&lt;&gt;❌ Не получено")</f>
        <v/>
      </c>
      <c r="E54" s="71">
        <f>SUMIFS(inc_fact,inc_year,A54,inc_month,B54)</f>
        <v/>
      </c>
      <c r="F54" s="72">
        <f>IF(D54=0,"",E54/D54)</f>
        <v/>
      </c>
      <c r="G54" s="70">
        <f>SUMIFS(exp_plan,exp_year,A54,exp_month,B54,exp_status,"&lt;&gt;❌ Отменено")</f>
        <v/>
      </c>
      <c r="H54" s="71">
        <f>SUMIFS(exp_fact,exp_year,A54,exp_month,B54)+O54</f>
        <v/>
      </c>
      <c r="I54" s="72">
        <f>IF(G54=0,"",H54/G54)</f>
        <v/>
      </c>
      <c r="J54" s="70">
        <f>D54-G54</f>
        <v/>
      </c>
      <c r="K54" s="71">
        <f>E54-H54</f>
        <v/>
      </c>
      <c r="L54" s="70">
        <f>L53+J54</f>
        <v/>
      </c>
      <c r="M54" s="71">
        <f>M53+K54</f>
        <v/>
      </c>
      <c r="N54" s="71">
        <f>SUMIFS(exp_fact,exp_year,A54,exp_month,B54,exp_cat,"🏦 Накопление")</f>
        <v/>
      </c>
      <c r="O54" s="71">
        <f>SUMIFS(day_amt,day_year,A54,day_month,B54,day_inplan,0)</f>
        <v/>
      </c>
    </row>
    <row r="55">
      <c r="A55" s="69" t="n">
        <v>2030</v>
      </c>
      <c r="B55" s="61" t="inlineStr">
        <is>
          <t>Март</t>
        </is>
      </c>
      <c r="C55" s="61">
        <f>LEFT(B55,3)&amp;" "&amp;RIGHT(A55,2)</f>
        <v/>
      </c>
      <c r="D55" s="70">
        <f>SUMIFS(inc_plan,inc_year,A55,inc_month,B55,inc_status,"&lt;&gt;❌ Не получено")</f>
        <v/>
      </c>
      <c r="E55" s="71">
        <f>SUMIFS(inc_fact,inc_year,A55,inc_month,B55)</f>
        <v/>
      </c>
      <c r="F55" s="72">
        <f>IF(D55=0,"",E55/D55)</f>
        <v/>
      </c>
      <c r="G55" s="70">
        <f>SUMIFS(exp_plan,exp_year,A55,exp_month,B55,exp_status,"&lt;&gt;❌ Отменено")</f>
        <v/>
      </c>
      <c r="H55" s="71">
        <f>SUMIFS(exp_fact,exp_year,A55,exp_month,B55)+O55</f>
        <v/>
      </c>
      <c r="I55" s="72">
        <f>IF(G55=0,"",H55/G55)</f>
        <v/>
      </c>
      <c r="J55" s="70">
        <f>D55-G55</f>
        <v/>
      </c>
      <c r="K55" s="71">
        <f>E55-H55</f>
        <v/>
      </c>
      <c r="L55" s="70">
        <f>L54+J55</f>
        <v/>
      </c>
      <c r="M55" s="71">
        <f>M54+K55</f>
        <v/>
      </c>
      <c r="N55" s="71">
        <f>SUMIFS(exp_fact,exp_year,A55,exp_month,B55,exp_cat,"🏦 Накопление")</f>
        <v/>
      </c>
      <c r="O55" s="71">
        <f>SUMIFS(day_amt,day_year,A55,day_month,B55,day_inplan,0)</f>
        <v/>
      </c>
    </row>
    <row r="56">
      <c r="A56" s="69" t="n">
        <v>2030</v>
      </c>
      <c r="B56" s="61" t="inlineStr">
        <is>
          <t>Апрель</t>
        </is>
      </c>
      <c r="C56" s="61">
        <f>LEFT(B56,3)&amp;" "&amp;RIGHT(A56,2)</f>
        <v/>
      </c>
      <c r="D56" s="70">
        <f>SUMIFS(inc_plan,inc_year,A56,inc_month,B56,inc_status,"&lt;&gt;❌ Не получено")</f>
        <v/>
      </c>
      <c r="E56" s="71">
        <f>SUMIFS(inc_fact,inc_year,A56,inc_month,B56)</f>
        <v/>
      </c>
      <c r="F56" s="72">
        <f>IF(D56=0,"",E56/D56)</f>
        <v/>
      </c>
      <c r="G56" s="70">
        <f>SUMIFS(exp_plan,exp_year,A56,exp_month,B56,exp_status,"&lt;&gt;❌ Отменено")</f>
        <v/>
      </c>
      <c r="H56" s="71">
        <f>SUMIFS(exp_fact,exp_year,A56,exp_month,B56)+O56</f>
        <v/>
      </c>
      <c r="I56" s="72">
        <f>IF(G56=0,"",H56/G56)</f>
        <v/>
      </c>
      <c r="J56" s="70">
        <f>D56-G56</f>
        <v/>
      </c>
      <c r="K56" s="71">
        <f>E56-H56</f>
        <v/>
      </c>
      <c r="L56" s="70">
        <f>L55+J56</f>
        <v/>
      </c>
      <c r="M56" s="71">
        <f>M55+K56</f>
        <v/>
      </c>
      <c r="N56" s="71">
        <f>SUMIFS(exp_fact,exp_year,A56,exp_month,B56,exp_cat,"🏦 Накопление")</f>
        <v/>
      </c>
      <c r="O56" s="71">
        <f>SUMIFS(day_amt,day_year,A56,day_month,B56,day_inplan,0)</f>
        <v/>
      </c>
    </row>
    <row r="57">
      <c r="A57" s="69" t="n">
        <v>2030</v>
      </c>
      <c r="B57" s="61" t="inlineStr">
        <is>
          <t>Май</t>
        </is>
      </c>
      <c r="C57" s="61">
        <f>LEFT(B57,3)&amp;" "&amp;RIGHT(A57,2)</f>
        <v/>
      </c>
      <c r="D57" s="70">
        <f>SUMIFS(inc_plan,inc_year,A57,inc_month,B57,inc_status,"&lt;&gt;❌ Не получено")</f>
        <v/>
      </c>
      <c r="E57" s="71">
        <f>SUMIFS(inc_fact,inc_year,A57,inc_month,B57)</f>
        <v/>
      </c>
      <c r="F57" s="72">
        <f>IF(D57=0,"",E57/D57)</f>
        <v/>
      </c>
      <c r="G57" s="70">
        <f>SUMIFS(exp_plan,exp_year,A57,exp_month,B57,exp_status,"&lt;&gt;❌ Отменено")</f>
        <v/>
      </c>
      <c r="H57" s="71">
        <f>SUMIFS(exp_fact,exp_year,A57,exp_month,B57)+O57</f>
        <v/>
      </c>
      <c r="I57" s="72">
        <f>IF(G57=0,"",H57/G57)</f>
        <v/>
      </c>
      <c r="J57" s="70">
        <f>D57-G57</f>
        <v/>
      </c>
      <c r="K57" s="71">
        <f>E57-H57</f>
        <v/>
      </c>
      <c r="L57" s="70">
        <f>L56+J57</f>
        <v/>
      </c>
      <c r="M57" s="71">
        <f>M56+K57</f>
        <v/>
      </c>
      <c r="N57" s="71">
        <f>SUMIFS(exp_fact,exp_year,A57,exp_month,B57,exp_cat,"🏦 Накопление")</f>
        <v/>
      </c>
      <c r="O57" s="71">
        <f>SUMIFS(day_amt,day_year,A57,day_month,B57,day_inplan,0)</f>
        <v/>
      </c>
    </row>
    <row r="58">
      <c r="A58" s="69" t="n">
        <v>2030</v>
      </c>
      <c r="B58" s="61" t="inlineStr">
        <is>
          <t>Июнь</t>
        </is>
      </c>
      <c r="C58" s="61">
        <f>LEFT(B58,3)&amp;" "&amp;RIGHT(A58,2)</f>
        <v/>
      </c>
      <c r="D58" s="70">
        <f>SUMIFS(inc_plan,inc_year,A58,inc_month,B58,inc_status,"&lt;&gt;❌ Не получено")</f>
        <v/>
      </c>
      <c r="E58" s="71">
        <f>SUMIFS(inc_fact,inc_year,A58,inc_month,B58)</f>
        <v/>
      </c>
      <c r="F58" s="72">
        <f>IF(D58=0,"",E58/D58)</f>
        <v/>
      </c>
      <c r="G58" s="70">
        <f>SUMIFS(exp_plan,exp_year,A58,exp_month,B58,exp_status,"&lt;&gt;❌ Отменено")</f>
        <v/>
      </c>
      <c r="H58" s="71">
        <f>SUMIFS(exp_fact,exp_year,A58,exp_month,B58)+O58</f>
        <v/>
      </c>
      <c r="I58" s="72">
        <f>IF(G58=0,"",H58/G58)</f>
        <v/>
      </c>
      <c r="J58" s="70">
        <f>D58-G58</f>
        <v/>
      </c>
      <c r="K58" s="71">
        <f>E58-H58</f>
        <v/>
      </c>
      <c r="L58" s="70">
        <f>L57+J58</f>
        <v/>
      </c>
      <c r="M58" s="71">
        <f>M57+K58</f>
        <v/>
      </c>
      <c r="N58" s="71">
        <f>SUMIFS(exp_fact,exp_year,A58,exp_month,B58,exp_cat,"🏦 Накопление")</f>
        <v/>
      </c>
      <c r="O58" s="71">
        <f>SUMIFS(day_amt,day_year,A58,day_month,B58,day_inplan,0)</f>
        <v/>
      </c>
    </row>
    <row r="59">
      <c r="A59" s="69" t="n">
        <v>2030</v>
      </c>
      <c r="B59" s="61" t="inlineStr">
        <is>
          <t>Июль</t>
        </is>
      </c>
      <c r="C59" s="61">
        <f>LEFT(B59,3)&amp;" "&amp;RIGHT(A59,2)</f>
        <v/>
      </c>
      <c r="D59" s="70">
        <f>SUMIFS(inc_plan,inc_year,A59,inc_month,B59,inc_status,"&lt;&gt;❌ Не получено")</f>
        <v/>
      </c>
      <c r="E59" s="71">
        <f>SUMIFS(inc_fact,inc_year,A59,inc_month,B59)</f>
        <v/>
      </c>
      <c r="F59" s="72">
        <f>IF(D59=0,"",E59/D59)</f>
        <v/>
      </c>
      <c r="G59" s="70">
        <f>SUMIFS(exp_plan,exp_year,A59,exp_month,B59,exp_status,"&lt;&gt;❌ Отменено")</f>
        <v/>
      </c>
      <c r="H59" s="71">
        <f>SUMIFS(exp_fact,exp_year,A59,exp_month,B59)+O59</f>
        <v/>
      </c>
      <c r="I59" s="72">
        <f>IF(G59=0,"",H59/G59)</f>
        <v/>
      </c>
      <c r="J59" s="70">
        <f>D59-G59</f>
        <v/>
      </c>
      <c r="K59" s="71">
        <f>E59-H59</f>
        <v/>
      </c>
      <c r="L59" s="70">
        <f>L58+J59</f>
        <v/>
      </c>
      <c r="M59" s="71">
        <f>M58+K59</f>
        <v/>
      </c>
      <c r="N59" s="71">
        <f>SUMIFS(exp_fact,exp_year,A59,exp_month,B59,exp_cat,"🏦 Накопление")</f>
        <v/>
      </c>
      <c r="O59" s="71">
        <f>SUMIFS(day_amt,day_year,A59,day_month,B59,day_inplan,0)</f>
        <v/>
      </c>
    </row>
    <row r="60">
      <c r="A60" s="69" t="n">
        <v>2030</v>
      </c>
      <c r="B60" s="61" t="inlineStr">
        <is>
          <t>Август</t>
        </is>
      </c>
      <c r="C60" s="61">
        <f>LEFT(B60,3)&amp;" "&amp;RIGHT(A60,2)</f>
        <v/>
      </c>
      <c r="D60" s="70">
        <f>SUMIFS(inc_plan,inc_year,A60,inc_month,B60,inc_status,"&lt;&gt;❌ Не получено")</f>
        <v/>
      </c>
      <c r="E60" s="71">
        <f>SUMIFS(inc_fact,inc_year,A60,inc_month,B60)</f>
        <v/>
      </c>
      <c r="F60" s="72">
        <f>IF(D60=0,"",E60/D60)</f>
        <v/>
      </c>
      <c r="G60" s="70">
        <f>SUMIFS(exp_plan,exp_year,A60,exp_month,B60,exp_status,"&lt;&gt;❌ Отменено")</f>
        <v/>
      </c>
      <c r="H60" s="71">
        <f>SUMIFS(exp_fact,exp_year,A60,exp_month,B60)+O60</f>
        <v/>
      </c>
      <c r="I60" s="72">
        <f>IF(G60=0,"",H60/G60)</f>
        <v/>
      </c>
      <c r="J60" s="70">
        <f>D60-G60</f>
        <v/>
      </c>
      <c r="K60" s="71">
        <f>E60-H60</f>
        <v/>
      </c>
      <c r="L60" s="70">
        <f>L59+J60</f>
        <v/>
      </c>
      <c r="M60" s="71">
        <f>M59+K60</f>
        <v/>
      </c>
      <c r="N60" s="71">
        <f>SUMIFS(exp_fact,exp_year,A60,exp_month,B60,exp_cat,"🏦 Накопление")</f>
        <v/>
      </c>
      <c r="O60" s="71">
        <f>SUMIFS(day_amt,day_year,A60,day_month,B60,day_inplan,0)</f>
        <v/>
      </c>
    </row>
    <row r="61">
      <c r="A61" s="69" t="n">
        <v>2030</v>
      </c>
      <c r="B61" s="61" t="inlineStr">
        <is>
          <t>Сентябрь</t>
        </is>
      </c>
      <c r="C61" s="61">
        <f>LEFT(B61,3)&amp;" "&amp;RIGHT(A61,2)</f>
        <v/>
      </c>
      <c r="D61" s="70">
        <f>SUMIFS(inc_plan,inc_year,A61,inc_month,B61,inc_status,"&lt;&gt;❌ Не получено")</f>
        <v/>
      </c>
      <c r="E61" s="71">
        <f>SUMIFS(inc_fact,inc_year,A61,inc_month,B61)</f>
        <v/>
      </c>
      <c r="F61" s="72">
        <f>IF(D61=0,"",E61/D61)</f>
        <v/>
      </c>
      <c r="G61" s="70">
        <f>SUMIFS(exp_plan,exp_year,A61,exp_month,B61,exp_status,"&lt;&gt;❌ Отменено")</f>
        <v/>
      </c>
      <c r="H61" s="71">
        <f>SUMIFS(exp_fact,exp_year,A61,exp_month,B61)+O61</f>
        <v/>
      </c>
      <c r="I61" s="72">
        <f>IF(G61=0,"",H61/G61)</f>
        <v/>
      </c>
      <c r="J61" s="70">
        <f>D61-G61</f>
        <v/>
      </c>
      <c r="K61" s="71">
        <f>E61-H61</f>
        <v/>
      </c>
      <c r="L61" s="70">
        <f>L60+J61</f>
        <v/>
      </c>
      <c r="M61" s="71">
        <f>M60+K61</f>
        <v/>
      </c>
      <c r="N61" s="71">
        <f>SUMIFS(exp_fact,exp_year,A61,exp_month,B61,exp_cat,"🏦 Накопление")</f>
        <v/>
      </c>
      <c r="O61" s="71">
        <f>SUMIFS(day_amt,day_year,A61,day_month,B61,day_inplan,0)</f>
        <v/>
      </c>
    </row>
    <row r="62">
      <c r="A62" s="69" t="n">
        <v>2030</v>
      </c>
      <c r="B62" s="61" t="inlineStr">
        <is>
          <t>Октябрь</t>
        </is>
      </c>
      <c r="C62" s="61">
        <f>LEFT(B62,3)&amp;" "&amp;RIGHT(A62,2)</f>
        <v/>
      </c>
      <c r="D62" s="70">
        <f>SUMIFS(inc_plan,inc_year,A62,inc_month,B62,inc_status,"&lt;&gt;❌ Не получено")</f>
        <v/>
      </c>
      <c r="E62" s="71">
        <f>SUMIFS(inc_fact,inc_year,A62,inc_month,B62)</f>
        <v/>
      </c>
      <c r="F62" s="72">
        <f>IF(D62=0,"",E62/D62)</f>
        <v/>
      </c>
      <c r="G62" s="70">
        <f>SUMIFS(exp_plan,exp_year,A62,exp_month,B62,exp_status,"&lt;&gt;❌ Отменено")</f>
        <v/>
      </c>
      <c r="H62" s="71">
        <f>SUMIFS(exp_fact,exp_year,A62,exp_month,B62)+O62</f>
        <v/>
      </c>
      <c r="I62" s="72">
        <f>IF(G62=0,"",H62/G62)</f>
        <v/>
      </c>
      <c r="J62" s="70">
        <f>D62-G62</f>
        <v/>
      </c>
      <c r="K62" s="71">
        <f>E62-H62</f>
        <v/>
      </c>
      <c r="L62" s="70">
        <f>L61+J62</f>
        <v/>
      </c>
      <c r="M62" s="71">
        <f>M61+K62</f>
        <v/>
      </c>
      <c r="N62" s="71">
        <f>SUMIFS(exp_fact,exp_year,A62,exp_month,B62,exp_cat,"🏦 Накопление")</f>
        <v/>
      </c>
      <c r="O62" s="71">
        <f>SUMIFS(day_amt,day_year,A62,day_month,B62,day_inplan,0)</f>
        <v/>
      </c>
    </row>
    <row r="63">
      <c r="A63" s="69" t="n">
        <v>2030</v>
      </c>
      <c r="B63" s="61" t="inlineStr">
        <is>
          <t>Ноябрь</t>
        </is>
      </c>
      <c r="C63" s="61">
        <f>LEFT(B63,3)&amp;" "&amp;RIGHT(A63,2)</f>
        <v/>
      </c>
      <c r="D63" s="70">
        <f>SUMIFS(inc_plan,inc_year,A63,inc_month,B63,inc_status,"&lt;&gt;❌ Не получено")</f>
        <v/>
      </c>
      <c r="E63" s="71">
        <f>SUMIFS(inc_fact,inc_year,A63,inc_month,B63)</f>
        <v/>
      </c>
      <c r="F63" s="72">
        <f>IF(D63=0,"",E63/D63)</f>
        <v/>
      </c>
      <c r="G63" s="70">
        <f>SUMIFS(exp_plan,exp_year,A63,exp_month,B63,exp_status,"&lt;&gt;❌ Отменено")</f>
        <v/>
      </c>
      <c r="H63" s="71">
        <f>SUMIFS(exp_fact,exp_year,A63,exp_month,B63)+O63</f>
        <v/>
      </c>
      <c r="I63" s="72">
        <f>IF(G63=0,"",H63/G63)</f>
        <v/>
      </c>
      <c r="J63" s="70">
        <f>D63-G63</f>
        <v/>
      </c>
      <c r="K63" s="71">
        <f>E63-H63</f>
        <v/>
      </c>
      <c r="L63" s="70">
        <f>L62+J63</f>
        <v/>
      </c>
      <c r="M63" s="71">
        <f>M62+K63</f>
        <v/>
      </c>
      <c r="N63" s="71">
        <f>SUMIFS(exp_fact,exp_year,A63,exp_month,B63,exp_cat,"🏦 Накопление")</f>
        <v/>
      </c>
      <c r="O63" s="71">
        <f>SUMIFS(day_amt,day_year,A63,day_month,B63,day_inplan,0)</f>
        <v/>
      </c>
    </row>
    <row r="64">
      <c r="A64" s="69" t="n">
        <v>2030</v>
      </c>
      <c r="B64" s="61" t="inlineStr">
        <is>
          <t>Декабрь</t>
        </is>
      </c>
      <c r="C64" s="61">
        <f>LEFT(B64,3)&amp;" "&amp;RIGHT(A64,2)</f>
        <v/>
      </c>
      <c r="D64" s="70">
        <f>SUMIFS(inc_plan,inc_year,A64,inc_month,B64,inc_status,"&lt;&gt;❌ Не получено")</f>
        <v/>
      </c>
      <c r="E64" s="71">
        <f>SUMIFS(inc_fact,inc_year,A64,inc_month,B64)</f>
        <v/>
      </c>
      <c r="F64" s="72">
        <f>IF(D64=0,"",E64/D64)</f>
        <v/>
      </c>
      <c r="G64" s="70">
        <f>SUMIFS(exp_plan,exp_year,A64,exp_month,B64,exp_status,"&lt;&gt;❌ Отменено")</f>
        <v/>
      </c>
      <c r="H64" s="71">
        <f>SUMIFS(exp_fact,exp_year,A64,exp_month,B64)+O64</f>
        <v/>
      </c>
      <c r="I64" s="72">
        <f>IF(G64=0,"",H64/G64)</f>
        <v/>
      </c>
      <c r="J64" s="70">
        <f>D64-G64</f>
        <v/>
      </c>
      <c r="K64" s="71">
        <f>E64-H64</f>
        <v/>
      </c>
      <c r="L64" s="70">
        <f>L63+J64</f>
        <v/>
      </c>
      <c r="M64" s="71">
        <f>M63+K64</f>
        <v/>
      </c>
      <c r="N64" s="71">
        <f>SUMIFS(exp_fact,exp_year,A64,exp_month,B64,exp_cat,"🏦 Накопление")</f>
        <v/>
      </c>
      <c r="O64" s="71">
        <f>SUMIFS(day_amt,day_year,A64,day_month,B64,day_inplan,0)</f>
        <v/>
      </c>
    </row>
    <row r="65">
      <c r="A65" s="78" t="inlineStr">
        <is>
          <t>Σ ИТОГО</t>
        </is>
      </c>
      <c r="B65" s="78" t="n"/>
      <c r="C65" s="78" t="n"/>
      <c r="D65" s="79">
        <f>SUM(D5:D64)</f>
        <v/>
      </c>
      <c r="E65" s="79">
        <f>SUM(E5:E64)</f>
        <v/>
      </c>
      <c r="F65" s="80">
        <f>IF(D65=0,"",E65/D65)</f>
        <v/>
      </c>
      <c r="G65" s="79">
        <f>SUM(G5:G64)</f>
        <v/>
      </c>
      <c r="H65" s="79">
        <f>SUM(H5:H64)</f>
        <v/>
      </c>
      <c r="I65" s="80">
        <f>IF(G65=0,"",H65/G65)</f>
        <v/>
      </c>
      <c r="J65" s="79">
        <f>SUM(J5:J64)</f>
        <v/>
      </c>
      <c r="K65" s="79">
        <f>SUM(K5:K64)</f>
        <v/>
      </c>
      <c r="L65" s="78" t="n"/>
      <c r="M65" s="78" t="n"/>
      <c r="N65" s="79">
        <f>SUM(N5:N64)</f>
        <v/>
      </c>
      <c r="O65" s="79">
        <f>SUM(O5:O64)</f>
        <v/>
      </c>
    </row>
  </sheetData>
  <autoFilter ref="A4:O64"/>
  <mergeCells count="3">
    <mergeCell ref="A1:O1"/>
    <mergeCell ref="A65:C65"/>
    <mergeCell ref="A2:O2"/>
  </mergeCells>
  <conditionalFormatting sqref="A5:O64">
    <cfRule type="expression" priority="1" dxfId="6">
      <formula>AND($A5=YEAR(TODAY()),MATCH($B5,lst_months,0)=MONTH(TODAY()))</formula>
    </cfRule>
  </conditionalFormatting>
  <conditionalFormatting sqref="J5:J64">
    <cfRule type="cellIs" priority="2" operator="lessThan" dxfId="0">
      <formula>0</formula>
    </cfRule>
    <cfRule type="cellIs" priority="3" operator="greaterThan" dxfId="8">
      <formula>0</formula>
    </cfRule>
  </conditionalFormatting>
  <conditionalFormatting sqref="K5:K64">
    <cfRule type="cellIs" priority="4" operator="lessThan" dxfId="0">
      <formula>0</formula>
    </cfRule>
    <cfRule type="cellIs" priority="5" operator="greaterThan" dxfId="8">
      <formula>0</formula>
    </cfRule>
  </conditionalFormatting>
  <conditionalFormatting sqref="L5:L64">
    <cfRule type="cellIs" priority="6" operator="lessThan" dxfId="0">
      <formula>0</formula>
    </cfRule>
    <cfRule type="cellIs" priority="7" operator="greaterThan" dxfId="8">
      <formula>0</formula>
    </cfRule>
  </conditionalFormatting>
  <conditionalFormatting sqref="M5:M64">
    <cfRule type="cellIs" priority="8" operator="lessThan" dxfId="0">
      <formula>0</formula>
    </cfRule>
    <cfRule type="cellIs" priority="9" operator="greaterThan" dxfId="8">
      <formula>0</formula>
    </cfRule>
  </conditionalFormatting>
  <conditionalFormatting sqref="F5:F64">
    <cfRule type="dataBar" priority="10">
      <dataBar>
        <cfvo type="num" val="0"/>
        <cfvo type="num" val="1"/>
        <color rgb="002E9E5B"/>
      </dataBar>
    </cfRule>
  </conditionalFormatting>
  <conditionalFormatting sqref="I5:I64">
    <cfRule type="cellIs" priority="11" operator="greaterThan" dxfId="10">
      <formula>1</formula>
    </cfRule>
    <cfRule type="dataBar" priority="12">
      <dataBar>
        <cfvo type="num" val="0"/>
        <cfvo type="num" val="1"/>
        <color rgb="00E76F51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9E5B"/>
    <outlinePr summaryBelow="1" summaryRight="1"/>
    <pageSetUpPr/>
  </sheetPr>
  <dimension ref="A1:M3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1" customWidth="1" min="4" max="4"/>
    <col width="15" customWidth="1" min="5" max="5"/>
    <col width="15" customWidth="1" min="6" max="6"/>
    <col width="11" customWidth="1" min="7" max="7"/>
    <col width="15" customWidth="1" min="8" max="8"/>
    <col width="15" customWidth="1" min="9" max="9"/>
    <col width="13" customWidth="1" min="10" max="10"/>
    <col width="13" customWidth="1" min="11" max="11"/>
    <col width="15" customWidth="1" min="12" max="12"/>
    <col width="15" customWidth="1" min="13" max="13"/>
  </cols>
  <sheetData>
    <row r="1" ht="36" customHeight="1">
      <c r="A1" s="81" t="inlineStr">
        <is>
          <t>📊 Сводка по годам 2026–2030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</row>
    <row r="2" ht="30" customHeight="1">
      <c r="A2" s="3" t="inlineStr">
        <is>
          <t>Верхняя таблица — общий итог по годам, нижняя — расходы в разрезе категорий. Всё считается автоматически. Норма сбережений = остаток ÷ доход.</t>
        </is>
      </c>
    </row>
    <row r="4" ht="34" customHeight="1">
      <c r="A4" s="83" t="inlineStr">
        <is>
          <t>📆 Год</t>
        </is>
      </c>
      <c r="B4" s="40" t="inlineStr">
        <is>
          <t>💰 Доход
ПЛАН</t>
        </is>
      </c>
      <c r="C4" s="41" t="inlineStr">
        <is>
          <t>💰 Доход
ФАКТ</t>
        </is>
      </c>
      <c r="D4" s="83" t="inlineStr">
        <is>
          <t>% дохода
получено</t>
        </is>
      </c>
      <c r="E4" s="40" t="inlineStr">
        <is>
          <t>💸 Расход
ПЛАН</t>
        </is>
      </c>
      <c r="F4" s="41" t="inlineStr">
        <is>
          <t>💸 Расход
ФАКТ</t>
        </is>
      </c>
      <c r="G4" s="83" t="inlineStr">
        <is>
          <t>% бюджета
потрачено</t>
        </is>
      </c>
      <c r="H4" s="40" t="inlineStr">
        <is>
          <t>⚖️ Остаток
ПЛАН</t>
        </is>
      </c>
      <c r="I4" s="41" t="inlineStr">
        <is>
          <t>⚖️ Остаток
ФАКТ</t>
        </is>
      </c>
      <c r="J4" s="40" t="inlineStr">
        <is>
          <t>💎 Норма сбере-
жений ПЛАН</t>
        </is>
      </c>
      <c r="K4" s="41" t="inlineStr">
        <is>
          <t>💎 Норма сбере-
жений ФАКТ</t>
        </is>
      </c>
    </row>
    <row r="5" ht="22" customHeight="1">
      <c r="A5" s="84" t="n">
        <v>2026</v>
      </c>
      <c r="B5" s="70">
        <f>SUMIFS(inc_plan,inc_year,A5,inc_status,"&lt;&gt;❌ Не получено")</f>
        <v/>
      </c>
      <c r="C5" s="71">
        <f>SUMIFS(inc_fact,inc_year,A5)</f>
        <v/>
      </c>
      <c r="D5" s="72">
        <f>IF(B5=0,"",C5/B5)</f>
        <v/>
      </c>
      <c r="E5" s="70">
        <f>SUMIFS(exp_plan,exp_year,A5,exp_status,"&lt;&gt;❌ Отменено")</f>
        <v/>
      </c>
      <c r="F5" s="71">
        <f>SUMIFS(exp_fact,exp_year,A5)+SUMIFS(day_amt,day_year,A5,day_inplan,0)</f>
        <v/>
      </c>
      <c r="G5" s="72">
        <f>IF(E5=0,"",F5/E5)</f>
        <v/>
      </c>
      <c r="H5" s="70">
        <f>B5-E5</f>
        <v/>
      </c>
      <c r="I5" s="71">
        <f>C5-F5</f>
        <v/>
      </c>
      <c r="J5" s="85">
        <f>IF(B5=0,"",H5/B5)</f>
        <v/>
      </c>
      <c r="K5" s="86">
        <f>IF(C5=0,"",I5/C5)</f>
        <v/>
      </c>
    </row>
    <row r="6" ht="22" customHeight="1">
      <c r="A6" s="84" t="n">
        <v>2027</v>
      </c>
      <c r="B6" s="70">
        <f>SUMIFS(inc_plan,inc_year,A6,inc_status,"&lt;&gt;❌ Не получено")</f>
        <v/>
      </c>
      <c r="C6" s="71">
        <f>SUMIFS(inc_fact,inc_year,A6)</f>
        <v/>
      </c>
      <c r="D6" s="72">
        <f>IF(B6=0,"",C6/B6)</f>
        <v/>
      </c>
      <c r="E6" s="70">
        <f>SUMIFS(exp_plan,exp_year,A6,exp_status,"&lt;&gt;❌ Отменено")</f>
        <v/>
      </c>
      <c r="F6" s="71">
        <f>SUMIFS(exp_fact,exp_year,A6)+SUMIFS(day_amt,day_year,A6,day_inplan,0)</f>
        <v/>
      </c>
      <c r="G6" s="72">
        <f>IF(E6=0,"",F6/E6)</f>
        <v/>
      </c>
      <c r="H6" s="70">
        <f>B6-E6</f>
        <v/>
      </c>
      <c r="I6" s="71">
        <f>C6-F6</f>
        <v/>
      </c>
      <c r="J6" s="85">
        <f>IF(B6=0,"",H6/B6)</f>
        <v/>
      </c>
      <c r="K6" s="86">
        <f>IF(C6=0,"",I6/C6)</f>
        <v/>
      </c>
    </row>
    <row r="7" ht="22" customHeight="1">
      <c r="A7" s="84" t="n">
        <v>2028</v>
      </c>
      <c r="B7" s="70">
        <f>SUMIFS(inc_plan,inc_year,A7,inc_status,"&lt;&gt;❌ Не получено")</f>
        <v/>
      </c>
      <c r="C7" s="71">
        <f>SUMIFS(inc_fact,inc_year,A7)</f>
        <v/>
      </c>
      <c r="D7" s="72">
        <f>IF(B7=0,"",C7/B7)</f>
        <v/>
      </c>
      <c r="E7" s="70">
        <f>SUMIFS(exp_plan,exp_year,A7,exp_status,"&lt;&gt;❌ Отменено")</f>
        <v/>
      </c>
      <c r="F7" s="71">
        <f>SUMIFS(exp_fact,exp_year,A7)+SUMIFS(day_amt,day_year,A7,day_inplan,0)</f>
        <v/>
      </c>
      <c r="G7" s="72">
        <f>IF(E7=0,"",F7/E7)</f>
        <v/>
      </c>
      <c r="H7" s="70">
        <f>B7-E7</f>
        <v/>
      </c>
      <c r="I7" s="71">
        <f>C7-F7</f>
        <v/>
      </c>
      <c r="J7" s="85">
        <f>IF(B7=0,"",H7/B7)</f>
        <v/>
      </c>
      <c r="K7" s="86">
        <f>IF(C7=0,"",I7/C7)</f>
        <v/>
      </c>
    </row>
    <row r="8" ht="22" customHeight="1">
      <c r="A8" s="84" t="n">
        <v>2029</v>
      </c>
      <c r="B8" s="70">
        <f>SUMIFS(inc_plan,inc_year,A8,inc_status,"&lt;&gt;❌ Не получено")</f>
        <v/>
      </c>
      <c r="C8" s="71">
        <f>SUMIFS(inc_fact,inc_year,A8)</f>
        <v/>
      </c>
      <c r="D8" s="72">
        <f>IF(B8=0,"",C8/B8)</f>
        <v/>
      </c>
      <c r="E8" s="70">
        <f>SUMIFS(exp_plan,exp_year,A8,exp_status,"&lt;&gt;❌ Отменено")</f>
        <v/>
      </c>
      <c r="F8" s="71">
        <f>SUMIFS(exp_fact,exp_year,A8)+SUMIFS(day_amt,day_year,A8,day_inplan,0)</f>
        <v/>
      </c>
      <c r="G8" s="72">
        <f>IF(E8=0,"",F8/E8)</f>
        <v/>
      </c>
      <c r="H8" s="70">
        <f>B8-E8</f>
        <v/>
      </c>
      <c r="I8" s="71">
        <f>C8-F8</f>
        <v/>
      </c>
      <c r="J8" s="85">
        <f>IF(B8=0,"",H8/B8)</f>
        <v/>
      </c>
      <c r="K8" s="86">
        <f>IF(C8=0,"",I8/C8)</f>
        <v/>
      </c>
    </row>
    <row r="9" ht="22" customHeight="1">
      <c r="A9" s="84" t="n">
        <v>2030</v>
      </c>
      <c r="B9" s="70">
        <f>SUMIFS(inc_plan,inc_year,A9,inc_status,"&lt;&gt;❌ Не получено")</f>
        <v/>
      </c>
      <c r="C9" s="71">
        <f>SUMIFS(inc_fact,inc_year,A9)</f>
        <v/>
      </c>
      <c r="D9" s="72">
        <f>IF(B9=0,"",C9/B9)</f>
        <v/>
      </c>
      <c r="E9" s="70">
        <f>SUMIFS(exp_plan,exp_year,A9,exp_status,"&lt;&gt;❌ Отменено")</f>
        <v/>
      </c>
      <c r="F9" s="71">
        <f>SUMIFS(exp_fact,exp_year,A9)+SUMIFS(day_amt,day_year,A9,day_inplan,0)</f>
        <v/>
      </c>
      <c r="G9" s="72">
        <f>IF(E9=0,"",F9/E9)</f>
        <v/>
      </c>
      <c r="H9" s="70">
        <f>B9-E9</f>
        <v/>
      </c>
      <c r="I9" s="71">
        <f>C9-F9</f>
        <v/>
      </c>
      <c r="J9" s="85">
        <f>IF(B9=0,"",H9/B9)</f>
        <v/>
      </c>
      <c r="K9" s="86">
        <f>IF(C9=0,"",I9/C9)</f>
        <v/>
      </c>
    </row>
    <row r="10" ht="22" customHeight="1">
      <c r="A10" s="87" t="inlineStr">
        <is>
          <t>Σ 2026–2030</t>
        </is>
      </c>
      <c r="B10" s="88">
        <f>SUM(B5:B9)</f>
        <v/>
      </c>
      <c r="C10" s="88">
        <f>SUM(C5:C9)</f>
        <v/>
      </c>
      <c r="D10" s="89">
        <f>IF(B10=0,"",C10/B10)</f>
        <v/>
      </c>
      <c r="E10" s="88">
        <f>SUM(E5:E9)</f>
        <v/>
      </c>
      <c r="F10" s="88">
        <f>SUM(F5:F9)</f>
        <v/>
      </c>
      <c r="G10" s="89">
        <f>IF(E10=0,"",F10/E10)</f>
        <v/>
      </c>
      <c r="H10" s="88">
        <f>SUM(H5:H9)</f>
        <v/>
      </c>
      <c r="I10" s="88">
        <f>SUM(I5:I9)</f>
        <v/>
      </c>
      <c r="J10" s="89">
        <f>IF(B10=0,"",H10/B10)</f>
        <v/>
      </c>
      <c r="K10" s="89">
        <f>IF(C10=0,"",I10/C10)</f>
        <v/>
      </c>
    </row>
    <row r="12">
      <c r="A12" s="90" t="inlineStr">
        <is>
          <t>🏷 Расходы по категориям и годам</t>
        </is>
      </c>
    </row>
    <row r="13">
      <c r="A13" s="91" t="inlineStr">
        <is>
          <t>Категория</t>
        </is>
      </c>
      <c r="B13" s="91" t="inlineStr">
        <is>
          <t>2026</t>
        </is>
      </c>
      <c r="C13" s="91" t="n"/>
      <c r="D13" s="91" t="inlineStr">
        <is>
          <t>2027</t>
        </is>
      </c>
      <c r="E13" s="91" t="n"/>
      <c r="F13" s="91" t="inlineStr">
        <is>
          <t>2028</t>
        </is>
      </c>
      <c r="G13" s="91" t="n"/>
      <c r="H13" s="91" t="inlineStr">
        <is>
          <t>2029</t>
        </is>
      </c>
      <c r="I13" s="91" t="n"/>
      <c r="J13" s="91" t="inlineStr">
        <is>
          <t>2030</t>
        </is>
      </c>
      <c r="K13" s="91" t="n"/>
      <c r="L13" s="91" t="inlineStr">
        <is>
          <t>Σ Итого</t>
        </is>
      </c>
      <c r="M13" s="91" t="n"/>
    </row>
    <row r="14">
      <c r="A14" s="91" t="n"/>
      <c r="B14" s="92" t="inlineStr">
        <is>
          <t>📝 План</t>
        </is>
      </c>
      <c r="C14" s="93" t="inlineStr">
        <is>
          <t>✅ Факт</t>
        </is>
      </c>
      <c r="D14" s="92" t="inlineStr">
        <is>
          <t>📝 План</t>
        </is>
      </c>
      <c r="E14" s="93" t="inlineStr">
        <is>
          <t>✅ Факт</t>
        </is>
      </c>
      <c r="F14" s="92" t="inlineStr">
        <is>
          <t>📝 План</t>
        </is>
      </c>
      <c r="G14" s="93" t="inlineStr">
        <is>
          <t>✅ Факт</t>
        </is>
      </c>
      <c r="H14" s="92" t="inlineStr">
        <is>
          <t>📝 План</t>
        </is>
      </c>
      <c r="I14" s="93" t="inlineStr">
        <is>
          <t>✅ Факт</t>
        </is>
      </c>
      <c r="J14" s="92" t="inlineStr">
        <is>
          <t>📝 План</t>
        </is>
      </c>
      <c r="K14" s="93" t="inlineStr">
        <is>
          <t>✅ Факт</t>
        </is>
      </c>
      <c r="L14" s="92" t="inlineStr">
        <is>
          <t>📝 План</t>
        </is>
      </c>
      <c r="M14" s="93" t="inlineStr">
        <is>
          <t>✅ Факт</t>
        </is>
      </c>
    </row>
    <row r="15">
      <c r="A15" s="61">
        <f>IF('📚 Справочник'!D5="","",'📚 Справочник'!D5)</f>
        <v/>
      </c>
      <c r="B15" s="70">
        <f>IF($A15="","",SUMIFS(exp_plan,exp_cat,$A15,exp_year,2026,exp_status,"&lt;&gt;❌ Отменено"))</f>
        <v/>
      </c>
      <c r="C15" s="71">
        <f>IF($A15="","",SUMIFS(exp_fact,exp_cat,$A15,exp_year,2026)+SUMIFS(day_amt,day_cat,$A15,day_year,2026,day_inplan,0))</f>
        <v/>
      </c>
      <c r="D15" s="70">
        <f>IF($A15="","",SUMIFS(exp_plan,exp_cat,$A15,exp_year,2027,exp_status,"&lt;&gt;❌ Отменено"))</f>
        <v/>
      </c>
      <c r="E15" s="71">
        <f>IF($A15="","",SUMIFS(exp_fact,exp_cat,$A15,exp_year,2027)+SUMIFS(day_amt,day_cat,$A15,day_year,2027,day_inplan,0))</f>
        <v/>
      </c>
      <c r="F15" s="70">
        <f>IF($A15="","",SUMIFS(exp_plan,exp_cat,$A15,exp_year,2028,exp_status,"&lt;&gt;❌ Отменено"))</f>
        <v/>
      </c>
      <c r="G15" s="71">
        <f>IF($A15="","",SUMIFS(exp_fact,exp_cat,$A15,exp_year,2028)+SUMIFS(day_amt,day_cat,$A15,day_year,2028,day_inplan,0))</f>
        <v/>
      </c>
      <c r="H15" s="70">
        <f>IF($A15="","",SUMIFS(exp_plan,exp_cat,$A15,exp_year,2029,exp_status,"&lt;&gt;❌ Отменено"))</f>
        <v/>
      </c>
      <c r="I15" s="71">
        <f>IF($A15="","",SUMIFS(exp_fact,exp_cat,$A15,exp_year,2029)+SUMIFS(day_amt,day_cat,$A15,day_year,2029,day_inplan,0))</f>
        <v/>
      </c>
      <c r="J15" s="70">
        <f>IF($A15="","",SUMIFS(exp_plan,exp_cat,$A15,exp_year,2030,exp_status,"&lt;&gt;❌ Отменено"))</f>
        <v/>
      </c>
      <c r="K15" s="71">
        <f>IF($A15="","",SUMIFS(exp_fact,exp_cat,$A15,exp_year,2030)+SUMIFS(day_amt,day_cat,$A15,day_year,2030,day_inplan,0))</f>
        <v/>
      </c>
      <c r="L15" s="94">
        <f>IF($A15="","",SUM(B15,D15,F15,H15,J15))</f>
        <v/>
      </c>
      <c r="M15" s="95">
        <f>IF($A15="","",SUM(C15,E15,G15,I15,K15))</f>
        <v/>
      </c>
    </row>
    <row r="16">
      <c r="A16" s="61">
        <f>IF('📚 Справочник'!D6="","",'📚 Справочник'!D6)</f>
        <v/>
      </c>
      <c r="B16" s="70">
        <f>IF($A16="","",SUMIFS(exp_plan,exp_cat,$A16,exp_year,2026,exp_status,"&lt;&gt;❌ Отменено"))</f>
        <v/>
      </c>
      <c r="C16" s="71">
        <f>IF($A16="","",SUMIFS(exp_fact,exp_cat,$A16,exp_year,2026)+SUMIFS(day_amt,day_cat,$A16,day_year,2026,day_inplan,0))</f>
        <v/>
      </c>
      <c r="D16" s="70">
        <f>IF($A16="","",SUMIFS(exp_plan,exp_cat,$A16,exp_year,2027,exp_status,"&lt;&gt;❌ Отменено"))</f>
        <v/>
      </c>
      <c r="E16" s="71">
        <f>IF($A16="","",SUMIFS(exp_fact,exp_cat,$A16,exp_year,2027)+SUMIFS(day_amt,day_cat,$A16,day_year,2027,day_inplan,0))</f>
        <v/>
      </c>
      <c r="F16" s="70">
        <f>IF($A16="","",SUMIFS(exp_plan,exp_cat,$A16,exp_year,2028,exp_status,"&lt;&gt;❌ Отменено"))</f>
        <v/>
      </c>
      <c r="G16" s="71">
        <f>IF($A16="","",SUMIFS(exp_fact,exp_cat,$A16,exp_year,2028)+SUMIFS(day_amt,day_cat,$A16,day_year,2028,day_inplan,0))</f>
        <v/>
      </c>
      <c r="H16" s="70">
        <f>IF($A16="","",SUMIFS(exp_plan,exp_cat,$A16,exp_year,2029,exp_status,"&lt;&gt;❌ Отменено"))</f>
        <v/>
      </c>
      <c r="I16" s="71">
        <f>IF($A16="","",SUMIFS(exp_fact,exp_cat,$A16,exp_year,2029)+SUMIFS(day_amt,day_cat,$A16,day_year,2029,day_inplan,0))</f>
        <v/>
      </c>
      <c r="J16" s="70">
        <f>IF($A16="","",SUMIFS(exp_plan,exp_cat,$A16,exp_year,2030,exp_status,"&lt;&gt;❌ Отменено"))</f>
        <v/>
      </c>
      <c r="K16" s="71">
        <f>IF($A16="","",SUMIFS(exp_fact,exp_cat,$A16,exp_year,2030)+SUMIFS(day_amt,day_cat,$A16,day_year,2030,day_inplan,0))</f>
        <v/>
      </c>
      <c r="L16" s="94">
        <f>IF($A16="","",SUM(B16,D16,F16,H16,J16))</f>
        <v/>
      </c>
      <c r="M16" s="95">
        <f>IF($A16="","",SUM(C16,E16,G16,I16,K16))</f>
        <v/>
      </c>
    </row>
    <row r="17">
      <c r="A17" s="61">
        <f>IF('📚 Справочник'!D7="","",'📚 Справочник'!D7)</f>
        <v/>
      </c>
      <c r="B17" s="70">
        <f>IF($A17="","",SUMIFS(exp_plan,exp_cat,$A17,exp_year,2026,exp_status,"&lt;&gt;❌ Отменено"))</f>
        <v/>
      </c>
      <c r="C17" s="71">
        <f>IF($A17="","",SUMIFS(exp_fact,exp_cat,$A17,exp_year,2026)+SUMIFS(day_amt,day_cat,$A17,day_year,2026,day_inplan,0))</f>
        <v/>
      </c>
      <c r="D17" s="70">
        <f>IF($A17="","",SUMIFS(exp_plan,exp_cat,$A17,exp_year,2027,exp_status,"&lt;&gt;❌ Отменено"))</f>
        <v/>
      </c>
      <c r="E17" s="71">
        <f>IF($A17="","",SUMIFS(exp_fact,exp_cat,$A17,exp_year,2027)+SUMIFS(day_amt,day_cat,$A17,day_year,2027,day_inplan,0))</f>
        <v/>
      </c>
      <c r="F17" s="70">
        <f>IF($A17="","",SUMIFS(exp_plan,exp_cat,$A17,exp_year,2028,exp_status,"&lt;&gt;❌ Отменено"))</f>
        <v/>
      </c>
      <c r="G17" s="71">
        <f>IF($A17="","",SUMIFS(exp_fact,exp_cat,$A17,exp_year,2028)+SUMIFS(day_amt,day_cat,$A17,day_year,2028,day_inplan,0))</f>
        <v/>
      </c>
      <c r="H17" s="70">
        <f>IF($A17="","",SUMIFS(exp_plan,exp_cat,$A17,exp_year,2029,exp_status,"&lt;&gt;❌ Отменено"))</f>
        <v/>
      </c>
      <c r="I17" s="71">
        <f>IF($A17="","",SUMIFS(exp_fact,exp_cat,$A17,exp_year,2029)+SUMIFS(day_amt,day_cat,$A17,day_year,2029,day_inplan,0))</f>
        <v/>
      </c>
      <c r="J17" s="70">
        <f>IF($A17="","",SUMIFS(exp_plan,exp_cat,$A17,exp_year,2030,exp_status,"&lt;&gt;❌ Отменено"))</f>
        <v/>
      </c>
      <c r="K17" s="71">
        <f>IF($A17="","",SUMIFS(exp_fact,exp_cat,$A17,exp_year,2030)+SUMIFS(day_amt,day_cat,$A17,day_year,2030,day_inplan,0))</f>
        <v/>
      </c>
      <c r="L17" s="94">
        <f>IF($A17="","",SUM(B17,D17,F17,H17,J17))</f>
        <v/>
      </c>
      <c r="M17" s="95">
        <f>IF($A17="","",SUM(C17,E17,G17,I17,K17))</f>
        <v/>
      </c>
    </row>
    <row r="18">
      <c r="A18" s="61">
        <f>IF('📚 Справочник'!D8="","",'📚 Справочник'!D8)</f>
        <v/>
      </c>
      <c r="B18" s="70">
        <f>IF($A18="","",SUMIFS(exp_plan,exp_cat,$A18,exp_year,2026,exp_status,"&lt;&gt;❌ Отменено"))</f>
        <v/>
      </c>
      <c r="C18" s="71">
        <f>IF($A18="","",SUMIFS(exp_fact,exp_cat,$A18,exp_year,2026)+SUMIFS(day_amt,day_cat,$A18,day_year,2026,day_inplan,0))</f>
        <v/>
      </c>
      <c r="D18" s="70">
        <f>IF($A18="","",SUMIFS(exp_plan,exp_cat,$A18,exp_year,2027,exp_status,"&lt;&gt;❌ Отменено"))</f>
        <v/>
      </c>
      <c r="E18" s="71">
        <f>IF($A18="","",SUMIFS(exp_fact,exp_cat,$A18,exp_year,2027)+SUMIFS(day_amt,day_cat,$A18,day_year,2027,day_inplan,0))</f>
        <v/>
      </c>
      <c r="F18" s="70">
        <f>IF($A18="","",SUMIFS(exp_plan,exp_cat,$A18,exp_year,2028,exp_status,"&lt;&gt;❌ Отменено"))</f>
        <v/>
      </c>
      <c r="G18" s="71">
        <f>IF($A18="","",SUMIFS(exp_fact,exp_cat,$A18,exp_year,2028)+SUMIFS(day_amt,day_cat,$A18,day_year,2028,day_inplan,0))</f>
        <v/>
      </c>
      <c r="H18" s="70">
        <f>IF($A18="","",SUMIFS(exp_plan,exp_cat,$A18,exp_year,2029,exp_status,"&lt;&gt;❌ Отменено"))</f>
        <v/>
      </c>
      <c r="I18" s="71">
        <f>IF($A18="","",SUMIFS(exp_fact,exp_cat,$A18,exp_year,2029)+SUMIFS(day_amt,day_cat,$A18,day_year,2029,day_inplan,0))</f>
        <v/>
      </c>
      <c r="J18" s="70">
        <f>IF($A18="","",SUMIFS(exp_plan,exp_cat,$A18,exp_year,2030,exp_status,"&lt;&gt;❌ Отменено"))</f>
        <v/>
      </c>
      <c r="K18" s="71">
        <f>IF($A18="","",SUMIFS(exp_fact,exp_cat,$A18,exp_year,2030)+SUMIFS(day_amt,day_cat,$A18,day_year,2030,day_inplan,0))</f>
        <v/>
      </c>
      <c r="L18" s="94">
        <f>IF($A18="","",SUM(B18,D18,F18,H18,J18))</f>
        <v/>
      </c>
      <c r="M18" s="95">
        <f>IF($A18="","",SUM(C18,E18,G18,I18,K18))</f>
        <v/>
      </c>
    </row>
    <row r="19">
      <c r="A19" s="61">
        <f>IF('📚 Справочник'!D9="","",'📚 Справочник'!D9)</f>
        <v/>
      </c>
      <c r="B19" s="70">
        <f>IF($A19="","",SUMIFS(exp_plan,exp_cat,$A19,exp_year,2026,exp_status,"&lt;&gt;❌ Отменено"))</f>
        <v/>
      </c>
      <c r="C19" s="71">
        <f>IF($A19="","",SUMIFS(exp_fact,exp_cat,$A19,exp_year,2026)+SUMIFS(day_amt,day_cat,$A19,day_year,2026,day_inplan,0))</f>
        <v/>
      </c>
      <c r="D19" s="70">
        <f>IF($A19="","",SUMIFS(exp_plan,exp_cat,$A19,exp_year,2027,exp_status,"&lt;&gt;❌ Отменено"))</f>
        <v/>
      </c>
      <c r="E19" s="71">
        <f>IF($A19="","",SUMIFS(exp_fact,exp_cat,$A19,exp_year,2027)+SUMIFS(day_amt,day_cat,$A19,day_year,2027,day_inplan,0))</f>
        <v/>
      </c>
      <c r="F19" s="70">
        <f>IF($A19="","",SUMIFS(exp_plan,exp_cat,$A19,exp_year,2028,exp_status,"&lt;&gt;❌ Отменено"))</f>
        <v/>
      </c>
      <c r="G19" s="71">
        <f>IF($A19="","",SUMIFS(exp_fact,exp_cat,$A19,exp_year,2028)+SUMIFS(day_amt,day_cat,$A19,day_year,2028,day_inplan,0))</f>
        <v/>
      </c>
      <c r="H19" s="70">
        <f>IF($A19="","",SUMIFS(exp_plan,exp_cat,$A19,exp_year,2029,exp_status,"&lt;&gt;❌ Отменено"))</f>
        <v/>
      </c>
      <c r="I19" s="71">
        <f>IF($A19="","",SUMIFS(exp_fact,exp_cat,$A19,exp_year,2029)+SUMIFS(day_amt,day_cat,$A19,day_year,2029,day_inplan,0))</f>
        <v/>
      </c>
      <c r="J19" s="70">
        <f>IF($A19="","",SUMIFS(exp_plan,exp_cat,$A19,exp_year,2030,exp_status,"&lt;&gt;❌ Отменено"))</f>
        <v/>
      </c>
      <c r="K19" s="71">
        <f>IF($A19="","",SUMIFS(exp_fact,exp_cat,$A19,exp_year,2030)+SUMIFS(day_amt,day_cat,$A19,day_year,2030,day_inplan,0))</f>
        <v/>
      </c>
      <c r="L19" s="94">
        <f>IF($A19="","",SUM(B19,D19,F19,H19,J19))</f>
        <v/>
      </c>
      <c r="M19" s="95">
        <f>IF($A19="","",SUM(C19,E19,G19,I19,K19))</f>
        <v/>
      </c>
    </row>
    <row r="20">
      <c r="A20" s="61">
        <f>IF('📚 Справочник'!D10="","",'📚 Справочник'!D10)</f>
        <v/>
      </c>
      <c r="B20" s="70">
        <f>IF($A20="","",SUMIFS(exp_plan,exp_cat,$A20,exp_year,2026,exp_status,"&lt;&gt;❌ Отменено"))</f>
        <v/>
      </c>
      <c r="C20" s="71">
        <f>IF($A20="","",SUMIFS(exp_fact,exp_cat,$A20,exp_year,2026)+SUMIFS(day_amt,day_cat,$A20,day_year,2026,day_inplan,0))</f>
        <v/>
      </c>
      <c r="D20" s="70">
        <f>IF($A20="","",SUMIFS(exp_plan,exp_cat,$A20,exp_year,2027,exp_status,"&lt;&gt;❌ Отменено"))</f>
        <v/>
      </c>
      <c r="E20" s="71">
        <f>IF($A20="","",SUMIFS(exp_fact,exp_cat,$A20,exp_year,2027)+SUMIFS(day_amt,day_cat,$A20,day_year,2027,day_inplan,0))</f>
        <v/>
      </c>
      <c r="F20" s="70">
        <f>IF($A20="","",SUMIFS(exp_plan,exp_cat,$A20,exp_year,2028,exp_status,"&lt;&gt;❌ Отменено"))</f>
        <v/>
      </c>
      <c r="G20" s="71">
        <f>IF($A20="","",SUMIFS(exp_fact,exp_cat,$A20,exp_year,2028)+SUMIFS(day_amt,day_cat,$A20,day_year,2028,day_inplan,0))</f>
        <v/>
      </c>
      <c r="H20" s="70">
        <f>IF($A20="","",SUMIFS(exp_plan,exp_cat,$A20,exp_year,2029,exp_status,"&lt;&gt;❌ Отменено"))</f>
        <v/>
      </c>
      <c r="I20" s="71">
        <f>IF($A20="","",SUMIFS(exp_fact,exp_cat,$A20,exp_year,2029)+SUMIFS(day_amt,day_cat,$A20,day_year,2029,day_inplan,0))</f>
        <v/>
      </c>
      <c r="J20" s="70">
        <f>IF($A20="","",SUMIFS(exp_plan,exp_cat,$A20,exp_year,2030,exp_status,"&lt;&gt;❌ Отменено"))</f>
        <v/>
      </c>
      <c r="K20" s="71">
        <f>IF($A20="","",SUMIFS(exp_fact,exp_cat,$A20,exp_year,2030)+SUMIFS(day_amt,day_cat,$A20,day_year,2030,day_inplan,0))</f>
        <v/>
      </c>
      <c r="L20" s="94">
        <f>IF($A20="","",SUM(B20,D20,F20,H20,J20))</f>
        <v/>
      </c>
      <c r="M20" s="95">
        <f>IF($A20="","",SUM(C20,E20,G20,I20,K20))</f>
        <v/>
      </c>
    </row>
    <row r="21">
      <c r="A21" s="61">
        <f>IF('📚 Справочник'!D11="","",'📚 Справочник'!D11)</f>
        <v/>
      </c>
      <c r="B21" s="70">
        <f>IF($A21="","",SUMIFS(exp_plan,exp_cat,$A21,exp_year,2026,exp_status,"&lt;&gt;❌ Отменено"))</f>
        <v/>
      </c>
      <c r="C21" s="71">
        <f>IF($A21="","",SUMIFS(exp_fact,exp_cat,$A21,exp_year,2026)+SUMIFS(day_amt,day_cat,$A21,day_year,2026,day_inplan,0))</f>
        <v/>
      </c>
      <c r="D21" s="70">
        <f>IF($A21="","",SUMIFS(exp_plan,exp_cat,$A21,exp_year,2027,exp_status,"&lt;&gt;❌ Отменено"))</f>
        <v/>
      </c>
      <c r="E21" s="71">
        <f>IF($A21="","",SUMIFS(exp_fact,exp_cat,$A21,exp_year,2027)+SUMIFS(day_amt,day_cat,$A21,day_year,2027,day_inplan,0))</f>
        <v/>
      </c>
      <c r="F21" s="70">
        <f>IF($A21="","",SUMIFS(exp_plan,exp_cat,$A21,exp_year,2028,exp_status,"&lt;&gt;❌ Отменено"))</f>
        <v/>
      </c>
      <c r="G21" s="71">
        <f>IF($A21="","",SUMIFS(exp_fact,exp_cat,$A21,exp_year,2028)+SUMIFS(day_amt,day_cat,$A21,day_year,2028,day_inplan,0))</f>
        <v/>
      </c>
      <c r="H21" s="70">
        <f>IF($A21="","",SUMIFS(exp_plan,exp_cat,$A21,exp_year,2029,exp_status,"&lt;&gt;❌ Отменено"))</f>
        <v/>
      </c>
      <c r="I21" s="71">
        <f>IF($A21="","",SUMIFS(exp_fact,exp_cat,$A21,exp_year,2029)+SUMIFS(day_amt,day_cat,$A21,day_year,2029,day_inplan,0))</f>
        <v/>
      </c>
      <c r="J21" s="70">
        <f>IF($A21="","",SUMIFS(exp_plan,exp_cat,$A21,exp_year,2030,exp_status,"&lt;&gt;❌ Отменено"))</f>
        <v/>
      </c>
      <c r="K21" s="71">
        <f>IF($A21="","",SUMIFS(exp_fact,exp_cat,$A21,exp_year,2030)+SUMIFS(day_amt,day_cat,$A21,day_year,2030,day_inplan,0))</f>
        <v/>
      </c>
      <c r="L21" s="94">
        <f>IF($A21="","",SUM(B21,D21,F21,H21,J21))</f>
        <v/>
      </c>
      <c r="M21" s="95">
        <f>IF($A21="","",SUM(C21,E21,G21,I21,K21))</f>
        <v/>
      </c>
    </row>
    <row r="22">
      <c r="A22" s="61">
        <f>IF('📚 Справочник'!D12="","",'📚 Справочник'!D12)</f>
        <v/>
      </c>
      <c r="B22" s="70">
        <f>IF($A22="","",SUMIFS(exp_plan,exp_cat,$A22,exp_year,2026,exp_status,"&lt;&gt;❌ Отменено"))</f>
        <v/>
      </c>
      <c r="C22" s="71">
        <f>IF($A22="","",SUMIFS(exp_fact,exp_cat,$A22,exp_year,2026)+SUMIFS(day_amt,day_cat,$A22,day_year,2026,day_inplan,0))</f>
        <v/>
      </c>
      <c r="D22" s="70">
        <f>IF($A22="","",SUMIFS(exp_plan,exp_cat,$A22,exp_year,2027,exp_status,"&lt;&gt;❌ Отменено"))</f>
        <v/>
      </c>
      <c r="E22" s="71">
        <f>IF($A22="","",SUMIFS(exp_fact,exp_cat,$A22,exp_year,2027)+SUMIFS(day_amt,day_cat,$A22,day_year,2027,day_inplan,0))</f>
        <v/>
      </c>
      <c r="F22" s="70">
        <f>IF($A22="","",SUMIFS(exp_plan,exp_cat,$A22,exp_year,2028,exp_status,"&lt;&gt;❌ Отменено"))</f>
        <v/>
      </c>
      <c r="G22" s="71">
        <f>IF($A22="","",SUMIFS(exp_fact,exp_cat,$A22,exp_year,2028)+SUMIFS(day_amt,day_cat,$A22,day_year,2028,day_inplan,0))</f>
        <v/>
      </c>
      <c r="H22" s="70">
        <f>IF($A22="","",SUMIFS(exp_plan,exp_cat,$A22,exp_year,2029,exp_status,"&lt;&gt;❌ Отменено"))</f>
        <v/>
      </c>
      <c r="I22" s="71">
        <f>IF($A22="","",SUMIFS(exp_fact,exp_cat,$A22,exp_year,2029)+SUMIFS(day_amt,day_cat,$A22,day_year,2029,day_inplan,0))</f>
        <v/>
      </c>
      <c r="J22" s="70">
        <f>IF($A22="","",SUMIFS(exp_plan,exp_cat,$A22,exp_year,2030,exp_status,"&lt;&gt;❌ Отменено"))</f>
        <v/>
      </c>
      <c r="K22" s="71">
        <f>IF($A22="","",SUMIFS(exp_fact,exp_cat,$A22,exp_year,2030)+SUMIFS(day_amt,day_cat,$A22,day_year,2030,day_inplan,0))</f>
        <v/>
      </c>
      <c r="L22" s="94">
        <f>IF($A22="","",SUM(B22,D22,F22,H22,J22))</f>
        <v/>
      </c>
      <c r="M22" s="95">
        <f>IF($A22="","",SUM(C22,E22,G22,I22,K22))</f>
        <v/>
      </c>
    </row>
    <row r="23">
      <c r="A23" s="61">
        <f>IF('📚 Справочник'!D13="","",'📚 Справочник'!D13)</f>
        <v/>
      </c>
      <c r="B23" s="70">
        <f>IF($A23="","",SUMIFS(exp_plan,exp_cat,$A23,exp_year,2026,exp_status,"&lt;&gt;❌ Отменено"))</f>
        <v/>
      </c>
      <c r="C23" s="71">
        <f>IF($A23="","",SUMIFS(exp_fact,exp_cat,$A23,exp_year,2026)+SUMIFS(day_amt,day_cat,$A23,day_year,2026,day_inplan,0))</f>
        <v/>
      </c>
      <c r="D23" s="70">
        <f>IF($A23="","",SUMIFS(exp_plan,exp_cat,$A23,exp_year,2027,exp_status,"&lt;&gt;❌ Отменено"))</f>
        <v/>
      </c>
      <c r="E23" s="71">
        <f>IF($A23="","",SUMIFS(exp_fact,exp_cat,$A23,exp_year,2027)+SUMIFS(day_amt,day_cat,$A23,day_year,2027,day_inplan,0))</f>
        <v/>
      </c>
      <c r="F23" s="70">
        <f>IF($A23="","",SUMIFS(exp_plan,exp_cat,$A23,exp_year,2028,exp_status,"&lt;&gt;❌ Отменено"))</f>
        <v/>
      </c>
      <c r="G23" s="71">
        <f>IF($A23="","",SUMIFS(exp_fact,exp_cat,$A23,exp_year,2028)+SUMIFS(day_amt,day_cat,$A23,day_year,2028,day_inplan,0))</f>
        <v/>
      </c>
      <c r="H23" s="70">
        <f>IF($A23="","",SUMIFS(exp_plan,exp_cat,$A23,exp_year,2029,exp_status,"&lt;&gt;❌ Отменено"))</f>
        <v/>
      </c>
      <c r="I23" s="71">
        <f>IF($A23="","",SUMIFS(exp_fact,exp_cat,$A23,exp_year,2029)+SUMIFS(day_amt,day_cat,$A23,day_year,2029,day_inplan,0))</f>
        <v/>
      </c>
      <c r="J23" s="70">
        <f>IF($A23="","",SUMIFS(exp_plan,exp_cat,$A23,exp_year,2030,exp_status,"&lt;&gt;❌ Отменено"))</f>
        <v/>
      </c>
      <c r="K23" s="71">
        <f>IF($A23="","",SUMIFS(exp_fact,exp_cat,$A23,exp_year,2030)+SUMIFS(day_amt,day_cat,$A23,day_year,2030,day_inplan,0))</f>
        <v/>
      </c>
      <c r="L23" s="94">
        <f>IF($A23="","",SUM(B23,D23,F23,H23,J23))</f>
        <v/>
      </c>
      <c r="M23" s="95">
        <f>IF($A23="","",SUM(C23,E23,G23,I23,K23))</f>
        <v/>
      </c>
    </row>
    <row r="24">
      <c r="A24" s="61">
        <f>IF('📚 Справочник'!D14="","",'📚 Справочник'!D14)</f>
        <v/>
      </c>
      <c r="B24" s="70">
        <f>IF($A24="","",SUMIFS(exp_plan,exp_cat,$A24,exp_year,2026,exp_status,"&lt;&gt;❌ Отменено"))</f>
        <v/>
      </c>
      <c r="C24" s="71">
        <f>IF($A24="","",SUMIFS(exp_fact,exp_cat,$A24,exp_year,2026)+SUMIFS(day_amt,day_cat,$A24,day_year,2026,day_inplan,0))</f>
        <v/>
      </c>
      <c r="D24" s="70">
        <f>IF($A24="","",SUMIFS(exp_plan,exp_cat,$A24,exp_year,2027,exp_status,"&lt;&gt;❌ Отменено"))</f>
        <v/>
      </c>
      <c r="E24" s="71">
        <f>IF($A24="","",SUMIFS(exp_fact,exp_cat,$A24,exp_year,2027)+SUMIFS(day_amt,day_cat,$A24,day_year,2027,day_inplan,0))</f>
        <v/>
      </c>
      <c r="F24" s="70">
        <f>IF($A24="","",SUMIFS(exp_plan,exp_cat,$A24,exp_year,2028,exp_status,"&lt;&gt;❌ Отменено"))</f>
        <v/>
      </c>
      <c r="G24" s="71">
        <f>IF($A24="","",SUMIFS(exp_fact,exp_cat,$A24,exp_year,2028)+SUMIFS(day_amt,day_cat,$A24,day_year,2028,day_inplan,0))</f>
        <v/>
      </c>
      <c r="H24" s="70">
        <f>IF($A24="","",SUMIFS(exp_plan,exp_cat,$A24,exp_year,2029,exp_status,"&lt;&gt;❌ Отменено"))</f>
        <v/>
      </c>
      <c r="I24" s="71">
        <f>IF($A24="","",SUMIFS(exp_fact,exp_cat,$A24,exp_year,2029)+SUMIFS(day_amt,day_cat,$A24,day_year,2029,day_inplan,0))</f>
        <v/>
      </c>
      <c r="J24" s="70">
        <f>IF($A24="","",SUMIFS(exp_plan,exp_cat,$A24,exp_year,2030,exp_status,"&lt;&gt;❌ Отменено"))</f>
        <v/>
      </c>
      <c r="K24" s="71">
        <f>IF($A24="","",SUMIFS(exp_fact,exp_cat,$A24,exp_year,2030)+SUMIFS(day_amt,day_cat,$A24,day_year,2030,day_inplan,0))</f>
        <v/>
      </c>
      <c r="L24" s="94">
        <f>IF($A24="","",SUM(B24,D24,F24,H24,J24))</f>
        <v/>
      </c>
      <c r="M24" s="95">
        <f>IF($A24="","",SUM(C24,E24,G24,I24,K24))</f>
        <v/>
      </c>
    </row>
    <row r="25">
      <c r="A25" s="61">
        <f>IF('📚 Справочник'!D15="","",'📚 Справочник'!D15)</f>
        <v/>
      </c>
      <c r="B25" s="70">
        <f>IF($A25="","",SUMIFS(exp_plan,exp_cat,$A25,exp_year,2026,exp_status,"&lt;&gt;❌ Отменено"))</f>
        <v/>
      </c>
      <c r="C25" s="71">
        <f>IF($A25="","",SUMIFS(exp_fact,exp_cat,$A25,exp_year,2026)+SUMIFS(day_amt,day_cat,$A25,day_year,2026,day_inplan,0))</f>
        <v/>
      </c>
      <c r="D25" s="70">
        <f>IF($A25="","",SUMIFS(exp_plan,exp_cat,$A25,exp_year,2027,exp_status,"&lt;&gt;❌ Отменено"))</f>
        <v/>
      </c>
      <c r="E25" s="71">
        <f>IF($A25="","",SUMIFS(exp_fact,exp_cat,$A25,exp_year,2027)+SUMIFS(day_amt,day_cat,$A25,day_year,2027,day_inplan,0))</f>
        <v/>
      </c>
      <c r="F25" s="70">
        <f>IF($A25="","",SUMIFS(exp_plan,exp_cat,$A25,exp_year,2028,exp_status,"&lt;&gt;❌ Отменено"))</f>
        <v/>
      </c>
      <c r="G25" s="71">
        <f>IF($A25="","",SUMIFS(exp_fact,exp_cat,$A25,exp_year,2028)+SUMIFS(day_amt,day_cat,$A25,day_year,2028,day_inplan,0))</f>
        <v/>
      </c>
      <c r="H25" s="70">
        <f>IF($A25="","",SUMIFS(exp_plan,exp_cat,$A25,exp_year,2029,exp_status,"&lt;&gt;❌ Отменено"))</f>
        <v/>
      </c>
      <c r="I25" s="71">
        <f>IF($A25="","",SUMIFS(exp_fact,exp_cat,$A25,exp_year,2029)+SUMIFS(day_amt,day_cat,$A25,day_year,2029,day_inplan,0))</f>
        <v/>
      </c>
      <c r="J25" s="70">
        <f>IF($A25="","",SUMIFS(exp_plan,exp_cat,$A25,exp_year,2030,exp_status,"&lt;&gt;❌ Отменено"))</f>
        <v/>
      </c>
      <c r="K25" s="71">
        <f>IF($A25="","",SUMIFS(exp_fact,exp_cat,$A25,exp_year,2030)+SUMIFS(day_amt,day_cat,$A25,day_year,2030,day_inplan,0))</f>
        <v/>
      </c>
      <c r="L25" s="94">
        <f>IF($A25="","",SUM(B25,D25,F25,H25,J25))</f>
        <v/>
      </c>
      <c r="M25" s="95">
        <f>IF($A25="","",SUM(C25,E25,G25,I25,K25))</f>
        <v/>
      </c>
    </row>
    <row r="26">
      <c r="A26" s="61">
        <f>IF('📚 Справочник'!D16="","",'📚 Справочник'!D16)</f>
        <v/>
      </c>
      <c r="B26" s="70">
        <f>IF($A26="","",SUMIFS(exp_plan,exp_cat,$A26,exp_year,2026,exp_status,"&lt;&gt;❌ Отменено"))</f>
        <v/>
      </c>
      <c r="C26" s="71">
        <f>IF($A26="","",SUMIFS(exp_fact,exp_cat,$A26,exp_year,2026)+SUMIFS(day_amt,day_cat,$A26,day_year,2026,day_inplan,0))</f>
        <v/>
      </c>
      <c r="D26" s="70">
        <f>IF($A26="","",SUMIFS(exp_plan,exp_cat,$A26,exp_year,2027,exp_status,"&lt;&gt;❌ Отменено"))</f>
        <v/>
      </c>
      <c r="E26" s="71">
        <f>IF($A26="","",SUMIFS(exp_fact,exp_cat,$A26,exp_year,2027)+SUMIFS(day_amt,day_cat,$A26,day_year,2027,day_inplan,0))</f>
        <v/>
      </c>
      <c r="F26" s="70">
        <f>IF($A26="","",SUMIFS(exp_plan,exp_cat,$A26,exp_year,2028,exp_status,"&lt;&gt;❌ Отменено"))</f>
        <v/>
      </c>
      <c r="G26" s="71">
        <f>IF($A26="","",SUMIFS(exp_fact,exp_cat,$A26,exp_year,2028)+SUMIFS(day_amt,day_cat,$A26,day_year,2028,day_inplan,0))</f>
        <v/>
      </c>
      <c r="H26" s="70">
        <f>IF($A26="","",SUMIFS(exp_plan,exp_cat,$A26,exp_year,2029,exp_status,"&lt;&gt;❌ Отменено"))</f>
        <v/>
      </c>
      <c r="I26" s="71">
        <f>IF($A26="","",SUMIFS(exp_fact,exp_cat,$A26,exp_year,2029)+SUMIFS(day_amt,day_cat,$A26,day_year,2029,day_inplan,0))</f>
        <v/>
      </c>
      <c r="J26" s="70">
        <f>IF($A26="","",SUMIFS(exp_plan,exp_cat,$A26,exp_year,2030,exp_status,"&lt;&gt;❌ Отменено"))</f>
        <v/>
      </c>
      <c r="K26" s="71">
        <f>IF($A26="","",SUMIFS(exp_fact,exp_cat,$A26,exp_year,2030)+SUMIFS(day_amt,day_cat,$A26,day_year,2030,day_inplan,0))</f>
        <v/>
      </c>
      <c r="L26" s="94">
        <f>IF($A26="","",SUM(B26,D26,F26,H26,J26))</f>
        <v/>
      </c>
      <c r="M26" s="95">
        <f>IF($A26="","",SUM(C26,E26,G26,I26,K26))</f>
        <v/>
      </c>
    </row>
    <row r="27">
      <c r="A27" s="61">
        <f>IF('📚 Справочник'!D17="","",'📚 Справочник'!D17)</f>
        <v/>
      </c>
      <c r="B27" s="70">
        <f>IF($A27="","",SUMIFS(exp_plan,exp_cat,$A27,exp_year,2026,exp_status,"&lt;&gt;❌ Отменено"))</f>
        <v/>
      </c>
      <c r="C27" s="71">
        <f>IF($A27="","",SUMIFS(exp_fact,exp_cat,$A27,exp_year,2026)+SUMIFS(day_amt,day_cat,$A27,day_year,2026,day_inplan,0))</f>
        <v/>
      </c>
      <c r="D27" s="70">
        <f>IF($A27="","",SUMIFS(exp_plan,exp_cat,$A27,exp_year,2027,exp_status,"&lt;&gt;❌ Отменено"))</f>
        <v/>
      </c>
      <c r="E27" s="71">
        <f>IF($A27="","",SUMIFS(exp_fact,exp_cat,$A27,exp_year,2027)+SUMIFS(day_amt,day_cat,$A27,day_year,2027,day_inplan,0))</f>
        <v/>
      </c>
      <c r="F27" s="70">
        <f>IF($A27="","",SUMIFS(exp_plan,exp_cat,$A27,exp_year,2028,exp_status,"&lt;&gt;❌ Отменено"))</f>
        <v/>
      </c>
      <c r="G27" s="71">
        <f>IF($A27="","",SUMIFS(exp_fact,exp_cat,$A27,exp_year,2028)+SUMIFS(day_amt,day_cat,$A27,day_year,2028,day_inplan,0))</f>
        <v/>
      </c>
      <c r="H27" s="70">
        <f>IF($A27="","",SUMIFS(exp_plan,exp_cat,$A27,exp_year,2029,exp_status,"&lt;&gt;❌ Отменено"))</f>
        <v/>
      </c>
      <c r="I27" s="71">
        <f>IF($A27="","",SUMIFS(exp_fact,exp_cat,$A27,exp_year,2029)+SUMIFS(day_amt,day_cat,$A27,day_year,2029,day_inplan,0))</f>
        <v/>
      </c>
      <c r="J27" s="70">
        <f>IF($A27="","",SUMIFS(exp_plan,exp_cat,$A27,exp_year,2030,exp_status,"&lt;&gt;❌ Отменено"))</f>
        <v/>
      </c>
      <c r="K27" s="71">
        <f>IF($A27="","",SUMIFS(exp_fact,exp_cat,$A27,exp_year,2030)+SUMIFS(day_amt,day_cat,$A27,day_year,2030,day_inplan,0))</f>
        <v/>
      </c>
      <c r="L27" s="94">
        <f>IF($A27="","",SUM(B27,D27,F27,H27,J27))</f>
        <v/>
      </c>
      <c r="M27" s="95">
        <f>IF($A27="","",SUM(C27,E27,G27,I27,K27))</f>
        <v/>
      </c>
    </row>
    <row r="28">
      <c r="A28" s="61">
        <f>IF('📚 Справочник'!D18="","",'📚 Справочник'!D18)</f>
        <v/>
      </c>
      <c r="B28" s="70">
        <f>IF($A28="","",SUMIFS(exp_plan,exp_cat,$A28,exp_year,2026,exp_status,"&lt;&gt;❌ Отменено"))</f>
        <v/>
      </c>
      <c r="C28" s="71">
        <f>IF($A28="","",SUMIFS(exp_fact,exp_cat,$A28,exp_year,2026)+SUMIFS(day_amt,day_cat,$A28,day_year,2026,day_inplan,0))</f>
        <v/>
      </c>
      <c r="D28" s="70">
        <f>IF($A28="","",SUMIFS(exp_plan,exp_cat,$A28,exp_year,2027,exp_status,"&lt;&gt;❌ Отменено"))</f>
        <v/>
      </c>
      <c r="E28" s="71">
        <f>IF($A28="","",SUMIFS(exp_fact,exp_cat,$A28,exp_year,2027)+SUMIFS(day_amt,day_cat,$A28,day_year,2027,day_inplan,0))</f>
        <v/>
      </c>
      <c r="F28" s="70">
        <f>IF($A28="","",SUMIFS(exp_plan,exp_cat,$A28,exp_year,2028,exp_status,"&lt;&gt;❌ Отменено"))</f>
        <v/>
      </c>
      <c r="G28" s="71">
        <f>IF($A28="","",SUMIFS(exp_fact,exp_cat,$A28,exp_year,2028)+SUMIFS(day_amt,day_cat,$A28,day_year,2028,day_inplan,0))</f>
        <v/>
      </c>
      <c r="H28" s="70">
        <f>IF($A28="","",SUMIFS(exp_plan,exp_cat,$A28,exp_year,2029,exp_status,"&lt;&gt;❌ Отменено"))</f>
        <v/>
      </c>
      <c r="I28" s="71">
        <f>IF($A28="","",SUMIFS(exp_fact,exp_cat,$A28,exp_year,2029)+SUMIFS(day_amt,day_cat,$A28,day_year,2029,day_inplan,0))</f>
        <v/>
      </c>
      <c r="J28" s="70">
        <f>IF($A28="","",SUMIFS(exp_plan,exp_cat,$A28,exp_year,2030,exp_status,"&lt;&gt;❌ Отменено"))</f>
        <v/>
      </c>
      <c r="K28" s="71">
        <f>IF($A28="","",SUMIFS(exp_fact,exp_cat,$A28,exp_year,2030)+SUMIFS(day_amt,day_cat,$A28,day_year,2030,day_inplan,0))</f>
        <v/>
      </c>
      <c r="L28" s="94">
        <f>IF($A28="","",SUM(B28,D28,F28,H28,J28))</f>
        <v/>
      </c>
      <c r="M28" s="95">
        <f>IF($A28="","",SUM(C28,E28,G28,I28,K28))</f>
        <v/>
      </c>
    </row>
    <row r="29">
      <c r="A29" s="61">
        <f>IF('📚 Справочник'!D19="","",'📚 Справочник'!D19)</f>
        <v/>
      </c>
      <c r="B29" s="70">
        <f>IF($A29="","",SUMIFS(exp_plan,exp_cat,$A29,exp_year,2026,exp_status,"&lt;&gt;❌ Отменено"))</f>
        <v/>
      </c>
      <c r="C29" s="71">
        <f>IF($A29="","",SUMIFS(exp_fact,exp_cat,$A29,exp_year,2026)+SUMIFS(day_amt,day_cat,$A29,day_year,2026,day_inplan,0))</f>
        <v/>
      </c>
      <c r="D29" s="70">
        <f>IF($A29="","",SUMIFS(exp_plan,exp_cat,$A29,exp_year,2027,exp_status,"&lt;&gt;❌ Отменено"))</f>
        <v/>
      </c>
      <c r="E29" s="71">
        <f>IF($A29="","",SUMIFS(exp_fact,exp_cat,$A29,exp_year,2027)+SUMIFS(day_amt,day_cat,$A29,day_year,2027,day_inplan,0))</f>
        <v/>
      </c>
      <c r="F29" s="70">
        <f>IF($A29="","",SUMIFS(exp_plan,exp_cat,$A29,exp_year,2028,exp_status,"&lt;&gt;❌ Отменено"))</f>
        <v/>
      </c>
      <c r="G29" s="71">
        <f>IF($A29="","",SUMIFS(exp_fact,exp_cat,$A29,exp_year,2028)+SUMIFS(day_amt,day_cat,$A29,day_year,2028,day_inplan,0))</f>
        <v/>
      </c>
      <c r="H29" s="70">
        <f>IF($A29="","",SUMIFS(exp_plan,exp_cat,$A29,exp_year,2029,exp_status,"&lt;&gt;❌ Отменено"))</f>
        <v/>
      </c>
      <c r="I29" s="71">
        <f>IF($A29="","",SUMIFS(exp_fact,exp_cat,$A29,exp_year,2029)+SUMIFS(day_amt,day_cat,$A29,day_year,2029,day_inplan,0))</f>
        <v/>
      </c>
      <c r="J29" s="70">
        <f>IF($A29="","",SUMIFS(exp_plan,exp_cat,$A29,exp_year,2030,exp_status,"&lt;&gt;❌ Отменено"))</f>
        <v/>
      </c>
      <c r="K29" s="71">
        <f>IF($A29="","",SUMIFS(exp_fact,exp_cat,$A29,exp_year,2030)+SUMIFS(day_amt,day_cat,$A29,day_year,2030,day_inplan,0))</f>
        <v/>
      </c>
      <c r="L29" s="94">
        <f>IF($A29="","",SUM(B29,D29,F29,H29,J29))</f>
        <v/>
      </c>
      <c r="M29" s="95">
        <f>IF($A29="","",SUM(C29,E29,G29,I29,K29))</f>
        <v/>
      </c>
    </row>
    <row r="30">
      <c r="A30" s="88" t="inlineStr">
        <is>
          <t>Σ ИТОГО</t>
        </is>
      </c>
      <c r="B30" s="88">
        <f>SUM(B15:B29)</f>
        <v/>
      </c>
      <c r="C30" s="88">
        <f>SUM(C15:C29)</f>
        <v/>
      </c>
      <c r="D30" s="88">
        <f>SUM(D15:D29)</f>
        <v/>
      </c>
      <c r="E30" s="88">
        <f>SUM(E15:E29)</f>
        <v/>
      </c>
      <c r="F30" s="88">
        <f>SUM(F15:F29)</f>
        <v/>
      </c>
      <c r="G30" s="88">
        <f>SUM(G15:G29)</f>
        <v/>
      </c>
      <c r="H30" s="88">
        <f>SUM(H15:H29)</f>
        <v/>
      </c>
      <c r="I30" s="88">
        <f>SUM(I15:I29)</f>
        <v/>
      </c>
      <c r="J30" s="88">
        <f>SUM(J15:J29)</f>
        <v/>
      </c>
      <c r="K30" s="88">
        <f>SUM(K15:K29)</f>
        <v/>
      </c>
      <c r="L30" s="88">
        <f>SUM(L15:L29)</f>
        <v/>
      </c>
      <c r="M30" s="88">
        <f>SUM(M15:M29)</f>
        <v/>
      </c>
    </row>
  </sheetData>
  <mergeCells count="9">
    <mergeCell ref="B13:C13"/>
    <mergeCell ref="A1:M1"/>
    <mergeCell ref="A13:A14"/>
    <mergeCell ref="D13:E13"/>
    <mergeCell ref="F13:G13"/>
    <mergeCell ref="J13:K13"/>
    <mergeCell ref="H13:I13"/>
    <mergeCell ref="A2:M2"/>
    <mergeCell ref="L13:M13"/>
  </mergeCells>
  <conditionalFormatting sqref="A5:K9">
    <cfRule type="expression" priority="1" dxfId="13">
      <formula>$A5=YEAR(TODAY())</formula>
    </cfRule>
  </conditionalFormatting>
  <conditionalFormatting sqref="H5:H10">
    <cfRule type="cellIs" priority="2" operator="lessThan" dxfId="0">
      <formula>0</formula>
    </cfRule>
  </conditionalFormatting>
  <conditionalFormatting sqref="I5:I10">
    <cfRule type="cellIs" priority="3" operator="lessThan" dxfId="0">
      <formula>0</formula>
    </cfRule>
  </conditionalFormatting>
  <conditionalFormatting sqref="D5:D10">
    <cfRule type="dataBar" priority="4">
      <dataBar>
        <cfvo type="num" val="0"/>
        <cfvo type="num" val="1"/>
        <color rgb="008338EC"/>
      </dataBar>
    </cfRule>
  </conditionalFormatting>
  <conditionalFormatting sqref="J5:J10">
    <cfRule type="dataBar" priority="5">
      <dataBar>
        <cfvo type="num" val="0"/>
        <cfvo type="num" val="1"/>
        <color rgb="008338EC"/>
      </dataBar>
    </cfRule>
  </conditionalFormatting>
  <conditionalFormatting sqref="K5:K10">
    <cfRule type="dataBar" priority="6">
      <dataBar>
        <cfvo type="num" val="0"/>
        <cfvo type="num" val="1"/>
        <color rgb="008338EC"/>
      </dataBar>
    </cfRule>
  </conditionalFormatting>
  <conditionalFormatting sqref="G5:G10">
    <cfRule type="cellIs" priority="7" operator="greaterThan" dxfId="10">
      <formula>1</formula>
    </cfRule>
  </conditionalFormatting>
  <conditionalFormatting sqref="M15:M29">
    <cfRule type="dataBar" priority="8">
      <dataBar>
        <cfvo type="min"/>
        <cfvo type="max"/>
        <color rgb="00FF5D8F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2E9E5B"/>
    <outlinePr summaryBelow="1" summaryRight="1"/>
    <pageSetUpPr/>
  </sheetPr>
  <dimension ref="A1:I2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18" customWidth="1" min="3" max="3"/>
    <col width="14" customWidth="1" min="4" max="4"/>
    <col width="9" customWidth="1" min="5" max="5"/>
    <col width="12" customWidth="1" min="6" max="6"/>
    <col width="14" customWidth="1" min="7" max="7"/>
    <col width="14" customWidth="1" min="8" max="8"/>
    <col width="18" customWidth="1" min="9" max="9"/>
  </cols>
  <sheetData>
    <row r="1" ht="36" customHeight="1">
      <c r="A1" s="96" t="inlineStr">
        <is>
          <t>✨ Список хотелок, желаний и мечт</t>
        </is>
      </c>
      <c r="B1" s="97" t="n"/>
      <c r="C1" s="97" t="n"/>
      <c r="D1" s="97" t="n"/>
      <c r="E1" s="97" t="n"/>
      <c r="F1" s="97" t="n"/>
      <c r="G1" s="97" t="n"/>
      <c r="H1" s="97" t="n"/>
      <c r="I1" s="97" t="n"/>
    </row>
    <row r="2" ht="30" customHeight="1">
      <c r="A2" s="3" t="inlineStr">
        <is>
          <t>Собирается АВТОМАТИЧЕСКИ из листа «💸 Расходы» по категориям с отметкой «Да» в справочнике. Чтобы вычеркнуть хотелку — поставьте ей статус «✅ Выполнено» в листе «Расходы».</t>
        </is>
      </c>
    </row>
    <row r="3">
      <c r="B3" s="17" t="inlineStr">
        <is>
          <t>Всего хотелок</t>
        </is>
      </c>
      <c r="C3" s="17" t="inlineStr">
        <is>
          <t>✅ Исполнено</t>
        </is>
      </c>
      <c r="D3" s="17" t="inlineStr">
        <is>
          <t>🎯 Прогресс</t>
        </is>
      </c>
      <c r="E3" s="17" t="inlineStr">
        <is>
          <t>💰 Ещё нужно, ₸</t>
        </is>
      </c>
    </row>
    <row r="4" ht="26" customHeight="1">
      <c r="B4" s="20">
        <f>COUNT(exp_wishno)</f>
        <v/>
      </c>
      <c r="C4" s="20">
        <f>COUNTIFS(exp_wishno,"&gt;0",exp_status,"✅ Выполнено")</f>
        <v/>
      </c>
      <c r="D4" s="21">
        <f>IF(B4=0,"",C4/B4)</f>
        <v/>
      </c>
      <c r="E4" s="98">
        <f>SUMPRODUCT((exp_wishno&lt;&gt;"")*(exp_status&lt;&gt;"✅ Выполнено")*(exp_status&lt;&gt;"❌ Отменено"),exp_plan)</f>
        <v/>
      </c>
    </row>
    <row r="6" ht="34" customHeight="1">
      <c r="A6" s="99" t="inlineStr">
        <is>
          <t>№</t>
        </is>
      </c>
      <c r="B6" s="99" t="inlineStr">
        <is>
          <t>✨ Хотелка</t>
        </is>
      </c>
      <c r="C6" s="99" t="inlineStr">
        <is>
          <t>🏷 Категория</t>
        </is>
      </c>
      <c r="D6" s="99" t="inlineStr">
        <is>
          <t>🎯 Приоритет</t>
        </is>
      </c>
      <c r="E6" s="99" t="inlineStr">
        <is>
          <t>📆 Год</t>
        </is>
      </c>
      <c r="F6" s="99" t="inlineStr">
        <is>
          <t>🗓 Месяц</t>
        </is>
      </c>
      <c r="G6" s="40" t="inlineStr">
        <is>
          <t>📝 ПЛАН, ₸</t>
        </is>
      </c>
      <c r="H6" s="41" t="inlineStr">
        <is>
          <t>✅ ФАКТ, ₸</t>
        </is>
      </c>
      <c r="I6" s="99" t="inlineStr">
        <is>
          <t>🚦 Статус</t>
        </is>
      </c>
    </row>
    <row r="7">
      <c r="A7" s="100">
        <f>IF(ISNA(MATCH(1,exp_wishno,0)),"",1)</f>
        <v/>
      </c>
      <c r="B7" s="49">
        <f>IF($A7="","",IF(INDEX(exp_desc,MATCH(1,exp_wishno,0))="","",INDEX(exp_desc,MATCH(1,exp_wishno,0))))</f>
        <v/>
      </c>
      <c r="C7" s="49">
        <f>IF($A7="","",IF(INDEX(exp_cat,MATCH(1,exp_wishno,0))="","",INDEX(exp_cat,MATCH(1,exp_wishno,0))))</f>
        <v/>
      </c>
      <c r="D7" s="100">
        <f>IF($A7="","",IF(INDEX(exp_prio,MATCH(1,exp_wishno,0))="","",INDEX(exp_prio,MATCH(1,exp_wishno,0))))</f>
        <v/>
      </c>
      <c r="E7" s="100">
        <f>IF($A7="","",IF(INDEX(exp_year,MATCH(1,exp_wishno,0))="","",INDEX(exp_year,MATCH(1,exp_wishno,0))))</f>
        <v/>
      </c>
      <c r="F7" s="100">
        <f>IF($A7="","",IF(INDEX(exp_month,MATCH(1,exp_wishno,0))="","",INDEX(exp_month,MATCH(1,exp_wishno,0))))</f>
        <v/>
      </c>
      <c r="G7" s="101">
        <f>IF($A7="","",IF(INDEX(exp_plan,MATCH(1,exp_wishno,0))="","",INDEX(exp_plan,MATCH(1,exp_wishno,0))))</f>
        <v/>
      </c>
      <c r="H7" s="102">
        <f>IF($A7="","",IF(INDEX(exp_fact,MATCH(1,exp_wishno,0))="","",INDEX(exp_fact,MATCH(1,exp_wishno,0))))</f>
        <v/>
      </c>
      <c r="I7" s="49">
        <f>IF($A7="","",IF(INDEX(exp_status,MATCH(1,exp_wishno,0))="","",INDEX(exp_status,MATCH(1,exp_wishno,0))))</f>
        <v/>
      </c>
    </row>
    <row r="8">
      <c r="A8" s="100">
        <f>IF(ISNA(MATCH(2,exp_wishno,0)),"",2)</f>
        <v/>
      </c>
      <c r="B8" s="49">
        <f>IF($A8="","",IF(INDEX(exp_desc,MATCH(2,exp_wishno,0))="","",INDEX(exp_desc,MATCH(2,exp_wishno,0))))</f>
        <v/>
      </c>
      <c r="C8" s="49">
        <f>IF($A8="","",IF(INDEX(exp_cat,MATCH(2,exp_wishno,0))="","",INDEX(exp_cat,MATCH(2,exp_wishno,0))))</f>
        <v/>
      </c>
      <c r="D8" s="100">
        <f>IF($A8="","",IF(INDEX(exp_prio,MATCH(2,exp_wishno,0))="","",INDEX(exp_prio,MATCH(2,exp_wishno,0))))</f>
        <v/>
      </c>
      <c r="E8" s="100">
        <f>IF($A8="","",IF(INDEX(exp_year,MATCH(2,exp_wishno,0))="","",INDEX(exp_year,MATCH(2,exp_wishno,0))))</f>
        <v/>
      </c>
      <c r="F8" s="100">
        <f>IF($A8="","",IF(INDEX(exp_month,MATCH(2,exp_wishno,0))="","",INDEX(exp_month,MATCH(2,exp_wishno,0))))</f>
        <v/>
      </c>
      <c r="G8" s="101">
        <f>IF($A8="","",IF(INDEX(exp_plan,MATCH(2,exp_wishno,0))="","",INDEX(exp_plan,MATCH(2,exp_wishno,0))))</f>
        <v/>
      </c>
      <c r="H8" s="102">
        <f>IF($A8="","",IF(INDEX(exp_fact,MATCH(2,exp_wishno,0))="","",INDEX(exp_fact,MATCH(2,exp_wishno,0))))</f>
        <v/>
      </c>
      <c r="I8" s="49">
        <f>IF($A8="","",IF(INDEX(exp_status,MATCH(2,exp_wishno,0))="","",INDEX(exp_status,MATCH(2,exp_wishno,0))))</f>
        <v/>
      </c>
    </row>
    <row r="9">
      <c r="A9" s="100">
        <f>IF(ISNA(MATCH(3,exp_wishno,0)),"",3)</f>
        <v/>
      </c>
      <c r="B9" s="49">
        <f>IF($A9="","",IF(INDEX(exp_desc,MATCH(3,exp_wishno,0))="","",INDEX(exp_desc,MATCH(3,exp_wishno,0))))</f>
        <v/>
      </c>
      <c r="C9" s="49">
        <f>IF($A9="","",IF(INDEX(exp_cat,MATCH(3,exp_wishno,0))="","",INDEX(exp_cat,MATCH(3,exp_wishno,0))))</f>
        <v/>
      </c>
      <c r="D9" s="100">
        <f>IF($A9="","",IF(INDEX(exp_prio,MATCH(3,exp_wishno,0))="","",INDEX(exp_prio,MATCH(3,exp_wishno,0))))</f>
        <v/>
      </c>
      <c r="E9" s="100">
        <f>IF($A9="","",IF(INDEX(exp_year,MATCH(3,exp_wishno,0))="","",INDEX(exp_year,MATCH(3,exp_wishno,0))))</f>
        <v/>
      </c>
      <c r="F9" s="100">
        <f>IF($A9="","",IF(INDEX(exp_month,MATCH(3,exp_wishno,0))="","",INDEX(exp_month,MATCH(3,exp_wishno,0))))</f>
        <v/>
      </c>
      <c r="G9" s="101">
        <f>IF($A9="","",IF(INDEX(exp_plan,MATCH(3,exp_wishno,0))="","",INDEX(exp_plan,MATCH(3,exp_wishno,0))))</f>
        <v/>
      </c>
      <c r="H9" s="102">
        <f>IF($A9="","",IF(INDEX(exp_fact,MATCH(3,exp_wishno,0))="","",INDEX(exp_fact,MATCH(3,exp_wishno,0))))</f>
        <v/>
      </c>
      <c r="I9" s="49">
        <f>IF($A9="","",IF(INDEX(exp_status,MATCH(3,exp_wishno,0))="","",INDEX(exp_status,MATCH(3,exp_wishno,0))))</f>
        <v/>
      </c>
    </row>
    <row r="10">
      <c r="A10" s="100">
        <f>IF(ISNA(MATCH(4,exp_wishno,0)),"",4)</f>
        <v/>
      </c>
      <c r="B10" s="49">
        <f>IF($A10="","",IF(INDEX(exp_desc,MATCH(4,exp_wishno,0))="","",INDEX(exp_desc,MATCH(4,exp_wishno,0))))</f>
        <v/>
      </c>
      <c r="C10" s="49">
        <f>IF($A10="","",IF(INDEX(exp_cat,MATCH(4,exp_wishno,0))="","",INDEX(exp_cat,MATCH(4,exp_wishno,0))))</f>
        <v/>
      </c>
      <c r="D10" s="100">
        <f>IF($A10="","",IF(INDEX(exp_prio,MATCH(4,exp_wishno,0))="","",INDEX(exp_prio,MATCH(4,exp_wishno,0))))</f>
        <v/>
      </c>
      <c r="E10" s="100">
        <f>IF($A10="","",IF(INDEX(exp_year,MATCH(4,exp_wishno,0))="","",INDEX(exp_year,MATCH(4,exp_wishno,0))))</f>
        <v/>
      </c>
      <c r="F10" s="100">
        <f>IF($A10="","",IF(INDEX(exp_month,MATCH(4,exp_wishno,0))="","",INDEX(exp_month,MATCH(4,exp_wishno,0))))</f>
        <v/>
      </c>
      <c r="G10" s="101">
        <f>IF($A10="","",IF(INDEX(exp_plan,MATCH(4,exp_wishno,0))="","",INDEX(exp_plan,MATCH(4,exp_wishno,0))))</f>
        <v/>
      </c>
      <c r="H10" s="102">
        <f>IF($A10="","",IF(INDEX(exp_fact,MATCH(4,exp_wishno,0))="","",INDEX(exp_fact,MATCH(4,exp_wishno,0))))</f>
        <v/>
      </c>
      <c r="I10" s="49">
        <f>IF($A10="","",IF(INDEX(exp_status,MATCH(4,exp_wishno,0))="","",INDEX(exp_status,MATCH(4,exp_wishno,0))))</f>
        <v/>
      </c>
    </row>
    <row r="11">
      <c r="A11" s="100">
        <f>IF(ISNA(MATCH(5,exp_wishno,0)),"",5)</f>
        <v/>
      </c>
      <c r="B11" s="49">
        <f>IF($A11="","",IF(INDEX(exp_desc,MATCH(5,exp_wishno,0))="","",INDEX(exp_desc,MATCH(5,exp_wishno,0))))</f>
        <v/>
      </c>
      <c r="C11" s="49">
        <f>IF($A11="","",IF(INDEX(exp_cat,MATCH(5,exp_wishno,0))="","",INDEX(exp_cat,MATCH(5,exp_wishno,0))))</f>
        <v/>
      </c>
      <c r="D11" s="100">
        <f>IF($A11="","",IF(INDEX(exp_prio,MATCH(5,exp_wishno,0))="","",INDEX(exp_prio,MATCH(5,exp_wishno,0))))</f>
        <v/>
      </c>
      <c r="E11" s="100">
        <f>IF($A11="","",IF(INDEX(exp_year,MATCH(5,exp_wishno,0))="","",INDEX(exp_year,MATCH(5,exp_wishno,0))))</f>
        <v/>
      </c>
      <c r="F11" s="100">
        <f>IF($A11="","",IF(INDEX(exp_month,MATCH(5,exp_wishno,0))="","",INDEX(exp_month,MATCH(5,exp_wishno,0))))</f>
        <v/>
      </c>
      <c r="G11" s="101">
        <f>IF($A11="","",IF(INDEX(exp_plan,MATCH(5,exp_wishno,0))="","",INDEX(exp_plan,MATCH(5,exp_wishno,0))))</f>
        <v/>
      </c>
      <c r="H11" s="102">
        <f>IF($A11="","",IF(INDEX(exp_fact,MATCH(5,exp_wishno,0))="","",INDEX(exp_fact,MATCH(5,exp_wishno,0))))</f>
        <v/>
      </c>
      <c r="I11" s="49">
        <f>IF($A11="","",IF(INDEX(exp_status,MATCH(5,exp_wishno,0))="","",INDEX(exp_status,MATCH(5,exp_wishno,0))))</f>
        <v/>
      </c>
    </row>
    <row r="12">
      <c r="A12" s="100">
        <f>IF(ISNA(MATCH(6,exp_wishno,0)),"",6)</f>
        <v/>
      </c>
      <c r="B12" s="49">
        <f>IF($A12="","",IF(INDEX(exp_desc,MATCH(6,exp_wishno,0))="","",INDEX(exp_desc,MATCH(6,exp_wishno,0))))</f>
        <v/>
      </c>
      <c r="C12" s="49">
        <f>IF($A12="","",IF(INDEX(exp_cat,MATCH(6,exp_wishno,0))="","",INDEX(exp_cat,MATCH(6,exp_wishno,0))))</f>
        <v/>
      </c>
      <c r="D12" s="100">
        <f>IF($A12="","",IF(INDEX(exp_prio,MATCH(6,exp_wishno,0))="","",INDEX(exp_prio,MATCH(6,exp_wishno,0))))</f>
        <v/>
      </c>
      <c r="E12" s="100">
        <f>IF($A12="","",IF(INDEX(exp_year,MATCH(6,exp_wishno,0))="","",INDEX(exp_year,MATCH(6,exp_wishno,0))))</f>
        <v/>
      </c>
      <c r="F12" s="100">
        <f>IF($A12="","",IF(INDEX(exp_month,MATCH(6,exp_wishno,0))="","",INDEX(exp_month,MATCH(6,exp_wishno,0))))</f>
        <v/>
      </c>
      <c r="G12" s="101">
        <f>IF($A12="","",IF(INDEX(exp_plan,MATCH(6,exp_wishno,0))="","",INDEX(exp_plan,MATCH(6,exp_wishno,0))))</f>
        <v/>
      </c>
      <c r="H12" s="102">
        <f>IF($A12="","",IF(INDEX(exp_fact,MATCH(6,exp_wishno,0))="","",INDEX(exp_fact,MATCH(6,exp_wishno,0))))</f>
        <v/>
      </c>
      <c r="I12" s="49">
        <f>IF($A12="","",IF(INDEX(exp_status,MATCH(6,exp_wishno,0))="","",INDEX(exp_status,MATCH(6,exp_wishno,0))))</f>
        <v/>
      </c>
    </row>
    <row r="13">
      <c r="A13" s="100">
        <f>IF(ISNA(MATCH(7,exp_wishno,0)),"",7)</f>
        <v/>
      </c>
      <c r="B13" s="49">
        <f>IF($A13="","",IF(INDEX(exp_desc,MATCH(7,exp_wishno,0))="","",INDEX(exp_desc,MATCH(7,exp_wishno,0))))</f>
        <v/>
      </c>
      <c r="C13" s="49">
        <f>IF($A13="","",IF(INDEX(exp_cat,MATCH(7,exp_wishno,0))="","",INDEX(exp_cat,MATCH(7,exp_wishno,0))))</f>
        <v/>
      </c>
      <c r="D13" s="100">
        <f>IF($A13="","",IF(INDEX(exp_prio,MATCH(7,exp_wishno,0))="","",INDEX(exp_prio,MATCH(7,exp_wishno,0))))</f>
        <v/>
      </c>
      <c r="E13" s="100">
        <f>IF($A13="","",IF(INDEX(exp_year,MATCH(7,exp_wishno,0))="","",INDEX(exp_year,MATCH(7,exp_wishno,0))))</f>
        <v/>
      </c>
      <c r="F13" s="100">
        <f>IF($A13="","",IF(INDEX(exp_month,MATCH(7,exp_wishno,0))="","",INDEX(exp_month,MATCH(7,exp_wishno,0))))</f>
        <v/>
      </c>
      <c r="G13" s="101">
        <f>IF($A13="","",IF(INDEX(exp_plan,MATCH(7,exp_wishno,0))="","",INDEX(exp_plan,MATCH(7,exp_wishno,0))))</f>
        <v/>
      </c>
      <c r="H13" s="102">
        <f>IF($A13="","",IF(INDEX(exp_fact,MATCH(7,exp_wishno,0))="","",INDEX(exp_fact,MATCH(7,exp_wishno,0))))</f>
        <v/>
      </c>
      <c r="I13" s="49">
        <f>IF($A13="","",IF(INDEX(exp_status,MATCH(7,exp_wishno,0))="","",INDEX(exp_status,MATCH(7,exp_wishno,0))))</f>
        <v/>
      </c>
    </row>
    <row r="14">
      <c r="A14" s="100">
        <f>IF(ISNA(MATCH(8,exp_wishno,0)),"",8)</f>
        <v/>
      </c>
      <c r="B14" s="49">
        <f>IF($A14="","",IF(INDEX(exp_desc,MATCH(8,exp_wishno,0))="","",INDEX(exp_desc,MATCH(8,exp_wishno,0))))</f>
        <v/>
      </c>
      <c r="C14" s="49">
        <f>IF($A14="","",IF(INDEX(exp_cat,MATCH(8,exp_wishno,0))="","",INDEX(exp_cat,MATCH(8,exp_wishno,0))))</f>
        <v/>
      </c>
      <c r="D14" s="100">
        <f>IF($A14="","",IF(INDEX(exp_prio,MATCH(8,exp_wishno,0))="","",INDEX(exp_prio,MATCH(8,exp_wishno,0))))</f>
        <v/>
      </c>
      <c r="E14" s="100">
        <f>IF($A14="","",IF(INDEX(exp_year,MATCH(8,exp_wishno,0))="","",INDEX(exp_year,MATCH(8,exp_wishno,0))))</f>
        <v/>
      </c>
      <c r="F14" s="100">
        <f>IF($A14="","",IF(INDEX(exp_month,MATCH(8,exp_wishno,0))="","",INDEX(exp_month,MATCH(8,exp_wishno,0))))</f>
        <v/>
      </c>
      <c r="G14" s="101">
        <f>IF($A14="","",IF(INDEX(exp_plan,MATCH(8,exp_wishno,0))="","",INDEX(exp_plan,MATCH(8,exp_wishno,0))))</f>
        <v/>
      </c>
      <c r="H14" s="102">
        <f>IF($A14="","",IF(INDEX(exp_fact,MATCH(8,exp_wishno,0))="","",INDEX(exp_fact,MATCH(8,exp_wishno,0))))</f>
        <v/>
      </c>
      <c r="I14" s="49">
        <f>IF($A14="","",IF(INDEX(exp_status,MATCH(8,exp_wishno,0))="","",INDEX(exp_status,MATCH(8,exp_wishno,0))))</f>
        <v/>
      </c>
    </row>
    <row r="15">
      <c r="A15" s="100">
        <f>IF(ISNA(MATCH(9,exp_wishno,0)),"",9)</f>
        <v/>
      </c>
      <c r="B15" s="49">
        <f>IF($A15="","",IF(INDEX(exp_desc,MATCH(9,exp_wishno,0))="","",INDEX(exp_desc,MATCH(9,exp_wishno,0))))</f>
        <v/>
      </c>
      <c r="C15" s="49">
        <f>IF($A15="","",IF(INDEX(exp_cat,MATCH(9,exp_wishno,0))="","",INDEX(exp_cat,MATCH(9,exp_wishno,0))))</f>
        <v/>
      </c>
      <c r="D15" s="100">
        <f>IF($A15="","",IF(INDEX(exp_prio,MATCH(9,exp_wishno,0))="","",INDEX(exp_prio,MATCH(9,exp_wishno,0))))</f>
        <v/>
      </c>
      <c r="E15" s="100">
        <f>IF($A15="","",IF(INDEX(exp_year,MATCH(9,exp_wishno,0))="","",INDEX(exp_year,MATCH(9,exp_wishno,0))))</f>
        <v/>
      </c>
      <c r="F15" s="100">
        <f>IF($A15="","",IF(INDEX(exp_month,MATCH(9,exp_wishno,0))="","",INDEX(exp_month,MATCH(9,exp_wishno,0))))</f>
        <v/>
      </c>
      <c r="G15" s="101">
        <f>IF($A15="","",IF(INDEX(exp_plan,MATCH(9,exp_wishno,0))="","",INDEX(exp_plan,MATCH(9,exp_wishno,0))))</f>
        <v/>
      </c>
      <c r="H15" s="102">
        <f>IF($A15="","",IF(INDEX(exp_fact,MATCH(9,exp_wishno,0))="","",INDEX(exp_fact,MATCH(9,exp_wishno,0))))</f>
        <v/>
      </c>
      <c r="I15" s="49">
        <f>IF($A15="","",IF(INDEX(exp_status,MATCH(9,exp_wishno,0))="","",INDEX(exp_status,MATCH(9,exp_wishno,0))))</f>
        <v/>
      </c>
    </row>
    <row r="16">
      <c r="A16" s="100">
        <f>IF(ISNA(MATCH(10,exp_wishno,0)),"",10)</f>
        <v/>
      </c>
      <c r="B16" s="49">
        <f>IF($A16="","",IF(INDEX(exp_desc,MATCH(10,exp_wishno,0))="","",INDEX(exp_desc,MATCH(10,exp_wishno,0))))</f>
        <v/>
      </c>
      <c r="C16" s="49">
        <f>IF($A16="","",IF(INDEX(exp_cat,MATCH(10,exp_wishno,0))="","",INDEX(exp_cat,MATCH(10,exp_wishno,0))))</f>
        <v/>
      </c>
      <c r="D16" s="100">
        <f>IF($A16="","",IF(INDEX(exp_prio,MATCH(10,exp_wishno,0))="","",INDEX(exp_prio,MATCH(10,exp_wishno,0))))</f>
        <v/>
      </c>
      <c r="E16" s="100">
        <f>IF($A16="","",IF(INDEX(exp_year,MATCH(10,exp_wishno,0))="","",INDEX(exp_year,MATCH(10,exp_wishno,0))))</f>
        <v/>
      </c>
      <c r="F16" s="100">
        <f>IF($A16="","",IF(INDEX(exp_month,MATCH(10,exp_wishno,0))="","",INDEX(exp_month,MATCH(10,exp_wishno,0))))</f>
        <v/>
      </c>
      <c r="G16" s="101">
        <f>IF($A16="","",IF(INDEX(exp_plan,MATCH(10,exp_wishno,0))="","",INDEX(exp_plan,MATCH(10,exp_wishno,0))))</f>
        <v/>
      </c>
      <c r="H16" s="102">
        <f>IF($A16="","",IF(INDEX(exp_fact,MATCH(10,exp_wishno,0))="","",INDEX(exp_fact,MATCH(10,exp_wishno,0))))</f>
        <v/>
      </c>
      <c r="I16" s="49">
        <f>IF($A16="","",IF(INDEX(exp_status,MATCH(10,exp_wishno,0))="","",INDEX(exp_status,MATCH(10,exp_wishno,0))))</f>
        <v/>
      </c>
    </row>
    <row r="17">
      <c r="A17" s="100">
        <f>IF(ISNA(MATCH(11,exp_wishno,0)),"",11)</f>
        <v/>
      </c>
      <c r="B17" s="49">
        <f>IF($A17="","",IF(INDEX(exp_desc,MATCH(11,exp_wishno,0))="","",INDEX(exp_desc,MATCH(11,exp_wishno,0))))</f>
        <v/>
      </c>
      <c r="C17" s="49">
        <f>IF($A17="","",IF(INDEX(exp_cat,MATCH(11,exp_wishno,0))="","",INDEX(exp_cat,MATCH(11,exp_wishno,0))))</f>
        <v/>
      </c>
      <c r="D17" s="100">
        <f>IF($A17="","",IF(INDEX(exp_prio,MATCH(11,exp_wishno,0))="","",INDEX(exp_prio,MATCH(11,exp_wishno,0))))</f>
        <v/>
      </c>
      <c r="E17" s="100">
        <f>IF($A17="","",IF(INDEX(exp_year,MATCH(11,exp_wishno,0))="","",INDEX(exp_year,MATCH(11,exp_wishno,0))))</f>
        <v/>
      </c>
      <c r="F17" s="100">
        <f>IF($A17="","",IF(INDEX(exp_month,MATCH(11,exp_wishno,0))="","",INDEX(exp_month,MATCH(11,exp_wishno,0))))</f>
        <v/>
      </c>
      <c r="G17" s="101">
        <f>IF($A17="","",IF(INDEX(exp_plan,MATCH(11,exp_wishno,0))="","",INDEX(exp_plan,MATCH(11,exp_wishno,0))))</f>
        <v/>
      </c>
      <c r="H17" s="102">
        <f>IF($A17="","",IF(INDEX(exp_fact,MATCH(11,exp_wishno,0))="","",INDEX(exp_fact,MATCH(11,exp_wishno,0))))</f>
        <v/>
      </c>
      <c r="I17" s="49">
        <f>IF($A17="","",IF(INDEX(exp_status,MATCH(11,exp_wishno,0))="","",INDEX(exp_status,MATCH(11,exp_wishno,0))))</f>
        <v/>
      </c>
    </row>
    <row r="18">
      <c r="A18" s="100">
        <f>IF(ISNA(MATCH(12,exp_wishno,0)),"",12)</f>
        <v/>
      </c>
      <c r="B18" s="49">
        <f>IF($A18="","",IF(INDEX(exp_desc,MATCH(12,exp_wishno,0))="","",INDEX(exp_desc,MATCH(12,exp_wishno,0))))</f>
        <v/>
      </c>
      <c r="C18" s="49">
        <f>IF($A18="","",IF(INDEX(exp_cat,MATCH(12,exp_wishno,0))="","",INDEX(exp_cat,MATCH(12,exp_wishno,0))))</f>
        <v/>
      </c>
      <c r="D18" s="100">
        <f>IF($A18="","",IF(INDEX(exp_prio,MATCH(12,exp_wishno,0))="","",INDEX(exp_prio,MATCH(12,exp_wishno,0))))</f>
        <v/>
      </c>
      <c r="E18" s="100">
        <f>IF($A18="","",IF(INDEX(exp_year,MATCH(12,exp_wishno,0))="","",INDEX(exp_year,MATCH(12,exp_wishno,0))))</f>
        <v/>
      </c>
      <c r="F18" s="100">
        <f>IF($A18="","",IF(INDEX(exp_month,MATCH(12,exp_wishno,0))="","",INDEX(exp_month,MATCH(12,exp_wishno,0))))</f>
        <v/>
      </c>
      <c r="G18" s="101">
        <f>IF($A18="","",IF(INDEX(exp_plan,MATCH(12,exp_wishno,0))="","",INDEX(exp_plan,MATCH(12,exp_wishno,0))))</f>
        <v/>
      </c>
      <c r="H18" s="102">
        <f>IF($A18="","",IF(INDEX(exp_fact,MATCH(12,exp_wishno,0))="","",INDEX(exp_fact,MATCH(12,exp_wishno,0))))</f>
        <v/>
      </c>
      <c r="I18" s="49">
        <f>IF($A18="","",IF(INDEX(exp_status,MATCH(12,exp_wishno,0))="","",INDEX(exp_status,MATCH(12,exp_wishno,0))))</f>
        <v/>
      </c>
    </row>
    <row r="19">
      <c r="A19" s="100">
        <f>IF(ISNA(MATCH(13,exp_wishno,0)),"",13)</f>
        <v/>
      </c>
      <c r="B19" s="49">
        <f>IF($A19="","",IF(INDEX(exp_desc,MATCH(13,exp_wishno,0))="","",INDEX(exp_desc,MATCH(13,exp_wishno,0))))</f>
        <v/>
      </c>
      <c r="C19" s="49">
        <f>IF($A19="","",IF(INDEX(exp_cat,MATCH(13,exp_wishno,0))="","",INDEX(exp_cat,MATCH(13,exp_wishno,0))))</f>
        <v/>
      </c>
      <c r="D19" s="100">
        <f>IF($A19="","",IF(INDEX(exp_prio,MATCH(13,exp_wishno,0))="","",INDEX(exp_prio,MATCH(13,exp_wishno,0))))</f>
        <v/>
      </c>
      <c r="E19" s="100">
        <f>IF($A19="","",IF(INDEX(exp_year,MATCH(13,exp_wishno,0))="","",INDEX(exp_year,MATCH(13,exp_wishno,0))))</f>
        <v/>
      </c>
      <c r="F19" s="100">
        <f>IF($A19="","",IF(INDEX(exp_month,MATCH(13,exp_wishno,0))="","",INDEX(exp_month,MATCH(13,exp_wishno,0))))</f>
        <v/>
      </c>
      <c r="G19" s="101">
        <f>IF($A19="","",IF(INDEX(exp_plan,MATCH(13,exp_wishno,0))="","",INDEX(exp_plan,MATCH(13,exp_wishno,0))))</f>
        <v/>
      </c>
      <c r="H19" s="102">
        <f>IF($A19="","",IF(INDEX(exp_fact,MATCH(13,exp_wishno,0))="","",INDEX(exp_fact,MATCH(13,exp_wishno,0))))</f>
        <v/>
      </c>
      <c r="I19" s="49">
        <f>IF($A19="","",IF(INDEX(exp_status,MATCH(13,exp_wishno,0))="","",INDEX(exp_status,MATCH(13,exp_wishno,0))))</f>
        <v/>
      </c>
    </row>
    <row r="20">
      <c r="A20" s="100">
        <f>IF(ISNA(MATCH(14,exp_wishno,0)),"",14)</f>
        <v/>
      </c>
      <c r="B20" s="49">
        <f>IF($A20="","",IF(INDEX(exp_desc,MATCH(14,exp_wishno,0))="","",INDEX(exp_desc,MATCH(14,exp_wishno,0))))</f>
        <v/>
      </c>
      <c r="C20" s="49">
        <f>IF($A20="","",IF(INDEX(exp_cat,MATCH(14,exp_wishno,0))="","",INDEX(exp_cat,MATCH(14,exp_wishno,0))))</f>
        <v/>
      </c>
      <c r="D20" s="100">
        <f>IF($A20="","",IF(INDEX(exp_prio,MATCH(14,exp_wishno,0))="","",INDEX(exp_prio,MATCH(14,exp_wishno,0))))</f>
        <v/>
      </c>
      <c r="E20" s="100">
        <f>IF($A20="","",IF(INDEX(exp_year,MATCH(14,exp_wishno,0))="","",INDEX(exp_year,MATCH(14,exp_wishno,0))))</f>
        <v/>
      </c>
      <c r="F20" s="100">
        <f>IF($A20="","",IF(INDEX(exp_month,MATCH(14,exp_wishno,0))="","",INDEX(exp_month,MATCH(14,exp_wishno,0))))</f>
        <v/>
      </c>
      <c r="G20" s="101">
        <f>IF($A20="","",IF(INDEX(exp_plan,MATCH(14,exp_wishno,0))="","",INDEX(exp_plan,MATCH(14,exp_wishno,0))))</f>
        <v/>
      </c>
      <c r="H20" s="102">
        <f>IF($A20="","",IF(INDEX(exp_fact,MATCH(14,exp_wishno,0))="","",INDEX(exp_fact,MATCH(14,exp_wishno,0))))</f>
        <v/>
      </c>
      <c r="I20" s="49">
        <f>IF($A20="","",IF(INDEX(exp_status,MATCH(14,exp_wishno,0))="","",INDEX(exp_status,MATCH(14,exp_wishno,0))))</f>
        <v/>
      </c>
    </row>
    <row r="21">
      <c r="A21" s="100">
        <f>IF(ISNA(MATCH(15,exp_wishno,0)),"",15)</f>
        <v/>
      </c>
      <c r="B21" s="49">
        <f>IF($A21="","",IF(INDEX(exp_desc,MATCH(15,exp_wishno,0))="","",INDEX(exp_desc,MATCH(15,exp_wishno,0))))</f>
        <v/>
      </c>
      <c r="C21" s="49">
        <f>IF($A21="","",IF(INDEX(exp_cat,MATCH(15,exp_wishno,0))="","",INDEX(exp_cat,MATCH(15,exp_wishno,0))))</f>
        <v/>
      </c>
      <c r="D21" s="100">
        <f>IF($A21="","",IF(INDEX(exp_prio,MATCH(15,exp_wishno,0))="","",INDEX(exp_prio,MATCH(15,exp_wishno,0))))</f>
        <v/>
      </c>
      <c r="E21" s="100">
        <f>IF($A21="","",IF(INDEX(exp_year,MATCH(15,exp_wishno,0))="","",INDEX(exp_year,MATCH(15,exp_wishno,0))))</f>
        <v/>
      </c>
      <c r="F21" s="100">
        <f>IF($A21="","",IF(INDEX(exp_month,MATCH(15,exp_wishno,0))="","",INDEX(exp_month,MATCH(15,exp_wishno,0))))</f>
        <v/>
      </c>
      <c r="G21" s="101">
        <f>IF($A21="","",IF(INDEX(exp_plan,MATCH(15,exp_wishno,0))="","",INDEX(exp_plan,MATCH(15,exp_wishno,0))))</f>
        <v/>
      </c>
      <c r="H21" s="102">
        <f>IF($A21="","",IF(INDEX(exp_fact,MATCH(15,exp_wishno,0))="","",INDEX(exp_fact,MATCH(15,exp_wishno,0))))</f>
        <v/>
      </c>
      <c r="I21" s="49">
        <f>IF($A21="","",IF(INDEX(exp_status,MATCH(15,exp_wishno,0))="","",INDEX(exp_status,MATCH(15,exp_wishno,0))))</f>
        <v/>
      </c>
    </row>
    <row r="22">
      <c r="A22" s="100">
        <f>IF(ISNA(MATCH(16,exp_wishno,0)),"",16)</f>
        <v/>
      </c>
      <c r="B22" s="49">
        <f>IF($A22="","",IF(INDEX(exp_desc,MATCH(16,exp_wishno,0))="","",INDEX(exp_desc,MATCH(16,exp_wishno,0))))</f>
        <v/>
      </c>
      <c r="C22" s="49">
        <f>IF($A22="","",IF(INDEX(exp_cat,MATCH(16,exp_wishno,0))="","",INDEX(exp_cat,MATCH(16,exp_wishno,0))))</f>
        <v/>
      </c>
      <c r="D22" s="100">
        <f>IF($A22="","",IF(INDEX(exp_prio,MATCH(16,exp_wishno,0))="","",INDEX(exp_prio,MATCH(16,exp_wishno,0))))</f>
        <v/>
      </c>
      <c r="E22" s="100">
        <f>IF($A22="","",IF(INDEX(exp_year,MATCH(16,exp_wishno,0))="","",INDEX(exp_year,MATCH(16,exp_wishno,0))))</f>
        <v/>
      </c>
      <c r="F22" s="100">
        <f>IF($A22="","",IF(INDEX(exp_month,MATCH(16,exp_wishno,0))="","",INDEX(exp_month,MATCH(16,exp_wishno,0))))</f>
        <v/>
      </c>
      <c r="G22" s="101">
        <f>IF($A22="","",IF(INDEX(exp_plan,MATCH(16,exp_wishno,0))="","",INDEX(exp_plan,MATCH(16,exp_wishno,0))))</f>
        <v/>
      </c>
      <c r="H22" s="102">
        <f>IF($A22="","",IF(INDEX(exp_fact,MATCH(16,exp_wishno,0))="","",INDEX(exp_fact,MATCH(16,exp_wishno,0))))</f>
        <v/>
      </c>
      <c r="I22" s="49">
        <f>IF($A22="","",IF(INDEX(exp_status,MATCH(16,exp_wishno,0))="","",INDEX(exp_status,MATCH(16,exp_wishno,0))))</f>
        <v/>
      </c>
    </row>
    <row r="23">
      <c r="A23" s="100">
        <f>IF(ISNA(MATCH(17,exp_wishno,0)),"",17)</f>
        <v/>
      </c>
      <c r="B23" s="49">
        <f>IF($A23="","",IF(INDEX(exp_desc,MATCH(17,exp_wishno,0))="","",INDEX(exp_desc,MATCH(17,exp_wishno,0))))</f>
        <v/>
      </c>
      <c r="C23" s="49">
        <f>IF($A23="","",IF(INDEX(exp_cat,MATCH(17,exp_wishno,0))="","",INDEX(exp_cat,MATCH(17,exp_wishno,0))))</f>
        <v/>
      </c>
      <c r="D23" s="100">
        <f>IF($A23="","",IF(INDEX(exp_prio,MATCH(17,exp_wishno,0))="","",INDEX(exp_prio,MATCH(17,exp_wishno,0))))</f>
        <v/>
      </c>
      <c r="E23" s="100">
        <f>IF($A23="","",IF(INDEX(exp_year,MATCH(17,exp_wishno,0))="","",INDEX(exp_year,MATCH(17,exp_wishno,0))))</f>
        <v/>
      </c>
      <c r="F23" s="100">
        <f>IF($A23="","",IF(INDEX(exp_month,MATCH(17,exp_wishno,0))="","",INDEX(exp_month,MATCH(17,exp_wishno,0))))</f>
        <v/>
      </c>
      <c r="G23" s="101">
        <f>IF($A23="","",IF(INDEX(exp_plan,MATCH(17,exp_wishno,0))="","",INDEX(exp_plan,MATCH(17,exp_wishno,0))))</f>
        <v/>
      </c>
      <c r="H23" s="102">
        <f>IF($A23="","",IF(INDEX(exp_fact,MATCH(17,exp_wishno,0))="","",INDEX(exp_fact,MATCH(17,exp_wishno,0))))</f>
        <v/>
      </c>
      <c r="I23" s="49">
        <f>IF($A23="","",IF(INDEX(exp_status,MATCH(17,exp_wishno,0))="","",INDEX(exp_status,MATCH(17,exp_wishno,0))))</f>
        <v/>
      </c>
    </row>
    <row r="24">
      <c r="A24" s="100">
        <f>IF(ISNA(MATCH(18,exp_wishno,0)),"",18)</f>
        <v/>
      </c>
      <c r="B24" s="49">
        <f>IF($A24="","",IF(INDEX(exp_desc,MATCH(18,exp_wishno,0))="","",INDEX(exp_desc,MATCH(18,exp_wishno,0))))</f>
        <v/>
      </c>
      <c r="C24" s="49">
        <f>IF($A24="","",IF(INDEX(exp_cat,MATCH(18,exp_wishno,0))="","",INDEX(exp_cat,MATCH(18,exp_wishno,0))))</f>
        <v/>
      </c>
      <c r="D24" s="100">
        <f>IF($A24="","",IF(INDEX(exp_prio,MATCH(18,exp_wishno,0))="","",INDEX(exp_prio,MATCH(18,exp_wishno,0))))</f>
        <v/>
      </c>
      <c r="E24" s="100">
        <f>IF($A24="","",IF(INDEX(exp_year,MATCH(18,exp_wishno,0))="","",INDEX(exp_year,MATCH(18,exp_wishno,0))))</f>
        <v/>
      </c>
      <c r="F24" s="100">
        <f>IF($A24="","",IF(INDEX(exp_month,MATCH(18,exp_wishno,0))="","",INDEX(exp_month,MATCH(18,exp_wishno,0))))</f>
        <v/>
      </c>
      <c r="G24" s="101">
        <f>IF($A24="","",IF(INDEX(exp_plan,MATCH(18,exp_wishno,0))="","",INDEX(exp_plan,MATCH(18,exp_wishno,0))))</f>
        <v/>
      </c>
      <c r="H24" s="102">
        <f>IF($A24="","",IF(INDEX(exp_fact,MATCH(18,exp_wishno,0))="","",INDEX(exp_fact,MATCH(18,exp_wishno,0))))</f>
        <v/>
      </c>
      <c r="I24" s="49">
        <f>IF($A24="","",IF(INDEX(exp_status,MATCH(18,exp_wishno,0))="","",INDEX(exp_status,MATCH(18,exp_wishno,0))))</f>
        <v/>
      </c>
    </row>
    <row r="25">
      <c r="A25" s="100">
        <f>IF(ISNA(MATCH(19,exp_wishno,0)),"",19)</f>
        <v/>
      </c>
      <c r="B25" s="49">
        <f>IF($A25="","",IF(INDEX(exp_desc,MATCH(19,exp_wishno,0))="","",INDEX(exp_desc,MATCH(19,exp_wishno,0))))</f>
        <v/>
      </c>
      <c r="C25" s="49">
        <f>IF($A25="","",IF(INDEX(exp_cat,MATCH(19,exp_wishno,0))="","",INDEX(exp_cat,MATCH(19,exp_wishno,0))))</f>
        <v/>
      </c>
      <c r="D25" s="100">
        <f>IF($A25="","",IF(INDEX(exp_prio,MATCH(19,exp_wishno,0))="","",INDEX(exp_prio,MATCH(19,exp_wishno,0))))</f>
        <v/>
      </c>
      <c r="E25" s="100">
        <f>IF($A25="","",IF(INDEX(exp_year,MATCH(19,exp_wishno,0))="","",INDEX(exp_year,MATCH(19,exp_wishno,0))))</f>
        <v/>
      </c>
      <c r="F25" s="100">
        <f>IF($A25="","",IF(INDEX(exp_month,MATCH(19,exp_wishno,0))="","",INDEX(exp_month,MATCH(19,exp_wishno,0))))</f>
        <v/>
      </c>
      <c r="G25" s="101">
        <f>IF($A25="","",IF(INDEX(exp_plan,MATCH(19,exp_wishno,0))="","",INDEX(exp_plan,MATCH(19,exp_wishno,0))))</f>
        <v/>
      </c>
      <c r="H25" s="102">
        <f>IF($A25="","",IF(INDEX(exp_fact,MATCH(19,exp_wishno,0))="","",INDEX(exp_fact,MATCH(19,exp_wishno,0))))</f>
        <v/>
      </c>
      <c r="I25" s="49">
        <f>IF($A25="","",IF(INDEX(exp_status,MATCH(19,exp_wishno,0))="","",INDEX(exp_status,MATCH(19,exp_wishno,0))))</f>
        <v/>
      </c>
    </row>
    <row r="26">
      <c r="A26" s="100">
        <f>IF(ISNA(MATCH(20,exp_wishno,0)),"",20)</f>
        <v/>
      </c>
      <c r="B26" s="49">
        <f>IF($A26="","",IF(INDEX(exp_desc,MATCH(20,exp_wishno,0))="","",INDEX(exp_desc,MATCH(20,exp_wishno,0))))</f>
        <v/>
      </c>
      <c r="C26" s="49">
        <f>IF($A26="","",IF(INDEX(exp_cat,MATCH(20,exp_wishno,0))="","",INDEX(exp_cat,MATCH(20,exp_wishno,0))))</f>
        <v/>
      </c>
      <c r="D26" s="100">
        <f>IF($A26="","",IF(INDEX(exp_prio,MATCH(20,exp_wishno,0))="","",INDEX(exp_prio,MATCH(20,exp_wishno,0))))</f>
        <v/>
      </c>
      <c r="E26" s="100">
        <f>IF($A26="","",IF(INDEX(exp_year,MATCH(20,exp_wishno,0))="","",INDEX(exp_year,MATCH(20,exp_wishno,0))))</f>
        <v/>
      </c>
      <c r="F26" s="100">
        <f>IF($A26="","",IF(INDEX(exp_month,MATCH(20,exp_wishno,0))="","",INDEX(exp_month,MATCH(20,exp_wishno,0))))</f>
        <v/>
      </c>
      <c r="G26" s="101">
        <f>IF($A26="","",IF(INDEX(exp_plan,MATCH(20,exp_wishno,0))="","",INDEX(exp_plan,MATCH(20,exp_wishno,0))))</f>
        <v/>
      </c>
      <c r="H26" s="102">
        <f>IF($A26="","",IF(INDEX(exp_fact,MATCH(20,exp_wishno,0))="","",INDEX(exp_fact,MATCH(20,exp_wishno,0))))</f>
        <v/>
      </c>
      <c r="I26" s="49">
        <f>IF($A26="","",IF(INDEX(exp_status,MATCH(20,exp_wishno,0))="","",INDEX(exp_status,MATCH(20,exp_wishno,0))))</f>
        <v/>
      </c>
    </row>
    <row r="27">
      <c r="A27" s="100">
        <f>IF(ISNA(MATCH(21,exp_wishno,0)),"",21)</f>
        <v/>
      </c>
      <c r="B27" s="49">
        <f>IF($A27="","",IF(INDEX(exp_desc,MATCH(21,exp_wishno,0))="","",INDEX(exp_desc,MATCH(21,exp_wishno,0))))</f>
        <v/>
      </c>
      <c r="C27" s="49">
        <f>IF($A27="","",IF(INDEX(exp_cat,MATCH(21,exp_wishno,0))="","",INDEX(exp_cat,MATCH(21,exp_wishno,0))))</f>
        <v/>
      </c>
      <c r="D27" s="100">
        <f>IF($A27="","",IF(INDEX(exp_prio,MATCH(21,exp_wishno,0))="","",INDEX(exp_prio,MATCH(21,exp_wishno,0))))</f>
        <v/>
      </c>
      <c r="E27" s="100">
        <f>IF($A27="","",IF(INDEX(exp_year,MATCH(21,exp_wishno,0))="","",INDEX(exp_year,MATCH(21,exp_wishno,0))))</f>
        <v/>
      </c>
      <c r="F27" s="100">
        <f>IF($A27="","",IF(INDEX(exp_month,MATCH(21,exp_wishno,0))="","",INDEX(exp_month,MATCH(21,exp_wishno,0))))</f>
        <v/>
      </c>
      <c r="G27" s="101">
        <f>IF($A27="","",IF(INDEX(exp_plan,MATCH(21,exp_wishno,0))="","",INDEX(exp_plan,MATCH(21,exp_wishno,0))))</f>
        <v/>
      </c>
      <c r="H27" s="102">
        <f>IF($A27="","",IF(INDEX(exp_fact,MATCH(21,exp_wishno,0))="","",INDEX(exp_fact,MATCH(21,exp_wishno,0))))</f>
        <v/>
      </c>
      <c r="I27" s="49">
        <f>IF($A27="","",IF(INDEX(exp_status,MATCH(21,exp_wishno,0))="","",INDEX(exp_status,MATCH(21,exp_wishno,0))))</f>
        <v/>
      </c>
    </row>
    <row r="28">
      <c r="A28" s="100">
        <f>IF(ISNA(MATCH(22,exp_wishno,0)),"",22)</f>
        <v/>
      </c>
      <c r="B28" s="49">
        <f>IF($A28="","",IF(INDEX(exp_desc,MATCH(22,exp_wishno,0))="","",INDEX(exp_desc,MATCH(22,exp_wishno,0))))</f>
        <v/>
      </c>
      <c r="C28" s="49">
        <f>IF($A28="","",IF(INDEX(exp_cat,MATCH(22,exp_wishno,0))="","",INDEX(exp_cat,MATCH(22,exp_wishno,0))))</f>
        <v/>
      </c>
      <c r="D28" s="100">
        <f>IF($A28="","",IF(INDEX(exp_prio,MATCH(22,exp_wishno,0))="","",INDEX(exp_prio,MATCH(22,exp_wishno,0))))</f>
        <v/>
      </c>
      <c r="E28" s="100">
        <f>IF($A28="","",IF(INDEX(exp_year,MATCH(22,exp_wishno,0))="","",INDEX(exp_year,MATCH(22,exp_wishno,0))))</f>
        <v/>
      </c>
      <c r="F28" s="100">
        <f>IF($A28="","",IF(INDEX(exp_month,MATCH(22,exp_wishno,0))="","",INDEX(exp_month,MATCH(22,exp_wishno,0))))</f>
        <v/>
      </c>
      <c r="G28" s="101">
        <f>IF($A28="","",IF(INDEX(exp_plan,MATCH(22,exp_wishno,0))="","",INDEX(exp_plan,MATCH(22,exp_wishno,0))))</f>
        <v/>
      </c>
      <c r="H28" s="102">
        <f>IF($A28="","",IF(INDEX(exp_fact,MATCH(22,exp_wishno,0))="","",INDEX(exp_fact,MATCH(22,exp_wishno,0))))</f>
        <v/>
      </c>
      <c r="I28" s="49">
        <f>IF($A28="","",IF(INDEX(exp_status,MATCH(22,exp_wishno,0))="","",INDEX(exp_status,MATCH(22,exp_wishno,0))))</f>
        <v/>
      </c>
    </row>
    <row r="29">
      <c r="A29" s="100">
        <f>IF(ISNA(MATCH(23,exp_wishno,0)),"",23)</f>
        <v/>
      </c>
      <c r="B29" s="49">
        <f>IF($A29="","",IF(INDEX(exp_desc,MATCH(23,exp_wishno,0))="","",INDEX(exp_desc,MATCH(23,exp_wishno,0))))</f>
        <v/>
      </c>
      <c r="C29" s="49">
        <f>IF($A29="","",IF(INDEX(exp_cat,MATCH(23,exp_wishno,0))="","",INDEX(exp_cat,MATCH(23,exp_wishno,0))))</f>
        <v/>
      </c>
      <c r="D29" s="100">
        <f>IF($A29="","",IF(INDEX(exp_prio,MATCH(23,exp_wishno,0))="","",INDEX(exp_prio,MATCH(23,exp_wishno,0))))</f>
        <v/>
      </c>
      <c r="E29" s="100">
        <f>IF($A29="","",IF(INDEX(exp_year,MATCH(23,exp_wishno,0))="","",INDEX(exp_year,MATCH(23,exp_wishno,0))))</f>
        <v/>
      </c>
      <c r="F29" s="100">
        <f>IF($A29="","",IF(INDEX(exp_month,MATCH(23,exp_wishno,0))="","",INDEX(exp_month,MATCH(23,exp_wishno,0))))</f>
        <v/>
      </c>
      <c r="G29" s="101">
        <f>IF($A29="","",IF(INDEX(exp_plan,MATCH(23,exp_wishno,0))="","",INDEX(exp_plan,MATCH(23,exp_wishno,0))))</f>
        <v/>
      </c>
      <c r="H29" s="102">
        <f>IF($A29="","",IF(INDEX(exp_fact,MATCH(23,exp_wishno,0))="","",INDEX(exp_fact,MATCH(23,exp_wishno,0))))</f>
        <v/>
      </c>
      <c r="I29" s="49">
        <f>IF($A29="","",IF(INDEX(exp_status,MATCH(23,exp_wishno,0))="","",INDEX(exp_status,MATCH(23,exp_wishno,0))))</f>
        <v/>
      </c>
    </row>
    <row r="30">
      <c r="A30" s="100">
        <f>IF(ISNA(MATCH(24,exp_wishno,0)),"",24)</f>
        <v/>
      </c>
      <c r="B30" s="49">
        <f>IF($A30="","",IF(INDEX(exp_desc,MATCH(24,exp_wishno,0))="","",INDEX(exp_desc,MATCH(24,exp_wishno,0))))</f>
        <v/>
      </c>
      <c r="C30" s="49">
        <f>IF($A30="","",IF(INDEX(exp_cat,MATCH(24,exp_wishno,0))="","",INDEX(exp_cat,MATCH(24,exp_wishno,0))))</f>
        <v/>
      </c>
      <c r="D30" s="100">
        <f>IF($A30="","",IF(INDEX(exp_prio,MATCH(24,exp_wishno,0))="","",INDEX(exp_prio,MATCH(24,exp_wishno,0))))</f>
        <v/>
      </c>
      <c r="E30" s="100">
        <f>IF($A30="","",IF(INDEX(exp_year,MATCH(24,exp_wishno,0))="","",INDEX(exp_year,MATCH(24,exp_wishno,0))))</f>
        <v/>
      </c>
      <c r="F30" s="100">
        <f>IF($A30="","",IF(INDEX(exp_month,MATCH(24,exp_wishno,0))="","",INDEX(exp_month,MATCH(24,exp_wishno,0))))</f>
        <v/>
      </c>
      <c r="G30" s="101">
        <f>IF($A30="","",IF(INDEX(exp_plan,MATCH(24,exp_wishno,0))="","",INDEX(exp_plan,MATCH(24,exp_wishno,0))))</f>
        <v/>
      </c>
      <c r="H30" s="102">
        <f>IF($A30="","",IF(INDEX(exp_fact,MATCH(24,exp_wishno,0))="","",INDEX(exp_fact,MATCH(24,exp_wishno,0))))</f>
        <v/>
      </c>
      <c r="I30" s="49">
        <f>IF($A30="","",IF(INDEX(exp_status,MATCH(24,exp_wishno,0))="","",INDEX(exp_status,MATCH(24,exp_wishno,0))))</f>
        <v/>
      </c>
    </row>
    <row r="31">
      <c r="A31" s="100">
        <f>IF(ISNA(MATCH(25,exp_wishno,0)),"",25)</f>
        <v/>
      </c>
      <c r="B31" s="49">
        <f>IF($A31="","",IF(INDEX(exp_desc,MATCH(25,exp_wishno,0))="","",INDEX(exp_desc,MATCH(25,exp_wishno,0))))</f>
        <v/>
      </c>
      <c r="C31" s="49">
        <f>IF($A31="","",IF(INDEX(exp_cat,MATCH(25,exp_wishno,0))="","",INDEX(exp_cat,MATCH(25,exp_wishno,0))))</f>
        <v/>
      </c>
      <c r="D31" s="100">
        <f>IF($A31="","",IF(INDEX(exp_prio,MATCH(25,exp_wishno,0))="","",INDEX(exp_prio,MATCH(25,exp_wishno,0))))</f>
        <v/>
      </c>
      <c r="E31" s="100">
        <f>IF($A31="","",IF(INDEX(exp_year,MATCH(25,exp_wishno,0))="","",INDEX(exp_year,MATCH(25,exp_wishno,0))))</f>
        <v/>
      </c>
      <c r="F31" s="100">
        <f>IF($A31="","",IF(INDEX(exp_month,MATCH(25,exp_wishno,0))="","",INDEX(exp_month,MATCH(25,exp_wishno,0))))</f>
        <v/>
      </c>
      <c r="G31" s="101">
        <f>IF($A31="","",IF(INDEX(exp_plan,MATCH(25,exp_wishno,0))="","",INDEX(exp_plan,MATCH(25,exp_wishno,0))))</f>
        <v/>
      </c>
      <c r="H31" s="102">
        <f>IF($A31="","",IF(INDEX(exp_fact,MATCH(25,exp_wishno,0))="","",INDEX(exp_fact,MATCH(25,exp_wishno,0))))</f>
        <v/>
      </c>
      <c r="I31" s="49">
        <f>IF($A31="","",IF(INDEX(exp_status,MATCH(25,exp_wishno,0))="","",INDEX(exp_status,MATCH(25,exp_wishno,0))))</f>
        <v/>
      </c>
    </row>
    <row r="32">
      <c r="A32" s="100">
        <f>IF(ISNA(MATCH(26,exp_wishno,0)),"",26)</f>
        <v/>
      </c>
      <c r="B32" s="49">
        <f>IF($A32="","",IF(INDEX(exp_desc,MATCH(26,exp_wishno,0))="","",INDEX(exp_desc,MATCH(26,exp_wishno,0))))</f>
        <v/>
      </c>
      <c r="C32" s="49">
        <f>IF($A32="","",IF(INDEX(exp_cat,MATCH(26,exp_wishno,0))="","",INDEX(exp_cat,MATCH(26,exp_wishno,0))))</f>
        <v/>
      </c>
      <c r="D32" s="100">
        <f>IF($A32="","",IF(INDEX(exp_prio,MATCH(26,exp_wishno,0))="","",INDEX(exp_prio,MATCH(26,exp_wishno,0))))</f>
        <v/>
      </c>
      <c r="E32" s="100">
        <f>IF($A32="","",IF(INDEX(exp_year,MATCH(26,exp_wishno,0))="","",INDEX(exp_year,MATCH(26,exp_wishno,0))))</f>
        <v/>
      </c>
      <c r="F32" s="100">
        <f>IF($A32="","",IF(INDEX(exp_month,MATCH(26,exp_wishno,0))="","",INDEX(exp_month,MATCH(26,exp_wishno,0))))</f>
        <v/>
      </c>
      <c r="G32" s="101">
        <f>IF($A32="","",IF(INDEX(exp_plan,MATCH(26,exp_wishno,0))="","",INDEX(exp_plan,MATCH(26,exp_wishno,0))))</f>
        <v/>
      </c>
      <c r="H32" s="102">
        <f>IF($A32="","",IF(INDEX(exp_fact,MATCH(26,exp_wishno,0))="","",INDEX(exp_fact,MATCH(26,exp_wishno,0))))</f>
        <v/>
      </c>
      <c r="I32" s="49">
        <f>IF($A32="","",IF(INDEX(exp_status,MATCH(26,exp_wishno,0))="","",INDEX(exp_status,MATCH(26,exp_wishno,0))))</f>
        <v/>
      </c>
    </row>
    <row r="33">
      <c r="A33" s="100">
        <f>IF(ISNA(MATCH(27,exp_wishno,0)),"",27)</f>
        <v/>
      </c>
      <c r="B33" s="49">
        <f>IF($A33="","",IF(INDEX(exp_desc,MATCH(27,exp_wishno,0))="","",INDEX(exp_desc,MATCH(27,exp_wishno,0))))</f>
        <v/>
      </c>
      <c r="C33" s="49">
        <f>IF($A33="","",IF(INDEX(exp_cat,MATCH(27,exp_wishno,0))="","",INDEX(exp_cat,MATCH(27,exp_wishno,0))))</f>
        <v/>
      </c>
      <c r="D33" s="100">
        <f>IF($A33="","",IF(INDEX(exp_prio,MATCH(27,exp_wishno,0))="","",INDEX(exp_prio,MATCH(27,exp_wishno,0))))</f>
        <v/>
      </c>
      <c r="E33" s="100">
        <f>IF($A33="","",IF(INDEX(exp_year,MATCH(27,exp_wishno,0))="","",INDEX(exp_year,MATCH(27,exp_wishno,0))))</f>
        <v/>
      </c>
      <c r="F33" s="100">
        <f>IF($A33="","",IF(INDEX(exp_month,MATCH(27,exp_wishno,0))="","",INDEX(exp_month,MATCH(27,exp_wishno,0))))</f>
        <v/>
      </c>
      <c r="G33" s="101">
        <f>IF($A33="","",IF(INDEX(exp_plan,MATCH(27,exp_wishno,0))="","",INDEX(exp_plan,MATCH(27,exp_wishno,0))))</f>
        <v/>
      </c>
      <c r="H33" s="102">
        <f>IF($A33="","",IF(INDEX(exp_fact,MATCH(27,exp_wishno,0))="","",INDEX(exp_fact,MATCH(27,exp_wishno,0))))</f>
        <v/>
      </c>
      <c r="I33" s="49">
        <f>IF($A33="","",IF(INDEX(exp_status,MATCH(27,exp_wishno,0))="","",INDEX(exp_status,MATCH(27,exp_wishno,0))))</f>
        <v/>
      </c>
    </row>
    <row r="34">
      <c r="A34" s="100">
        <f>IF(ISNA(MATCH(28,exp_wishno,0)),"",28)</f>
        <v/>
      </c>
      <c r="B34" s="49">
        <f>IF($A34="","",IF(INDEX(exp_desc,MATCH(28,exp_wishno,0))="","",INDEX(exp_desc,MATCH(28,exp_wishno,0))))</f>
        <v/>
      </c>
      <c r="C34" s="49">
        <f>IF($A34="","",IF(INDEX(exp_cat,MATCH(28,exp_wishno,0))="","",INDEX(exp_cat,MATCH(28,exp_wishno,0))))</f>
        <v/>
      </c>
      <c r="D34" s="100">
        <f>IF($A34="","",IF(INDEX(exp_prio,MATCH(28,exp_wishno,0))="","",INDEX(exp_prio,MATCH(28,exp_wishno,0))))</f>
        <v/>
      </c>
      <c r="E34" s="100">
        <f>IF($A34="","",IF(INDEX(exp_year,MATCH(28,exp_wishno,0))="","",INDEX(exp_year,MATCH(28,exp_wishno,0))))</f>
        <v/>
      </c>
      <c r="F34" s="100">
        <f>IF($A34="","",IF(INDEX(exp_month,MATCH(28,exp_wishno,0))="","",INDEX(exp_month,MATCH(28,exp_wishno,0))))</f>
        <v/>
      </c>
      <c r="G34" s="101">
        <f>IF($A34="","",IF(INDEX(exp_plan,MATCH(28,exp_wishno,0))="","",INDEX(exp_plan,MATCH(28,exp_wishno,0))))</f>
        <v/>
      </c>
      <c r="H34" s="102">
        <f>IF($A34="","",IF(INDEX(exp_fact,MATCH(28,exp_wishno,0))="","",INDEX(exp_fact,MATCH(28,exp_wishno,0))))</f>
        <v/>
      </c>
      <c r="I34" s="49">
        <f>IF($A34="","",IF(INDEX(exp_status,MATCH(28,exp_wishno,0))="","",INDEX(exp_status,MATCH(28,exp_wishno,0))))</f>
        <v/>
      </c>
    </row>
    <row r="35">
      <c r="A35" s="100">
        <f>IF(ISNA(MATCH(29,exp_wishno,0)),"",29)</f>
        <v/>
      </c>
      <c r="B35" s="49">
        <f>IF($A35="","",IF(INDEX(exp_desc,MATCH(29,exp_wishno,0))="","",INDEX(exp_desc,MATCH(29,exp_wishno,0))))</f>
        <v/>
      </c>
      <c r="C35" s="49">
        <f>IF($A35="","",IF(INDEX(exp_cat,MATCH(29,exp_wishno,0))="","",INDEX(exp_cat,MATCH(29,exp_wishno,0))))</f>
        <v/>
      </c>
      <c r="D35" s="100">
        <f>IF($A35="","",IF(INDEX(exp_prio,MATCH(29,exp_wishno,0))="","",INDEX(exp_prio,MATCH(29,exp_wishno,0))))</f>
        <v/>
      </c>
      <c r="E35" s="100">
        <f>IF($A35="","",IF(INDEX(exp_year,MATCH(29,exp_wishno,0))="","",INDEX(exp_year,MATCH(29,exp_wishno,0))))</f>
        <v/>
      </c>
      <c r="F35" s="100">
        <f>IF($A35="","",IF(INDEX(exp_month,MATCH(29,exp_wishno,0))="","",INDEX(exp_month,MATCH(29,exp_wishno,0))))</f>
        <v/>
      </c>
      <c r="G35" s="101">
        <f>IF($A35="","",IF(INDEX(exp_plan,MATCH(29,exp_wishno,0))="","",INDEX(exp_plan,MATCH(29,exp_wishno,0))))</f>
        <v/>
      </c>
      <c r="H35" s="102">
        <f>IF($A35="","",IF(INDEX(exp_fact,MATCH(29,exp_wishno,0))="","",INDEX(exp_fact,MATCH(29,exp_wishno,0))))</f>
        <v/>
      </c>
      <c r="I35" s="49">
        <f>IF($A35="","",IF(INDEX(exp_status,MATCH(29,exp_wishno,0))="","",INDEX(exp_status,MATCH(29,exp_wishno,0))))</f>
        <v/>
      </c>
    </row>
    <row r="36">
      <c r="A36" s="100">
        <f>IF(ISNA(MATCH(30,exp_wishno,0)),"",30)</f>
        <v/>
      </c>
      <c r="B36" s="49">
        <f>IF($A36="","",IF(INDEX(exp_desc,MATCH(30,exp_wishno,0))="","",INDEX(exp_desc,MATCH(30,exp_wishno,0))))</f>
        <v/>
      </c>
      <c r="C36" s="49">
        <f>IF($A36="","",IF(INDEX(exp_cat,MATCH(30,exp_wishno,0))="","",INDEX(exp_cat,MATCH(30,exp_wishno,0))))</f>
        <v/>
      </c>
      <c r="D36" s="100">
        <f>IF($A36="","",IF(INDEX(exp_prio,MATCH(30,exp_wishno,0))="","",INDEX(exp_prio,MATCH(30,exp_wishno,0))))</f>
        <v/>
      </c>
      <c r="E36" s="100">
        <f>IF($A36="","",IF(INDEX(exp_year,MATCH(30,exp_wishno,0))="","",INDEX(exp_year,MATCH(30,exp_wishno,0))))</f>
        <v/>
      </c>
      <c r="F36" s="100">
        <f>IF($A36="","",IF(INDEX(exp_month,MATCH(30,exp_wishno,0))="","",INDEX(exp_month,MATCH(30,exp_wishno,0))))</f>
        <v/>
      </c>
      <c r="G36" s="101">
        <f>IF($A36="","",IF(INDEX(exp_plan,MATCH(30,exp_wishno,0))="","",INDEX(exp_plan,MATCH(30,exp_wishno,0))))</f>
        <v/>
      </c>
      <c r="H36" s="102">
        <f>IF($A36="","",IF(INDEX(exp_fact,MATCH(30,exp_wishno,0))="","",INDEX(exp_fact,MATCH(30,exp_wishno,0))))</f>
        <v/>
      </c>
      <c r="I36" s="49">
        <f>IF($A36="","",IF(INDEX(exp_status,MATCH(30,exp_wishno,0))="","",INDEX(exp_status,MATCH(30,exp_wishno,0))))</f>
        <v/>
      </c>
    </row>
    <row r="37">
      <c r="A37" s="100">
        <f>IF(ISNA(MATCH(31,exp_wishno,0)),"",31)</f>
        <v/>
      </c>
      <c r="B37" s="49">
        <f>IF($A37="","",IF(INDEX(exp_desc,MATCH(31,exp_wishno,0))="","",INDEX(exp_desc,MATCH(31,exp_wishno,0))))</f>
        <v/>
      </c>
      <c r="C37" s="49">
        <f>IF($A37="","",IF(INDEX(exp_cat,MATCH(31,exp_wishno,0))="","",INDEX(exp_cat,MATCH(31,exp_wishno,0))))</f>
        <v/>
      </c>
      <c r="D37" s="100">
        <f>IF($A37="","",IF(INDEX(exp_prio,MATCH(31,exp_wishno,0))="","",INDEX(exp_prio,MATCH(31,exp_wishno,0))))</f>
        <v/>
      </c>
      <c r="E37" s="100">
        <f>IF($A37="","",IF(INDEX(exp_year,MATCH(31,exp_wishno,0))="","",INDEX(exp_year,MATCH(31,exp_wishno,0))))</f>
        <v/>
      </c>
      <c r="F37" s="100">
        <f>IF($A37="","",IF(INDEX(exp_month,MATCH(31,exp_wishno,0))="","",INDEX(exp_month,MATCH(31,exp_wishno,0))))</f>
        <v/>
      </c>
      <c r="G37" s="101">
        <f>IF($A37="","",IF(INDEX(exp_plan,MATCH(31,exp_wishno,0))="","",INDEX(exp_plan,MATCH(31,exp_wishno,0))))</f>
        <v/>
      </c>
      <c r="H37" s="102">
        <f>IF($A37="","",IF(INDEX(exp_fact,MATCH(31,exp_wishno,0))="","",INDEX(exp_fact,MATCH(31,exp_wishno,0))))</f>
        <v/>
      </c>
      <c r="I37" s="49">
        <f>IF($A37="","",IF(INDEX(exp_status,MATCH(31,exp_wishno,0))="","",INDEX(exp_status,MATCH(31,exp_wishno,0))))</f>
        <v/>
      </c>
    </row>
    <row r="38">
      <c r="A38" s="100">
        <f>IF(ISNA(MATCH(32,exp_wishno,0)),"",32)</f>
        <v/>
      </c>
      <c r="B38" s="49">
        <f>IF($A38="","",IF(INDEX(exp_desc,MATCH(32,exp_wishno,0))="","",INDEX(exp_desc,MATCH(32,exp_wishno,0))))</f>
        <v/>
      </c>
      <c r="C38" s="49">
        <f>IF($A38="","",IF(INDEX(exp_cat,MATCH(32,exp_wishno,0))="","",INDEX(exp_cat,MATCH(32,exp_wishno,0))))</f>
        <v/>
      </c>
      <c r="D38" s="100">
        <f>IF($A38="","",IF(INDEX(exp_prio,MATCH(32,exp_wishno,0))="","",INDEX(exp_prio,MATCH(32,exp_wishno,0))))</f>
        <v/>
      </c>
      <c r="E38" s="100">
        <f>IF($A38="","",IF(INDEX(exp_year,MATCH(32,exp_wishno,0))="","",INDEX(exp_year,MATCH(32,exp_wishno,0))))</f>
        <v/>
      </c>
      <c r="F38" s="100">
        <f>IF($A38="","",IF(INDEX(exp_month,MATCH(32,exp_wishno,0))="","",INDEX(exp_month,MATCH(32,exp_wishno,0))))</f>
        <v/>
      </c>
      <c r="G38" s="101">
        <f>IF($A38="","",IF(INDEX(exp_plan,MATCH(32,exp_wishno,0))="","",INDEX(exp_plan,MATCH(32,exp_wishno,0))))</f>
        <v/>
      </c>
      <c r="H38" s="102">
        <f>IF($A38="","",IF(INDEX(exp_fact,MATCH(32,exp_wishno,0))="","",INDEX(exp_fact,MATCH(32,exp_wishno,0))))</f>
        <v/>
      </c>
      <c r="I38" s="49">
        <f>IF($A38="","",IF(INDEX(exp_status,MATCH(32,exp_wishno,0))="","",INDEX(exp_status,MATCH(32,exp_wishno,0))))</f>
        <v/>
      </c>
    </row>
    <row r="39">
      <c r="A39" s="100">
        <f>IF(ISNA(MATCH(33,exp_wishno,0)),"",33)</f>
        <v/>
      </c>
      <c r="B39" s="49">
        <f>IF($A39="","",IF(INDEX(exp_desc,MATCH(33,exp_wishno,0))="","",INDEX(exp_desc,MATCH(33,exp_wishno,0))))</f>
        <v/>
      </c>
      <c r="C39" s="49">
        <f>IF($A39="","",IF(INDEX(exp_cat,MATCH(33,exp_wishno,0))="","",INDEX(exp_cat,MATCH(33,exp_wishno,0))))</f>
        <v/>
      </c>
      <c r="D39" s="100">
        <f>IF($A39="","",IF(INDEX(exp_prio,MATCH(33,exp_wishno,0))="","",INDEX(exp_prio,MATCH(33,exp_wishno,0))))</f>
        <v/>
      </c>
      <c r="E39" s="100">
        <f>IF($A39="","",IF(INDEX(exp_year,MATCH(33,exp_wishno,0))="","",INDEX(exp_year,MATCH(33,exp_wishno,0))))</f>
        <v/>
      </c>
      <c r="F39" s="100">
        <f>IF($A39="","",IF(INDEX(exp_month,MATCH(33,exp_wishno,0))="","",INDEX(exp_month,MATCH(33,exp_wishno,0))))</f>
        <v/>
      </c>
      <c r="G39" s="101">
        <f>IF($A39="","",IF(INDEX(exp_plan,MATCH(33,exp_wishno,0))="","",INDEX(exp_plan,MATCH(33,exp_wishno,0))))</f>
        <v/>
      </c>
      <c r="H39" s="102">
        <f>IF($A39="","",IF(INDEX(exp_fact,MATCH(33,exp_wishno,0))="","",INDEX(exp_fact,MATCH(33,exp_wishno,0))))</f>
        <v/>
      </c>
      <c r="I39" s="49">
        <f>IF($A39="","",IF(INDEX(exp_status,MATCH(33,exp_wishno,0))="","",INDEX(exp_status,MATCH(33,exp_wishno,0))))</f>
        <v/>
      </c>
    </row>
    <row r="40">
      <c r="A40" s="100">
        <f>IF(ISNA(MATCH(34,exp_wishno,0)),"",34)</f>
        <v/>
      </c>
      <c r="B40" s="49">
        <f>IF($A40="","",IF(INDEX(exp_desc,MATCH(34,exp_wishno,0))="","",INDEX(exp_desc,MATCH(34,exp_wishno,0))))</f>
        <v/>
      </c>
      <c r="C40" s="49">
        <f>IF($A40="","",IF(INDEX(exp_cat,MATCH(34,exp_wishno,0))="","",INDEX(exp_cat,MATCH(34,exp_wishno,0))))</f>
        <v/>
      </c>
      <c r="D40" s="100">
        <f>IF($A40="","",IF(INDEX(exp_prio,MATCH(34,exp_wishno,0))="","",INDEX(exp_prio,MATCH(34,exp_wishno,0))))</f>
        <v/>
      </c>
      <c r="E40" s="100">
        <f>IF($A40="","",IF(INDEX(exp_year,MATCH(34,exp_wishno,0))="","",INDEX(exp_year,MATCH(34,exp_wishno,0))))</f>
        <v/>
      </c>
      <c r="F40" s="100">
        <f>IF($A40="","",IF(INDEX(exp_month,MATCH(34,exp_wishno,0))="","",INDEX(exp_month,MATCH(34,exp_wishno,0))))</f>
        <v/>
      </c>
      <c r="G40" s="101">
        <f>IF($A40="","",IF(INDEX(exp_plan,MATCH(34,exp_wishno,0))="","",INDEX(exp_plan,MATCH(34,exp_wishno,0))))</f>
        <v/>
      </c>
      <c r="H40" s="102">
        <f>IF($A40="","",IF(INDEX(exp_fact,MATCH(34,exp_wishno,0))="","",INDEX(exp_fact,MATCH(34,exp_wishno,0))))</f>
        <v/>
      </c>
      <c r="I40" s="49">
        <f>IF($A40="","",IF(INDEX(exp_status,MATCH(34,exp_wishno,0))="","",INDEX(exp_status,MATCH(34,exp_wishno,0))))</f>
        <v/>
      </c>
    </row>
    <row r="41">
      <c r="A41" s="100">
        <f>IF(ISNA(MATCH(35,exp_wishno,0)),"",35)</f>
        <v/>
      </c>
      <c r="B41" s="49">
        <f>IF($A41="","",IF(INDEX(exp_desc,MATCH(35,exp_wishno,0))="","",INDEX(exp_desc,MATCH(35,exp_wishno,0))))</f>
        <v/>
      </c>
      <c r="C41" s="49">
        <f>IF($A41="","",IF(INDEX(exp_cat,MATCH(35,exp_wishno,0))="","",INDEX(exp_cat,MATCH(35,exp_wishno,0))))</f>
        <v/>
      </c>
      <c r="D41" s="100">
        <f>IF($A41="","",IF(INDEX(exp_prio,MATCH(35,exp_wishno,0))="","",INDEX(exp_prio,MATCH(35,exp_wishno,0))))</f>
        <v/>
      </c>
      <c r="E41" s="100">
        <f>IF($A41="","",IF(INDEX(exp_year,MATCH(35,exp_wishno,0))="","",INDEX(exp_year,MATCH(35,exp_wishno,0))))</f>
        <v/>
      </c>
      <c r="F41" s="100">
        <f>IF($A41="","",IF(INDEX(exp_month,MATCH(35,exp_wishno,0))="","",INDEX(exp_month,MATCH(35,exp_wishno,0))))</f>
        <v/>
      </c>
      <c r="G41" s="101">
        <f>IF($A41="","",IF(INDEX(exp_plan,MATCH(35,exp_wishno,0))="","",INDEX(exp_plan,MATCH(35,exp_wishno,0))))</f>
        <v/>
      </c>
      <c r="H41" s="102">
        <f>IF($A41="","",IF(INDEX(exp_fact,MATCH(35,exp_wishno,0))="","",INDEX(exp_fact,MATCH(35,exp_wishno,0))))</f>
        <v/>
      </c>
      <c r="I41" s="49">
        <f>IF($A41="","",IF(INDEX(exp_status,MATCH(35,exp_wishno,0))="","",INDEX(exp_status,MATCH(35,exp_wishno,0))))</f>
        <v/>
      </c>
    </row>
    <row r="42">
      <c r="A42" s="100">
        <f>IF(ISNA(MATCH(36,exp_wishno,0)),"",36)</f>
        <v/>
      </c>
      <c r="B42" s="49">
        <f>IF($A42="","",IF(INDEX(exp_desc,MATCH(36,exp_wishno,0))="","",INDEX(exp_desc,MATCH(36,exp_wishno,0))))</f>
        <v/>
      </c>
      <c r="C42" s="49">
        <f>IF($A42="","",IF(INDEX(exp_cat,MATCH(36,exp_wishno,0))="","",INDEX(exp_cat,MATCH(36,exp_wishno,0))))</f>
        <v/>
      </c>
      <c r="D42" s="100">
        <f>IF($A42="","",IF(INDEX(exp_prio,MATCH(36,exp_wishno,0))="","",INDEX(exp_prio,MATCH(36,exp_wishno,0))))</f>
        <v/>
      </c>
      <c r="E42" s="100">
        <f>IF($A42="","",IF(INDEX(exp_year,MATCH(36,exp_wishno,0))="","",INDEX(exp_year,MATCH(36,exp_wishno,0))))</f>
        <v/>
      </c>
      <c r="F42" s="100">
        <f>IF($A42="","",IF(INDEX(exp_month,MATCH(36,exp_wishno,0))="","",INDEX(exp_month,MATCH(36,exp_wishno,0))))</f>
        <v/>
      </c>
      <c r="G42" s="101">
        <f>IF($A42="","",IF(INDEX(exp_plan,MATCH(36,exp_wishno,0))="","",INDEX(exp_plan,MATCH(36,exp_wishno,0))))</f>
        <v/>
      </c>
      <c r="H42" s="102">
        <f>IF($A42="","",IF(INDEX(exp_fact,MATCH(36,exp_wishno,0))="","",INDEX(exp_fact,MATCH(36,exp_wishno,0))))</f>
        <v/>
      </c>
      <c r="I42" s="49">
        <f>IF($A42="","",IF(INDEX(exp_status,MATCH(36,exp_wishno,0))="","",INDEX(exp_status,MATCH(36,exp_wishno,0))))</f>
        <v/>
      </c>
    </row>
    <row r="43">
      <c r="A43" s="100">
        <f>IF(ISNA(MATCH(37,exp_wishno,0)),"",37)</f>
        <v/>
      </c>
      <c r="B43" s="49">
        <f>IF($A43="","",IF(INDEX(exp_desc,MATCH(37,exp_wishno,0))="","",INDEX(exp_desc,MATCH(37,exp_wishno,0))))</f>
        <v/>
      </c>
      <c r="C43" s="49">
        <f>IF($A43="","",IF(INDEX(exp_cat,MATCH(37,exp_wishno,0))="","",INDEX(exp_cat,MATCH(37,exp_wishno,0))))</f>
        <v/>
      </c>
      <c r="D43" s="100">
        <f>IF($A43="","",IF(INDEX(exp_prio,MATCH(37,exp_wishno,0))="","",INDEX(exp_prio,MATCH(37,exp_wishno,0))))</f>
        <v/>
      </c>
      <c r="E43" s="100">
        <f>IF($A43="","",IF(INDEX(exp_year,MATCH(37,exp_wishno,0))="","",INDEX(exp_year,MATCH(37,exp_wishno,0))))</f>
        <v/>
      </c>
      <c r="F43" s="100">
        <f>IF($A43="","",IF(INDEX(exp_month,MATCH(37,exp_wishno,0))="","",INDEX(exp_month,MATCH(37,exp_wishno,0))))</f>
        <v/>
      </c>
      <c r="G43" s="101">
        <f>IF($A43="","",IF(INDEX(exp_plan,MATCH(37,exp_wishno,0))="","",INDEX(exp_plan,MATCH(37,exp_wishno,0))))</f>
        <v/>
      </c>
      <c r="H43" s="102">
        <f>IF($A43="","",IF(INDEX(exp_fact,MATCH(37,exp_wishno,0))="","",INDEX(exp_fact,MATCH(37,exp_wishno,0))))</f>
        <v/>
      </c>
      <c r="I43" s="49">
        <f>IF($A43="","",IF(INDEX(exp_status,MATCH(37,exp_wishno,0))="","",INDEX(exp_status,MATCH(37,exp_wishno,0))))</f>
        <v/>
      </c>
    </row>
    <row r="44">
      <c r="A44" s="100">
        <f>IF(ISNA(MATCH(38,exp_wishno,0)),"",38)</f>
        <v/>
      </c>
      <c r="B44" s="49">
        <f>IF($A44="","",IF(INDEX(exp_desc,MATCH(38,exp_wishno,0))="","",INDEX(exp_desc,MATCH(38,exp_wishno,0))))</f>
        <v/>
      </c>
      <c r="C44" s="49">
        <f>IF($A44="","",IF(INDEX(exp_cat,MATCH(38,exp_wishno,0))="","",INDEX(exp_cat,MATCH(38,exp_wishno,0))))</f>
        <v/>
      </c>
      <c r="D44" s="100">
        <f>IF($A44="","",IF(INDEX(exp_prio,MATCH(38,exp_wishno,0))="","",INDEX(exp_prio,MATCH(38,exp_wishno,0))))</f>
        <v/>
      </c>
      <c r="E44" s="100">
        <f>IF($A44="","",IF(INDEX(exp_year,MATCH(38,exp_wishno,0))="","",INDEX(exp_year,MATCH(38,exp_wishno,0))))</f>
        <v/>
      </c>
      <c r="F44" s="100">
        <f>IF($A44="","",IF(INDEX(exp_month,MATCH(38,exp_wishno,0))="","",INDEX(exp_month,MATCH(38,exp_wishno,0))))</f>
        <v/>
      </c>
      <c r="G44" s="101">
        <f>IF($A44="","",IF(INDEX(exp_plan,MATCH(38,exp_wishno,0))="","",INDEX(exp_plan,MATCH(38,exp_wishno,0))))</f>
        <v/>
      </c>
      <c r="H44" s="102">
        <f>IF($A44="","",IF(INDEX(exp_fact,MATCH(38,exp_wishno,0))="","",INDEX(exp_fact,MATCH(38,exp_wishno,0))))</f>
        <v/>
      </c>
      <c r="I44" s="49">
        <f>IF($A44="","",IF(INDEX(exp_status,MATCH(38,exp_wishno,0))="","",INDEX(exp_status,MATCH(38,exp_wishno,0))))</f>
        <v/>
      </c>
    </row>
    <row r="45">
      <c r="A45" s="100">
        <f>IF(ISNA(MATCH(39,exp_wishno,0)),"",39)</f>
        <v/>
      </c>
      <c r="B45" s="49">
        <f>IF($A45="","",IF(INDEX(exp_desc,MATCH(39,exp_wishno,0))="","",INDEX(exp_desc,MATCH(39,exp_wishno,0))))</f>
        <v/>
      </c>
      <c r="C45" s="49">
        <f>IF($A45="","",IF(INDEX(exp_cat,MATCH(39,exp_wishno,0))="","",INDEX(exp_cat,MATCH(39,exp_wishno,0))))</f>
        <v/>
      </c>
      <c r="D45" s="100">
        <f>IF($A45="","",IF(INDEX(exp_prio,MATCH(39,exp_wishno,0))="","",INDEX(exp_prio,MATCH(39,exp_wishno,0))))</f>
        <v/>
      </c>
      <c r="E45" s="100">
        <f>IF($A45="","",IF(INDEX(exp_year,MATCH(39,exp_wishno,0))="","",INDEX(exp_year,MATCH(39,exp_wishno,0))))</f>
        <v/>
      </c>
      <c r="F45" s="100">
        <f>IF($A45="","",IF(INDEX(exp_month,MATCH(39,exp_wishno,0))="","",INDEX(exp_month,MATCH(39,exp_wishno,0))))</f>
        <v/>
      </c>
      <c r="G45" s="101">
        <f>IF($A45="","",IF(INDEX(exp_plan,MATCH(39,exp_wishno,0))="","",INDEX(exp_plan,MATCH(39,exp_wishno,0))))</f>
        <v/>
      </c>
      <c r="H45" s="102">
        <f>IF($A45="","",IF(INDEX(exp_fact,MATCH(39,exp_wishno,0))="","",INDEX(exp_fact,MATCH(39,exp_wishno,0))))</f>
        <v/>
      </c>
      <c r="I45" s="49">
        <f>IF($A45="","",IF(INDEX(exp_status,MATCH(39,exp_wishno,0))="","",INDEX(exp_status,MATCH(39,exp_wishno,0))))</f>
        <v/>
      </c>
    </row>
    <row r="46">
      <c r="A46" s="100">
        <f>IF(ISNA(MATCH(40,exp_wishno,0)),"",40)</f>
        <v/>
      </c>
      <c r="B46" s="49">
        <f>IF($A46="","",IF(INDEX(exp_desc,MATCH(40,exp_wishno,0))="","",INDEX(exp_desc,MATCH(40,exp_wishno,0))))</f>
        <v/>
      </c>
      <c r="C46" s="49">
        <f>IF($A46="","",IF(INDEX(exp_cat,MATCH(40,exp_wishno,0))="","",INDEX(exp_cat,MATCH(40,exp_wishno,0))))</f>
        <v/>
      </c>
      <c r="D46" s="100">
        <f>IF($A46="","",IF(INDEX(exp_prio,MATCH(40,exp_wishno,0))="","",INDEX(exp_prio,MATCH(40,exp_wishno,0))))</f>
        <v/>
      </c>
      <c r="E46" s="100">
        <f>IF($A46="","",IF(INDEX(exp_year,MATCH(40,exp_wishno,0))="","",INDEX(exp_year,MATCH(40,exp_wishno,0))))</f>
        <v/>
      </c>
      <c r="F46" s="100">
        <f>IF($A46="","",IF(INDEX(exp_month,MATCH(40,exp_wishno,0))="","",INDEX(exp_month,MATCH(40,exp_wishno,0))))</f>
        <v/>
      </c>
      <c r="G46" s="101">
        <f>IF($A46="","",IF(INDEX(exp_plan,MATCH(40,exp_wishno,0))="","",INDEX(exp_plan,MATCH(40,exp_wishno,0))))</f>
        <v/>
      </c>
      <c r="H46" s="102">
        <f>IF($A46="","",IF(INDEX(exp_fact,MATCH(40,exp_wishno,0))="","",INDEX(exp_fact,MATCH(40,exp_wishno,0))))</f>
        <v/>
      </c>
      <c r="I46" s="49">
        <f>IF($A46="","",IF(INDEX(exp_status,MATCH(40,exp_wishno,0))="","",INDEX(exp_status,MATCH(40,exp_wishno,0))))</f>
        <v/>
      </c>
    </row>
    <row r="47">
      <c r="A47" s="100">
        <f>IF(ISNA(MATCH(41,exp_wishno,0)),"",41)</f>
        <v/>
      </c>
      <c r="B47" s="49">
        <f>IF($A47="","",IF(INDEX(exp_desc,MATCH(41,exp_wishno,0))="","",INDEX(exp_desc,MATCH(41,exp_wishno,0))))</f>
        <v/>
      </c>
      <c r="C47" s="49">
        <f>IF($A47="","",IF(INDEX(exp_cat,MATCH(41,exp_wishno,0))="","",INDEX(exp_cat,MATCH(41,exp_wishno,0))))</f>
        <v/>
      </c>
      <c r="D47" s="100">
        <f>IF($A47="","",IF(INDEX(exp_prio,MATCH(41,exp_wishno,0))="","",INDEX(exp_prio,MATCH(41,exp_wishno,0))))</f>
        <v/>
      </c>
      <c r="E47" s="100">
        <f>IF($A47="","",IF(INDEX(exp_year,MATCH(41,exp_wishno,0))="","",INDEX(exp_year,MATCH(41,exp_wishno,0))))</f>
        <v/>
      </c>
      <c r="F47" s="100">
        <f>IF($A47="","",IF(INDEX(exp_month,MATCH(41,exp_wishno,0))="","",INDEX(exp_month,MATCH(41,exp_wishno,0))))</f>
        <v/>
      </c>
      <c r="G47" s="101">
        <f>IF($A47="","",IF(INDEX(exp_plan,MATCH(41,exp_wishno,0))="","",INDEX(exp_plan,MATCH(41,exp_wishno,0))))</f>
        <v/>
      </c>
      <c r="H47" s="102">
        <f>IF($A47="","",IF(INDEX(exp_fact,MATCH(41,exp_wishno,0))="","",INDEX(exp_fact,MATCH(41,exp_wishno,0))))</f>
        <v/>
      </c>
      <c r="I47" s="49">
        <f>IF($A47="","",IF(INDEX(exp_status,MATCH(41,exp_wishno,0))="","",INDEX(exp_status,MATCH(41,exp_wishno,0))))</f>
        <v/>
      </c>
    </row>
    <row r="48">
      <c r="A48" s="100">
        <f>IF(ISNA(MATCH(42,exp_wishno,0)),"",42)</f>
        <v/>
      </c>
      <c r="B48" s="49">
        <f>IF($A48="","",IF(INDEX(exp_desc,MATCH(42,exp_wishno,0))="","",INDEX(exp_desc,MATCH(42,exp_wishno,0))))</f>
        <v/>
      </c>
      <c r="C48" s="49">
        <f>IF($A48="","",IF(INDEX(exp_cat,MATCH(42,exp_wishno,0))="","",INDEX(exp_cat,MATCH(42,exp_wishno,0))))</f>
        <v/>
      </c>
      <c r="D48" s="100">
        <f>IF($A48="","",IF(INDEX(exp_prio,MATCH(42,exp_wishno,0))="","",INDEX(exp_prio,MATCH(42,exp_wishno,0))))</f>
        <v/>
      </c>
      <c r="E48" s="100">
        <f>IF($A48="","",IF(INDEX(exp_year,MATCH(42,exp_wishno,0))="","",INDEX(exp_year,MATCH(42,exp_wishno,0))))</f>
        <v/>
      </c>
      <c r="F48" s="100">
        <f>IF($A48="","",IF(INDEX(exp_month,MATCH(42,exp_wishno,0))="","",INDEX(exp_month,MATCH(42,exp_wishno,0))))</f>
        <v/>
      </c>
      <c r="G48" s="101">
        <f>IF($A48="","",IF(INDEX(exp_plan,MATCH(42,exp_wishno,0))="","",INDEX(exp_plan,MATCH(42,exp_wishno,0))))</f>
        <v/>
      </c>
      <c r="H48" s="102">
        <f>IF($A48="","",IF(INDEX(exp_fact,MATCH(42,exp_wishno,0))="","",INDEX(exp_fact,MATCH(42,exp_wishno,0))))</f>
        <v/>
      </c>
      <c r="I48" s="49">
        <f>IF($A48="","",IF(INDEX(exp_status,MATCH(42,exp_wishno,0))="","",INDEX(exp_status,MATCH(42,exp_wishno,0))))</f>
        <v/>
      </c>
    </row>
    <row r="49">
      <c r="A49" s="100">
        <f>IF(ISNA(MATCH(43,exp_wishno,0)),"",43)</f>
        <v/>
      </c>
      <c r="B49" s="49">
        <f>IF($A49="","",IF(INDEX(exp_desc,MATCH(43,exp_wishno,0))="","",INDEX(exp_desc,MATCH(43,exp_wishno,0))))</f>
        <v/>
      </c>
      <c r="C49" s="49">
        <f>IF($A49="","",IF(INDEX(exp_cat,MATCH(43,exp_wishno,0))="","",INDEX(exp_cat,MATCH(43,exp_wishno,0))))</f>
        <v/>
      </c>
      <c r="D49" s="100">
        <f>IF($A49="","",IF(INDEX(exp_prio,MATCH(43,exp_wishno,0))="","",INDEX(exp_prio,MATCH(43,exp_wishno,0))))</f>
        <v/>
      </c>
      <c r="E49" s="100">
        <f>IF($A49="","",IF(INDEX(exp_year,MATCH(43,exp_wishno,0))="","",INDEX(exp_year,MATCH(43,exp_wishno,0))))</f>
        <v/>
      </c>
      <c r="F49" s="100">
        <f>IF($A49="","",IF(INDEX(exp_month,MATCH(43,exp_wishno,0))="","",INDEX(exp_month,MATCH(43,exp_wishno,0))))</f>
        <v/>
      </c>
      <c r="G49" s="101">
        <f>IF($A49="","",IF(INDEX(exp_plan,MATCH(43,exp_wishno,0))="","",INDEX(exp_plan,MATCH(43,exp_wishno,0))))</f>
        <v/>
      </c>
      <c r="H49" s="102">
        <f>IF($A49="","",IF(INDEX(exp_fact,MATCH(43,exp_wishno,0))="","",INDEX(exp_fact,MATCH(43,exp_wishno,0))))</f>
        <v/>
      </c>
      <c r="I49" s="49">
        <f>IF($A49="","",IF(INDEX(exp_status,MATCH(43,exp_wishno,0))="","",INDEX(exp_status,MATCH(43,exp_wishno,0))))</f>
        <v/>
      </c>
    </row>
    <row r="50">
      <c r="A50" s="100">
        <f>IF(ISNA(MATCH(44,exp_wishno,0)),"",44)</f>
        <v/>
      </c>
      <c r="B50" s="49">
        <f>IF($A50="","",IF(INDEX(exp_desc,MATCH(44,exp_wishno,0))="","",INDEX(exp_desc,MATCH(44,exp_wishno,0))))</f>
        <v/>
      </c>
      <c r="C50" s="49">
        <f>IF($A50="","",IF(INDEX(exp_cat,MATCH(44,exp_wishno,0))="","",INDEX(exp_cat,MATCH(44,exp_wishno,0))))</f>
        <v/>
      </c>
      <c r="D50" s="100">
        <f>IF($A50="","",IF(INDEX(exp_prio,MATCH(44,exp_wishno,0))="","",INDEX(exp_prio,MATCH(44,exp_wishno,0))))</f>
        <v/>
      </c>
      <c r="E50" s="100">
        <f>IF($A50="","",IF(INDEX(exp_year,MATCH(44,exp_wishno,0))="","",INDEX(exp_year,MATCH(44,exp_wishno,0))))</f>
        <v/>
      </c>
      <c r="F50" s="100">
        <f>IF($A50="","",IF(INDEX(exp_month,MATCH(44,exp_wishno,0))="","",INDEX(exp_month,MATCH(44,exp_wishno,0))))</f>
        <v/>
      </c>
      <c r="G50" s="101">
        <f>IF($A50="","",IF(INDEX(exp_plan,MATCH(44,exp_wishno,0))="","",INDEX(exp_plan,MATCH(44,exp_wishno,0))))</f>
        <v/>
      </c>
      <c r="H50" s="102">
        <f>IF($A50="","",IF(INDEX(exp_fact,MATCH(44,exp_wishno,0))="","",INDEX(exp_fact,MATCH(44,exp_wishno,0))))</f>
        <v/>
      </c>
      <c r="I50" s="49">
        <f>IF($A50="","",IF(INDEX(exp_status,MATCH(44,exp_wishno,0))="","",INDEX(exp_status,MATCH(44,exp_wishno,0))))</f>
        <v/>
      </c>
    </row>
    <row r="51">
      <c r="A51" s="100">
        <f>IF(ISNA(MATCH(45,exp_wishno,0)),"",45)</f>
        <v/>
      </c>
      <c r="B51" s="49">
        <f>IF($A51="","",IF(INDEX(exp_desc,MATCH(45,exp_wishno,0))="","",INDEX(exp_desc,MATCH(45,exp_wishno,0))))</f>
        <v/>
      </c>
      <c r="C51" s="49">
        <f>IF($A51="","",IF(INDEX(exp_cat,MATCH(45,exp_wishno,0))="","",INDEX(exp_cat,MATCH(45,exp_wishno,0))))</f>
        <v/>
      </c>
      <c r="D51" s="100">
        <f>IF($A51="","",IF(INDEX(exp_prio,MATCH(45,exp_wishno,0))="","",INDEX(exp_prio,MATCH(45,exp_wishno,0))))</f>
        <v/>
      </c>
      <c r="E51" s="100">
        <f>IF($A51="","",IF(INDEX(exp_year,MATCH(45,exp_wishno,0))="","",INDEX(exp_year,MATCH(45,exp_wishno,0))))</f>
        <v/>
      </c>
      <c r="F51" s="100">
        <f>IF($A51="","",IF(INDEX(exp_month,MATCH(45,exp_wishno,0))="","",INDEX(exp_month,MATCH(45,exp_wishno,0))))</f>
        <v/>
      </c>
      <c r="G51" s="101">
        <f>IF($A51="","",IF(INDEX(exp_plan,MATCH(45,exp_wishno,0))="","",INDEX(exp_plan,MATCH(45,exp_wishno,0))))</f>
        <v/>
      </c>
      <c r="H51" s="102">
        <f>IF($A51="","",IF(INDEX(exp_fact,MATCH(45,exp_wishno,0))="","",INDEX(exp_fact,MATCH(45,exp_wishno,0))))</f>
        <v/>
      </c>
      <c r="I51" s="49">
        <f>IF($A51="","",IF(INDEX(exp_status,MATCH(45,exp_wishno,0))="","",INDEX(exp_status,MATCH(45,exp_wishno,0))))</f>
        <v/>
      </c>
    </row>
    <row r="52">
      <c r="A52" s="100">
        <f>IF(ISNA(MATCH(46,exp_wishno,0)),"",46)</f>
        <v/>
      </c>
      <c r="B52" s="49">
        <f>IF($A52="","",IF(INDEX(exp_desc,MATCH(46,exp_wishno,0))="","",INDEX(exp_desc,MATCH(46,exp_wishno,0))))</f>
        <v/>
      </c>
      <c r="C52" s="49">
        <f>IF($A52="","",IF(INDEX(exp_cat,MATCH(46,exp_wishno,0))="","",INDEX(exp_cat,MATCH(46,exp_wishno,0))))</f>
        <v/>
      </c>
      <c r="D52" s="100">
        <f>IF($A52="","",IF(INDEX(exp_prio,MATCH(46,exp_wishno,0))="","",INDEX(exp_prio,MATCH(46,exp_wishno,0))))</f>
        <v/>
      </c>
      <c r="E52" s="100">
        <f>IF($A52="","",IF(INDEX(exp_year,MATCH(46,exp_wishno,0))="","",INDEX(exp_year,MATCH(46,exp_wishno,0))))</f>
        <v/>
      </c>
      <c r="F52" s="100">
        <f>IF($A52="","",IF(INDEX(exp_month,MATCH(46,exp_wishno,0))="","",INDEX(exp_month,MATCH(46,exp_wishno,0))))</f>
        <v/>
      </c>
      <c r="G52" s="101">
        <f>IF($A52="","",IF(INDEX(exp_plan,MATCH(46,exp_wishno,0))="","",INDEX(exp_plan,MATCH(46,exp_wishno,0))))</f>
        <v/>
      </c>
      <c r="H52" s="102">
        <f>IF($A52="","",IF(INDEX(exp_fact,MATCH(46,exp_wishno,0))="","",INDEX(exp_fact,MATCH(46,exp_wishno,0))))</f>
        <v/>
      </c>
      <c r="I52" s="49">
        <f>IF($A52="","",IF(INDEX(exp_status,MATCH(46,exp_wishno,0))="","",INDEX(exp_status,MATCH(46,exp_wishno,0))))</f>
        <v/>
      </c>
    </row>
    <row r="53">
      <c r="A53" s="100">
        <f>IF(ISNA(MATCH(47,exp_wishno,0)),"",47)</f>
        <v/>
      </c>
      <c r="B53" s="49">
        <f>IF($A53="","",IF(INDEX(exp_desc,MATCH(47,exp_wishno,0))="","",INDEX(exp_desc,MATCH(47,exp_wishno,0))))</f>
        <v/>
      </c>
      <c r="C53" s="49">
        <f>IF($A53="","",IF(INDEX(exp_cat,MATCH(47,exp_wishno,0))="","",INDEX(exp_cat,MATCH(47,exp_wishno,0))))</f>
        <v/>
      </c>
      <c r="D53" s="100">
        <f>IF($A53="","",IF(INDEX(exp_prio,MATCH(47,exp_wishno,0))="","",INDEX(exp_prio,MATCH(47,exp_wishno,0))))</f>
        <v/>
      </c>
      <c r="E53" s="100">
        <f>IF($A53="","",IF(INDEX(exp_year,MATCH(47,exp_wishno,0))="","",INDEX(exp_year,MATCH(47,exp_wishno,0))))</f>
        <v/>
      </c>
      <c r="F53" s="100">
        <f>IF($A53="","",IF(INDEX(exp_month,MATCH(47,exp_wishno,0))="","",INDEX(exp_month,MATCH(47,exp_wishno,0))))</f>
        <v/>
      </c>
      <c r="G53" s="101">
        <f>IF($A53="","",IF(INDEX(exp_plan,MATCH(47,exp_wishno,0))="","",INDEX(exp_plan,MATCH(47,exp_wishno,0))))</f>
        <v/>
      </c>
      <c r="H53" s="102">
        <f>IF($A53="","",IF(INDEX(exp_fact,MATCH(47,exp_wishno,0))="","",INDEX(exp_fact,MATCH(47,exp_wishno,0))))</f>
        <v/>
      </c>
      <c r="I53" s="49">
        <f>IF($A53="","",IF(INDEX(exp_status,MATCH(47,exp_wishno,0))="","",INDEX(exp_status,MATCH(47,exp_wishno,0))))</f>
        <v/>
      </c>
    </row>
    <row r="54">
      <c r="A54" s="100">
        <f>IF(ISNA(MATCH(48,exp_wishno,0)),"",48)</f>
        <v/>
      </c>
      <c r="B54" s="49">
        <f>IF($A54="","",IF(INDEX(exp_desc,MATCH(48,exp_wishno,0))="","",INDEX(exp_desc,MATCH(48,exp_wishno,0))))</f>
        <v/>
      </c>
      <c r="C54" s="49">
        <f>IF($A54="","",IF(INDEX(exp_cat,MATCH(48,exp_wishno,0))="","",INDEX(exp_cat,MATCH(48,exp_wishno,0))))</f>
        <v/>
      </c>
      <c r="D54" s="100">
        <f>IF($A54="","",IF(INDEX(exp_prio,MATCH(48,exp_wishno,0))="","",INDEX(exp_prio,MATCH(48,exp_wishno,0))))</f>
        <v/>
      </c>
      <c r="E54" s="100">
        <f>IF($A54="","",IF(INDEX(exp_year,MATCH(48,exp_wishno,0))="","",INDEX(exp_year,MATCH(48,exp_wishno,0))))</f>
        <v/>
      </c>
      <c r="F54" s="100">
        <f>IF($A54="","",IF(INDEX(exp_month,MATCH(48,exp_wishno,0))="","",INDEX(exp_month,MATCH(48,exp_wishno,0))))</f>
        <v/>
      </c>
      <c r="G54" s="101">
        <f>IF($A54="","",IF(INDEX(exp_plan,MATCH(48,exp_wishno,0))="","",INDEX(exp_plan,MATCH(48,exp_wishno,0))))</f>
        <v/>
      </c>
      <c r="H54" s="102">
        <f>IF($A54="","",IF(INDEX(exp_fact,MATCH(48,exp_wishno,0))="","",INDEX(exp_fact,MATCH(48,exp_wishno,0))))</f>
        <v/>
      </c>
      <c r="I54" s="49">
        <f>IF($A54="","",IF(INDEX(exp_status,MATCH(48,exp_wishno,0))="","",INDEX(exp_status,MATCH(48,exp_wishno,0))))</f>
        <v/>
      </c>
    </row>
    <row r="55">
      <c r="A55" s="100">
        <f>IF(ISNA(MATCH(49,exp_wishno,0)),"",49)</f>
        <v/>
      </c>
      <c r="B55" s="49">
        <f>IF($A55="","",IF(INDEX(exp_desc,MATCH(49,exp_wishno,0))="","",INDEX(exp_desc,MATCH(49,exp_wishno,0))))</f>
        <v/>
      </c>
      <c r="C55" s="49">
        <f>IF($A55="","",IF(INDEX(exp_cat,MATCH(49,exp_wishno,0))="","",INDEX(exp_cat,MATCH(49,exp_wishno,0))))</f>
        <v/>
      </c>
      <c r="D55" s="100">
        <f>IF($A55="","",IF(INDEX(exp_prio,MATCH(49,exp_wishno,0))="","",INDEX(exp_prio,MATCH(49,exp_wishno,0))))</f>
        <v/>
      </c>
      <c r="E55" s="100">
        <f>IF($A55="","",IF(INDEX(exp_year,MATCH(49,exp_wishno,0))="","",INDEX(exp_year,MATCH(49,exp_wishno,0))))</f>
        <v/>
      </c>
      <c r="F55" s="100">
        <f>IF($A55="","",IF(INDEX(exp_month,MATCH(49,exp_wishno,0))="","",INDEX(exp_month,MATCH(49,exp_wishno,0))))</f>
        <v/>
      </c>
      <c r="G55" s="101">
        <f>IF($A55="","",IF(INDEX(exp_plan,MATCH(49,exp_wishno,0))="","",INDEX(exp_plan,MATCH(49,exp_wishno,0))))</f>
        <v/>
      </c>
      <c r="H55" s="102">
        <f>IF($A55="","",IF(INDEX(exp_fact,MATCH(49,exp_wishno,0))="","",INDEX(exp_fact,MATCH(49,exp_wishno,0))))</f>
        <v/>
      </c>
      <c r="I55" s="49">
        <f>IF($A55="","",IF(INDEX(exp_status,MATCH(49,exp_wishno,0))="","",INDEX(exp_status,MATCH(49,exp_wishno,0))))</f>
        <v/>
      </c>
    </row>
    <row r="56">
      <c r="A56" s="100">
        <f>IF(ISNA(MATCH(50,exp_wishno,0)),"",50)</f>
        <v/>
      </c>
      <c r="B56" s="49">
        <f>IF($A56="","",IF(INDEX(exp_desc,MATCH(50,exp_wishno,0))="","",INDEX(exp_desc,MATCH(50,exp_wishno,0))))</f>
        <v/>
      </c>
      <c r="C56" s="49">
        <f>IF($A56="","",IF(INDEX(exp_cat,MATCH(50,exp_wishno,0))="","",INDEX(exp_cat,MATCH(50,exp_wishno,0))))</f>
        <v/>
      </c>
      <c r="D56" s="100">
        <f>IF($A56="","",IF(INDEX(exp_prio,MATCH(50,exp_wishno,0))="","",INDEX(exp_prio,MATCH(50,exp_wishno,0))))</f>
        <v/>
      </c>
      <c r="E56" s="100">
        <f>IF($A56="","",IF(INDEX(exp_year,MATCH(50,exp_wishno,0))="","",INDEX(exp_year,MATCH(50,exp_wishno,0))))</f>
        <v/>
      </c>
      <c r="F56" s="100">
        <f>IF($A56="","",IF(INDEX(exp_month,MATCH(50,exp_wishno,0))="","",INDEX(exp_month,MATCH(50,exp_wishno,0))))</f>
        <v/>
      </c>
      <c r="G56" s="101">
        <f>IF($A56="","",IF(INDEX(exp_plan,MATCH(50,exp_wishno,0))="","",INDEX(exp_plan,MATCH(50,exp_wishno,0))))</f>
        <v/>
      </c>
      <c r="H56" s="102">
        <f>IF($A56="","",IF(INDEX(exp_fact,MATCH(50,exp_wishno,0))="","",INDEX(exp_fact,MATCH(50,exp_wishno,0))))</f>
        <v/>
      </c>
      <c r="I56" s="49">
        <f>IF($A56="","",IF(INDEX(exp_status,MATCH(50,exp_wishno,0))="","",INDEX(exp_status,MATCH(50,exp_wishno,0))))</f>
        <v/>
      </c>
    </row>
    <row r="57">
      <c r="A57" s="100">
        <f>IF(ISNA(MATCH(51,exp_wishno,0)),"",51)</f>
        <v/>
      </c>
      <c r="B57" s="49">
        <f>IF($A57="","",IF(INDEX(exp_desc,MATCH(51,exp_wishno,0))="","",INDEX(exp_desc,MATCH(51,exp_wishno,0))))</f>
        <v/>
      </c>
      <c r="C57" s="49">
        <f>IF($A57="","",IF(INDEX(exp_cat,MATCH(51,exp_wishno,0))="","",INDEX(exp_cat,MATCH(51,exp_wishno,0))))</f>
        <v/>
      </c>
      <c r="D57" s="100">
        <f>IF($A57="","",IF(INDEX(exp_prio,MATCH(51,exp_wishno,0))="","",INDEX(exp_prio,MATCH(51,exp_wishno,0))))</f>
        <v/>
      </c>
      <c r="E57" s="100">
        <f>IF($A57="","",IF(INDEX(exp_year,MATCH(51,exp_wishno,0))="","",INDEX(exp_year,MATCH(51,exp_wishno,0))))</f>
        <v/>
      </c>
      <c r="F57" s="100">
        <f>IF($A57="","",IF(INDEX(exp_month,MATCH(51,exp_wishno,0))="","",INDEX(exp_month,MATCH(51,exp_wishno,0))))</f>
        <v/>
      </c>
      <c r="G57" s="101">
        <f>IF($A57="","",IF(INDEX(exp_plan,MATCH(51,exp_wishno,0))="","",INDEX(exp_plan,MATCH(51,exp_wishno,0))))</f>
        <v/>
      </c>
      <c r="H57" s="102">
        <f>IF($A57="","",IF(INDEX(exp_fact,MATCH(51,exp_wishno,0))="","",INDEX(exp_fact,MATCH(51,exp_wishno,0))))</f>
        <v/>
      </c>
      <c r="I57" s="49">
        <f>IF($A57="","",IF(INDEX(exp_status,MATCH(51,exp_wishno,0))="","",INDEX(exp_status,MATCH(51,exp_wishno,0))))</f>
        <v/>
      </c>
    </row>
    <row r="58">
      <c r="A58" s="100">
        <f>IF(ISNA(MATCH(52,exp_wishno,0)),"",52)</f>
        <v/>
      </c>
      <c r="B58" s="49">
        <f>IF($A58="","",IF(INDEX(exp_desc,MATCH(52,exp_wishno,0))="","",INDEX(exp_desc,MATCH(52,exp_wishno,0))))</f>
        <v/>
      </c>
      <c r="C58" s="49">
        <f>IF($A58="","",IF(INDEX(exp_cat,MATCH(52,exp_wishno,0))="","",INDEX(exp_cat,MATCH(52,exp_wishno,0))))</f>
        <v/>
      </c>
      <c r="D58" s="100">
        <f>IF($A58="","",IF(INDEX(exp_prio,MATCH(52,exp_wishno,0))="","",INDEX(exp_prio,MATCH(52,exp_wishno,0))))</f>
        <v/>
      </c>
      <c r="E58" s="100">
        <f>IF($A58="","",IF(INDEX(exp_year,MATCH(52,exp_wishno,0))="","",INDEX(exp_year,MATCH(52,exp_wishno,0))))</f>
        <v/>
      </c>
      <c r="F58" s="100">
        <f>IF($A58="","",IF(INDEX(exp_month,MATCH(52,exp_wishno,0))="","",INDEX(exp_month,MATCH(52,exp_wishno,0))))</f>
        <v/>
      </c>
      <c r="G58" s="101">
        <f>IF($A58="","",IF(INDEX(exp_plan,MATCH(52,exp_wishno,0))="","",INDEX(exp_plan,MATCH(52,exp_wishno,0))))</f>
        <v/>
      </c>
      <c r="H58" s="102">
        <f>IF($A58="","",IF(INDEX(exp_fact,MATCH(52,exp_wishno,0))="","",INDEX(exp_fact,MATCH(52,exp_wishno,0))))</f>
        <v/>
      </c>
      <c r="I58" s="49">
        <f>IF($A58="","",IF(INDEX(exp_status,MATCH(52,exp_wishno,0))="","",INDEX(exp_status,MATCH(52,exp_wishno,0))))</f>
        <v/>
      </c>
    </row>
    <row r="59">
      <c r="A59" s="100">
        <f>IF(ISNA(MATCH(53,exp_wishno,0)),"",53)</f>
        <v/>
      </c>
      <c r="B59" s="49">
        <f>IF($A59="","",IF(INDEX(exp_desc,MATCH(53,exp_wishno,0))="","",INDEX(exp_desc,MATCH(53,exp_wishno,0))))</f>
        <v/>
      </c>
      <c r="C59" s="49">
        <f>IF($A59="","",IF(INDEX(exp_cat,MATCH(53,exp_wishno,0))="","",INDEX(exp_cat,MATCH(53,exp_wishno,0))))</f>
        <v/>
      </c>
      <c r="D59" s="100">
        <f>IF($A59="","",IF(INDEX(exp_prio,MATCH(53,exp_wishno,0))="","",INDEX(exp_prio,MATCH(53,exp_wishno,0))))</f>
        <v/>
      </c>
      <c r="E59" s="100">
        <f>IF($A59="","",IF(INDEX(exp_year,MATCH(53,exp_wishno,0))="","",INDEX(exp_year,MATCH(53,exp_wishno,0))))</f>
        <v/>
      </c>
      <c r="F59" s="100">
        <f>IF($A59="","",IF(INDEX(exp_month,MATCH(53,exp_wishno,0))="","",INDEX(exp_month,MATCH(53,exp_wishno,0))))</f>
        <v/>
      </c>
      <c r="G59" s="101">
        <f>IF($A59="","",IF(INDEX(exp_plan,MATCH(53,exp_wishno,0))="","",INDEX(exp_plan,MATCH(53,exp_wishno,0))))</f>
        <v/>
      </c>
      <c r="H59" s="102">
        <f>IF($A59="","",IF(INDEX(exp_fact,MATCH(53,exp_wishno,0))="","",INDEX(exp_fact,MATCH(53,exp_wishno,0))))</f>
        <v/>
      </c>
      <c r="I59" s="49">
        <f>IF($A59="","",IF(INDEX(exp_status,MATCH(53,exp_wishno,0))="","",INDEX(exp_status,MATCH(53,exp_wishno,0))))</f>
        <v/>
      </c>
    </row>
    <row r="60">
      <c r="A60" s="100">
        <f>IF(ISNA(MATCH(54,exp_wishno,0)),"",54)</f>
        <v/>
      </c>
      <c r="B60" s="49">
        <f>IF($A60="","",IF(INDEX(exp_desc,MATCH(54,exp_wishno,0))="","",INDEX(exp_desc,MATCH(54,exp_wishno,0))))</f>
        <v/>
      </c>
      <c r="C60" s="49">
        <f>IF($A60="","",IF(INDEX(exp_cat,MATCH(54,exp_wishno,0))="","",INDEX(exp_cat,MATCH(54,exp_wishno,0))))</f>
        <v/>
      </c>
      <c r="D60" s="100">
        <f>IF($A60="","",IF(INDEX(exp_prio,MATCH(54,exp_wishno,0))="","",INDEX(exp_prio,MATCH(54,exp_wishno,0))))</f>
        <v/>
      </c>
      <c r="E60" s="100">
        <f>IF($A60="","",IF(INDEX(exp_year,MATCH(54,exp_wishno,0))="","",INDEX(exp_year,MATCH(54,exp_wishno,0))))</f>
        <v/>
      </c>
      <c r="F60" s="100">
        <f>IF($A60="","",IF(INDEX(exp_month,MATCH(54,exp_wishno,0))="","",INDEX(exp_month,MATCH(54,exp_wishno,0))))</f>
        <v/>
      </c>
      <c r="G60" s="101">
        <f>IF($A60="","",IF(INDEX(exp_plan,MATCH(54,exp_wishno,0))="","",INDEX(exp_plan,MATCH(54,exp_wishno,0))))</f>
        <v/>
      </c>
      <c r="H60" s="102">
        <f>IF($A60="","",IF(INDEX(exp_fact,MATCH(54,exp_wishno,0))="","",INDEX(exp_fact,MATCH(54,exp_wishno,0))))</f>
        <v/>
      </c>
      <c r="I60" s="49">
        <f>IF($A60="","",IF(INDEX(exp_status,MATCH(54,exp_wishno,0))="","",INDEX(exp_status,MATCH(54,exp_wishno,0))))</f>
        <v/>
      </c>
    </row>
    <row r="61">
      <c r="A61" s="100">
        <f>IF(ISNA(MATCH(55,exp_wishno,0)),"",55)</f>
        <v/>
      </c>
      <c r="B61" s="49">
        <f>IF($A61="","",IF(INDEX(exp_desc,MATCH(55,exp_wishno,0))="","",INDEX(exp_desc,MATCH(55,exp_wishno,0))))</f>
        <v/>
      </c>
      <c r="C61" s="49">
        <f>IF($A61="","",IF(INDEX(exp_cat,MATCH(55,exp_wishno,0))="","",INDEX(exp_cat,MATCH(55,exp_wishno,0))))</f>
        <v/>
      </c>
      <c r="D61" s="100">
        <f>IF($A61="","",IF(INDEX(exp_prio,MATCH(55,exp_wishno,0))="","",INDEX(exp_prio,MATCH(55,exp_wishno,0))))</f>
        <v/>
      </c>
      <c r="E61" s="100">
        <f>IF($A61="","",IF(INDEX(exp_year,MATCH(55,exp_wishno,0))="","",INDEX(exp_year,MATCH(55,exp_wishno,0))))</f>
        <v/>
      </c>
      <c r="F61" s="100">
        <f>IF($A61="","",IF(INDEX(exp_month,MATCH(55,exp_wishno,0))="","",INDEX(exp_month,MATCH(55,exp_wishno,0))))</f>
        <v/>
      </c>
      <c r="G61" s="101">
        <f>IF($A61="","",IF(INDEX(exp_plan,MATCH(55,exp_wishno,0))="","",INDEX(exp_plan,MATCH(55,exp_wishno,0))))</f>
        <v/>
      </c>
      <c r="H61" s="102">
        <f>IF($A61="","",IF(INDEX(exp_fact,MATCH(55,exp_wishno,0))="","",INDEX(exp_fact,MATCH(55,exp_wishno,0))))</f>
        <v/>
      </c>
      <c r="I61" s="49">
        <f>IF($A61="","",IF(INDEX(exp_status,MATCH(55,exp_wishno,0))="","",INDEX(exp_status,MATCH(55,exp_wishno,0))))</f>
        <v/>
      </c>
    </row>
    <row r="62">
      <c r="A62" s="100">
        <f>IF(ISNA(MATCH(56,exp_wishno,0)),"",56)</f>
        <v/>
      </c>
      <c r="B62" s="49">
        <f>IF($A62="","",IF(INDEX(exp_desc,MATCH(56,exp_wishno,0))="","",INDEX(exp_desc,MATCH(56,exp_wishno,0))))</f>
        <v/>
      </c>
      <c r="C62" s="49">
        <f>IF($A62="","",IF(INDEX(exp_cat,MATCH(56,exp_wishno,0))="","",INDEX(exp_cat,MATCH(56,exp_wishno,0))))</f>
        <v/>
      </c>
      <c r="D62" s="100">
        <f>IF($A62="","",IF(INDEX(exp_prio,MATCH(56,exp_wishno,0))="","",INDEX(exp_prio,MATCH(56,exp_wishno,0))))</f>
        <v/>
      </c>
      <c r="E62" s="100">
        <f>IF($A62="","",IF(INDEX(exp_year,MATCH(56,exp_wishno,0))="","",INDEX(exp_year,MATCH(56,exp_wishno,0))))</f>
        <v/>
      </c>
      <c r="F62" s="100">
        <f>IF($A62="","",IF(INDEX(exp_month,MATCH(56,exp_wishno,0))="","",INDEX(exp_month,MATCH(56,exp_wishno,0))))</f>
        <v/>
      </c>
      <c r="G62" s="101">
        <f>IF($A62="","",IF(INDEX(exp_plan,MATCH(56,exp_wishno,0))="","",INDEX(exp_plan,MATCH(56,exp_wishno,0))))</f>
        <v/>
      </c>
      <c r="H62" s="102">
        <f>IF($A62="","",IF(INDEX(exp_fact,MATCH(56,exp_wishno,0))="","",INDEX(exp_fact,MATCH(56,exp_wishno,0))))</f>
        <v/>
      </c>
      <c r="I62" s="49">
        <f>IF($A62="","",IF(INDEX(exp_status,MATCH(56,exp_wishno,0))="","",INDEX(exp_status,MATCH(56,exp_wishno,0))))</f>
        <v/>
      </c>
    </row>
    <row r="63">
      <c r="A63" s="100">
        <f>IF(ISNA(MATCH(57,exp_wishno,0)),"",57)</f>
        <v/>
      </c>
      <c r="B63" s="49">
        <f>IF($A63="","",IF(INDEX(exp_desc,MATCH(57,exp_wishno,0))="","",INDEX(exp_desc,MATCH(57,exp_wishno,0))))</f>
        <v/>
      </c>
      <c r="C63" s="49">
        <f>IF($A63="","",IF(INDEX(exp_cat,MATCH(57,exp_wishno,0))="","",INDEX(exp_cat,MATCH(57,exp_wishno,0))))</f>
        <v/>
      </c>
      <c r="D63" s="100">
        <f>IF($A63="","",IF(INDEX(exp_prio,MATCH(57,exp_wishno,0))="","",INDEX(exp_prio,MATCH(57,exp_wishno,0))))</f>
        <v/>
      </c>
      <c r="E63" s="100">
        <f>IF($A63="","",IF(INDEX(exp_year,MATCH(57,exp_wishno,0))="","",INDEX(exp_year,MATCH(57,exp_wishno,0))))</f>
        <v/>
      </c>
      <c r="F63" s="100">
        <f>IF($A63="","",IF(INDEX(exp_month,MATCH(57,exp_wishno,0))="","",INDEX(exp_month,MATCH(57,exp_wishno,0))))</f>
        <v/>
      </c>
      <c r="G63" s="101">
        <f>IF($A63="","",IF(INDEX(exp_plan,MATCH(57,exp_wishno,0))="","",INDEX(exp_plan,MATCH(57,exp_wishno,0))))</f>
        <v/>
      </c>
      <c r="H63" s="102">
        <f>IF($A63="","",IF(INDEX(exp_fact,MATCH(57,exp_wishno,0))="","",INDEX(exp_fact,MATCH(57,exp_wishno,0))))</f>
        <v/>
      </c>
      <c r="I63" s="49">
        <f>IF($A63="","",IF(INDEX(exp_status,MATCH(57,exp_wishno,0))="","",INDEX(exp_status,MATCH(57,exp_wishno,0))))</f>
        <v/>
      </c>
    </row>
    <row r="64">
      <c r="A64" s="100">
        <f>IF(ISNA(MATCH(58,exp_wishno,0)),"",58)</f>
        <v/>
      </c>
      <c r="B64" s="49">
        <f>IF($A64="","",IF(INDEX(exp_desc,MATCH(58,exp_wishno,0))="","",INDEX(exp_desc,MATCH(58,exp_wishno,0))))</f>
        <v/>
      </c>
      <c r="C64" s="49">
        <f>IF($A64="","",IF(INDEX(exp_cat,MATCH(58,exp_wishno,0))="","",INDEX(exp_cat,MATCH(58,exp_wishno,0))))</f>
        <v/>
      </c>
      <c r="D64" s="100">
        <f>IF($A64="","",IF(INDEX(exp_prio,MATCH(58,exp_wishno,0))="","",INDEX(exp_prio,MATCH(58,exp_wishno,0))))</f>
        <v/>
      </c>
      <c r="E64" s="100">
        <f>IF($A64="","",IF(INDEX(exp_year,MATCH(58,exp_wishno,0))="","",INDEX(exp_year,MATCH(58,exp_wishno,0))))</f>
        <v/>
      </c>
      <c r="F64" s="100">
        <f>IF($A64="","",IF(INDEX(exp_month,MATCH(58,exp_wishno,0))="","",INDEX(exp_month,MATCH(58,exp_wishno,0))))</f>
        <v/>
      </c>
      <c r="G64" s="101">
        <f>IF($A64="","",IF(INDEX(exp_plan,MATCH(58,exp_wishno,0))="","",INDEX(exp_plan,MATCH(58,exp_wishno,0))))</f>
        <v/>
      </c>
      <c r="H64" s="102">
        <f>IF($A64="","",IF(INDEX(exp_fact,MATCH(58,exp_wishno,0))="","",INDEX(exp_fact,MATCH(58,exp_wishno,0))))</f>
        <v/>
      </c>
      <c r="I64" s="49">
        <f>IF($A64="","",IF(INDEX(exp_status,MATCH(58,exp_wishno,0))="","",INDEX(exp_status,MATCH(58,exp_wishno,0))))</f>
        <v/>
      </c>
    </row>
    <row r="65">
      <c r="A65" s="100">
        <f>IF(ISNA(MATCH(59,exp_wishno,0)),"",59)</f>
        <v/>
      </c>
      <c r="B65" s="49">
        <f>IF($A65="","",IF(INDEX(exp_desc,MATCH(59,exp_wishno,0))="","",INDEX(exp_desc,MATCH(59,exp_wishno,0))))</f>
        <v/>
      </c>
      <c r="C65" s="49">
        <f>IF($A65="","",IF(INDEX(exp_cat,MATCH(59,exp_wishno,0))="","",INDEX(exp_cat,MATCH(59,exp_wishno,0))))</f>
        <v/>
      </c>
      <c r="D65" s="100">
        <f>IF($A65="","",IF(INDEX(exp_prio,MATCH(59,exp_wishno,0))="","",INDEX(exp_prio,MATCH(59,exp_wishno,0))))</f>
        <v/>
      </c>
      <c r="E65" s="100">
        <f>IF($A65="","",IF(INDEX(exp_year,MATCH(59,exp_wishno,0))="","",INDEX(exp_year,MATCH(59,exp_wishno,0))))</f>
        <v/>
      </c>
      <c r="F65" s="100">
        <f>IF($A65="","",IF(INDEX(exp_month,MATCH(59,exp_wishno,0))="","",INDEX(exp_month,MATCH(59,exp_wishno,0))))</f>
        <v/>
      </c>
      <c r="G65" s="101">
        <f>IF($A65="","",IF(INDEX(exp_plan,MATCH(59,exp_wishno,0))="","",INDEX(exp_plan,MATCH(59,exp_wishno,0))))</f>
        <v/>
      </c>
      <c r="H65" s="102">
        <f>IF($A65="","",IF(INDEX(exp_fact,MATCH(59,exp_wishno,0))="","",INDEX(exp_fact,MATCH(59,exp_wishno,0))))</f>
        <v/>
      </c>
      <c r="I65" s="49">
        <f>IF($A65="","",IF(INDEX(exp_status,MATCH(59,exp_wishno,0))="","",INDEX(exp_status,MATCH(59,exp_wishno,0))))</f>
        <v/>
      </c>
    </row>
    <row r="66">
      <c r="A66" s="100">
        <f>IF(ISNA(MATCH(60,exp_wishno,0)),"",60)</f>
        <v/>
      </c>
      <c r="B66" s="49">
        <f>IF($A66="","",IF(INDEX(exp_desc,MATCH(60,exp_wishno,0))="","",INDEX(exp_desc,MATCH(60,exp_wishno,0))))</f>
        <v/>
      </c>
      <c r="C66" s="49">
        <f>IF($A66="","",IF(INDEX(exp_cat,MATCH(60,exp_wishno,0))="","",INDEX(exp_cat,MATCH(60,exp_wishno,0))))</f>
        <v/>
      </c>
      <c r="D66" s="100">
        <f>IF($A66="","",IF(INDEX(exp_prio,MATCH(60,exp_wishno,0))="","",INDEX(exp_prio,MATCH(60,exp_wishno,0))))</f>
        <v/>
      </c>
      <c r="E66" s="100">
        <f>IF($A66="","",IF(INDEX(exp_year,MATCH(60,exp_wishno,0))="","",INDEX(exp_year,MATCH(60,exp_wishno,0))))</f>
        <v/>
      </c>
      <c r="F66" s="100">
        <f>IF($A66="","",IF(INDEX(exp_month,MATCH(60,exp_wishno,0))="","",INDEX(exp_month,MATCH(60,exp_wishno,0))))</f>
        <v/>
      </c>
      <c r="G66" s="101">
        <f>IF($A66="","",IF(INDEX(exp_plan,MATCH(60,exp_wishno,0))="","",INDEX(exp_plan,MATCH(60,exp_wishno,0))))</f>
        <v/>
      </c>
      <c r="H66" s="102">
        <f>IF($A66="","",IF(INDEX(exp_fact,MATCH(60,exp_wishno,0))="","",INDEX(exp_fact,MATCH(60,exp_wishno,0))))</f>
        <v/>
      </c>
      <c r="I66" s="49">
        <f>IF($A66="","",IF(INDEX(exp_status,MATCH(60,exp_wishno,0))="","",INDEX(exp_status,MATCH(60,exp_wishno,0))))</f>
        <v/>
      </c>
    </row>
    <row r="67">
      <c r="A67" s="100">
        <f>IF(ISNA(MATCH(61,exp_wishno,0)),"",61)</f>
        <v/>
      </c>
      <c r="B67" s="49">
        <f>IF($A67="","",IF(INDEX(exp_desc,MATCH(61,exp_wishno,0))="","",INDEX(exp_desc,MATCH(61,exp_wishno,0))))</f>
        <v/>
      </c>
      <c r="C67" s="49">
        <f>IF($A67="","",IF(INDEX(exp_cat,MATCH(61,exp_wishno,0))="","",INDEX(exp_cat,MATCH(61,exp_wishno,0))))</f>
        <v/>
      </c>
      <c r="D67" s="100">
        <f>IF($A67="","",IF(INDEX(exp_prio,MATCH(61,exp_wishno,0))="","",INDEX(exp_prio,MATCH(61,exp_wishno,0))))</f>
        <v/>
      </c>
      <c r="E67" s="100">
        <f>IF($A67="","",IF(INDEX(exp_year,MATCH(61,exp_wishno,0))="","",INDEX(exp_year,MATCH(61,exp_wishno,0))))</f>
        <v/>
      </c>
      <c r="F67" s="100">
        <f>IF($A67="","",IF(INDEX(exp_month,MATCH(61,exp_wishno,0))="","",INDEX(exp_month,MATCH(61,exp_wishno,0))))</f>
        <v/>
      </c>
      <c r="G67" s="101">
        <f>IF($A67="","",IF(INDEX(exp_plan,MATCH(61,exp_wishno,0))="","",INDEX(exp_plan,MATCH(61,exp_wishno,0))))</f>
        <v/>
      </c>
      <c r="H67" s="102">
        <f>IF($A67="","",IF(INDEX(exp_fact,MATCH(61,exp_wishno,0))="","",INDEX(exp_fact,MATCH(61,exp_wishno,0))))</f>
        <v/>
      </c>
      <c r="I67" s="49">
        <f>IF($A67="","",IF(INDEX(exp_status,MATCH(61,exp_wishno,0))="","",INDEX(exp_status,MATCH(61,exp_wishno,0))))</f>
        <v/>
      </c>
    </row>
    <row r="68">
      <c r="A68" s="100">
        <f>IF(ISNA(MATCH(62,exp_wishno,0)),"",62)</f>
        <v/>
      </c>
      <c r="B68" s="49">
        <f>IF($A68="","",IF(INDEX(exp_desc,MATCH(62,exp_wishno,0))="","",INDEX(exp_desc,MATCH(62,exp_wishno,0))))</f>
        <v/>
      </c>
      <c r="C68" s="49">
        <f>IF($A68="","",IF(INDEX(exp_cat,MATCH(62,exp_wishno,0))="","",INDEX(exp_cat,MATCH(62,exp_wishno,0))))</f>
        <v/>
      </c>
      <c r="D68" s="100">
        <f>IF($A68="","",IF(INDEX(exp_prio,MATCH(62,exp_wishno,0))="","",INDEX(exp_prio,MATCH(62,exp_wishno,0))))</f>
        <v/>
      </c>
      <c r="E68" s="100">
        <f>IF($A68="","",IF(INDEX(exp_year,MATCH(62,exp_wishno,0))="","",INDEX(exp_year,MATCH(62,exp_wishno,0))))</f>
        <v/>
      </c>
      <c r="F68" s="100">
        <f>IF($A68="","",IF(INDEX(exp_month,MATCH(62,exp_wishno,0))="","",INDEX(exp_month,MATCH(62,exp_wishno,0))))</f>
        <v/>
      </c>
      <c r="G68" s="101">
        <f>IF($A68="","",IF(INDEX(exp_plan,MATCH(62,exp_wishno,0))="","",INDEX(exp_plan,MATCH(62,exp_wishno,0))))</f>
        <v/>
      </c>
      <c r="H68" s="102">
        <f>IF($A68="","",IF(INDEX(exp_fact,MATCH(62,exp_wishno,0))="","",INDEX(exp_fact,MATCH(62,exp_wishno,0))))</f>
        <v/>
      </c>
      <c r="I68" s="49">
        <f>IF($A68="","",IF(INDEX(exp_status,MATCH(62,exp_wishno,0))="","",INDEX(exp_status,MATCH(62,exp_wishno,0))))</f>
        <v/>
      </c>
    </row>
    <row r="69">
      <c r="A69" s="100">
        <f>IF(ISNA(MATCH(63,exp_wishno,0)),"",63)</f>
        <v/>
      </c>
      <c r="B69" s="49">
        <f>IF($A69="","",IF(INDEX(exp_desc,MATCH(63,exp_wishno,0))="","",INDEX(exp_desc,MATCH(63,exp_wishno,0))))</f>
        <v/>
      </c>
      <c r="C69" s="49">
        <f>IF($A69="","",IF(INDEX(exp_cat,MATCH(63,exp_wishno,0))="","",INDEX(exp_cat,MATCH(63,exp_wishno,0))))</f>
        <v/>
      </c>
      <c r="D69" s="100">
        <f>IF($A69="","",IF(INDEX(exp_prio,MATCH(63,exp_wishno,0))="","",INDEX(exp_prio,MATCH(63,exp_wishno,0))))</f>
        <v/>
      </c>
      <c r="E69" s="100">
        <f>IF($A69="","",IF(INDEX(exp_year,MATCH(63,exp_wishno,0))="","",INDEX(exp_year,MATCH(63,exp_wishno,0))))</f>
        <v/>
      </c>
      <c r="F69" s="100">
        <f>IF($A69="","",IF(INDEX(exp_month,MATCH(63,exp_wishno,0))="","",INDEX(exp_month,MATCH(63,exp_wishno,0))))</f>
        <v/>
      </c>
      <c r="G69" s="101">
        <f>IF($A69="","",IF(INDEX(exp_plan,MATCH(63,exp_wishno,0))="","",INDEX(exp_plan,MATCH(63,exp_wishno,0))))</f>
        <v/>
      </c>
      <c r="H69" s="102">
        <f>IF($A69="","",IF(INDEX(exp_fact,MATCH(63,exp_wishno,0))="","",INDEX(exp_fact,MATCH(63,exp_wishno,0))))</f>
        <v/>
      </c>
      <c r="I69" s="49">
        <f>IF($A69="","",IF(INDEX(exp_status,MATCH(63,exp_wishno,0))="","",INDEX(exp_status,MATCH(63,exp_wishno,0))))</f>
        <v/>
      </c>
    </row>
    <row r="70">
      <c r="A70" s="100">
        <f>IF(ISNA(MATCH(64,exp_wishno,0)),"",64)</f>
        <v/>
      </c>
      <c r="B70" s="49">
        <f>IF($A70="","",IF(INDEX(exp_desc,MATCH(64,exp_wishno,0))="","",INDEX(exp_desc,MATCH(64,exp_wishno,0))))</f>
        <v/>
      </c>
      <c r="C70" s="49">
        <f>IF($A70="","",IF(INDEX(exp_cat,MATCH(64,exp_wishno,0))="","",INDEX(exp_cat,MATCH(64,exp_wishno,0))))</f>
        <v/>
      </c>
      <c r="D70" s="100">
        <f>IF($A70="","",IF(INDEX(exp_prio,MATCH(64,exp_wishno,0))="","",INDEX(exp_prio,MATCH(64,exp_wishno,0))))</f>
        <v/>
      </c>
      <c r="E70" s="100">
        <f>IF($A70="","",IF(INDEX(exp_year,MATCH(64,exp_wishno,0))="","",INDEX(exp_year,MATCH(64,exp_wishno,0))))</f>
        <v/>
      </c>
      <c r="F70" s="100">
        <f>IF($A70="","",IF(INDEX(exp_month,MATCH(64,exp_wishno,0))="","",INDEX(exp_month,MATCH(64,exp_wishno,0))))</f>
        <v/>
      </c>
      <c r="G70" s="101">
        <f>IF($A70="","",IF(INDEX(exp_plan,MATCH(64,exp_wishno,0))="","",INDEX(exp_plan,MATCH(64,exp_wishno,0))))</f>
        <v/>
      </c>
      <c r="H70" s="102">
        <f>IF($A70="","",IF(INDEX(exp_fact,MATCH(64,exp_wishno,0))="","",INDEX(exp_fact,MATCH(64,exp_wishno,0))))</f>
        <v/>
      </c>
      <c r="I70" s="49">
        <f>IF($A70="","",IF(INDEX(exp_status,MATCH(64,exp_wishno,0))="","",INDEX(exp_status,MATCH(64,exp_wishno,0))))</f>
        <v/>
      </c>
    </row>
    <row r="71">
      <c r="A71" s="100">
        <f>IF(ISNA(MATCH(65,exp_wishno,0)),"",65)</f>
        <v/>
      </c>
      <c r="B71" s="49">
        <f>IF($A71="","",IF(INDEX(exp_desc,MATCH(65,exp_wishno,0))="","",INDEX(exp_desc,MATCH(65,exp_wishno,0))))</f>
        <v/>
      </c>
      <c r="C71" s="49">
        <f>IF($A71="","",IF(INDEX(exp_cat,MATCH(65,exp_wishno,0))="","",INDEX(exp_cat,MATCH(65,exp_wishno,0))))</f>
        <v/>
      </c>
      <c r="D71" s="100">
        <f>IF($A71="","",IF(INDEX(exp_prio,MATCH(65,exp_wishno,0))="","",INDEX(exp_prio,MATCH(65,exp_wishno,0))))</f>
        <v/>
      </c>
      <c r="E71" s="100">
        <f>IF($A71="","",IF(INDEX(exp_year,MATCH(65,exp_wishno,0))="","",INDEX(exp_year,MATCH(65,exp_wishno,0))))</f>
        <v/>
      </c>
      <c r="F71" s="100">
        <f>IF($A71="","",IF(INDEX(exp_month,MATCH(65,exp_wishno,0))="","",INDEX(exp_month,MATCH(65,exp_wishno,0))))</f>
        <v/>
      </c>
      <c r="G71" s="101">
        <f>IF($A71="","",IF(INDEX(exp_plan,MATCH(65,exp_wishno,0))="","",INDEX(exp_plan,MATCH(65,exp_wishno,0))))</f>
        <v/>
      </c>
      <c r="H71" s="102">
        <f>IF($A71="","",IF(INDEX(exp_fact,MATCH(65,exp_wishno,0))="","",INDEX(exp_fact,MATCH(65,exp_wishno,0))))</f>
        <v/>
      </c>
      <c r="I71" s="49">
        <f>IF($A71="","",IF(INDEX(exp_status,MATCH(65,exp_wishno,0))="","",INDEX(exp_status,MATCH(65,exp_wishno,0))))</f>
        <v/>
      </c>
    </row>
    <row r="72">
      <c r="A72" s="100">
        <f>IF(ISNA(MATCH(66,exp_wishno,0)),"",66)</f>
        <v/>
      </c>
      <c r="B72" s="49">
        <f>IF($A72="","",IF(INDEX(exp_desc,MATCH(66,exp_wishno,0))="","",INDEX(exp_desc,MATCH(66,exp_wishno,0))))</f>
        <v/>
      </c>
      <c r="C72" s="49">
        <f>IF($A72="","",IF(INDEX(exp_cat,MATCH(66,exp_wishno,0))="","",INDEX(exp_cat,MATCH(66,exp_wishno,0))))</f>
        <v/>
      </c>
      <c r="D72" s="100">
        <f>IF($A72="","",IF(INDEX(exp_prio,MATCH(66,exp_wishno,0))="","",INDEX(exp_prio,MATCH(66,exp_wishno,0))))</f>
        <v/>
      </c>
      <c r="E72" s="100">
        <f>IF($A72="","",IF(INDEX(exp_year,MATCH(66,exp_wishno,0))="","",INDEX(exp_year,MATCH(66,exp_wishno,0))))</f>
        <v/>
      </c>
      <c r="F72" s="100">
        <f>IF($A72="","",IF(INDEX(exp_month,MATCH(66,exp_wishno,0))="","",INDEX(exp_month,MATCH(66,exp_wishno,0))))</f>
        <v/>
      </c>
      <c r="G72" s="101">
        <f>IF($A72="","",IF(INDEX(exp_plan,MATCH(66,exp_wishno,0))="","",INDEX(exp_plan,MATCH(66,exp_wishno,0))))</f>
        <v/>
      </c>
      <c r="H72" s="102">
        <f>IF($A72="","",IF(INDEX(exp_fact,MATCH(66,exp_wishno,0))="","",INDEX(exp_fact,MATCH(66,exp_wishno,0))))</f>
        <v/>
      </c>
      <c r="I72" s="49">
        <f>IF($A72="","",IF(INDEX(exp_status,MATCH(66,exp_wishno,0))="","",INDEX(exp_status,MATCH(66,exp_wishno,0))))</f>
        <v/>
      </c>
    </row>
    <row r="73">
      <c r="A73" s="100">
        <f>IF(ISNA(MATCH(67,exp_wishno,0)),"",67)</f>
        <v/>
      </c>
      <c r="B73" s="49">
        <f>IF($A73="","",IF(INDEX(exp_desc,MATCH(67,exp_wishno,0))="","",INDEX(exp_desc,MATCH(67,exp_wishno,0))))</f>
        <v/>
      </c>
      <c r="C73" s="49">
        <f>IF($A73="","",IF(INDEX(exp_cat,MATCH(67,exp_wishno,0))="","",INDEX(exp_cat,MATCH(67,exp_wishno,0))))</f>
        <v/>
      </c>
      <c r="D73" s="100">
        <f>IF($A73="","",IF(INDEX(exp_prio,MATCH(67,exp_wishno,0))="","",INDEX(exp_prio,MATCH(67,exp_wishno,0))))</f>
        <v/>
      </c>
      <c r="E73" s="100">
        <f>IF($A73="","",IF(INDEX(exp_year,MATCH(67,exp_wishno,0))="","",INDEX(exp_year,MATCH(67,exp_wishno,0))))</f>
        <v/>
      </c>
      <c r="F73" s="100">
        <f>IF($A73="","",IF(INDEX(exp_month,MATCH(67,exp_wishno,0))="","",INDEX(exp_month,MATCH(67,exp_wishno,0))))</f>
        <v/>
      </c>
      <c r="G73" s="101">
        <f>IF($A73="","",IF(INDEX(exp_plan,MATCH(67,exp_wishno,0))="","",INDEX(exp_plan,MATCH(67,exp_wishno,0))))</f>
        <v/>
      </c>
      <c r="H73" s="102">
        <f>IF($A73="","",IF(INDEX(exp_fact,MATCH(67,exp_wishno,0))="","",INDEX(exp_fact,MATCH(67,exp_wishno,0))))</f>
        <v/>
      </c>
      <c r="I73" s="49">
        <f>IF($A73="","",IF(INDEX(exp_status,MATCH(67,exp_wishno,0))="","",INDEX(exp_status,MATCH(67,exp_wishno,0))))</f>
        <v/>
      </c>
    </row>
    <row r="74">
      <c r="A74" s="100">
        <f>IF(ISNA(MATCH(68,exp_wishno,0)),"",68)</f>
        <v/>
      </c>
      <c r="B74" s="49">
        <f>IF($A74="","",IF(INDEX(exp_desc,MATCH(68,exp_wishno,0))="","",INDEX(exp_desc,MATCH(68,exp_wishno,0))))</f>
        <v/>
      </c>
      <c r="C74" s="49">
        <f>IF($A74="","",IF(INDEX(exp_cat,MATCH(68,exp_wishno,0))="","",INDEX(exp_cat,MATCH(68,exp_wishno,0))))</f>
        <v/>
      </c>
      <c r="D74" s="100">
        <f>IF($A74="","",IF(INDEX(exp_prio,MATCH(68,exp_wishno,0))="","",INDEX(exp_prio,MATCH(68,exp_wishno,0))))</f>
        <v/>
      </c>
      <c r="E74" s="100">
        <f>IF($A74="","",IF(INDEX(exp_year,MATCH(68,exp_wishno,0))="","",INDEX(exp_year,MATCH(68,exp_wishno,0))))</f>
        <v/>
      </c>
      <c r="F74" s="100">
        <f>IF($A74="","",IF(INDEX(exp_month,MATCH(68,exp_wishno,0))="","",INDEX(exp_month,MATCH(68,exp_wishno,0))))</f>
        <v/>
      </c>
      <c r="G74" s="101">
        <f>IF($A74="","",IF(INDEX(exp_plan,MATCH(68,exp_wishno,0))="","",INDEX(exp_plan,MATCH(68,exp_wishno,0))))</f>
        <v/>
      </c>
      <c r="H74" s="102">
        <f>IF($A74="","",IF(INDEX(exp_fact,MATCH(68,exp_wishno,0))="","",INDEX(exp_fact,MATCH(68,exp_wishno,0))))</f>
        <v/>
      </c>
      <c r="I74" s="49">
        <f>IF($A74="","",IF(INDEX(exp_status,MATCH(68,exp_wishno,0))="","",INDEX(exp_status,MATCH(68,exp_wishno,0))))</f>
        <v/>
      </c>
    </row>
    <row r="75">
      <c r="A75" s="100">
        <f>IF(ISNA(MATCH(69,exp_wishno,0)),"",69)</f>
        <v/>
      </c>
      <c r="B75" s="49">
        <f>IF($A75="","",IF(INDEX(exp_desc,MATCH(69,exp_wishno,0))="","",INDEX(exp_desc,MATCH(69,exp_wishno,0))))</f>
        <v/>
      </c>
      <c r="C75" s="49">
        <f>IF($A75="","",IF(INDEX(exp_cat,MATCH(69,exp_wishno,0))="","",INDEX(exp_cat,MATCH(69,exp_wishno,0))))</f>
        <v/>
      </c>
      <c r="D75" s="100">
        <f>IF($A75="","",IF(INDEX(exp_prio,MATCH(69,exp_wishno,0))="","",INDEX(exp_prio,MATCH(69,exp_wishno,0))))</f>
        <v/>
      </c>
      <c r="E75" s="100">
        <f>IF($A75="","",IF(INDEX(exp_year,MATCH(69,exp_wishno,0))="","",INDEX(exp_year,MATCH(69,exp_wishno,0))))</f>
        <v/>
      </c>
      <c r="F75" s="100">
        <f>IF($A75="","",IF(INDEX(exp_month,MATCH(69,exp_wishno,0))="","",INDEX(exp_month,MATCH(69,exp_wishno,0))))</f>
        <v/>
      </c>
      <c r="G75" s="101">
        <f>IF($A75="","",IF(INDEX(exp_plan,MATCH(69,exp_wishno,0))="","",INDEX(exp_plan,MATCH(69,exp_wishno,0))))</f>
        <v/>
      </c>
      <c r="H75" s="102">
        <f>IF($A75="","",IF(INDEX(exp_fact,MATCH(69,exp_wishno,0))="","",INDEX(exp_fact,MATCH(69,exp_wishno,0))))</f>
        <v/>
      </c>
      <c r="I75" s="49">
        <f>IF($A75="","",IF(INDEX(exp_status,MATCH(69,exp_wishno,0))="","",INDEX(exp_status,MATCH(69,exp_wishno,0))))</f>
        <v/>
      </c>
    </row>
    <row r="76">
      <c r="A76" s="100">
        <f>IF(ISNA(MATCH(70,exp_wishno,0)),"",70)</f>
        <v/>
      </c>
      <c r="B76" s="49">
        <f>IF($A76="","",IF(INDEX(exp_desc,MATCH(70,exp_wishno,0))="","",INDEX(exp_desc,MATCH(70,exp_wishno,0))))</f>
        <v/>
      </c>
      <c r="C76" s="49">
        <f>IF($A76="","",IF(INDEX(exp_cat,MATCH(70,exp_wishno,0))="","",INDEX(exp_cat,MATCH(70,exp_wishno,0))))</f>
        <v/>
      </c>
      <c r="D76" s="100">
        <f>IF($A76="","",IF(INDEX(exp_prio,MATCH(70,exp_wishno,0))="","",INDEX(exp_prio,MATCH(70,exp_wishno,0))))</f>
        <v/>
      </c>
      <c r="E76" s="100">
        <f>IF($A76="","",IF(INDEX(exp_year,MATCH(70,exp_wishno,0))="","",INDEX(exp_year,MATCH(70,exp_wishno,0))))</f>
        <v/>
      </c>
      <c r="F76" s="100">
        <f>IF($A76="","",IF(INDEX(exp_month,MATCH(70,exp_wishno,0))="","",INDEX(exp_month,MATCH(70,exp_wishno,0))))</f>
        <v/>
      </c>
      <c r="G76" s="101">
        <f>IF($A76="","",IF(INDEX(exp_plan,MATCH(70,exp_wishno,0))="","",INDEX(exp_plan,MATCH(70,exp_wishno,0))))</f>
        <v/>
      </c>
      <c r="H76" s="102">
        <f>IF($A76="","",IF(INDEX(exp_fact,MATCH(70,exp_wishno,0))="","",INDEX(exp_fact,MATCH(70,exp_wishno,0))))</f>
        <v/>
      </c>
      <c r="I76" s="49">
        <f>IF($A76="","",IF(INDEX(exp_status,MATCH(70,exp_wishno,0))="","",INDEX(exp_status,MATCH(70,exp_wishno,0))))</f>
        <v/>
      </c>
    </row>
    <row r="77">
      <c r="A77" s="100">
        <f>IF(ISNA(MATCH(71,exp_wishno,0)),"",71)</f>
        <v/>
      </c>
      <c r="B77" s="49">
        <f>IF($A77="","",IF(INDEX(exp_desc,MATCH(71,exp_wishno,0))="","",INDEX(exp_desc,MATCH(71,exp_wishno,0))))</f>
        <v/>
      </c>
      <c r="C77" s="49">
        <f>IF($A77="","",IF(INDEX(exp_cat,MATCH(71,exp_wishno,0))="","",INDEX(exp_cat,MATCH(71,exp_wishno,0))))</f>
        <v/>
      </c>
      <c r="D77" s="100">
        <f>IF($A77="","",IF(INDEX(exp_prio,MATCH(71,exp_wishno,0))="","",INDEX(exp_prio,MATCH(71,exp_wishno,0))))</f>
        <v/>
      </c>
      <c r="E77" s="100">
        <f>IF($A77="","",IF(INDEX(exp_year,MATCH(71,exp_wishno,0))="","",INDEX(exp_year,MATCH(71,exp_wishno,0))))</f>
        <v/>
      </c>
      <c r="F77" s="100">
        <f>IF($A77="","",IF(INDEX(exp_month,MATCH(71,exp_wishno,0))="","",INDEX(exp_month,MATCH(71,exp_wishno,0))))</f>
        <v/>
      </c>
      <c r="G77" s="101">
        <f>IF($A77="","",IF(INDEX(exp_plan,MATCH(71,exp_wishno,0))="","",INDEX(exp_plan,MATCH(71,exp_wishno,0))))</f>
        <v/>
      </c>
      <c r="H77" s="102">
        <f>IF($A77="","",IF(INDEX(exp_fact,MATCH(71,exp_wishno,0))="","",INDEX(exp_fact,MATCH(71,exp_wishno,0))))</f>
        <v/>
      </c>
      <c r="I77" s="49">
        <f>IF($A77="","",IF(INDEX(exp_status,MATCH(71,exp_wishno,0))="","",INDEX(exp_status,MATCH(71,exp_wishno,0))))</f>
        <v/>
      </c>
    </row>
    <row r="78">
      <c r="A78" s="100">
        <f>IF(ISNA(MATCH(72,exp_wishno,0)),"",72)</f>
        <v/>
      </c>
      <c r="B78" s="49">
        <f>IF($A78="","",IF(INDEX(exp_desc,MATCH(72,exp_wishno,0))="","",INDEX(exp_desc,MATCH(72,exp_wishno,0))))</f>
        <v/>
      </c>
      <c r="C78" s="49">
        <f>IF($A78="","",IF(INDEX(exp_cat,MATCH(72,exp_wishno,0))="","",INDEX(exp_cat,MATCH(72,exp_wishno,0))))</f>
        <v/>
      </c>
      <c r="D78" s="100">
        <f>IF($A78="","",IF(INDEX(exp_prio,MATCH(72,exp_wishno,0))="","",INDEX(exp_prio,MATCH(72,exp_wishno,0))))</f>
        <v/>
      </c>
      <c r="E78" s="100">
        <f>IF($A78="","",IF(INDEX(exp_year,MATCH(72,exp_wishno,0))="","",INDEX(exp_year,MATCH(72,exp_wishno,0))))</f>
        <v/>
      </c>
      <c r="F78" s="100">
        <f>IF($A78="","",IF(INDEX(exp_month,MATCH(72,exp_wishno,0))="","",INDEX(exp_month,MATCH(72,exp_wishno,0))))</f>
        <v/>
      </c>
      <c r="G78" s="101">
        <f>IF($A78="","",IF(INDEX(exp_plan,MATCH(72,exp_wishno,0))="","",INDEX(exp_plan,MATCH(72,exp_wishno,0))))</f>
        <v/>
      </c>
      <c r="H78" s="102">
        <f>IF($A78="","",IF(INDEX(exp_fact,MATCH(72,exp_wishno,0))="","",INDEX(exp_fact,MATCH(72,exp_wishno,0))))</f>
        <v/>
      </c>
      <c r="I78" s="49">
        <f>IF($A78="","",IF(INDEX(exp_status,MATCH(72,exp_wishno,0))="","",INDEX(exp_status,MATCH(72,exp_wishno,0))))</f>
        <v/>
      </c>
    </row>
    <row r="79">
      <c r="A79" s="100">
        <f>IF(ISNA(MATCH(73,exp_wishno,0)),"",73)</f>
        <v/>
      </c>
      <c r="B79" s="49">
        <f>IF($A79="","",IF(INDEX(exp_desc,MATCH(73,exp_wishno,0))="","",INDEX(exp_desc,MATCH(73,exp_wishno,0))))</f>
        <v/>
      </c>
      <c r="C79" s="49">
        <f>IF($A79="","",IF(INDEX(exp_cat,MATCH(73,exp_wishno,0))="","",INDEX(exp_cat,MATCH(73,exp_wishno,0))))</f>
        <v/>
      </c>
      <c r="D79" s="100">
        <f>IF($A79="","",IF(INDEX(exp_prio,MATCH(73,exp_wishno,0))="","",INDEX(exp_prio,MATCH(73,exp_wishno,0))))</f>
        <v/>
      </c>
      <c r="E79" s="100">
        <f>IF($A79="","",IF(INDEX(exp_year,MATCH(73,exp_wishno,0))="","",INDEX(exp_year,MATCH(73,exp_wishno,0))))</f>
        <v/>
      </c>
      <c r="F79" s="100">
        <f>IF($A79="","",IF(INDEX(exp_month,MATCH(73,exp_wishno,0))="","",INDEX(exp_month,MATCH(73,exp_wishno,0))))</f>
        <v/>
      </c>
      <c r="G79" s="101">
        <f>IF($A79="","",IF(INDEX(exp_plan,MATCH(73,exp_wishno,0))="","",INDEX(exp_plan,MATCH(73,exp_wishno,0))))</f>
        <v/>
      </c>
      <c r="H79" s="102">
        <f>IF($A79="","",IF(INDEX(exp_fact,MATCH(73,exp_wishno,0))="","",INDEX(exp_fact,MATCH(73,exp_wishno,0))))</f>
        <v/>
      </c>
      <c r="I79" s="49">
        <f>IF($A79="","",IF(INDEX(exp_status,MATCH(73,exp_wishno,0))="","",INDEX(exp_status,MATCH(73,exp_wishno,0))))</f>
        <v/>
      </c>
    </row>
    <row r="80">
      <c r="A80" s="100">
        <f>IF(ISNA(MATCH(74,exp_wishno,0)),"",74)</f>
        <v/>
      </c>
      <c r="B80" s="49">
        <f>IF($A80="","",IF(INDEX(exp_desc,MATCH(74,exp_wishno,0))="","",INDEX(exp_desc,MATCH(74,exp_wishno,0))))</f>
        <v/>
      </c>
      <c r="C80" s="49">
        <f>IF($A80="","",IF(INDEX(exp_cat,MATCH(74,exp_wishno,0))="","",INDEX(exp_cat,MATCH(74,exp_wishno,0))))</f>
        <v/>
      </c>
      <c r="D80" s="100">
        <f>IF($A80="","",IF(INDEX(exp_prio,MATCH(74,exp_wishno,0))="","",INDEX(exp_prio,MATCH(74,exp_wishno,0))))</f>
        <v/>
      </c>
      <c r="E80" s="100">
        <f>IF($A80="","",IF(INDEX(exp_year,MATCH(74,exp_wishno,0))="","",INDEX(exp_year,MATCH(74,exp_wishno,0))))</f>
        <v/>
      </c>
      <c r="F80" s="100">
        <f>IF($A80="","",IF(INDEX(exp_month,MATCH(74,exp_wishno,0))="","",INDEX(exp_month,MATCH(74,exp_wishno,0))))</f>
        <v/>
      </c>
      <c r="G80" s="101">
        <f>IF($A80="","",IF(INDEX(exp_plan,MATCH(74,exp_wishno,0))="","",INDEX(exp_plan,MATCH(74,exp_wishno,0))))</f>
        <v/>
      </c>
      <c r="H80" s="102">
        <f>IF($A80="","",IF(INDEX(exp_fact,MATCH(74,exp_wishno,0))="","",INDEX(exp_fact,MATCH(74,exp_wishno,0))))</f>
        <v/>
      </c>
      <c r="I80" s="49">
        <f>IF($A80="","",IF(INDEX(exp_status,MATCH(74,exp_wishno,0))="","",INDEX(exp_status,MATCH(74,exp_wishno,0))))</f>
        <v/>
      </c>
    </row>
    <row r="81">
      <c r="A81" s="100">
        <f>IF(ISNA(MATCH(75,exp_wishno,0)),"",75)</f>
        <v/>
      </c>
      <c r="B81" s="49">
        <f>IF($A81="","",IF(INDEX(exp_desc,MATCH(75,exp_wishno,0))="","",INDEX(exp_desc,MATCH(75,exp_wishno,0))))</f>
        <v/>
      </c>
      <c r="C81" s="49">
        <f>IF($A81="","",IF(INDEX(exp_cat,MATCH(75,exp_wishno,0))="","",INDEX(exp_cat,MATCH(75,exp_wishno,0))))</f>
        <v/>
      </c>
      <c r="D81" s="100">
        <f>IF($A81="","",IF(INDEX(exp_prio,MATCH(75,exp_wishno,0))="","",INDEX(exp_prio,MATCH(75,exp_wishno,0))))</f>
        <v/>
      </c>
      <c r="E81" s="100">
        <f>IF($A81="","",IF(INDEX(exp_year,MATCH(75,exp_wishno,0))="","",INDEX(exp_year,MATCH(75,exp_wishno,0))))</f>
        <v/>
      </c>
      <c r="F81" s="100">
        <f>IF($A81="","",IF(INDEX(exp_month,MATCH(75,exp_wishno,0))="","",INDEX(exp_month,MATCH(75,exp_wishno,0))))</f>
        <v/>
      </c>
      <c r="G81" s="101">
        <f>IF($A81="","",IF(INDEX(exp_plan,MATCH(75,exp_wishno,0))="","",INDEX(exp_plan,MATCH(75,exp_wishno,0))))</f>
        <v/>
      </c>
      <c r="H81" s="102">
        <f>IF($A81="","",IF(INDEX(exp_fact,MATCH(75,exp_wishno,0))="","",INDEX(exp_fact,MATCH(75,exp_wishno,0))))</f>
        <v/>
      </c>
      <c r="I81" s="49">
        <f>IF($A81="","",IF(INDEX(exp_status,MATCH(75,exp_wishno,0))="","",INDEX(exp_status,MATCH(75,exp_wishno,0))))</f>
        <v/>
      </c>
    </row>
    <row r="82">
      <c r="A82" s="100">
        <f>IF(ISNA(MATCH(76,exp_wishno,0)),"",76)</f>
        <v/>
      </c>
      <c r="B82" s="49">
        <f>IF($A82="","",IF(INDEX(exp_desc,MATCH(76,exp_wishno,0))="","",INDEX(exp_desc,MATCH(76,exp_wishno,0))))</f>
        <v/>
      </c>
      <c r="C82" s="49">
        <f>IF($A82="","",IF(INDEX(exp_cat,MATCH(76,exp_wishno,0))="","",INDEX(exp_cat,MATCH(76,exp_wishno,0))))</f>
        <v/>
      </c>
      <c r="D82" s="100">
        <f>IF($A82="","",IF(INDEX(exp_prio,MATCH(76,exp_wishno,0))="","",INDEX(exp_prio,MATCH(76,exp_wishno,0))))</f>
        <v/>
      </c>
      <c r="E82" s="100">
        <f>IF($A82="","",IF(INDEX(exp_year,MATCH(76,exp_wishno,0))="","",INDEX(exp_year,MATCH(76,exp_wishno,0))))</f>
        <v/>
      </c>
      <c r="F82" s="100">
        <f>IF($A82="","",IF(INDEX(exp_month,MATCH(76,exp_wishno,0))="","",INDEX(exp_month,MATCH(76,exp_wishno,0))))</f>
        <v/>
      </c>
      <c r="G82" s="101">
        <f>IF($A82="","",IF(INDEX(exp_plan,MATCH(76,exp_wishno,0))="","",INDEX(exp_plan,MATCH(76,exp_wishno,0))))</f>
        <v/>
      </c>
      <c r="H82" s="102">
        <f>IF($A82="","",IF(INDEX(exp_fact,MATCH(76,exp_wishno,0))="","",INDEX(exp_fact,MATCH(76,exp_wishno,0))))</f>
        <v/>
      </c>
      <c r="I82" s="49">
        <f>IF($A82="","",IF(INDEX(exp_status,MATCH(76,exp_wishno,0))="","",INDEX(exp_status,MATCH(76,exp_wishno,0))))</f>
        <v/>
      </c>
    </row>
    <row r="83">
      <c r="A83" s="100">
        <f>IF(ISNA(MATCH(77,exp_wishno,0)),"",77)</f>
        <v/>
      </c>
      <c r="B83" s="49">
        <f>IF($A83="","",IF(INDEX(exp_desc,MATCH(77,exp_wishno,0))="","",INDEX(exp_desc,MATCH(77,exp_wishno,0))))</f>
        <v/>
      </c>
      <c r="C83" s="49">
        <f>IF($A83="","",IF(INDEX(exp_cat,MATCH(77,exp_wishno,0))="","",INDEX(exp_cat,MATCH(77,exp_wishno,0))))</f>
        <v/>
      </c>
      <c r="D83" s="100">
        <f>IF($A83="","",IF(INDEX(exp_prio,MATCH(77,exp_wishno,0))="","",INDEX(exp_prio,MATCH(77,exp_wishno,0))))</f>
        <v/>
      </c>
      <c r="E83" s="100">
        <f>IF($A83="","",IF(INDEX(exp_year,MATCH(77,exp_wishno,0))="","",INDEX(exp_year,MATCH(77,exp_wishno,0))))</f>
        <v/>
      </c>
      <c r="F83" s="100">
        <f>IF($A83="","",IF(INDEX(exp_month,MATCH(77,exp_wishno,0))="","",INDEX(exp_month,MATCH(77,exp_wishno,0))))</f>
        <v/>
      </c>
      <c r="G83" s="101">
        <f>IF($A83="","",IF(INDEX(exp_plan,MATCH(77,exp_wishno,0))="","",INDEX(exp_plan,MATCH(77,exp_wishno,0))))</f>
        <v/>
      </c>
      <c r="H83" s="102">
        <f>IF($A83="","",IF(INDEX(exp_fact,MATCH(77,exp_wishno,0))="","",INDEX(exp_fact,MATCH(77,exp_wishno,0))))</f>
        <v/>
      </c>
      <c r="I83" s="49">
        <f>IF($A83="","",IF(INDEX(exp_status,MATCH(77,exp_wishno,0))="","",INDEX(exp_status,MATCH(77,exp_wishno,0))))</f>
        <v/>
      </c>
    </row>
    <row r="84">
      <c r="A84" s="100">
        <f>IF(ISNA(MATCH(78,exp_wishno,0)),"",78)</f>
        <v/>
      </c>
      <c r="B84" s="49">
        <f>IF($A84="","",IF(INDEX(exp_desc,MATCH(78,exp_wishno,0))="","",INDEX(exp_desc,MATCH(78,exp_wishno,0))))</f>
        <v/>
      </c>
      <c r="C84" s="49">
        <f>IF($A84="","",IF(INDEX(exp_cat,MATCH(78,exp_wishno,0))="","",INDEX(exp_cat,MATCH(78,exp_wishno,0))))</f>
        <v/>
      </c>
      <c r="D84" s="100">
        <f>IF($A84="","",IF(INDEX(exp_prio,MATCH(78,exp_wishno,0))="","",INDEX(exp_prio,MATCH(78,exp_wishno,0))))</f>
        <v/>
      </c>
      <c r="E84" s="100">
        <f>IF($A84="","",IF(INDEX(exp_year,MATCH(78,exp_wishno,0))="","",INDEX(exp_year,MATCH(78,exp_wishno,0))))</f>
        <v/>
      </c>
      <c r="F84" s="100">
        <f>IF($A84="","",IF(INDEX(exp_month,MATCH(78,exp_wishno,0))="","",INDEX(exp_month,MATCH(78,exp_wishno,0))))</f>
        <v/>
      </c>
      <c r="G84" s="101">
        <f>IF($A84="","",IF(INDEX(exp_plan,MATCH(78,exp_wishno,0))="","",INDEX(exp_plan,MATCH(78,exp_wishno,0))))</f>
        <v/>
      </c>
      <c r="H84" s="102">
        <f>IF($A84="","",IF(INDEX(exp_fact,MATCH(78,exp_wishno,0))="","",INDEX(exp_fact,MATCH(78,exp_wishno,0))))</f>
        <v/>
      </c>
      <c r="I84" s="49">
        <f>IF($A84="","",IF(INDEX(exp_status,MATCH(78,exp_wishno,0))="","",INDEX(exp_status,MATCH(78,exp_wishno,0))))</f>
        <v/>
      </c>
    </row>
    <row r="85">
      <c r="A85" s="100">
        <f>IF(ISNA(MATCH(79,exp_wishno,0)),"",79)</f>
        <v/>
      </c>
      <c r="B85" s="49">
        <f>IF($A85="","",IF(INDEX(exp_desc,MATCH(79,exp_wishno,0))="","",INDEX(exp_desc,MATCH(79,exp_wishno,0))))</f>
        <v/>
      </c>
      <c r="C85" s="49">
        <f>IF($A85="","",IF(INDEX(exp_cat,MATCH(79,exp_wishno,0))="","",INDEX(exp_cat,MATCH(79,exp_wishno,0))))</f>
        <v/>
      </c>
      <c r="D85" s="100">
        <f>IF($A85="","",IF(INDEX(exp_prio,MATCH(79,exp_wishno,0))="","",INDEX(exp_prio,MATCH(79,exp_wishno,0))))</f>
        <v/>
      </c>
      <c r="E85" s="100">
        <f>IF($A85="","",IF(INDEX(exp_year,MATCH(79,exp_wishno,0))="","",INDEX(exp_year,MATCH(79,exp_wishno,0))))</f>
        <v/>
      </c>
      <c r="F85" s="100">
        <f>IF($A85="","",IF(INDEX(exp_month,MATCH(79,exp_wishno,0))="","",INDEX(exp_month,MATCH(79,exp_wishno,0))))</f>
        <v/>
      </c>
      <c r="G85" s="101">
        <f>IF($A85="","",IF(INDEX(exp_plan,MATCH(79,exp_wishno,0))="","",INDEX(exp_plan,MATCH(79,exp_wishno,0))))</f>
        <v/>
      </c>
      <c r="H85" s="102">
        <f>IF($A85="","",IF(INDEX(exp_fact,MATCH(79,exp_wishno,0))="","",INDEX(exp_fact,MATCH(79,exp_wishno,0))))</f>
        <v/>
      </c>
      <c r="I85" s="49">
        <f>IF($A85="","",IF(INDEX(exp_status,MATCH(79,exp_wishno,0))="","",INDEX(exp_status,MATCH(79,exp_wishno,0))))</f>
        <v/>
      </c>
    </row>
    <row r="86">
      <c r="A86" s="100">
        <f>IF(ISNA(MATCH(80,exp_wishno,0)),"",80)</f>
        <v/>
      </c>
      <c r="B86" s="49">
        <f>IF($A86="","",IF(INDEX(exp_desc,MATCH(80,exp_wishno,0))="","",INDEX(exp_desc,MATCH(80,exp_wishno,0))))</f>
        <v/>
      </c>
      <c r="C86" s="49">
        <f>IF($A86="","",IF(INDEX(exp_cat,MATCH(80,exp_wishno,0))="","",INDEX(exp_cat,MATCH(80,exp_wishno,0))))</f>
        <v/>
      </c>
      <c r="D86" s="100">
        <f>IF($A86="","",IF(INDEX(exp_prio,MATCH(80,exp_wishno,0))="","",INDEX(exp_prio,MATCH(80,exp_wishno,0))))</f>
        <v/>
      </c>
      <c r="E86" s="100">
        <f>IF($A86="","",IF(INDEX(exp_year,MATCH(80,exp_wishno,0))="","",INDEX(exp_year,MATCH(80,exp_wishno,0))))</f>
        <v/>
      </c>
      <c r="F86" s="100">
        <f>IF($A86="","",IF(INDEX(exp_month,MATCH(80,exp_wishno,0))="","",INDEX(exp_month,MATCH(80,exp_wishno,0))))</f>
        <v/>
      </c>
      <c r="G86" s="101">
        <f>IF($A86="","",IF(INDEX(exp_plan,MATCH(80,exp_wishno,0))="","",INDEX(exp_plan,MATCH(80,exp_wishno,0))))</f>
        <v/>
      </c>
      <c r="H86" s="102">
        <f>IF($A86="","",IF(INDEX(exp_fact,MATCH(80,exp_wishno,0))="","",INDEX(exp_fact,MATCH(80,exp_wishno,0))))</f>
        <v/>
      </c>
      <c r="I86" s="49">
        <f>IF($A86="","",IF(INDEX(exp_status,MATCH(80,exp_wishno,0))="","",INDEX(exp_status,MATCH(80,exp_wishno,0))))</f>
        <v/>
      </c>
    </row>
    <row r="87">
      <c r="A87" s="100">
        <f>IF(ISNA(MATCH(81,exp_wishno,0)),"",81)</f>
        <v/>
      </c>
      <c r="B87" s="49">
        <f>IF($A87="","",IF(INDEX(exp_desc,MATCH(81,exp_wishno,0))="","",INDEX(exp_desc,MATCH(81,exp_wishno,0))))</f>
        <v/>
      </c>
      <c r="C87" s="49">
        <f>IF($A87="","",IF(INDEX(exp_cat,MATCH(81,exp_wishno,0))="","",INDEX(exp_cat,MATCH(81,exp_wishno,0))))</f>
        <v/>
      </c>
      <c r="D87" s="100">
        <f>IF($A87="","",IF(INDEX(exp_prio,MATCH(81,exp_wishno,0))="","",INDEX(exp_prio,MATCH(81,exp_wishno,0))))</f>
        <v/>
      </c>
      <c r="E87" s="100">
        <f>IF($A87="","",IF(INDEX(exp_year,MATCH(81,exp_wishno,0))="","",INDEX(exp_year,MATCH(81,exp_wishno,0))))</f>
        <v/>
      </c>
      <c r="F87" s="100">
        <f>IF($A87="","",IF(INDEX(exp_month,MATCH(81,exp_wishno,0))="","",INDEX(exp_month,MATCH(81,exp_wishno,0))))</f>
        <v/>
      </c>
      <c r="G87" s="101">
        <f>IF($A87="","",IF(INDEX(exp_plan,MATCH(81,exp_wishno,0))="","",INDEX(exp_plan,MATCH(81,exp_wishno,0))))</f>
        <v/>
      </c>
      <c r="H87" s="102">
        <f>IF($A87="","",IF(INDEX(exp_fact,MATCH(81,exp_wishno,0))="","",INDEX(exp_fact,MATCH(81,exp_wishno,0))))</f>
        <v/>
      </c>
      <c r="I87" s="49">
        <f>IF($A87="","",IF(INDEX(exp_status,MATCH(81,exp_wishno,0))="","",INDEX(exp_status,MATCH(81,exp_wishno,0))))</f>
        <v/>
      </c>
    </row>
    <row r="88">
      <c r="A88" s="100">
        <f>IF(ISNA(MATCH(82,exp_wishno,0)),"",82)</f>
        <v/>
      </c>
      <c r="B88" s="49">
        <f>IF($A88="","",IF(INDEX(exp_desc,MATCH(82,exp_wishno,0))="","",INDEX(exp_desc,MATCH(82,exp_wishno,0))))</f>
        <v/>
      </c>
      <c r="C88" s="49">
        <f>IF($A88="","",IF(INDEX(exp_cat,MATCH(82,exp_wishno,0))="","",INDEX(exp_cat,MATCH(82,exp_wishno,0))))</f>
        <v/>
      </c>
      <c r="D88" s="100">
        <f>IF($A88="","",IF(INDEX(exp_prio,MATCH(82,exp_wishno,0))="","",INDEX(exp_prio,MATCH(82,exp_wishno,0))))</f>
        <v/>
      </c>
      <c r="E88" s="100">
        <f>IF($A88="","",IF(INDEX(exp_year,MATCH(82,exp_wishno,0))="","",INDEX(exp_year,MATCH(82,exp_wishno,0))))</f>
        <v/>
      </c>
      <c r="F88" s="100">
        <f>IF($A88="","",IF(INDEX(exp_month,MATCH(82,exp_wishno,0))="","",INDEX(exp_month,MATCH(82,exp_wishno,0))))</f>
        <v/>
      </c>
      <c r="G88" s="101">
        <f>IF($A88="","",IF(INDEX(exp_plan,MATCH(82,exp_wishno,0))="","",INDEX(exp_plan,MATCH(82,exp_wishno,0))))</f>
        <v/>
      </c>
      <c r="H88" s="102">
        <f>IF($A88="","",IF(INDEX(exp_fact,MATCH(82,exp_wishno,0))="","",INDEX(exp_fact,MATCH(82,exp_wishno,0))))</f>
        <v/>
      </c>
      <c r="I88" s="49">
        <f>IF($A88="","",IF(INDEX(exp_status,MATCH(82,exp_wishno,0))="","",INDEX(exp_status,MATCH(82,exp_wishno,0))))</f>
        <v/>
      </c>
    </row>
    <row r="89">
      <c r="A89" s="100">
        <f>IF(ISNA(MATCH(83,exp_wishno,0)),"",83)</f>
        <v/>
      </c>
      <c r="B89" s="49">
        <f>IF($A89="","",IF(INDEX(exp_desc,MATCH(83,exp_wishno,0))="","",INDEX(exp_desc,MATCH(83,exp_wishno,0))))</f>
        <v/>
      </c>
      <c r="C89" s="49">
        <f>IF($A89="","",IF(INDEX(exp_cat,MATCH(83,exp_wishno,0))="","",INDEX(exp_cat,MATCH(83,exp_wishno,0))))</f>
        <v/>
      </c>
      <c r="D89" s="100">
        <f>IF($A89="","",IF(INDEX(exp_prio,MATCH(83,exp_wishno,0))="","",INDEX(exp_prio,MATCH(83,exp_wishno,0))))</f>
        <v/>
      </c>
      <c r="E89" s="100">
        <f>IF($A89="","",IF(INDEX(exp_year,MATCH(83,exp_wishno,0))="","",INDEX(exp_year,MATCH(83,exp_wishno,0))))</f>
        <v/>
      </c>
      <c r="F89" s="100">
        <f>IF($A89="","",IF(INDEX(exp_month,MATCH(83,exp_wishno,0))="","",INDEX(exp_month,MATCH(83,exp_wishno,0))))</f>
        <v/>
      </c>
      <c r="G89" s="101">
        <f>IF($A89="","",IF(INDEX(exp_plan,MATCH(83,exp_wishno,0))="","",INDEX(exp_plan,MATCH(83,exp_wishno,0))))</f>
        <v/>
      </c>
      <c r="H89" s="102">
        <f>IF($A89="","",IF(INDEX(exp_fact,MATCH(83,exp_wishno,0))="","",INDEX(exp_fact,MATCH(83,exp_wishno,0))))</f>
        <v/>
      </c>
      <c r="I89" s="49">
        <f>IF($A89="","",IF(INDEX(exp_status,MATCH(83,exp_wishno,0))="","",INDEX(exp_status,MATCH(83,exp_wishno,0))))</f>
        <v/>
      </c>
    </row>
    <row r="90">
      <c r="A90" s="100">
        <f>IF(ISNA(MATCH(84,exp_wishno,0)),"",84)</f>
        <v/>
      </c>
      <c r="B90" s="49">
        <f>IF($A90="","",IF(INDEX(exp_desc,MATCH(84,exp_wishno,0))="","",INDEX(exp_desc,MATCH(84,exp_wishno,0))))</f>
        <v/>
      </c>
      <c r="C90" s="49">
        <f>IF($A90="","",IF(INDEX(exp_cat,MATCH(84,exp_wishno,0))="","",INDEX(exp_cat,MATCH(84,exp_wishno,0))))</f>
        <v/>
      </c>
      <c r="D90" s="100">
        <f>IF($A90="","",IF(INDEX(exp_prio,MATCH(84,exp_wishno,0))="","",INDEX(exp_prio,MATCH(84,exp_wishno,0))))</f>
        <v/>
      </c>
      <c r="E90" s="100">
        <f>IF($A90="","",IF(INDEX(exp_year,MATCH(84,exp_wishno,0))="","",INDEX(exp_year,MATCH(84,exp_wishno,0))))</f>
        <v/>
      </c>
      <c r="F90" s="100">
        <f>IF($A90="","",IF(INDEX(exp_month,MATCH(84,exp_wishno,0))="","",INDEX(exp_month,MATCH(84,exp_wishno,0))))</f>
        <v/>
      </c>
      <c r="G90" s="101">
        <f>IF($A90="","",IF(INDEX(exp_plan,MATCH(84,exp_wishno,0))="","",INDEX(exp_plan,MATCH(84,exp_wishno,0))))</f>
        <v/>
      </c>
      <c r="H90" s="102">
        <f>IF($A90="","",IF(INDEX(exp_fact,MATCH(84,exp_wishno,0))="","",INDEX(exp_fact,MATCH(84,exp_wishno,0))))</f>
        <v/>
      </c>
      <c r="I90" s="49">
        <f>IF($A90="","",IF(INDEX(exp_status,MATCH(84,exp_wishno,0))="","",INDEX(exp_status,MATCH(84,exp_wishno,0))))</f>
        <v/>
      </c>
    </row>
    <row r="91">
      <c r="A91" s="100">
        <f>IF(ISNA(MATCH(85,exp_wishno,0)),"",85)</f>
        <v/>
      </c>
      <c r="B91" s="49">
        <f>IF($A91="","",IF(INDEX(exp_desc,MATCH(85,exp_wishno,0))="","",INDEX(exp_desc,MATCH(85,exp_wishno,0))))</f>
        <v/>
      </c>
      <c r="C91" s="49">
        <f>IF($A91="","",IF(INDEX(exp_cat,MATCH(85,exp_wishno,0))="","",INDEX(exp_cat,MATCH(85,exp_wishno,0))))</f>
        <v/>
      </c>
      <c r="D91" s="100">
        <f>IF($A91="","",IF(INDEX(exp_prio,MATCH(85,exp_wishno,0))="","",INDEX(exp_prio,MATCH(85,exp_wishno,0))))</f>
        <v/>
      </c>
      <c r="E91" s="100">
        <f>IF($A91="","",IF(INDEX(exp_year,MATCH(85,exp_wishno,0))="","",INDEX(exp_year,MATCH(85,exp_wishno,0))))</f>
        <v/>
      </c>
      <c r="F91" s="100">
        <f>IF($A91="","",IF(INDEX(exp_month,MATCH(85,exp_wishno,0))="","",INDEX(exp_month,MATCH(85,exp_wishno,0))))</f>
        <v/>
      </c>
      <c r="G91" s="101">
        <f>IF($A91="","",IF(INDEX(exp_plan,MATCH(85,exp_wishno,0))="","",INDEX(exp_plan,MATCH(85,exp_wishno,0))))</f>
        <v/>
      </c>
      <c r="H91" s="102">
        <f>IF($A91="","",IF(INDEX(exp_fact,MATCH(85,exp_wishno,0))="","",INDEX(exp_fact,MATCH(85,exp_wishno,0))))</f>
        <v/>
      </c>
      <c r="I91" s="49">
        <f>IF($A91="","",IF(INDEX(exp_status,MATCH(85,exp_wishno,0))="","",INDEX(exp_status,MATCH(85,exp_wishno,0))))</f>
        <v/>
      </c>
    </row>
    <row r="92">
      <c r="A92" s="100">
        <f>IF(ISNA(MATCH(86,exp_wishno,0)),"",86)</f>
        <v/>
      </c>
      <c r="B92" s="49">
        <f>IF($A92="","",IF(INDEX(exp_desc,MATCH(86,exp_wishno,0))="","",INDEX(exp_desc,MATCH(86,exp_wishno,0))))</f>
        <v/>
      </c>
      <c r="C92" s="49">
        <f>IF($A92="","",IF(INDEX(exp_cat,MATCH(86,exp_wishno,0))="","",INDEX(exp_cat,MATCH(86,exp_wishno,0))))</f>
        <v/>
      </c>
      <c r="D92" s="100">
        <f>IF($A92="","",IF(INDEX(exp_prio,MATCH(86,exp_wishno,0))="","",INDEX(exp_prio,MATCH(86,exp_wishno,0))))</f>
        <v/>
      </c>
      <c r="E92" s="100">
        <f>IF($A92="","",IF(INDEX(exp_year,MATCH(86,exp_wishno,0))="","",INDEX(exp_year,MATCH(86,exp_wishno,0))))</f>
        <v/>
      </c>
      <c r="F92" s="100">
        <f>IF($A92="","",IF(INDEX(exp_month,MATCH(86,exp_wishno,0))="","",INDEX(exp_month,MATCH(86,exp_wishno,0))))</f>
        <v/>
      </c>
      <c r="G92" s="101">
        <f>IF($A92="","",IF(INDEX(exp_plan,MATCH(86,exp_wishno,0))="","",INDEX(exp_plan,MATCH(86,exp_wishno,0))))</f>
        <v/>
      </c>
      <c r="H92" s="102">
        <f>IF($A92="","",IF(INDEX(exp_fact,MATCH(86,exp_wishno,0))="","",INDEX(exp_fact,MATCH(86,exp_wishno,0))))</f>
        <v/>
      </c>
      <c r="I92" s="49">
        <f>IF($A92="","",IF(INDEX(exp_status,MATCH(86,exp_wishno,0))="","",INDEX(exp_status,MATCH(86,exp_wishno,0))))</f>
        <v/>
      </c>
    </row>
    <row r="93">
      <c r="A93" s="100">
        <f>IF(ISNA(MATCH(87,exp_wishno,0)),"",87)</f>
        <v/>
      </c>
      <c r="B93" s="49">
        <f>IF($A93="","",IF(INDEX(exp_desc,MATCH(87,exp_wishno,0))="","",INDEX(exp_desc,MATCH(87,exp_wishno,0))))</f>
        <v/>
      </c>
      <c r="C93" s="49">
        <f>IF($A93="","",IF(INDEX(exp_cat,MATCH(87,exp_wishno,0))="","",INDEX(exp_cat,MATCH(87,exp_wishno,0))))</f>
        <v/>
      </c>
      <c r="D93" s="100">
        <f>IF($A93="","",IF(INDEX(exp_prio,MATCH(87,exp_wishno,0))="","",INDEX(exp_prio,MATCH(87,exp_wishno,0))))</f>
        <v/>
      </c>
      <c r="E93" s="100">
        <f>IF($A93="","",IF(INDEX(exp_year,MATCH(87,exp_wishno,0))="","",INDEX(exp_year,MATCH(87,exp_wishno,0))))</f>
        <v/>
      </c>
      <c r="F93" s="100">
        <f>IF($A93="","",IF(INDEX(exp_month,MATCH(87,exp_wishno,0))="","",INDEX(exp_month,MATCH(87,exp_wishno,0))))</f>
        <v/>
      </c>
      <c r="G93" s="101">
        <f>IF($A93="","",IF(INDEX(exp_plan,MATCH(87,exp_wishno,0))="","",INDEX(exp_plan,MATCH(87,exp_wishno,0))))</f>
        <v/>
      </c>
      <c r="H93" s="102">
        <f>IF($A93="","",IF(INDEX(exp_fact,MATCH(87,exp_wishno,0))="","",INDEX(exp_fact,MATCH(87,exp_wishno,0))))</f>
        <v/>
      </c>
      <c r="I93" s="49">
        <f>IF($A93="","",IF(INDEX(exp_status,MATCH(87,exp_wishno,0))="","",INDEX(exp_status,MATCH(87,exp_wishno,0))))</f>
        <v/>
      </c>
    </row>
    <row r="94">
      <c r="A94" s="100">
        <f>IF(ISNA(MATCH(88,exp_wishno,0)),"",88)</f>
        <v/>
      </c>
      <c r="B94" s="49">
        <f>IF($A94="","",IF(INDEX(exp_desc,MATCH(88,exp_wishno,0))="","",INDEX(exp_desc,MATCH(88,exp_wishno,0))))</f>
        <v/>
      </c>
      <c r="C94" s="49">
        <f>IF($A94="","",IF(INDEX(exp_cat,MATCH(88,exp_wishno,0))="","",INDEX(exp_cat,MATCH(88,exp_wishno,0))))</f>
        <v/>
      </c>
      <c r="D94" s="100">
        <f>IF($A94="","",IF(INDEX(exp_prio,MATCH(88,exp_wishno,0))="","",INDEX(exp_prio,MATCH(88,exp_wishno,0))))</f>
        <v/>
      </c>
      <c r="E94" s="100">
        <f>IF($A94="","",IF(INDEX(exp_year,MATCH(88,exp_wishno,0))="","",INDEX(exp_year,MATCH(88,exp_wishno,0))))</f>
        <v/>
      </c>
      <c r="F94" s="100">
        <f>IF($A94="","",IF(INDEX(exp_month,MATCH(88,exp_wishno,0))="","",INDEX(exp_month,MATCH(88,exp_wishno,0))))</f>
        <v/>
      </c>
      <c r="G94" s="101">
        <f>IF($A94="","",IF(INDEX(exp_plan,MATCH(88,exp_wishno,0))="","",INDEX(exp_plan,MATCH(88,exp_wishno,0))))</f>
        <v/>
      </c>
      <c r="H94" s="102">
        <f>IF($A94="","",IF(INDEX(exp_fact,MATCH(88,exp_wishno,0))="","",INDEX(exp_fact,MATCH(88,exp_wishno,0))))</f>
        <v/>
      </c>
      <c r="I94" s="49">
        <f>IF($A94="","",IF(INDEX(exp_status,MATCH(88,exp_wishno,0))="","",INDEX(exp_status,MATCH(88,exp_wishno,0))))</f>
        <v/>
      </c>
    </row>
    <row r="95">
      <c r="A95" s="100">
        <f>IF(ISNA(MATCH(89,exp_wishno,0)),"",89)</f>
        <v/>
      </c>
      <c r="B95" s="49">
        <f>IF($A95="","",IF(INDEX(exp_desc,MATCH(89,exp_wishno,0))="","",INDEX(exp_desc,MATCH(89,exp_wishno,0))))</f>
        <v/>
      </c>
      <c r="C95" s="49">
        <f>IF($A95="","",IF(INDEX(exp_cat,MATCH(89,exp_wishno,0))="","",INDEX(exp_cat,MATCH(89,exp_wishno,0))))</f>
        <v/>
      </c>
      <c r="D95" s="100">
        <f>IF($A95="","",IF(INDEX(exp_prio,MATCH(89,exp_wishno,0))="","",INDEX(exp_prio,MATCH(89,exp_wishno,0))))</f>
        <v/>
      </c>
      <c r="E95" s="100">
        <f>IF($A95="","",IF(INDEX(exp_year,MATCH(89,exp_wishno,0))="","",INDEX(exp_year,MATCH(89,exp_wishno,0))))</f>
        <v/>
      </c>
      <c r="F95" s="100">
        <f>IF($A95="","",IF(INDEX(exp_month,MATCH(89,exp_wishno,0))="","",INDEX(exp_month,MATCH(89,exp_wishno,0))))</f>
        <v/>
      </c>
      <c r="G95" s="101">
        <f>IF($A95="","",IF(INDEX(exp_plan,MATCH(89,exp_wishno,0))="","",INDEX(exp_plan,MATCH(89,exp_wishno,0))))</f>
        <v/>
      </c>
      <c r="H95" s="102">
        <f>IF($A95="","",IF(INDEX(exp_fact,MATCH(89,exp_wishno,0))="","",INDEX(exp_fact,MATCH(89,exp_wishno,0))))</f>
        <v/>
      </c>
      <c r="I95" s="49">
        <f>IF($A95="","",IF(INDEX(exp_status,MATCH(89,exp_wishno,0))="","",INDEX(exp_status,MATCH(89,exp_wishno,0))))</f>
        <v/>
      </c>
    </row>
    <row r="96">
      <c r="A96" s="100">
        <f>IF(ISNA(MATCH(90,exp_wishno,0)),"",90)</f>
        <v/>
      </c>
      <c r="B96" s="49">
        <f>IF($A96="","",IF(INDEX(exp_desc,MATCH(90,exp_wishno,0))="","",INDEX(exp_desc,MATCH(90,exp_wishno,0))))</f>
        <v/>
      </c>
      <c r="C96" s="49">
        <f>IF($A96="","",IF(INDEX(exp_cat,MATCH(90,exp_wishno,0))="","",INDEX(exp_cat,MATCH(90,exp_wishno,0))))</f>
        <v/>
      </c>
      <c r="D96" s="100">
        <f>IF($A96="","",IF(INDEX(exp_prio,MATCH(90,exp_wishno,0))="","",INDEX(exp_prio,MATCH(90,exp_wishno,0))))</f>
        <v/>
      </c>
      <c r="E96" s="100">
        <f>IF($A96="","",IF(INDEX(exp_year,MATCH(90,exp_wishno,0))="","",INDEX(exp_year,MATCH(90,exp_wishno,0))))</f>
        <v/>
      </c>
      <c r="F96" s="100">
        <f>IF($A96="","",IF(INDEX(exp_month,MATCH(90,exp_wishno,0))="","",INDEX(exp_month,MATCH(90,exp_wishno,0))))</f>
        <v/>
      </c>
      <c r="G96" s="101">
        <f>IF($A96="","",IF(INDEX(exp_plan,MATCH(90,exp_wishno,0))="","",INDEX(exp_plan,MATCH(90,exp_wishno,0))))</f>
        <v/>
      </c>
      <c r="H96" s="102">
        <f>IF($A96="","",IF(INDEX(exp_fact,MATCH(90,exp_wishno,0))="","",INDEX(exp_fact,MATCH(90,exp_wishno,0))))</f>
        <v/>
      </c>
      <c r="I96" s="49">
        <f>IF($A96="","",IF(INDEX(exp_status,MATCH(90,exp_wishno,0))="","",INDEX(exp_status,MATCH(90,exp_wishno,0))))</f>
        <v/>
      </c>
    </row>
    <row r="97">
      <c r="A97" s="100">
        <f>IF(ISNA(MATCH(91,exp_wishno,0)),"",91)</f>
        <v/>
      </c>
      <c r="B97" s="49">
        <f>IF($A97="","",IF(INDEX(exp_desc,MATCH(91,exp_wishno,0))="","",INDEX(exp_desc,MATCH(91,exp_wishno,0))))</f>
        <v/>
      </c>
      <c r="C97" s="49">
        <f>IF($A97="","",IF(INDEX(exp_cat,MATCH(91,exp_wishno,0))="","",INDEX(exp_cat,MATCH(91,exp_wishno,0))))</f>
        <v/>
      </c>
      <c r="D97" s="100">
        <f>IF($A97="","",IF(INDEX(exp_prio,MATCH(91,exp_wishno,0))="","",INDEX(exp_prio,MATCH(91,exp_wishno,0))))</f>
        <v/>
      </c>
      <c r="E97" s="100">
        <f>IF($A97="","",IF(INDEX(exp_year,MATCH(91,exp_wishno,0))="","",INDEX(exp_year,MATCH(91,exp_wishno,0))))</f>
        <v/>
      </c>
      <c r="F97" s="100">
        <f>IF($A97="","",IF(INDEX(exp_month,MATCH(91,exp_wishno,0))="","",INDEX(exp_month,MATCH(91,exp_wishno,0))))</f>
        <v/>
      </c>
      <c r="G97" s="101">
        <f>IF($A97="","",IF(INDEX(exp_plan,MATCH(91,exp_wishno,0))="","",INDEX(exp_plan,MATCH(91,exp_wishno,0))))</f>
        <v/>
      </c>
      <c r="H97" s="102">
        <f>IF($A97="","",IF(INDEX(exp_fact,MATCH(91,exp_wishno,0))="","",INDEX(exp_fact,MATCH(91,exp_wishno,0))))</f>
        <v/>
      </c>
      <c r="I97" s="49">
        <f>IF($A97="","",IF(INDEX(exp_status,MATCH(91,exp_wishno,0))="","",INDEX(exp_status,MATCH(91,exp_wishno,0))))</f>
        <v/>
      </c>
    </row>
    <row r="98">
      <c r="A98" s="100">
        <f>IF(ISNA(MATCH(92,exp_wishno,0)),"",92)</f>
        <v/>
      </c>
      <c r="B98" s="49">
        <f>IF($A98="","",IF(INDEX(exp_desc,MATCH(92,exp_wishno,0))="","",INDEX(exp_desc,MATCH(92,exp_wishno,0))))</f>
        <v/>
      </c>
      <c r="C98" s="49">
        <f>IF($A98="","",IF(INDEX(exp_cat,MATCH(92,exp_wishno,0))="","",INDEX(exp_cat,MATCH(92,exp_wishno,0))))</f>
        <v/>
      </c>
      <c r="D98" s="100">
        <f>IF($A98="","",IF(INDEX(exp_prio,MATCH(92,exp_wishno,0))="","",INDEX(exp_prio,MATCH(92,exp_wishno,0))))</f>
        <v/>
      </c>
      <c r="E98" s="100">
        <f>IF($A98="","",IF(INDEX(exp_year,MATCH(92,exp_wishno,0))="","",INDEX(exp_year,MATCH(92,exp_wishno,0))))</f>
        <v/>
      </c>
      <c r="F98" s="100">
        <f>IF($A98="","",IF(INDEX(exp_month,MATCH(92,exp_wishno,0))="","",INDEX(exp_month,MATCH(92,exp_wishno,0))))</f>
        <v/>
      </c>
      <c r="G98" s="101">
        <f>IF($A98="","",IF(INDEX(exp_plan,MATCH(92,exp_wishno,0))="","",INDEX(exp_plan,MATCH(92,exp_wishno,0))))</f>
        <v/>
      </c>
      <c r="H98" s="102">
        <f>IF($A98="","",IF(INDEX(exp_fact,MATCH(92,exp_wishno,0))="","",INDEX(exp_fact,MATCH(92,exp_wishno,0))))</f>
        <v/>
      </c>
      <c r="I98" s="49">
        <f>IF($A98="","",IF(INDEX(exp_status,MATCH(92,exp_wishno,0))="","",INDEX(exp_status,MATCH(92,exp_wishno,0))))</f>
        <v/>
      </c>
    </row>
    <row r="99">
      <c r="A99" s="100">
        <f>IF(ISNA(MATCH(93,exp_wishno,0)),"",93)</f>
        <v/>
      </c>
      <c r="B99" s="49">
        <f>IF($A99="","",IF(INDEX(exp_desc,MATCH(93,exp_wishno,0))="","",INDEX(exp_desc,MATCH(93,exp_wishno,0))))</f>
        <v/>
      </c>
      <c r="C99" s="49">
        <f>IF($A99="","",IF(INDEX(exp_cat,MATCH(93,exp_wishno,0))="","",INDEX(exp_cat,MATCH(93,exp_wishno,0))))</f>
        <v/>
      </c>
      <c r="D99" s="100">
        <f>IF($A99="","",IF(INDEX(exp_prio,MATCH(93,exp_wishno,0))="","",INDEX(exp_prio,MATCH(93,exp_wishno,0))))</f>
        <v/>
      </c>
      <c r="E99" s="100">
        <f>IF($A99="","",IF(INDEX(exp_year,MATCH(93,exp_wishno,0))="","",INDEX(exp_year,MATCH(93,exp_wishno,0))))</f>
        <v/>
      </c>
      <c r="F99" s="100">
        <f>IF($A99="","",IF(INDEX(exp_month,MATCH(93,exp_wishno,0))="","",INDEX(exp_month,MATCH(93,exp_wishno,0))))</f>
        <v/>
      </c>
      <c r="G99" s="101">
        <f>IF($A99="","",IF(INDEX(exp_plan,MATCH(93,exp_wishno,0))="","",INDEX(exp_plan,MATCH(93,exp_wishno,0))))</f>
        <v/>
      </c>
      <c r="H99" s="102">
        <f>IF($A99="","",IF(INDEX(exp_fact,MATCH(93,exp_wishno,0))="","",INDEX(exp_fact,MATCH(93,exp_wishno,0))))</f>
        <v/>
      </c>
      <c r="I99" s="49">
        <f>IF($A99="","",IF(INDEX(exp_status,MATCH(93,exp_wishno,0))="","",INDEX(exp_status,MATCH(93,exp_wishno,0))))</f>
        <v/>
      </c>
    </row>
    <row r="100">
      <c r="A100" s="100">
        <f>IF(ISNA(MATCH(94,exp_wishno,0)),"",94)</f>
        <v/>
      </c>
      <c r="B100" s="49">
        <f>IF($A100="","",IF(INDEX(exp_desc,MATCH(94,exp_wishno,0))="","",INDEX(exp_desc,MATCH(94,exp_wishno,0))))</f>
        <v/>
      </c>
      <c r="C100" s="49">
        <f>IF($A100="","",IF(INDEX(exp_cat,MATCH(94,exp_wishno,0))="","",INDEX(exp_cat,MATCH(94,exp_wishno,0))))</f>
        <v/>
      </c>
      <c r="D100" s="100">
        <f>IF($A100="","",IF(INDEX(exp_prio,MATCH(94,exp_wishno,0))="","",INDEX(exp_prio,MATCH(94,exp_wishno,0))))</f>
        <v/>
      </c>
      <c r="E100" s="100">
        <f>IF($A100="","",IF(INDEX(exp_year,MATCH(94,exp_wishno,0))="","",INDEX(exp_year,MATCH(94,exp_wishno,0))))</f>
        <v/>
      </c>
      <c r="F100" s="100">
        <f>IF($A100="","",IF(INDEX(exp_month,MATCH(94,exp_wishno,0))="","",INDEX(exp_month,MATCH(94,exp_wishno,0))))</f>
        <v/>
      </c>
      <c r="G100" s="101">
        <f>IF($A100="","",IF(INDEX(exp_plan,MATCH(94,exp_wishno,0))="","",INDEX(exp_plan,MATCH(94,exp_wishno,0))))</f>
        <v/>
      </c>
      <c r="H100" s="102">
        <f>IF($A100="","",IF(INDEX(exp_fact,MATCH(94,exp_wishno,0))="","",INDEX(exp_fact,MATCH(94,exp_wishno,0))))</f>
        <v/>
      </c>
      <c r="I100" s="49">
        <f>IF($A100="","",IF(INDEX(exp_status,MATCH(94,exp_wishno,0))="","",INDEX(exp_status,MATCH(94,exp_wishno,0))))</f>
        <v/>
      </c>
    </row>
    <row r="101">
      <c r="A101" s="100">
        <f>IF(ISNA(MATCH(95,exp_wishno,0)),"",95)</f>
        <v/>
      </c>
      <c r="B101" s="49">
        <f>IF($A101="","",IF(INDEX(exp_desc,MATCH(95,exp_wishno,0))="","",INDEX(exp_desc,MATCH(95,exp_wishno,0))))</f>
        <v/>
      </c>
      <c r="C101" s="49">
        <f>IF($A101="","",IF(INDEX(exp_cat,MATCH(95,exp_wishno,0))="","",INDEX(exp_cat,MATCH(95,exp_wishno,0))))</f>
        <v/>
      </c>
      <c r="D101" s="100">
        <f>IF($A101="","",IF(INDEX(exp_prio,MATCH(95,exp_wishno,0))="","",INDEX(exp_prio,MATCH(95,exp_wishno,0))))</f>
        <v/>
      </c>
      <c r="E101" s="100">
        <f>IF($A101="","",IF(INDEX(exp_year,MATCH(95,exp_wishno,0))="","",INDEX(exp_year,MATCH(95,exp_wishno,0))))</f>
        <v/>
      </c>
      <c r="F101" s="100">
        <f>IF($A101="","",IF(INDEX(exp_month,MATCH(95,exp_wishno,0))="","",INDEX(exp_month,MATCH(95,exp_wishno,0))))</f>
        <v/>
      </c>
      <c r="G101" s="101">
        <f>IF($A101="","",IF(INDEX(exp_plan,MATCH(95,exp_wishno,0))="","",INDEX(exp_plan,MATCH(95,exp_wishno,0))))</f>
        <v/>
      </c>
      <c r="H101" s="102">
        <f>IF($A101="","",IF(INDEX(exp_fact,MATCH(95,exp_wishno,0))="","",INDEX(exp_fact,MATCH(95,exp_wishno,0))))</f>
        <v/>
      </c>
      <c r="I101" s="49">
        <f>IF($A101="","",IF(INDEX(exp_status,MATCH(95,exp_wishno,0))="","",INDEX(exp_status,MATCH(95,exp_wishno,0))))</f>
        <v/>
      </c>
    </row>
    <row r="102">
      <c r="A102" s="100">
        <f>IF(ISNA(MATCH(96,exp_wishno,0)),"",96)</f>
        <v/>
      </c>
      <c r="B102" s="49">
        <f>IF($A102="","",IF(INDEX(exp_desc,MATCH(96,exp_wishno,0))="","",INDEX(exp_desc,MATCH(96,exp_wishno,0))))</f>
        <v/>
      </c>
      <c r="C102" s="49">
        <f>IF($A102="","",IF(INDEX(exp_cat,MATCH(96,exp_wishno,0))="","",INDEX(exp_cat,MATCH(96,exp_wishno,0))))</f>
        <v/>
      </c>
      <c r="D102" s="100">
        <f>IF($A102="","",IF(INDEX(exp_prio,MATCH(96,exp_wishno,0))="","",INDEX(exp_prio,MATCH(96,exp_wishno,0))))</f>
        <v/>
      </c>
      <c r="E102" s="100">
        <f>IF($A102="","",IF(INDEX(exp_year,MATCH(96,exp_wishno,0))="","",INDEX(exp_year,MATCH(96,exp_wishno,0))))</f>
        <v/>
      </c>
      <c r="F102" s="100">
        <f>IF($A102="","",IF(INDEX(exp_month,MATCH(96,exp_wishno,0))="","",INDEX(exp_month,MATCH(96,exp_wishno,0))))</f>
        <v/>
      </c>
      <c r="G102" s="101">
        <f>IF($A102="","",IF(INDEX(exp_plan,MATCH(96,exp_wishno,0))="","",INDEX(exp_plan,MATCH(96,exp_wishno,0))))</f>
        <v/>
      </c>
      <c r="H102" s="102">
        <f>IF($A102="","",IF(INDEX(exp_fact,MATCH(96,exp_wishno,0))="","",INDEX(exp_fact,MATCH(96,exp_wishno,0))))</f>
        <v/>
      </c>
      <c r="I102" s="49">
        <f>IF($A102="","",IF(INDEX(exp_status,MATCH(96,exp_wishno,0))="","",INDEX(exp_status,MATCH(96,exp_wishno,0))))</f>
        <v/>
      </c>
    </row>
    <row r="103">
      <c r="A103" s="100">
        <f>IF(ISNA(MATCH(97,exp_wishno,0)),"",97)</f>
        <v/>
      </c>
      <c r="B103" s="49">
        <f>IF($A103="","",IF(INDEX(exp_desc,MATCH(97,exp_wishno,0))="","",INDEX(exp_desc,MATCH(97,exp_wishno,0))))</f>
        <v/>
      </c>
      <c r="C103" s="49">
        <f>IF($A103="","",IF(INDEX(exp_cat,MATCH(97,exp_wishno,0))="","",INDEX(exp_cat,MATCH(97,exp_wishno,0))))</f>
        <v/>
      </c>
      <c r="D103" s="100">
        <f>IF($A103="","",IF(INDEX(exp_prio,MATCH(97,exp_wishno,0))="","",INDEX(exp_prio,MATCH(97,exp_wishno,0))))</f>
        <v/>
      </c>
      <c r="E103" s="100">
        <f>IF($A103="","",IF(INDEX(exp_year,MATCH(97,exp_wishno,0))="","",INDEX(exp_year,MATCH(97,exp_wishno,0))))</f>
        <v/>
      </c>
      <c r="F103" s="100">
        <f>IF($A103="","",IF(INDEX(exp_month,MATCH(97,exp_wishno,0))="","",INDEX(exp_month,MATCH(97,exp_wishno,0))))</f>
        <v/>
      </c>
      <c r="G103" s="101">
        <f>IF($A103="","",IF(INDEX(exp_plan,MATCH(97,exp_wishno,0))="","",INDEX(exp_plan,MATCH(97,exp_wishno,0))))</f>
        <v/>
      </c>
      <c r="H103" s="102">
        <f>IF($A103="","",IF(INDEX(exp_fact,MATCH(97,exp_wishno,0))="","",INDEX(exp_fact,MATCH(97,exp_wishno,0))))</f>
        <v/>
      </c>
      <c r="I103" s="49">
        <f>IF($A103="","",IF(INDEX(exp_status,MATCH(97,exp_wishno,0))="","",INDEX(exp_status,MATCH(97,exp_wishno,0))))</f>
        <v/>
      </c>
    </row>
    <row r="104">
      <c r="A104" s="100">
        <f>IF(ISNA(MATCH(98,exp_wishno,0)),"",98)</f>
        <v/>
      </c>
      <c r="B104" s="49">
        <f>IF($A104="","",IF(INDEX(exp_desc,MATCH(98,exp_wishno,0))="","",INDEX(exp_desc,MATCH(98,exp_wishno,0))))</f>
        <v/>
      </c>
      <c r="C104" s="49">
        <f>IF($A104="","",IF(INDEX(exp_cat,MATCH(98,exp_wishno,0))="","",INDEX(exp_cat,MATCH(98,exp_wishno,0))))</f>
        <v/>
      </c>
      <c r="D104" s="100">
        <f>IF($A104="","",IF(INDEX(exp_prio,MATCH(98,exp_wishno,0))="","",INDEX(exp_prio,MATCH(98,exp_wishno,0))))</f>
        <v/>
      </c>
      <c r="E104" s="100">
        <f>IF($A104="","",IF(INDEX(exp_year,MATCH(98,exp_wishno,0))="","",INDEX(exp_year,MATCH(98,exp_wishno,0))))</f>
        <v/>
      </c>
      <c r="F104" s="100">
        <f>IF($A104="","",IF(INDEX(exp_month,MATCH(98,exp_wishno,0))="","",INDEX(exp_month,MATCH(98,exp_wishno,0))))</f>
        <v/>
      </c>
      <c r="G104" s="101">
        <f>IF($A104="","",IF(INDEX(exp_plan,MATCH(98,exp_wishno,0))="","",INDEX(exp_plan,MATCH(98,exp_wishno,0))))</f>
        <v/>
      </c>
      <c r="H104" s="102">
        <f>IF($A104="","",IF(INDEX(exp_fact,MATCH(98,exp_wishno,0))="","",INDEX(exp_fact,MATCH(98,exp_wishno,0))))</f>
        <v/>
      </c>
      <c r="I104" s="49">
        <f>IF($A104="","",IF(INDEX(exp_status,MATCH(98,exp_wishno,0))="","",INDEX(exp_status,MATCH(98,exp_wishno,0))))</f>
        <v/>
      </c>
    </row>
    <row r="105">
      <c r="A105" s="100">
        <f>IF(ISNA(MATCH(99,exp_wishno,0)),"",99)</f>
        <v/>
      </c>
      <c r="B105" s="49">
        <f>IF($A105="","",IF(INDEX(exp_desc,MATCH(99,exp_wishno,0))="","",INDEX(exp_desc,MATCH(99,exp_wishno,0))))</f>
        <v/>
      </c>
      <c r="C105" s="49">
        <f>IF($A105="","",IF(INDEX(exp_cat,MATCH(99,exp_wishno,0))="","",INDEX(exp_cat,MATCH(99,exp_wishno,0))))</f>
        <v/>
      </c>
      <c r="D105" s="100">
        <f>IF($A105="","",IF(INDEX(exp_prio,MATCH(99,exp_wishno,0))="","",INDEX(exp_prio,MATCH(99,exp_wishno,0))))</f>
        <v/>
      </c>
      <c r="E105" s="100">
        <f>IF($A105="","",IF(INDEX(exp_year,MATCH(99,exp_wishno,0))="","",INDEX(exp_year,MATCH(99,exp_wishno,0))))</f>
        <v/>
      </c>
      <c r="F105" s="100">
        <f>IF($A105="","",IF(INDEX(exp_month,MATCH(99,exp_wishno,0))="","",INDEX(exp_month,MATCH(99,exp_wishno,0))))</f>
        <v/>
      </c>
      <c r="G105" s="101">
        <f>IF($A105="","",IF(INDEX(exp_plan,MATCH(99,exp_wishno,0))="","",INDEX(exp_plan,MATCH(99,exp_wishno,0))))</f>
        <v/>
      </c>
      <c r="H105" s="102">
        <f>IF($A105="","",IF(INDEX(exp_fact,MATCH(99,exp_wishno,0))="","",INDEX(exp_fact,MATCH(99,exp_wishno,0))))</f>
        <v/>
      </c>
      <c r="I105" s="49">
        <f>IF($A105="","",IF(INDEX(exp_status,MATCH(99,exp_wishno,0))="","",INDEX(exp_status,MATCH(99,exp_wishno,0))))</f>
        <v/>
      </c>
    </row>
    <row r="106">
      <c r="A106" s="100">
        <f>IF(ISNA(MATCH(100,exp_wishno,0)),"",100)</f>
        <v/>
      </c>
      <c r="B106" s="49">
        <f>IF($A106="","",IF(INDEX(exp_desc,MATCH(100,exp_wishno,0))="","",INDEX(exp_desc,MATCH(100,exp_wishno,0))))</f>
        <v/>
      </c>
      <c r="C106" s="49">
        <f>IF($A106="","",IF(INDEX(exp_cat,MATCH(100,exp_wishno,0))="","",INDEX(exp_cat,MATCH(100,exp_wishno,0))))</f>
        <v/>
      </c>
      <c r="D106" s="100">
        <f>IF($A106="","",IF(INDEX(exp_prio,MATCH(100,exp_wishno,0))="","",INDEX(exp_prio,MATCH(100,exp_wishno,0))))</f>
        <v/>
      </c>
      <c r="E106" s="100">
        <f>IF($A106="","",IF(INDEX(exp_year,MATCH(100,exp_wishno,0))="","",INDEX(exp_year,MATCH(100,exp_wishno,0))))</f>
        <v/>
      </c>
      <c r="F106" s="100">
        <f>IF($A106="","",IF(INDEX(exp_month,MATCH(100,exp_wishno,0))="","",INDEX(exp_month,MATCH(100,exp_wishno,0))))</f>
        <v/>
      </c>
      <c r="G106" s="101">
        <f>IF($A106="","",IF(INDEX(exp_plan,MATCH(100,exp_wishno,0))="","",INDEX(exp_plan,MATCH(100,exp_wishno,0))))</f>
        <v/>
      </c>
      <c r="H106" s="102">
        <f>IF($A106="","",IF(INDEX(exp_fact,MATCH(100,exp_wishno,0))="","",INDEX(exp_fact,MATCH(100,exp_wishno,0))))</f>
        <v/>
      </c>
      <c r="I106" s="49">
        <f>IF($A106="","",IF(INDEX(exp_status,MATCH(100,exp_wishno,0))="","",INDEX(exp_status,MATCH(100,exp_wishno,0))))</f>
        <v/>
      </c>
    </row>
    <row r="107">
      <c r="A107" s="100">
        <f>IF(ISNA(MATCH(101,exp_wishno,0)),"",101)</f>
        <v/>
      </c>
      <c r="B107" s="49">
        <f>IF($A107="","",IF(INDEX(exp_desc,MATCH(101,exp_wishno,0))="","",INDEX(exp_desc,MATCH(101,exp_wishno,0))))</f>
        <v/>
      </c>
      <c r="C107" s="49">
        <f>IF($A107="","",IF(INDEX(exp_cat,MATCH(101,exp_wishno,0))="","",INDEX(exp_cat,MATCH(101,exp_wishno,0))))</f>
        <v/>
      </c>
      <c r="D107" s="100">
        <f>IF($A107="","",IF(INDEX(exp_prio,MATCH(101,exp_wishno,0))="","",INDEX(exp_prio,MATCH(101,exp_wishno,0))))</f>
        <v/>
      </c>
      <c r="E107" s="100">
        <f>IF($A107="","",IF(INDEX(exp_year,MATCH(101,exp_wishno,0))="","",INDEX(exp_year,MATCH(101,exp_wishno,0))))</f>
        <v/>
      </c>
      <c r="F107" s="100">
        <f>IF($A107="","",IF(INDEX(exp_month,MATCH(101,exp_wishno,0))="","",INDEX(exp_month,MATCH(101,exp_wishno,0))))</f>
        <v/>
      </c>
      <c r="G107" s="101">
        <f>IF($A107="","",IF(INDEX(exp_plan,MATCH(101,exp_wishno,0))="","",INDEX(exp_plan,MATCH(101,exp_wishno,0))))</f>
        <v/>
      </c>
      <c r="H107" s="102">
        <f>IF($A107="","",IF(INDEX(exp_fact,MATCH(101,exp_wishno,0))="","",INDEX(exp_fact,MATCH(101,exp_wishno,0))))</f>
        <v/>
      </c>
      <c r="I107" s="49">
        <f>IF($A107="","",IF(INDEX(exp_status,MATCH(101,exp_wishno,0))="","",INDEX(exp_status,MATCH(101,exp_wishno,0))))</f>
        <v/>
      </c>
    </row>
    <row r="108">
      <c r="A108" s="100">
        <f>IF(ISNA(MATCH(102,exp_wishno,0)),"",102)</f>
        <v/>
      </c>
      <c r="B108" s="49">
        <f>IF($A108="","",IF(INDEX(exp_desc,MATCH(102,exp_wishno,0))="","",INDEX(exp_desc,MATCH(102,exp_wishno,0))))</f>
        <v/>
      </c>
      <c r="C108" s="49">
        <f>IF($A108="","",IF(INDEX(exp_cat,MATCH(102,exp_wishno,0))="","",INDEX(exp_cat,MATCH(102,exp_wishno,0))))</f>
        <v/>
      </c>
      <c r="D108" s="100">
        <f>IF($A108="","",IF(INDEX(exp_prio,MATCH(102,exp_wishno,0))="","",INDEX(exp_prio,MATCH(102,exp_wishno,0))))</f>
        <v/>
      </c>
      <c r="E108" s="100">
        <f>IF($A108="","",IF(INDEX(exp_year,MATCH(102,exp_wishno,0))="","",INDEX(exp_year,MATCH(102,exp_wishno,0))))</f>
        <v/>
      </c>
      <c r="F108" s="100">
        <f>IF($A108="","",IF(INDEX(exp_month,MATCH(102,exp_wishno,0))="","",INDEX(exp_month,MATCH(102,exp_wishno,0))))</f>
        <v/>
      </c>
      <c r="G108" s="101">
        <f>IF($A108="","",IF(INDEX(exp_plan,MATCH(102,exp_wishno,0))="","",INDEX(exp_plan,MATCH(102,exp_wishno,0))))</f>
        <v/>
      </c>
      <c r="H108" s="102">
        <f>IF($A108="","",IF(INDEX(exp_fact,MATCH(102,exp_wishno,0))="","",INDEX(exp_fact,MATCH(102,exp_wishno,0))))</f>
        <v/>
      </c>
      <c r="I108" s="49">
        <f>IF($A108="","",IF(INDEX(exp_status,MATCH(102,exp_wishno,0))="","",INDEX(exp_status,MATCH(102,exp_wishno,0))))</f>
        <v/>
      </c>
    </row>
    <row r="109">
      <c r="A109" s="100">
        <f>IF(ISNA(MATCH(103,exp_wishno,0)),"",103)</f>
        <v/>
      </c>
      <c r="B109" s="49">
        <f>IF($A109="","",IF(INDEX(exp_desc,MATCH(103,exp_wishno,0))="","",INDEX(exp_desc,MATCH(103,exp_wishno,0))))</f>
        <v/>
      </c>
      <c r="C109" s="49">
        <f>IF($A109="","",IF(INDEX(exp_cat,MATCH(103,exp_wishno,0))="","",INDEX(exp_cat,MATCH(103,exp_wishno,0))))</f>
        <v/>
      </c>
      <c r="D109" s="100">
        <f>IF($A109="","",IF(INDEX(exp_prio,MATCH(103,exp_wishno,0))="","",INDEX(exp_prio,MATCH(103,exp_wishno,0))))</f>
        <v/>
      </c>
      <c r="E109" s="100">
        <f>IF($A109="","",IF(INDEX(exp_year,MATCH(103,exp_wishno,0))="","",INDEX(exp_year,MATCH(103,exp_wishno,0))))</f>
        <v/>
      </c>
      <c r="F109" s="100">
        <f>IF($A109="","",IF(INDEX(exp_month,MATCH(103,exp_wishno,0))="","",INDEX(exp_month,MATCH(103,exp_wishno,0))))</f>
        <v/>
      </c>
      <c r="G109" s="101">
        <f>IF($A109="","",IF(INDEX(exp_plan,MATCH(103,exp_wishno,0))="","",INDEX(exp_plan,MATCH(103,exp_wishno,0))))</f>
        <v/>
      </c>
      <c r="H109" s="102">
        <f>IF($A109="","",IF(INDEX(exp_fact,MATCH(103,exp_wishno,0))="","",INDEX(exp_fact,MATCH(103,exp_wishno,0))))</f>
        <v/>
      </c>
      <c r="I109" s="49">
        <f>IF($A109="","",IF(INDEX(exp_status,MATCH(103,exp_wishno,0))="","",INDEX(exp_status,MATCH(103,exp_wishno,0))))</f>
        <v/>
      </c>
    </row>
    <row r="110">
      <c r="A110" s="100">
        <f>IF(ISNA(MATCH(104,exp_wishno,0)),"",104)</f>
        <v/>
      </c>
      <c r="B110" s="49">
        <f>IF($A110="","",IF(INDEX(exp_desc,MATCH(104,exp_wishno,0))="","",INDEX(exp_desc,MATCH(104,exp_wishno,0))))</f>
        <v/>
      </c>
      <c r="C110" s="49">
        <f>IF($A110="","",IF(INDEX(exp_cat,MATCH(104,exp_wishno,0))="","",INDEX(exp_cat,MATCH(104,exp_wishno,0))))</f>
        <v/>
      </c>
      <c r="D110" s="100">
        <f>IF($A110="","",IF(INDEX(exp_prio,MATCH(104,exp_wishno,0))="","",INDEX(exp_prio,MATCH(104,exp_wishno,0))))</f>
        <v/>
      </c>
      <c r="E110" s="100">
        <f>IF($A110="","",IF(INDEX(exp_year,MATCH(104,exp_wishno,0))="","",INDEX(exp_year,MATCH(104,exp_wishno,0))))</f>
        <v/>
      </c>
      <c r="F110" s="100">
        <f>IF($A110="","",IF(INDEX(exp_month,MATCH(104,exp_wishno,0))="","",INDEX(exp_month,MATCH(104,exp_wishno,0))))</f>
        <v/>
      </c>
      <c r="G110" s="101">
        <f>IF($A110="","",IF(INDEX(exp_plan,MATCH(104,exp_wishno,0))="","",INDEX(exp_plan,MATCH(104,exp_wishno,0))))</f>
        <v/>
      </c>
      <c r="H110" s="102">
        <f>IF($A110="","",IF(INDEX(exp_fact,MATCH(104,exp_wishno,0))="","",INDEX(exp_fact,MATCH(104,exp_wishno,0))))</f>
        <v/>
      </c>
      <c r="I110" s="49">
        <f>IF($A110="","",IF(INDEX(exp_status,MATCH(104,exp_wishno,0))="","",INDEX(exp_status,MATCH(104,exp_wishno,0))))</f>
        <v/>
      </c>
    </row>
    <row r="111">
      <c r="A111" s="100">
        <f>IF(ISNA(MATCH(105,exp_wishno,0)),"",105)</f>
        <v/>
      </c>
      <c r="B111" s="49">
        <f>IF($A111="","",IF(INDEX(exp_desc,MATCH(105,exp_wishno,0))="","",INDEX(exp_desc,MATCH(105,exp_wishno,0))))</f>
        <v/>
      </c>
      <c r="C111" s="49">
        <f>IF($A111="","",IF(INDEX(exp_cat,MATCH(105,exp_wishno,0))="","",INDEX(exp_cat,MATCH(105,exp_wishno,0))))</f>
        <v/>
      </c>
      <c r="D111" s="100">
        <f>IF($A111="","",IF(INDEX(exp_prio,MATCH(105,exp_wishno,0))="","",INDEX(exp_prio,MATCH(105,exp_wishno,0))))</f>
        <v/>
      </c>
      <c r="E111" s="100">
        <f>IF($A111="","",IF(INDEX(exp_year,MATCH(105,exp_wishno,0))="","",INDEX(exp_year,MATCH(105,exp_wishno,0))))</f>
        <v/>
      </c>
      <c r="F111" s="100">
        <f>IF($A111="","",IF(INDEX(exp_month,MATCH(105,exp_wishno,0))="","",INDEX(exp_month,MATCH(105,exp_wishno,0))))</f>
        <v/>
      </c>
      <c r="G111" s="101">
        <f>IF($A111="","",IF(INDEX(exp_plan,MATCH(105,exp_wishno,0))="","",INDEX(exp_plan,MATCH(105,exp_wishno,0))))</f>
        <v/>
      </c>
      <c r="H111" s="102">
        <f>IF($A111="","",IF(INDEX(exp_fact,MATCH(105,exp_wishno,0))="","",INDEX(exp_fact,MATCH(105,exp_wishno,0))))</f>
        <v/>
      </c>
      <c r="I111" s="49">
        <f>IF($A111="","",IF(INDEX(exp_status,MATCH(105,exp_wishno,0))="","",INDEX(exp_status,MATCH(105,exp_wishno,0))))</f>
        <v/>
      </c>
    </row>
    <row r="112">
      <c r="A112" s="100">
        <f>IF(ISNA(MATCH(106,exp_wishno,0)),"",106)</f>
        <v/>
      </c>
      <c r="B112" s="49">
        <f>IF($A112="","",IF(INDEX(exp_desc,MATCH(106,exp_wishno,0))="","",INDEX(exp_desc,MATCH(106,exp_wishno,0))))</f>
        <v/>
      </c>
      <c r="C112" s="49">
        <f>IF($A112="","",IF(INDEX(exp_cat,MATCH(106,exp_wishno,0))="","",INDEX(exp_cat,MATCH(106,exp_wishno,0))))</f>
        <v/>
      </c>
      <c r="D112" s="100">
        <f>IF($A112="","",IF(INDEX(exp_prio,MATCH(106,exp_wishno,0))="","",INDEX(exp_prio,MATCH(106,exp_wishno,0))))</f>
        <v/>
      </c>
      <c r="E112" s="100">
        <f>IF($A112="","",IF(INDEX(exp_year,MATCH(106,exp_wishno,0))="","",INDEX(exp_year,MATCH(106,exp_wishno,0))))</f>
        <v/>
      </c>
      <c r="F112" s="100">
        <f>IF($A112="","",IF(INDEX(exp_month,MATCH(106,exp_wishno,0))="","",INDEX(exp_month,MATCH(106,exp_wishno,0))))</f>
        <v/>
      </c>
      <c r="G112" s="101">
        <f>IF($A112="","",IF(INDEX(exp_plan,MATCH(106,exp_wishno,0))="","",INDEX(exp_plan,MATCH(106,exp_wishno,0))))</f>
        <v/>
      </c>
      <c r="H112" s="102">
        <f>IF($A112="","",IF(INDEX(exp_fact,MATCH(106,exp_wishno,0))="","",INDEX(exp_fact,MATCH(106,exp_wishno,0))))</f>
        <v/>
      </c>
      <c r="I112" s="49">
        <f>IF($A112="","",IF(INDEX(exp_status,MATCH(106,exp_wishno,0))="","",INDEX(exp_status,MATCH(106,exp_wishno,0))))</f>
        <v/>
      </c>
    </row>
    <row r="113">
      <c r="A113" s="100">
        <f>IF(ISNA(MATCH(107,exp_wishno,0)),"",107)</f>
        <v/>
      </c>
      <c r="B113" s="49">
        <f>IF($A113="","",IF(INDEX(exp_desc,MATCH(107,exp_wishno,0))="","",INDEX(exp_desc,MATCH(107,exp_wishno,0))))</f>
        <v/>
      </c>
      <c r="C113" s="49">
        <f>IF($A113="","",IF(INDEX(exp_cat,MATCH(107,exp_wishno,0))="","",INDEX(exp_cat,MATCH(107,exp_wishno,0))))</f>
        <v/>
      </c>
      <c r="D113" s="100">
        <f>IF($A113="","",IF(INDEX(exp_prio,MATCH(107,exp_wishno,0))="","",INDEX(exp_prio,MATCH(107,exp_wishno,0))))</f>
        <v/>
      </c>
      <c r="E113" s="100">
        <f>IF($A113="","",IF(INDEX(exp_year,MATCH(107,exp_wishno,0))="","",INDEX(exp_year,MATCH(107,exp_wishno,0))))</f>
        <v/>
      </c>
      <c r="F113" s="100">
        <f>IF($A113="","",IF(INDEX(exp_month,MATCH(107,exp_wishno,0))="","",INDEX(exp_month,MATCH(107,exp_wishno,0))))</f>
        <v/>
      </c>
      <c r="G113" s="101">
        <f>IF($A113="","",IF(INDEX(exp_plan,MATCH(107,exp_wishno,0))="","",INDEX(exp_plan,MATCH(107,exp_wishno,0))))</f>
        <v/>
      </c>
      <c r="H113" s="102">
        <f>IF($A113="","",IF(INDEX(exp_fact,MATCH(107,exp_wishno,0))="","",INDEX(exp_fact,MATCH(107,exp_wishno,0))))</f>
        <v/>
      </c>
      <c r="I113" s="49">
        <f>IF($A113="","",IF(INDEX(exp_status,MATCH(107,exp_wishno,0))="","",INDEX(exp_status,MATCH(107,exp_wishno,0))))</f>
        <v/>
      </c>
    </row>
    <row r="114">
      <c r="A114" s="100">
        <f>IF(ISNA(MATCH(108,exp_wishno,0)),"",108)</f>
        <v/>
      </c>
      <c r="B114" s="49">
        <f>IF($A114="","",IF(INDEX(exp_desc,MATCH(108,exp_wishno,0))="","",INDEX(exp_desc,MATCH(108,exp_wishno,0))))</f>
        <v/>
      </c>
      <c r="C114" s="49">
        <f>IF($A114="","",IF(INDEX(exp_cat,MATCH(108,exp_wishno,0))="","",INDEX(exp_cat,MATCH(108,exp_wishno,0))))</f>
        <v/>
      </c>
      <c r="D114" s="100">
        <f>IF($A114="","",IF(INDEX(exp_prio,MATCH(108,exp_wishno,0))="","",INDEX(exp_prio,MATCH(108,exp_wishno,0))))</f>
        <v/>
      </c>
      <c r="E114" s="100">
        <f>IF($A114="","",IF(INDEX(exp_year,MATCH(108,exp_wishno,0))="","",INDEX(exp_year,MATCH(108,exp_wishno,0))))</f>
        <v/>
      </c>
      <c r="F114" s="100">
        <f>IF($A114="","",IF(INDEX(exp_month,MATCH(108,exp_wishno,0))="","",INDEX(exp_month,MATCH(108,exp_wishno,0))))</f>
        <v/>
      </c>
      <c r="G114" s="101">
        <f>IF($A114="","",IF(INDEX(exp_plan,MATCH(108,exp_wishno,0))="","",INDEX(exp_plan,MATCH(108,exp_wishno,0))))</f>
        <v/>
      </c>
      <c r="H114" s="102">
        <f>IF($A114="","",IF(INDEX(exp_fact,MATCH(108,exp_wishno,0))="","",INDEX(exp_fact,MATCH(108,exp_wishno,0))))</f>
        <v/>
      </c>
      <c r="I114" s="49">
        <f>IF($A114="","",IF(INDEX(exp_status,MATCH(108,exp_wishno,0))="","",INDEX(exp_status,MATCH(108,exp_wishno,0))))</f>
        <v/>
      </c>
    </row>
    <row r="115">
      <c r="A115" s="100">
        <f>IF(ISNA(MATCH(109,exp_wishno,0)),"",109)</f>
        <v/>
      </c>
      <c r="B115" s="49">
        <f>IF($A115="","",IF(INDEX(exp_desc,MATCH(109,exp_wishno,0))="","",INDEX(exp_desc,MATCH(109,exp_wishno,0))))</f>
        <v/>
      </c>
      <c r="C115" s="49">
        <f>IF($A115="","",IF(INDEX(exp_cat,MATCH(109,exp_wishno,0))="","",INDEX(exp_cat,MATCH(109,exp_wishno,0))))</f>
        <v/>
      </c>
      <c r="D115" s="100">
        <f>IF($A115="","",IF(INDEX(exp_prio,MATCH(109,exp_wishno,0))="","",INDEX(exp_prio,MATCH(109,exp_wishno,0))))</f>
        <v/>
      </c>
      <c r="E115" s="100">
        <f>IF($A115="","",IF(INDEX(exp_year,MATCH(109,exp_wishno,0))="","",INDEX(exp_year,MATCH(109,exp_wishno,0))))</f>
        <v/>
      </c>
      <c r="F115" s="100">
        <f>IF($A115="","",IF(INDEX(exp_month,MATCH(109,exp_wishno,0))="","",INDEX(exp_month,MATCH(109,exp_wishno,0))))</f>
        <v/>
      </c>
      <c r="G115" s="101">
        <f>IF($A115="","",IF(INDEX(exp_plan,MATCH(109,exp_wishno,0))="","",INDEX(exp_plan,MATCH(109,exp_wishno,0))))</f>
        <v/>
      </c>
      <c r="H115" s="102">
        <f>IF($A115="","",IF(INDEX(exp_fact,MATCH(109,exp_wishno,0))="","",INDEX(exp_fact,MATCH(109,exp_wishno,0))))</f>
        <v/>
      </c>
      <c r="I115" s="49">
        <f>IF($A115="","",IF(INDEX(exp_status,MATCH(109,exp_wishno,0))="","",INDEX(exp_status,MATCH(109,exp_wishno,0))))</f>
        <v/>
      </c>
    </row>
    <row r="116">
      <c r="A116" s="100">
        <f>IF(ISNA(MATCH(110,exp_wishno,0)),"",110)</f>
        <v/>
      </c>
      <c r="B116" s="49">
        <f>IF($A116="","",IF(INDEX(exp_desc,MATCH(110,exp_wishno,0))="","",INDEX(exp_desc,MATCH(110,exp_wishno,0))))</f>
        <v/>
      </c>
      <c r="C116" s="49">
        <f>IF($A116="","",IF(INDEX(exp_cat,MATCH(110,exp_wishno,0))="","",INDEX(exp_cat,MATCH(110,exp_wishno,0))))</f>
        <v/>
      </c>
      <c r="D116" s="100">
        <f>IF($A116="","",IF(INDEX(exp_prio,MATCH(110,exp_wishno,0))="","",INDEX(exp_prio,MATCH(110,exp_wishno,0))))</f>
        <v/>
      </c>
      <c r="E116" s="100">
        <f>IF($A116="","",IF(INDEX(exp_year,MATCH(110,exp_wishno,0))="","",INDEX(exp_year,MATCH(110,exp_wishno,0))))</f>
        <v/>
      </c>
      <c r="F116" s="100">
        <f>IF($A116="","",IF(INDEX(exp_month,MATCH(110,exp_wishno,0))="","",INDEX(exp_month,MATCH(110,exp_wishno,0))))</f>
        <v/>
      </c>
      <c r="G116" s="101">
        <f>IF($A116="","",IF(INDEX(exp_plan,MATCH(110,exp_wishno,0))="","",INDEX(exp_plan,MATCH(110,exp_wishno,0))))</f>
        <v/>
      </c>
      <c r="H116" s="102">
        <f>IF($A116="","",IF(INDEX(exp_fact,MATCH(110,exp_wishno,0))="","",INDEX(exp_fact,MATCH(110,exp_wishno,0))))</f>
        <v/>
      </c>
      <c r="I116" s="49">
        <f>IF($A116="","",IF(INDEX(exp_status,MATCH(110,exp_wishno,0))="","",INDEX(exp_status,MATCH(110,exp_wishno,0))))</f>
        <v/>
      </c>
    </row>
    <row r="117">
      <c r="A117" s="100">
        <f>IF(ISNA(MATCH(111,exp_wishno,0)),"",111)</f>
        <v/>
      </c>
      <c r="B117" s="49">
        <f>IF($A117="","",IF(INDEX(exp_desc,MATCH(111,exp_wishno,0))="","",INDEX(exp_desc,MATCH(111,exp_wishno,0))))</f>
        <v/>
      </c>
      <c r="C117" s="49">
        <f>IF($A117="","",IF(INDEX(exp_cat,MATCH(111,exp_wishno,0))="","",INDEX(exp_cat,MATCH(111,exp_wishno,0))))</f>
        <v/>
      </c>
      <c r="D117" s="100">
        <f>IF($A117="","",IF(INDEX(exp_prio,MATCH(111,exp_wishno,0))="","",INDEX(exp_prio,MATCH(111,exp_wishno,0))))</f>
        <v/>
      </c>
      <c r="E117" s="100">
        <f>IF($A117="","",IF(INDEX(exp_year,MATCH(111,exp_wishno,0))="","",INDEX(exp_year,MATCH(111,exp_wishno,0))))</f>
        <v/>
      </c>
      <c r="F117" s="100">
        <f>IF($A117="","",IF(INDEX(exp_month,MATCH(111,exp_wishno,0))="","",INDEX(exp_month,MATCH(111,exp_wishno,0))))</f>
        <v/>
      </c>
      <c r="G117" s="101">
        <f>IF($A117="","",IF(INDEX(exp_plan,MATCH(111,exp_wishno,0))="","",INDEX(exp_plan,MATCH(111,exp_wishno,0))))</f>
        <v/>
      </c>
      <c r="H117" s="102">
        <f>IF($A117="","",IF(INDEX(exp_fact,MATCH(111,exp_wishno,0))="","",INDEX(exp_fact,MATCH(111,exp_wishno,0))))</f>
        <v/>
      </c>
      <c r="I117" s="49">
        <f>IF($A117="","",IF(INDEX(exp_status,MATCH(111,exp_wishno,0))="","",INDEX(exp_status,MATCH(111,exp_wishno,0))))</f>
        <v/>
      </c>
    </row>
    <row r="118">
      <c r="A118" s="100">
        <f>IF(ISNA(MATCH(112,exp_wishno,0)),"",112)</f>
        <v/>
      </c>
      <c r="B118" s="49">
        <f>IF($A118="","",IF(INDEX(exp_desc,MATCH(112,exp_wishno,0))="","",INDEX(exp_desc,MATCH(112,exp_wishno,0))))</f>
        <v/>
      </c>
      <c r="C118" s="49">
        <f>IF($A118="","",IF(INDEX(exp_cat,MATCH(112,exp_wishno,0))="","",INDEX(exp_cat,MATCH(112,exp_wishno,0))))</f>
        <v/>
      </c>
      <c r="D118" s="100">
        <f>IF($A118="","",IF(INDEX(exp_prio,MATCH(112,exp_wishno,0))="","",INDEX(exp_prio,MATCH(112,exp_wishno,0))))</f>
        <v/>
      </c>
      <c r="E118" s="100">
        <f>IF($A118="","",IF(INDEX(exp_year,MATCH(112,exp_wishno,0))="","",INDEX(exp_year,MATCH(112,exp_wishno,0))))</f>
        <v/>
      </c>
      <c r="F118" s="100">
        <f>IF($A118="","",IF(INDEX(exp_month,MATCH(112,exp_wishno,0))="","",INDEX(exp_month,MATCH(112,exp_wishno,0))))</f>
        <v/>
      </c>
      <c r="G118" s="101">
        <f>IF($A118="","",IF(INDEX(exp_plan,MATCH(112,exp_wishno,0))="","",INDEX(exp_plan,MATCH(112,exp_wishno,0))))</f>
        <v/>
      </c>
      <c r="H118" s="102">
        <f>IF($A118="","",IF(INDEX(exp_fact,MATCH(112,exp_wishno,0))="","",INDEX(exp_fact,MATCH(112,exp_wishno,0))))</f>
        <v/>
      </c>
      <c r="I118" s="49">
        <f>IF($A118="","",IF(INDEX(exp_status,MATCH(112,exp_wishno,0))="","",INDEX(exp_status,MATCH(112,exp_wishno,0))))</f>
        <v/>
      </c>
    </row>
    <row r="119">
      <c r="A119" s="100">
        <f>IF(ISNA(MATCH(113,exp_wishno,0)),"",113)</f>
        <v/>
      </c>
      <c r="B119" s="49">
        <f>IF($A119="","",IF(INDEX(exp_desc,MATCH(113,exp_wishno,0))="","",INDEX(exp_desc,MATCH(113,exp_wishno,0))))</f>
        <v/>
      </c>
      <c r="C119" s="49">
        <f>IF($A119="","",IF(INDEX(exp_cat,MATCH(113,exp_wishno,0))="","",INDEX(exp_cat,MATCH(113,exp_wishno,0))))</f>
        <v/>
      </c>
      <c r="D119" s="100">
        <f>IF($A119="","",IF(INDEX(exp_prio,MATCH(113,exp_wishno,0))="","",INDEX(exp_prio,MATCH(113,exp_wishno,0))))</f>
        <v/>
      </c>
      <c r="E119" s="100">
        <f>IF($A119="","",IF(INDEX(exp_year,MATCH(113,exp_wishno,0))="","",INDEX(exp_year,MATCH(113,exp_wishno,0))))</f>
        <v/>
      </c>
      <c r="F119" s="100">
        <f>IF($A119="","",IF(INDEX(exp_month,MATCH(113,exp_wishno,0))="","",INDEX(exp_month,MATCH(113,exp_wishno,0))))</f>
        <v/>
      </c>
      <c r="G119" s="101">
        <f>IF($A119="","",IF(INDEX(exp_plan,MATCH(113,exp_wishno,0))="","",INDEX(exp_plan,MATCH(113,exp_wishno,0))))</f>
        <v/>
      </c>
      <c r="H119" s="102">
        <f>IF($A119="","",IF(INDEX(exp_fact,MATCH(113,exp_wishno,0))="","",INDEX(exp_fact,MATCH(113,exp_wishno,0))))</f>
        <v/>
      </c>
      <c r="I119" s="49">
        <f>IF($A119="","",IF(INDEX(exp_status,MATCH(113,exp_wishno,0))="","",INDEX(exp_status,MATCH(113,exp_wishno,0))))</f>
        <v/>
      </c>
    </row>
    <row r="120">
      <c r="A120" s="100">
        <f>IF(ISNA(MATCH(114,exp_wishno,0)),"",114)</f>
        <v/>
      </c>
      <c r="B120" s="49">
        <f>IF($A120="","",IF(INDEX(exp_desc,MATCH(114,exp_wishno,0))="","",INDEX(exp_desc,MATCH(114,exp_wishno,0))))</f>
        <v/>
      </c>
      <c r="C120" s="49">
        <f>IF($A120="","",IF(INDEX(exp_cat,MATCH(114,exp_wishno,0))="","",INDEX(exp_cat,MATCH(114,exp_wishno,0))))</f>
        <v/>
      </c>
      <c r="D120" s="100">
        <f>IF($A120="","",IF(INDEX(exp_prio,MATCH(114,exp_wishno,0))="","",INDEX(exp_prio,MATCH(114,exp_wishno,0))))</f>
        <v/>
      </c>
      <c r="E120" s="100">
        <f>IF($A120="","",IF(INDEX(exp_year,MATCH(114,exp_wishno,0))="","",INDEX(exp_year,MATCH(114,exp_wishno,0))))</f>
        <v/>
      </c>
      <c r="F120" s="100">
        <f>IF($A120="","",IF(INDEX(exp_month,MATCH(114,exp_wishno,0))="","",INDEX(exp_month,MATCH(114,exp_wishno,0))))</f>
        <v/>
      </c>
      <c r="G120" s="101">
        <f>IF($A120="","",IF(INDEX(exp_plan,MATCH(114,exp_wishno,0))="","",INDEX(exp_plan,MATCH(114,exp_wishno,0))))</f>
        <v/>
      </c>
      <c r="H120" s="102">
        <f>IF($A120="","",IF(INDEX(exp_fact,MATCH(114,exp_wishno,0))="","",INDEX(exp_fact,MATCH(114,exp_wishno,0))))</f>
        <v/>
      </c>
      <c r="I120" s="49">
        <f>IF($A120="","",IF(INDEX(exp_status,MATCH(114,exp_wishno,0))="","",INDEX(exp_status,MATCH(114,exp_wishno,0))))</f>
        <v/>
      </c>
    </row>
    <row r="121">
      <c r="A121" s="100">
        <f>IF(ISNA(MATCH(115,exp_wishno,0)),"",115)</f>
        <v/>
      </c>
      <c r="B121" s="49">
        <f>IF($A121="","",IF(INDEX(exp_desc,MATCH(115,exp_wishno,0))="","",INDEX(exp_desc,MATCH(115,exp_wishno,0))))</f>
        <v/>
      </c>
      <c r="C121" s="49">
        <f>IF($A121="","",IF(INDEX(exp_cat,MATCH(115,exp_wishno,0))="","",INDEX(exp_cat,MATCH(115,exp_wishno,0))))</f>
        <v/>
      </c>
      <c r="D121" s="100">
        <f>IF($A121="","",IF(INDEX(exp_prio,MATCH(115,exp_wishno,0))="","",INDEX(exp_prio,MATCH(115,exp_wishno,0))))</f>
        <v/>
      </c>
      <c r="E121" s="100">
        <f>IF($A121="","",IF(INDEX(exp_year,MATCH(115,exp_wishno,0))="","",INDEX(exp_year,MATCH(115,exp_wishno,0))))</f>
        <v/>
      </c>
      <c r="F121" s="100">
        <f>IF($A121="","",IF(INDEX(exp_month,MATCH(115,exp_wishno,0))="","",INDEX(exp_month,MATCH(115,exp_wishno,0))))</f>
        <v/>
      </c>
      <c r="G121" s="101">
        <f>IF($A121="","",IF(INDEX(exp_plan,MATCH(115,exp_wishno,0))="","",INDEX(exp_plan,MATCH(115,exp_wishno,0))))</f>
        <v/>
      </c>
      <c r="H121" s="102">
        <f>IF($A121="","",IF(INDEX(exp_fact,MATCH(115,exp_wishno,0))="","",INDEX(exp_fact,MATCH(115,exp_wishno,0))))</f>
        <v/>
      </c>
      <c r="I121" s="49">
        <f>IF($A121="","",IF(INDEX(exp_status,MATCH(115,exp_wishno,0))="","",INDEX(exp_status,MATCH(115,exp_wishno,0))))</f>
        <v/>
      </c>
    </row>
    <row r="122">
      <c r="A122" s="100">
        <f>IF(ISNA(MATCH(116,exp_wishno,0)),"",116)</f>
        <v/>
      </c>
      <c r="B122" s="49">
        <f>IF($A122="","",IF(INDEX(exp_desc,MATCH(116,exp_wishno,0))="","",INDEX(exp_desc,MATCH(116,exp_wishno,0))))</f>
        <v/>
      </c>
      <c r="C122" s="49">
        <f>IF($A122="","",IF(INDEX(exp_cat,MATCH(116,exp_wishno,0))="","",INDEX(exp_cat,MATCH(116,exp_wishno,0))))</f>
        <v/>
      </c>
      <c r="D122" s="100">
        <f>IF($A122="","",IF(INDEX(exp_prio,MATCH(116,exp_wishno,0))="","",INDEX(exp_prio,MATCH(116,exp_wishno,0))))</f>
        <v/>
      </c>
      <c r="E122" s="100">
        <f>IF($A122="","",IF(INDEX(exp_year,MATCH(116,exp_wishno,0))="","",INDEX(exp_year,MATCH(116,exp_wishno,0))))</f>
        <v/>
      </c>
      <c r="F122" s="100">
        <f>IF($A122="","",IF(INDEX(exp_month,MATCH(116,exp_wishno,0))="","",INDEX(exp_month,MATCH(116,exp_wishno,0))))</f>
        <v/>
      </c>
      <c r="G122" s="101">
        <f>IF($A122="","",IF(INDEX(exp_plan,MATCH(116,exp_wishno,0))="","",INDEX(exp_plan,MATCH(116,exp_wishno,0))))</f>
        <v/>
      </c>
      <c r="H122" s="102">
        <f>IF($A122="","",IF(INDEX(exp_fact,MATCH(116,exp_wishno,0))="","",INDEX(exp_fact,MATCH(116,exp_wishno,0))))</f>
        <v/>
      </c>
      <c r="I122" s="49">
        <f>IF($A122="","",IF(INDEX(exp_status,MATCH(116,exp_wishno,0))="","",INDEX(exp_status,MATCH(116,exp_wishno,0))))</f>
        <v/>
      </c>
    </row>
    <row r="123">
      <c r="A123" s="100">
        <f>IF(ISNA(MATCH(117,exp_wishno,0)),"",117)</f>
        <v/>
      </c>
      <c r="B123" s="49">
        <f>IF($A123="","",IF(INDEX(exp_desc,MATCH(117,exp_wishno,0))="","",INDEX(exp_desc,MATCH(117,exp_wishno,0))))</f>
        <v/>
      </c>
      <c r="C123" s="49">
        <f>IF($A123="","",IF(INDEX(exp_cat,MATCH(117,exp_wishno,0))="","",INDEX(exp_cat,MATCH(117,exp_wishno,0))))</f>
        <v/>
      </c>
      <c r="D123" s="100">
        <f>IF($A123="","",IF(INDEX(exp_prio,MATCH(117,exp_wishno,0))="","",INDEX(exp_prio,MATCH(117,exp_wishno,0))))</f>
        <v/>
      </c>
      <c r="E123" s="100">
        <f>IF($A123="","",IF(INDEX(exp_year,MATCH(117,exp_wishno,0))="","",INDEX(exp_year,MATCH(117,exp_wishno,0))))</f>
        <v/>
      </c>
      <c r="F123" s="100">
        <f>IF($A123="","",IF(INDEX(exp_month,MATCH(117,exp_wishno,0))="","",INDEX(exp_month,MATCH(117,exp_wishno,0))))</f>
        <v/>
      </c>
      <c r="G123" s="101">
        <f>IF($A123="","",IF(INDEX(exp_plan,MATCH(117,exp_wishno,0))="","",INDEX(exp_plan,MATCH(117,exp_wishno,0))))</f>
        <v/>
      </c>
      <c r="H123" s="102">
        <f>IF($A123="","",IF(INDEX(exp_fact,MATCH(117,exp_wishno,0))="","",INDEX(exp_fact,MATCH(117,exp_wishno,0))))</f>
        <v/>
      </c>
      <c r="I123" s="49">
        <f>IF($A123="","",IF(INDEX(exp_status,MATCH(117,exp_wishno,0))="","",INDEX(exp_status,MATCH(117,exp_wishno,0))))</f>
        <v/>
      </c>
    </row>
    <row r="124">
      <c r="A124" s="100">
        <f>IF(ISNA(MATCH(118,exp_wishno,0)),"",118)</f>
        <v/>
      </c>
      <c r="B124" s="49">
        <f>IF($A124="","",IF(INDEX(exp_desc,MATCH(118,exp_wishno,0))="","",INDEX(exp_desc,MATCH(118,exp_wishno,0))))</f>
        <v/>
      </c>
      <c r="C124" s="49">
        <f>IF($A124="","",IF(INDEX(exp_cat,MATCH(118,exp_wishno,0))="","",INDEX(exp_cat,MATCH(118,exp_wishno,0))))</f>
        <v/>
      </c>
      <c r="D124" s="100">
        <f>IF($A124="","",IF(INDEX(exp_prio,MATCH(118,exp_wishno,0))="","",INDEX(exp_prio,MATCH(118,exp_wishno,0))))</f>
        <v/>
      </c>
      <c r="E124" s="100">
        <f>IF($A124="","",IF(INDEX(exp_year,MATCH(118,exp_wishno,0))="","",INDEX(exp_year,MATCH(118,exp_wishno,0))))</f>
        <v/>
      </c>
      <c r="F124" s="100">
        <f>IF($A124="","",IF(INDEX(exp_month,MATCH(118,exp_wishno,0))="","",INDEX(exp_month,MATCH(118,exp_wishno,0))))</f>
        <v/>
      </c>
      <c r="G124" s="101">
        <f>IF($A124="","",IF(INDEX(exp_plan,MATCH(118,exp_wishno,0))="","",INDEX(exp_plan,MATCH(118,exp_wishno,0))))</f>
        <v/>
      </c>
      <c r="H124" s="102">
        <f>IF($A124="","",IF(INDEX(exp_fact,MATCH(118,exp_wishno,0))="","",INDEX(exp_fact,MATCH(118,exp_wishno,0))))</f>
        <v/>
      </c>
      <c r="I124" s="49">
        <f>IF($A124="","",IF(INDEX(exp_status,MATCH(118,exp_wishno,0))="","",INDEX(exp_status,MATCH(118,exp_wishno,0))))</f>
        <v/>
      </c>
    </row>
    <row r="125">
      <c r="A125" s="100">
        <f>IF(ISNA(MATCH(119,exp_wishno,0)),"",119)</f>
        <v/>
      </c>
      <c r="B125" s="49">
        <f>IF($A125="","",IF(INDEX(exp_desc,MATCH(119,exp_wishno,0))="","",INDEX(exp_desc,MATCH(119,exp_wishno,0))))</f>
        <v/>
      </c>
      <c r="C125" s="49">
        <f>IF($A125="","",IF(INDEX(exp_cat,MATCH(119,exp_wishno,0))="","",INDEX(exp_cat,MATCH(119,exp_wishno,0))))</f>
        <v/>
      </c>
      <c r="D125" s="100">
        <f>IF($A125="","",IF(INDEX(exp_prio,MATCH(119,exp_wishno,0))="","",INDEX(exp_prio,MATCH(119,exp_wishno,0))))</f>
        <v/>
      </c>
      <c r="E125" s="100">
        <f>IF($A125="","",IF(INDEX(exp_year,MATCH(119,exp_wishno,0))="","",INDEX(exp_year,MATCH(119,exp_wishno,0))))</f>
        <v/>
      </c>
      <c r="F125" s="100">
        <f>IF($A125="","",IF(INDEX(exp_month,MATCH(119,exp_wishno,0))="","",INDEX(exp_month,MATCH(119,exp_wishno,0))))</f>
        <v/>
      </c>
      <c r="G125" s="101">
        <f>IF($A125="","",IF(INDEX(exp_plan,MATCH(119,exp_wishno,0))="","",INDEX(exp_plan,MATCH(119,exp_wishno,0))))</f>
        <v/>
      </c>
      <c r="H125" s="102">
        <f>IF($A125="","",IF(INDEX(exp_fact,MATCH(119,exp_wishno,0))="","",INDEX(exp_fact,MATCH(119,exp_wishno,0))))</f>
        <v/>
      </c>
      <c r="I125" s="49">
        <f>IF($A125="","",IF(INDEX(exp_status,MATCH(119,exp_wishno,0))="","",INDEX(exp_status,MATCH(119,exp_wishno,0))))</f>
        <v/>
      </c>
    </row>
    <row r="126">
      <c r="A126" s="100">
        <f>IF(ISNA(MATCH(120,exp_wishno,0)),"",120)</f>
        <v/>
      </c>
      <c r="B126" s="49">
        <f>IF($A126="","",IF(INDEX(exp_desc,MATCH(120,exp_wishno,0))="","",INDEX(exp_desc,MATCH(120,exp_wishno,0))))</f>
        <v/>
      </c>
      <c r="C126" s="49">
        <f>IF($A126="","",IF(INDEX(exp_cat,MATCH(120,exp_wishno,0))="","",INDEX(exp_cat,MATCH(120,exp_wishno,0))))</f>
        <v/>
      </c>
      <c r="D126" s="100">
        <f>IF($A126="","",IF(INDEX(exp_prio,MATCH(120,exp_wishno,0))="","",INDEX(exp_prio,MATCH(120,exp_wishno,0))))</f>
        <v/>
      </c>
      <c r="E126" s="100">
        <f>IF($A126="","",IF(INDEX(exp_year,MATCH(120,exp_wishno,0))="","",INDEX(exp_year,MATCH(120,exp_wishno,0))))</f>
        <v/>
      </c>
      <c r="F126" s="100">
        <f>IF($A126="","",IF(INDEX(exp_month,MATCH(120,exp_wishno,0))="","",INDEX(exp_month,MATCH(120,exp_wishno,0))))</f>
        <v/>
      </c>
      <c r="G126" s="101">
        <f>IF($A126="","",IF(INDEX(exp_plan,MATCH(120,exp_wishno,0))="","",INDEX(exp_plan,MATCH(120,exp_wishno,0))))</f>
        <v/>
      </c>
      <c r="H126" s="102">
        <f>IF($A126="","",IF(INDEX(exp_fact,MATCH(120,exp_wishno,0))="","",INDEX(exp_fact,MATCH(120,exp_wishno,0))))</f>
        <v/>
      </c>
      <c r="I126" s="49">
        <f>IF($A126="","",IF(INDEX(exp_status,MATCH(120,exp_wishno,0))="","",INDEX(exp_status,MATCH(120,exp_wishno,0))))</f>
        <v/>
      </c>
    </row>
    <row r="127">
      <c r="A127" s="100">
        <f>IF(ISNA(MATCH(121,exp_wishno,0)),"",121)</f>
        <v/>
      </c>
      <c r="B127" s="49">
        <f>IF($A127="","",IF(INDEX(exp_desc,MATCH(121,exp_wishno,0))="","",INDEX(exp_desc,MATCH(121,exp_wishno,0))))</f>
        <v/>
      </c>
      <c r="C127" s="49">
        <f>IF($A127="","",IF(INDEX(exp_cat,MATCH(121,exp_wishno,0))="","",INDEX(exp_cat,MATCH(121,exp_wishno,0))))</f>
        <v/>
      </c>
      <c r="D127" s="100">
        <f>IF($A127="","",IF(INDEX(exp_prio,MATCH(121,exp_wishno,0))="","",INDEX(exp_prio,MATCH(121,exp_wishno,0))))</f>
        <v/>
      </c>
      <c r="E127" s="100">
        <f>IF($A127="","",IF(INDEX(exp_year,MATCH(121,exp_wishno,0))="","",INDEX(exp_year,MATCH(121,exp_wishno,0))))</f>
        <v/>
      </c>
      <c r="F127" s="100">
        <f>IF($A127="","",IF(INDEX(exp_month,MATCH(121,exp_wishno,0))="","",INDEX(exp_month,MATCH(121,exp_wishno,0))))</f>
        <v/>
      </c>
      <c r="G127" s="101">
        <f>IF($A127="","",IF(INDEX(exp_plan,MATCH(121,exp_wishno,0))="","",INDEX(exp_plan,MATCH(121,exp_wishno,0))))</f>
        <v/>
      </c>
      <c r="H127" s="102">
        <f>IF($A127="","",IF(INDEX(exp_fact,MATCH(121,exp_wishno,0))="","",INDEX(exp_fact,MATCH(121,exp_wishno,0))))</f>
        <v/>
      </c>
      <c r="I127" s="49">
        <f>IF($A127="","",IF(INDEX(exp_status,MATCH(121,exp_wishno,0))="","",INDEX(exp_status,MATCH(121,exp_wishno,0))))</f>
        <v/>
      </c>
    </row>
    <row r="128">
      <c r="A128" s="100">
        <f>IF(ISNA(MATCH(122,exp_wishno,0)),"",122)</f>
        <v/>
      </c>
      <c r="B128" s="49">
        <f>IF($A128="","",IF(INDEX(exp_desc,MATCH(122,exp_wishno,0))="","",INDEX(exp_desc,MATCH(122,exp_wishno,0))))</f>
        <v/>
      </c>
      <c r="C128" s="49">
        <f>IF($A128="","",IF(INDEX(exp_cat,MATCH(122,exp_wishno,0))="","",INDEX(exp_cat,MATCH(122,exp_wishno,0))))</f>
        <v/>
      </c>
      <c r="D128" s="100">
        <f>IF($A128="","",IF(INDEX(exp_prio,MATCH(122,exp_wishno,0))="","",INDEX(exp_prio,MATCH(122,exp_wishno,0))))</f>
        <v/>
      </c>
      <c r="E128" s="100">
        <f>IF($A128="","",IF(INDEX(exp_year,MATCH(122,exp_wishno,0))="","",INDEX(exp_year,MATCH(122,exp_wishno,0))))</f>
        <v/>
      </c>
      <c r="F128" s="100">
        <f>IF($A128="","",IF(INDEX(exp_month,MATCH(122,exp_wishno,0))="","",INDEX(exp_month,MATCH(122,exp_wishno,0))))</f>
        <v/>
      </c>
      <c r="G128" s="101">
        <f>IF($A128="","",IF(INDEX(exp_plan,MATCH(122,exp_wishno,0))="","",INDEX(exp_plan,MATCH(122,exp_wishno,0))))</f>
        <v/>
      </c>
      <c r="H128" s="102">
        <f>IF($A128="","",IF(INDEX(exp_fact,MATCH(122,exp_wishno,0))="","",INDEX(exp_fact,MATCH(122,exp_wishno,0))))</f>
        <v/>
      </c>
      <c r="I128" s="49">
        <f>IF($A128="","",IF(INDEX(exp_status,MATCH(122,exp_wishno,0))="","",INDEX(exp_status,MATCH(122,exp_wishno,0))))</f>
        <v/>
      </c>
    </row>
    <row r="129">
      <c r="A129" s="100">
        <f>IF(ISNA(MATCH(123,exp_wishno,0)),"",123)</f>
        <v/>
      </c>
      <c r="B129" s="49">
        <f>IF($A129="","",IF(INDEX(exp_desc,MATCH(123,exp_wishno,0))="","",INDEX(exp_desc,MATCH(123,exp_wishno,0))))</f>
        <v/>
      </c>
      <c r="C129" s="49">
        <f>IF($A129="","",IF(INDEX(exp_cat,MATCH(123,exp_wishno,0))="","",INDEX(exp_cat,MATCH(123,exp_wishno,0))))</f>
        <v/>
      </c>
      <c r="D129" s="100">
        <f>IF($A129="","",IF(INDEX(exp_prio,MATCH(123,exp_wishno,0))="","",INDEX(exp_prio,MATCH(123,exp_wishno,0))))</f>
        <v/>
      </c>
      <c r="E129" s="100">
        <f>IF($A129="","",IF(INDEX(exp_year,MATCH(123,exp_wishno,0))="","",INDEX(exp_year,MATCH(123,exp_wishno,0))))</f>
        <v/>
      </c>
      <c r="F129" s="100">
        <f>IF($A129="","",IF(INDEX(exp_month,MATCH(123,exp_wishno,0))="","",INDEX(exp_month,MATCH(123,exp_wishno,0))))</f>
        <v/>
      </c>
      <c r="G129" s="101">
        <f>IF($A129="","",IF(INDEX(exp_plan,MATCH(123,exp_wishno,0))="","",INDEX(exp_plan,MATCH(123,exp_wishno,0))))</f>
        <v/>
      </c>
      <c r="H129" s="102">
        <f>IF($A129="","",IF(INDEX(exp_fact,MATCH(123,exp_wishno,0))="","",INDEX(exp_fact,MATCH(123,exp_wishno,0))))</f>
        <v/>
      </c>
      <c r="I129" s="49">
        <f>IF($A129="","",IF(INDEX(exp_status,MATCH(123,exp_wishno,0))="","",INDEX(exp_status,MATCH(123,exp_wishno,0))))</f>
        <v/>
      </c>
    </row>
    <row r="130">
      <c r="A130" s="100">
        <f>IF(ISNA(MATCH(124,exp_wishno,0)),"",124)</f>
        <v/>
      </c>
      <c r="B130" s="49">
        <f>IF($A130="","",IF(INDEX(exp_desc,MATCH(124,exp_wishno,0))="","",INDEX(exp_desc,MATCH(124,exp_wishno,0))))</f>
        <v/>
      </c>
      <c r="C130" s="49">
        <f>IF($A130="","",IF(INDEX(exp_cat,MATCH(124,exp_wishno,0))="","",INDEX(exp_cat,MATCH(124,exp_wishno,0))))</f>
        <v/>
      </c>
      <c r="D130" s="100">
        <f>IF($A130="","",IF(INDEX(exp_prio,MATCH(124,exp_wishno,0))="","",INDEX(exp_prio,MATCH(124,exp_wishno,0))))</f>
        <v/>
      </c>
      <c r="E130" s="100">
        <f>IF($A130="","",IF(INDEX(exp_year,MATCH(124,exp_wishno,0))="","",INDEX(exp_year,MATCH(124,exp_wishno,0))))</f>
        <v/>
      </c>
      <c r="F130" s="100">
        <f>IF($A130="","",IF(INDEX(exp_month,MATCH(124,exp_wishno,0))="","",INDEX(exp_month,MATCH(124,exp_wishno,0))))</f>
        <v/>
      </c>
      <c r="G130" s="101">
        <f>IF($A130="","",IF(INDEX(exp_plan,MATCH(124,exp_wishno,0))="","",INDEX(exp_plan,MATCH(124,exp_wishno,0))))</f>
        <v/>
      </c>
      <c r="H130" s="102">
        <f>IF($A130="","",IF(INDEX(exp_fact,MATCH(124,exp_wishno,0))="","",INDEX(exp_fact,MATCH(124,exp_wishno,0))))</f>
        <v/>
      </c>
      <c r="I130" s="49">
        <f>IF($A130="","",IF(INDEX(exp_status,MATCH(124,exp_wishno,0))="","",INDEX(exp_status,MATCH(124,exp_wishno,0))))</f>
        <v/>
      </c>
    </row>
    <row r="131">
      <c r="A131" s="100">
        <f>IF(ISNA(MATCH(125,exp_wishno,0)),"",125)</f>
        <v/>
      </c>
      <c r="B131" s="49">
        <f>IF($A131="","",IF(INDEX(exp_desc,MATCH(125,exp_wishno,0))="","",INDEX(exp_desc,MATCH(125,exp_wishno,0))))</f>
        <v/>
      </c>
      <c r="C131" s="49">
        <f>IF($A131="","",IF(INDEX(exp_cat,MATCH(125,exp_wishno,0))="","",INDEX(exp_cat,MATCH(125,exp_wishno,0))))</f>
        <v/>
      </c>
      <c r="D131" s="100">
        <f>IF($A131="","",IF(INDEX(exp_prio,MATCH(125,exp_wishno,0))="","",INDEX(exp_prio,MATCH(125,exp_wishno,0))))</f>
        <v/>
      </c>
      <c r="E131" s="100">
        <f>IF($A131="","",IF(INDEX(exp_year,MATCH(125,exp_wishno,0))="","",INDEX(exp_year,MATCH(125,exp_wishno,0))))</f>
        <v/>
      </c>
      <c r="F131" s="100">
        <f>IF($A131="","",IF(INDEX(exp_month,MATCH(125,exp_wishno,0))="","",INDEX(exp_month,MATCH(125,exp_wishno,0))))</f>
        <v/>
      </c>
      <c r="G131" s="101">
        <f>IF($A131="","",IF(INDEX(exp_plan,MATCH(125,exp_wishno,0))="","",INDEX(exp_plan,MATCH(125,exp_wishno,0))))</f>
        <v/>
      </c>
      <c r="H131" s="102">
        <f>IF($A131="","",IF(INDEX(exp_fact,MATCH(125,exp_wishno,0))="","",INDEX(exp_fact,MATCH(125,exp_wishno,0))))</f>
        <v/>
      </c>
      <c r="I131" s="49">
        <f>IF($A131="","",IF(INDEX(exp_status,MATCH(125,exp_wishno,0))="","",INDEX(exp_status,MATCH(125,exp_wishno,0))))</f>
        <v/>
      </c>
    </row>
    <row r="132">
      <c r="A132" s="100">
        <f>IF(ISNA(MATCH(126,exp_wishno,0)),"",126)</f>
        <v/>
      </c>
      <c r="B132" s="49">
        <f>IF($A132="","",IF(INDEX(exp_desc,MATCH(126,exp_wishno,0))="","",INDEX(exp_desc,MATCH(126,exp_wishno,0))))</f>
        <v/>
      </c>
      <c r="C132" s="49">
        <f>IF($A132="","",IF(INDEX(exp_cat,MATCH(126,exp_wishno,0))="","",INDEX(exp_cat,MATCH(126,exp_wishno,0))))</f>
        <v/>
      </c>
      <c r="D132" s="100">
        <f>IF($A132="","",IF(INDEX(exp_prio,MATCH(126,exp_wishno,0))="","",INDEX(exp_prio,MATCH(126,exp_wishno,0))))</f>
        <v/>
      </c>
      <c r="E132" s="100">
        <f>IF($A132="","",IF(INDEX(exp_year,MATCH(126,exp_wishno,0))="","",INDEX(exp_year,MATCH(126,exp_wishno,0))))</f>
        <v/>
      </c>
      <c r="F132" s="100">
        <f>IF($A132="","",IF(INDEX(exp_month,MATCH(126,exp_wishno,0))="","",INDEX(exp_month,MATCH(126,exp_wishno,0))))</f>
        <v/>
      </c>
      <c r="G132" s="101">
        <f>IF($A132="","",IF(INDEX(exp_plan,MATCH(126,exp_wishno,0))="","",INDEX(exp_plan,MATCH(126,exp_wishno,0))))</f>
        <v/>
      </c>
      <c r="H132" s="102">
        <f>IF($A132="","",IF(INDEX(exp_fact,MATCH(126,exp_wishno,0))="","",INDEX(exp_fact,MATCH(126,exp_wishno,0))))</f>
        <v/>
      </c>
      <c r="I132" s="49">
        <f>IF($A132="","",IF(INDEX(exp_status,MATCH(126,exp_wishno,0))="","",INDEX(exp_status,MATCH(126,exp_wishno,0))))</f>
        <v/>
      </c>
    </row>
    <row r="133">
      <c r="A133" s="100">
        <f>IF(ISNA(MATCH(127,exp_wishno,0)),"",127)</f>
        <v/>
      </c>
      <c r="B133" s="49">
        <f>IF($A133="","",IF(INDEX(exp_desc,MATCH(127,exp_wishno,0))="","",INDEX(exp_desc,MATCH(127,exp_wishno,0))))</f>
        <v/>
      </c>
      <c r="C133" s="49">
        <f>IF($A133="","",IF(INDEX(exp_cat,MATCH(127,exp_wishno,0))="","",INDEX(exp_cat,MATCH(127,exp_wishno,0))))</f>
        <v/>
      </c>
      <c r="D133" s="100">
        <f>IF($A133="","",IF(INDEX(exp_prio,MATCH(127,exp_wishno,0))="","",INDEX(exp_prio,MATCH(127,exp_wishno,0))))</f>
        <v/>
      </c>
      <c r="E133" s="100">
        <f>IF($A133="","",IF(INDEX(exp_year,MATCH(127,exp_wishno,0))="","",INDEX(exp_year,MATCH(127,exp_wishno,0))))</f>
        <v/>
      </c>
      <c r="F133" s="100">
        <f>IF($A133="","",IF(INDEX(exp_month,MATCH(127,exp_wishno,0))="","",INDEX(exp_month,MATCH(127,exp_wishno,0))))</f>
        <v/>
      </c>
      <c r="G133" s="101">
        <f>IF($A133="","",IF(INDEX(exp_plan,MATCH(127,exp_wishno,0))="","",INDEX(exp_plan,MATCH(127,exp_wishno,0))))</f>
        <v/>
      </c>
      <c r="H133" s="102">
        <f>IF($A133="","",IF(INDEX(exp_fact,MATCH(127,exp_wishno,0))="","",INDEX(exp_fact,MATCH(127,exp_wishno,0))))</f>
        <v/>
      </c>
      <c r="I133" s="49">
        <f>IF($A133="","",IF(INDEX(exp_status,MATCH(127,exp_wishno,0))="","",INDEX(exp_status,MATCH(127,exp_wishno,0))))</f>
        <v/>
      </c>
    </row>
    <row r="134">
      <c r="A134" s="100">
        <f>IF(ISNA(MATCH(128,exp_wishno,0)),"",128)</f>
        <v/>
      </c>
      <c r="B134" s="49">
        <f>IF($A134="","",IF(INDEX(exp_desc,MATCH(128,exp_wishno,0))="","",INDEX(exp_desc,MATCH(128,exp_wishno,0))))</f>
        <v/>
      </c>
      <c r="C134" s="49">
        <f>IF($A134="","",IF(INDEX(exp_cat,MATCH(128,exp_wishno,0))="","",INDEX(exp_cat,MATCH(128,exp_wishno,0))))</f>
        <v/>
      </c>
      <c r="D134" s="100">
        <f>IF($A134="","",IF(INDEX(exp_prio,MATCH(128,exp_wishno,0))="","",INDEX(exp_prio,MATCH(128,exp_wishno,0))))</f>
        <v/>
      </c>
      <c r="E134" s="100">
        <f>IF($A134="","",IF(INDEX(exp_year,MATCH(128,exp_wishno,0))="","",INDEX(exp_year,MATCH(128,exp_wishno,0))))</f>
        <v/>
      </c>
      <c r="F134" s="100">
        <f>IF($A134="","",IF(INDEX(exp_month,MATCH(128,exp_wishno,0))="","",INDEX(exp_month,MATCH(128,exp_wishno,0))))</f>
        <v/>
      </c>
      <c r="G134" s="101">
        <f>IF($A134="","",IF(INDEX(exp_plan,MATCH(128,exp_wishno,0))="","",INDEX(exp_plan,MATCH(128,exp_wishno,0))))</f>
        <v/>
      </c>
      <c r="H134" s="102">
        <f>IF($A134="","",IF(INDEX(exp_fact,MATCH(128,exp_wishno,0))="","",INDEX(exp_fact,MATCH(128,exp_wishno,0))))</f>
        <v/>
      </c>
      <c r="I134" s="49">
        <f>IF($A134="","",IF(INDEX(exp_status,MATCH(128,exp_wishno,0))="","",INDEX(exp_status,MATCH(128,exp_wishno,0))))</f>
        <v/>
      </c>
    </row>
    <row r="135">
      <c r="A135" s="100">
        <f>IF(ISNA(MATCH(129,exp_wishno,0)),"",129)</f>
        <v/>
      </c>
      <c r="B135" s="49">
        <f>IF($A135="","",IF(INDEX(exp_desc,MATCH(129,exp_wishno,0))="","",INDEX(exp_desc,MATCH(129,exp_wishno,0))))</f>
        <v/>
      </c>
      <c r="C135" s="49">
        <f>IF($A135="","",IF(INDEX(exp_cat,MATCH(129,exp_wishno,0))="","",INDEX(exp_cat,MATCH(129,exp_wishno,0))))</f>
        <v/>
      </c>
      <c r="D135" s="100">
        <f>IF($A135="","",IF(INDEX(exp_prio,MATCH(129,exp_wishno,0))="","",INDEX(exp_prio,MATCH(129,exp_wishno,0))))</f>
        <v/>
      </c>
      <c r="E135" s="100">
        <f>IF($A135="","",IF(INDEX(exp_year,MATCH(129,exp_wishno,0))="","",INDEX(exp_year,MATCH(129,exp_wishno,0))))</f>
        <v/>
      </c>
      <c r="F135" s="100">
        <f>IF($A135="","",IF(INDEX(exp_month,MATCH(129,exp_wishno,0))="","",INDEX(exp_month,MATCH(129,exp_wishno,0))))</f>
        <v/>
      </c>
      <c r="G135" s="101">
        <f>IF($A135="","",IF(INDEX(exp_plan,MATCH(129,exp_wishno,0))="","",INDEX(exp_plan,MATCH(129,exp_wishno,0))))</f>
        <v/>
      </c>
      <c r="H135" s="102">
        <f>IF($A135="","",IF(INDEX(exp_fact,MATCH(129,exp_wishno,0))="","",INDEX(exp_fact,MATCH(129,exp_wishno,0))))</f>
        <v/>
      </c>
      <c r="I135" s="49">
        <f>IF($A135="","",IF(INDEX(exp_status,MATCH(129,exp_wishno,0))="","",INDEX(exp_status,MATCH(129,exp_wishno,0))))</f>
        <v/>
      </c>
    </row>
    <row r="136">
      <c r="A136" s="100">
        <f>IF(ISNA(MATCH(130,exp_wishno,0)),"",130)</f>
        <v/>
      </c>
      <c r="B136" s="49">
        <f>IF($A136="","",IF(INDEX(exp_desc,MATCH(130,exp_wishno,0))="","",INDEX(exp_desc,MATCH(130,exp_wishno,0))))</f>
        <v/>
      </c>
      <c r="C136" s="49">
        <f>IF($A136="","",IF(INDEX(exp_cat,MATCH(130,exp_wishno,0))="","",INDEX(exp_cat,MATCH(130,exp_wishno,0))))</f>
        <v/>
      </c>
      <c r="D136" s="100">
        <f>IF($A136="","",IF(INDEX(exp_prio,MATCH(130,exp_wishno,0))="","",INDEX(exp_prio,MATCH(130,exp_wishno,0))))</f>
        <v/>
      </c>
      <c r="E136" s="100">
        <f>IF($A136="","",IF(INDEX(exp_year,MATCH(130,exp_wishno,0))="","",INDEX(exp_year,MATCH(130,exp_wishno,0))))</f>
        <v/>
      </c>
      <c r="F136" s="100">
        <f>IF($A136="","",IF(INDEX(exp_month,MATCH(130,exp_wishno,0))="","",INDEX(exp_month,MATCH(130,exp_wishno,0))))</f>
        <v/>
      </c>
      <c r="G136" s="101">
        <f>IF($A136="","",IF(INDEX(exp_plan,MATCH(130,exp_wishno,0))="","",INDEX(exp_plan,MATCH(130,exp_wishno,0))))</f>
        <v/>
      </c>
      <c r="H136" s="102">
        <f>IF($A136="","",IF(INDEX(exp_fact,MATCH(130,exp_wishno,0))="","",INDEX(exp_fact,MATCH(130,exp_wishno,0))))</f>
        <v/>
      </c>
      <c r="I136" s="49">
        <f>IF($A136="","",IF(INDEX(exp_status,MATCH(130,exp_wishno,0))="","",INDEX(exp_status,MATCH(130,exp_wishno,0))))</f>
        <v/>
      </c>
    </row>
    <row r="137">
      <c r="A137" s="100">
        <f>IF(ISNA(MATCH(131,exp_wishno,0)),"",131)</f>
        <v/>
      </c>
      <c r="B137" s="49">
        <f>IF($A137="","",IF(INDEX(exp_desc,MATCH(131,exp_wishno,0))="","",INDEX(exp_desc,MATCH(131,exp_wishno,0))))</f>
        <v/>
      </c>
      <c r="C137" s="49">
        <f>IF($A137="","",IF(INDEX(exp_cat,MATCH(131,exp_wishno,0))="","",INDEX(exp_cat,MATCH(131,exp_wishno,0))))</f>
        <v/>
      </c>
      <c r="D137" s="100">
        <f>IF($A137="","",IF(INDEX(exp_prio,MATCH(131,exp_wishno,0))="","",INDEX(exp_prio,MATCH(131,exp_wishno,0))))</f>
        <v/>
      </c>
      <c r="E137" s="100">
        <f>IF($A137="","",IF(INDEX(exp_year,MATCH(131,exp_wishno,0))="","",INDEX(exp_year,MATCH(131,exp_wishno,0))))</f>
        <v/>
      </c>
      <c r="F137" s="100">
        <f>IF($A137="","",IF(INDEX(exp_month,MATCH(131,exp_wishno,0))="","",INDEX(exp_month,MATCH(131,exp_wishno,0))))</f>
        <v/>
      </c>
      <c r="G137" s="101">
        <f>IF($A137="","",IF(INDEX(exp_plan,MATCH(131,exp_wishno,0))="","",INDEX(exp_plan,MATCH(131,exp_wishno,0))))</f>
        <v/>
      </c>
      <c r="H137" s="102">
        <f>IF($A137="","",IF(INDEX(exp_fact,MATCH(131,exp_wishno,0))="","",INDEX(exp_fact,MATCH(131,exp_wishno,0))))</f>
        <v/>
      </c>
      <c r="I137" s="49">
        <f>IF($A137="","",IF(INDEX(exp_status,MATCH(131,exp_wishno,0))="","",INDEX(exp_status,MATCH(131,exp_wishno,0))))</f>
        <v/>
      </c>
    </row>
    <row r="138">
      <c r="A138" s="100">
        <f>IF(ISNA(MATCH(132,exp_wishno,0)),"",132)</f>
        <v/>
      </c>
      <c r="B138" s="49">
        <f>IF($A138="","",IF(INDEX(exp_desc,MATCH(132,exp_wishno,0))="","",INDEX(exp_desc,MATCH(132,exp_wishno,0))))</f>
        <v/>
      </c>
      <c r="C138" s="49">
        <f>IF($A138="","",IF(INDEX(exp_cat,MATCH(132,exp_wishno,0))="","",INDEX(exp_cat,MATCH(132,exp_wishno,0))))</f>
        <v/>
      </c>
      <c r="D138" s="100">
        <f>IF($A138="","",IF(INDEX(exp_prio,MATCH(132,exp_wishno,0))="","",INDEX(exp_prio,MATCH(132,exp_wishno,0))))</f>
        <v/>
      </c>
      <c r="E138" s="100">
        <f>IF($A138="","",IF(INDEX(exp_year,MATCH(132,exp_wishno,0))="","",INDEX(exp_year,MATCH(132,exp_wishno,0))))</f>
        <v/>
      </c>
      <c r="F138" s="100">
        <f>IF($A138="","",IF(INDEX(exp_month,MATCH(132,exp_wishno,0))="","",INDEX(exp_month,MATCH(132,exp_wishno,0))))</f>
        <v/>
      </c>
      <c r="G138" s="101">
        <f>IF($A138="","",IF(INDEX(exp_plan,MATCH(132,exp_wishno,0))="","",INDEX(exp_plan,MATCH(132,exp_wishno,0))))</f>
        <v/>
      </c>
      <c r="H138" s="102">
        <f>IF($A138="","",IF(INDEX(exp_fact,MATCH(132,exp_wishno,0))="","",INDEX(exp_fact,MATCH(132,exp_wishno,0))))</f>
        <v/>
      </c>
      <c r="I138" s="49">
        <f>IF($A138="","",IF(INDEX(exp_status,MATCH(132,exp_wishno,0))="","",INDEX(exp_status,MATCH(132,exp_wishno,0))))</f>
        <v/>
      </c>
    </row>
    <row r="139">
      <c r="A139" s="100">
        <f>IF(ISNA(MATCH(133,exp_wishno,0)),"",133)</f>
        <v/>
      </c>
      <c r="B139" s="49">
        <f>IF($A139="","",IF(INDEX(exp_desc,MATCH(133,exp_wishno,0))="","",INDEX(exp_desc,MATCH(133,exp_wishno,0))))</f>
        <v/>
      </c>
      <c r="C139" s="49">
        <f>IF($A139="","",IF(INDEX(exp_cat,MATCH(133,exp_wishno,0))="","",INDEX(exp_cat,MATCH(133,exp_wishno,0))))</f>
        <v/>
      </c>
      <c r="D139" s="100">
        <f>IF($A139="","",IF(INDEX(exp_prio,MATCH(133,exp_wishno,0))="","",INDEX(exp_prio,MATCH(133,exp_wishno,0))))</f>
        <v/>
      </c>
      <c r="E139" s="100">
        <f>IF($A139="","",IF(INDEX(exp_year,MATCH(133,exp_wishno,0))="","",INDEX(exp_year,MATCH(133,exp_wishno,0))))</f>
        <v/>
      </c>
      <c r="F139" s="100">
        <f>IF($A139="","",IF(INDEX(exp_month,MATCH(133,exp_wishno,0))="","",INDEX(exp_month,MATCH(133,exp_wishno,0))))</f>
        <v/>
      </c>
      <c r="G139" s="101">
        <f>IF($A139="","",IF(INDEX(exp_plan,MATCH(133,exp_wishno,0))="","",INDEX(exp_plan,MATCH(133,exp_wishno,0))))</f>
        <v/>
      </c>
      <c r="H139" s="102">
        <f>IF($A139="","",IF(INDEX(exp_fact,MATCH(133,exp_wishno,0))="","",INDEX(exp_fact,MATCH(133,exp_wishno,0))))</f>
        <v/>
      </c>
      <c r="I139" s="49">
        <f>IF($A139="","",IF(INDEX(exp_status,MATCH(133,exp_wishno,0))="","",INDEX(exp_status,MATCH(133,exp_wishno,0))))</f>
        <v/>
      </c>
    </row>
    <row r="140">
      <c r="A140" s="100">
        <f>IF(ISNA(MATCH(134,exp_wishno,0)),"",134)</f>
        <v/>
      </c>
      <c r="B140" s="49">
        <f>IF($A140="","",IF(INDEX(exp_desc,MATCH(134,exp_wishno,0))="","",INDEX(exp_desc,MATCH(134,exp_wishno,0))))</f>
        <v/>
      </c>
      <c r="C140" s="49">
        <f>IF($A140="","",IF(INDEX(exp_cat,MATCH(134,exp_wishno,0))="","",INDEX(exp_cat,MATCH(134,exp_wishno,0))))</f>
        <v/>
      </c>
      <c r="D140" s="100">
        <f>IF($A140="","",IF(INDEX(exp_prio,MATCH(134,exp_wishno,0))="","",INDEX(exp_prio,MATCH(134,exp_wishno,0))))</f>
        <v/>
      </c>
      <c r="E140" s="100">
        <f>IF($A140="","",IF(INDEX(exp_year,MATCH(134,exp_wishno,0))="","",INDEX(exp_year,MATCH(134,exp_wishno,0))))</f>
        <v/>
      </c>
      <c r="F140" s="100">
        <f>IF($A140="","",IF(INDEX(exp_month,MATCH(134,exp_wishno,0))="","",INDEX(exp_month,MATCH(134,exp_wishno,0))))</f>
        <v/>
      </c>
      <c r="G140" s="101">
        <f>IF($A140="","",IF(INDEX(exp_plan,MATCH(134,exp_wishno,0))="","",INDEX(exp_plan,MATCH(134,exp_wishno,0))))</f>
        <v/>
      </c>
      <c r="H140" s="102">
        <f>IF($A140="","",IF(INDEX(exp_fact,MATCH(134,exp_wishno,0))="","",INDEX(exp_fact,MATCH(134,exp_wishno,0))))</f>
        <v/>
      </c>
      <c r="I140" s="49">
        <f>IF($A140="","",IF(INDEX(exp_status,MATCH(134,exp_wishno,0))="","",INDEX(exp_status,MATCH(134,exp_wishno,0))))</f>
        <v/>
      </c>
    </row>
    <row r="141">
      <c r="A141" s="100">
        <f>IF(ISNA(MATCH(135,exp_wishno,0)),"",135)</f>
        <v/>
      </c>
      <c r="B141" s="49">
        <f>IF($A141="","",IF(INDEX(exp_desc,MATCH(135,exp_wishno,0))="","",INDEX(exp_desc,MATCH(135,exp_wishno,0))))</f>
        <v/>
      </c>
      <c r="C141" s="49">
        <f>IF($A141="","",IF(INDEX(exp_cat,MATCH(135,exp_wishno,0))="","",INDEX(exp_cat,MATCH(135,exp_wishno,0))))</f>
        <v/>
      </c>
      <c r="D141" s="100">
        <f>IF($A141="","",IF(INDEX(exp_prio,MATCH(135,exp_wishno,0))="","",INDEX(exp_prio,MATCH(135,exp_wishno,0))))</f>
        <v/>
      </c>
      <c r="E141" s="100">
        <f>IF($A141="","",IF(INDEX(exp_year,MATCH(135,exp_wishno,0))="","",INDEX(exp_year,MATCH(135,exp_wishno,0))))</f>
        <v/>
      </c>
      <c r="F141" s="100">
        <f>IF($A141="","",IF(INDEX(exp_month,MATCH(135,exp_wishno,0))="","",INDEX(exp_month,MATCH(135,exp_wishno,0))))</f>
        <v/>
      </c>
      <c r="G141" s="101">
        <f>IF($A141="","",IF(INDEX(exp_plan,MATCH(135,exp_wishno,0))="","",INDEX(exp_plan,MATCH(135,exp_wishno,0))))</f>
        <v/>
      </c>
      <c r="H141" s="102">
        <f>IF($A141="","",IF(INDEX(exp_fact,MATCH(135,exp_wishno,0))="","",INDEX(exp_fact,MATCH(135,exp_wishno,0))))</f>
        <v/>
      </c>
      <c r="I141" s="49">
        <f>IF($A141="","",IF(INDEX(exp_status,MATCH(135,exp_wishno,0))="","",INDEX(exp_status,MATCH(135,exp_wishno,0))))</f>
        <v/>
      </c>
    </row>
    <row r="142">
      <c r="A142" s="100">
        <f>IF(ISNA(MATCH(136,exp_wishno,0)),"",136)</f>
        <v/>
      </c>
      <c r="B142" s="49">
        <f>IF($A142="","",IF(INDEX(exp_desc,MATCH(136,exp_wishno,0))="","",INDEX(exp_desc,MATCH(136,exp_wishno,0))))</f>
        <v/>
      </c>
      <c r="C142" s="49">
        <f>IF($A142="","",IF(INDEX(exp_cat,MATCH(136,exp_wishno,0))="","",INDEX(exp_cat,MATCH(136,exp_wishno,0))))</f>
        <v/>
      </c>
      <c r="D142" s="100">
        <f>IF($A142="","",IF(INDEX(exp_prio,MATCH(136,exp_wishno,0))="","",INDEX(exp_prio,MATCH(136,exp_wishno,0))))</f>
        <v/>
      </c>
      <c r="E142" s="100">
        <f>IF($A142="","",IF(INDEX(exp_year,MATCH(136,exp_wishno,0))="","",INDEX(exp_year,MATCH(136,exp_wishno,0))))</f>
        <v/>
      </c>
      <c r="F142" s="100">
        <f>IF($A142="","",IF(INDEX(exp_month,MATCH(136,exp_wishno,0))="","",INDEX(exp_month,MATCH(136,exp_wishno,0))))</f>
        <v/>
      </c>
      <c r="G142" s="101">
        <f>IF($A142="","",IF(INDEX(exp_plan,MATCH(136,exp_wishno,0))="","",INDEX(exp_plan,MATCH(136,exp_wishno,0))))</f>
        <v/>
      </c>
      <c r="H142" s="102">
        <f>IF($A142="","",IF(INDEX(exp_fact,MATCH(136,exp_wishno,0))="","",INDEX(exp_fact,MATCH(136,exp_wishno,0))))</f>
        <v/>
      </c>
      <c r="I142" s="49">
        <f>IF($A142="","",IF(INDEX(exp_status,MATCH(136,exp_wishno,0))="","",INDEX(exp_status,MATCH(136,exp_wishno,0))))</f>
        <v/>
      </c>
    </row>
    <row r="143">
      <c r="A143" s="100">
        <f>IF(ISNA(MATCH(137,exp_wishno,0)),"",137)</f>
        <v/>
      </c>
      <c r="B143" s="49">
        <f>IF($A143="","",IF(INDEX(exp_desc,MATCH(137,exp_wishno,0))="","",INDEX(exp_desc,MATCH(137,exp_wishno,0))))</f>
        <v/>
      </c>
      <c r="C143" s="49">
        <f>IF($A143="","",IF(INDEX(exp_cat,MATCH(137,exp_wishno,0))="","",INDEX(exp_cat,MATCH(137,exp_wishno,0))))</f>
        <v/>
      </c>
      <c r="D143" s="100">
        <f>IF($A143="","",IF(INDEX(exp_prio,MATCH(137,exp_wishno,0))="","",INDEX(exp_prio,MATCH(137,exp_wishno,0))))</f>
        <v/>
      </c>
      <c r="E143" s="100">
        <f>IF($A143="","",IF(INDEX(exp_year,MATCH(137,exp_wishno,0))="","",INDEX(exp_year,MATCH(137,exp_wishno,0))))</f>
        <v/>
      </c>
      <c r="F143" s="100">
        <f>IF($A143="","",IF(INDEX(exp_month,MATCH(137,exp_wishno,0))="","",INDEX(exp_month,MATCH(137,exp_wishno,0))))</f>
        <v/>
      </c>
      <c r="G143" s="101">
        <f>IF($A143="","",IF(INDEX(exp_plan,MATCH(137,exp_wishno,0))="","",INDEX(exp_plan,MATCH(137,exp_wishno,0))))</f>
        <v/>
      </c>
      <c r="H143" s="102">
        <f>IF($A143="","",IF(INDEX(exp_fact,MATCH(137,exp_wishno,0))="","",INDEX(exp_fact,MATCH(137,exp_wishno,0))))</f>
        <v/>
      </c>
      <c r="I143" s="49">
        <f>IF($A143="","",IF(INDEX(exp_status,MATCH(137,exp_wishno,0))="","",INDEX(exp_status,MATCH(137,exp_wishno,0))))</f>
        <v/>
      </c>
    </row>
    <row r="144">
      <c r="A144" s="100">
        <f>IF(ISNA(MATCH(138,exp_wishno,0)),"",138)</f>
        <v/>
      </c>
      <c r="B144" s="49">
        <f>IF($A144="","",IF(INDEX(exp_desc,MATCH(138,exp_wishno,0))="","",INDEX(exp_desc,MATCH(138,exp_wishno,0))))</f>
        <v/>
      </c>
      <c r="C144" s="49">
        <f>IF($A144="","",IF(INDEX(exp_cat,MATCH(138,exp_wishno,0))="","",INDEX(exp_cat,MATCH(138,exp_wishno,0))))</f>
        <v/>
      </c>
      <c r="D144" s="100">
        <f>IF($A144="","",IF(INDEX(exp_prio,MATCH(138,exp_wishno,0))="","",INDEX(exp_prio,MATCH(138,exp_wishno,0))))</f>
        <v/>
      </c>
      <c r="E144" s="100">
        <f>IF($A144="","",IF(INDEX(exp_year,MATCH(138,exp_wishno,0))="","",INDEX(exp_year,MATCH(138,exp_wishno,0))))</f>
        <v/>
      </c>
      <c r="F144" s="100">
        <f>IF($A144="","",IF(INDEX(exp_month,MATCH(138,exp_wishno,0))="","",INDEX(exp_month,MATCH(138,exp_wishno,0))))</f>
        <v/>
      </c>
      <c r="G144" s="101">
        <f>IF($A144="","",IF(INDEX(exp_plan,MATCH(138,exp_wishno,0))="","",INDEX(exp_plan,MATCH(138,exp_wishno,0))))</f>
        <v/>
      </c>
      <c r="H144" s="102">
        <f>IF($A144="","",IF(INDEX(exp_fact,MATCH(138,exp_wishno,0))="","",INDEX(exp_fact,MATCH(138,exp_wishno,0))))</f>
        <v/>
      </c>
      <c r="I144" s="49">
        <f>IF($A144="","",IF(INDEX(exp_status,MATCH(138,exp_wishno,0))="","",INDEX(exp_status,MATCH(138,exp_wishno,0))))</f>
        <v/>
      </c>
    </row>
    <row r="145">
      <c r="A145" s="100">
        <f>IF(ISNA(MATCH(139,exp_wishno,0)),"",139)</f>
        <v/>
      </c>
      <c r="B145" s="49">
        <f>IF($A145="","",IF(INDEX(exp_desc,MATCH(139,exp_wishno,0))="","",INDEX(exp_desc,MATCH(139,exp_wishno,0))))</f>
        <v/>
      </c>
      <c r="C145" s="49">
        <f>IF($A145="","",IF(INDEX(exp_cat,MATCH(139,exp_wishno,0))="","",INDEX(exp_cat,MATCH(139,exp_wishno,0))))</f>
        <v/>
      </c>
      <c r="D145" s="100">
        <f>IF($A145="","",IF(INDEX(exp_prio,MATCH(139,exp_wishno,0))="","",INDEX(exp_prio,MATCH(139,exp_wishno,0))))</f>
        <v/>
      </c>
      <c r="E145" s="100">
        <f>IF($A145="","",IF(INDEX(exp_year,MATCH(139,exp_wishno,0))="","",INDEX(exp_year,MATCH(139,exp_wishno,0))))</f>
        <v/>
      </c>
      <c r="F145" s="100">
        <f>IF($A145="","",IF(INDEX(exp_month,MATCH(139,exp_wishno,0))="","",INDEX(exp_month,MATCH(139,exp_wishno,0))))</f>
        <v/>
      </c>
      <c r="G145" s="101">
        <f>IF($A145="","",IF(INDEX(exp_plan,MATCH(139,exp_wishno,0))="","",INDEX(exp_plan,MATCH(139,exp_wishno,0))))</f>
        <v/>
      </c>
      <c r="H145" s="102">
        <f>IF($A145="","",IF(INDEX(exp_fact,MATCH(139,exp_wishno,0))="","",INDEX(exp_fact,MATCH(139,exp_wishno,0))))</f>
        <v/>
      </c>
      <c r="I145" s="49">
        <f>IF($A145="","",IF(INDEX(exp_status,MATCH(139,exp_wishno,0))="","",INDEX(exp_status,MATCH(139,exp_wishno,0))))</f>
        <v/>
      </c>
    </row>
    <row r="146">
      <c r="A146" s="100">
        <f>IF(ISNA(MATCH(140,exp_wishno,0)),"",140)</f>
        <v/>
      </c>
      <c r="B146" s="49">
        <f>IF($A146="","",IF(INDEX(exp_desc,MATCH(140,exp_wishno,0))="","",INDEX(exp_desc,MATCH(140,exp_wishno,0))))</f>
        <v/>
      </c>
      <c r="C146" s="49">
        <f>IF($A146="","",IF(INDEX(exp_cat,MATCH(140,exp_wishno,0))="","",INDEX(exp_cat,MATCH(140,exp_wishno,0))))</f>
        <v/>
      </c>
      <c r="D146" s="100">
        <f>IF($A146="","",IF(INDEX(exp_prio,MATCH(140,exp_wishno,0))="","",INDEX(exp_prio,MATCH(140,exp_wishno,0))))</f>
        <v/>
      </c>
      <c r="E146" s="100">
        <f>IF($A146="","",IF(INDEX(exp_year,MATCH(140,exp_wishno,0))="","",INDEX(exp_year,MATCH(140,exp_wishno,0))))</f>
        <v/>
      </c>
      <c r="F146" s="100">
        <f>IF($A146="","",IF(INDEX(exp_month,MATCH(140,exp_wishno,0))="","",INDEX(exp_month,MATCH(140,exp_wishno,0))))</f>
        <v/>
      </c>
      <c r="G146" s="101">
        <f>IF($A146="","",IF(INDEX(exp_plan,MATCH(140,exp_wishno,0))="","",INDEX(exp_plan,MATCH(140,exp_wishno,0))))</f>
        <v/>
      </c>
      <c r="H146" s="102">
        <f>IF($A146="","",IF(INDEX(exp_fact,MATCH(140,exp_wishno,0))="","",INDEX(exp_fact,MATCH(140,exp_wishno,0))))</f>
        <v/>
      </c>
      <c r="I146" s="49">
        <f>IF($A146="","",IF(INDEX(exp_status,MATCH(140,exp_wishno,0))="","",INDEX(exp_status,MATCH(140,exp_wishno,0))))</f>
        <v/>
      </c>
    </row>
    <row r="147">
      <c r="A147" s="100">
        <f>IF(ISNA(MATCH(141,exp_wishno,0)),"",141)</f>
        <v/>
      </c>
      <c r="B147" s="49">
        <f>IF($A147="","",IF(INDEX(exp_desc,MATCH(141,exp_wishno,0))="","",INDEX(exp_desc,MATCH(141,exp_wishno,0))))</f>
        <v/>
      </c>
      <c r="C147" s="49">
        <f>IF($A147="","",IF(INDEX(exp_cat,MATCH(141,exp_wishno,0))="","",INDEX(exp_cat,MATCH(141,exp_wishno,0))))</f>
        <v/>
      </c>
      <c r="D147" s="100">
        <f>IF($A147="","",IF(INDEX(exp_prio,MATCH(141,exp_wishno,0))="","",INDEX(exp_prio,MATCH(141,exp_wishno,0))))</f>
        <v/>
      </c>
      <c r="E147" s="100">
        <f>IF($A147="","",IF(INDEX(exp_year,MATCH(141,exp_wishno,0))="","",INDEX(exp_year,MATCH(141,exp_wishno,0))))</f>
        <v/>
      </c>
      <c r="F147" s="100">
        <f>IF($A147="","",IF(INDEX(exp_month,MATCH(141,exp_wishno,0))="","",INDEX(exp_month,MATCH(141,exp_wishno,0))))</f>
        <v/>
      </c>
      <c r="G147" s="101">
        <f>IF($A147="","",IF(INDEX(exp_plan,MATCH(141,exp_wishno,0))="","",INDEX(exp_plan,MATCH(141,exp_wishno,0))))</f>
        <v/>
      </c>
      <c r="H147" s="102">
        <f>IF($A147="","",IF(INDEX(exp_fact,MATCH(141,exp_wishno,0))="","",INDEX(exp_fact,MATCH(141,exp_wishno,0))))</f>
        <v/>
      </c>
      <c r="I147" s="49">
        <f>IF($A147="","",IF(INDEX(exp_status,MATCH(141,exp_wishno,0))="","",INDEX(exp_status,MATCH(141,exp_wishno,0))))</f>
        <v/>
      </c>
    </row>
    <row r="148">
      <c r="A148" s="100">
        <f>IF(ISNA(MATCH(142,exp_wishno,0)),"",142)</f>
        <v/>
      </c>
      <c r="B148" s="49">
        <f>IF($A148="","",IF(INDEX(exp_desc,MATCH(142,exp_wishno,0))="","",INDEX(exp_desc,MATCH(142,exp_wishno,0))))</f>
        <v/>
      </c>
      <c r="C148" s="49">
        <f>IF($A148="","",IF(INDEX(exp_cat,MATCH(142,exp_wishno,0))="","",INDEX(exp_cat,MATCH(142,exp_wishno,0))))</f>
        <v/>
      </c>
      <c r="D148" s="100">
        <f>IF($A148="","",IF(INDEX(exp_prio,MATCH(142,exp_wishno,0))="","",INDEX(exp_prio,MATCH(142,exp_wishno,0))))</f>
        <v/>
      </c>
      <c r="E148" s="100">
        <f>IF($A148="","",IF(INDEX(exp_year,MATCH(142,exp_wishno,0))="","",INDEX(exp_year,MATCH(142,exp_wishno,0))))</f>
        <v/>
      </c>
      <c r="F148" s="100">
        <f>IF($A148="","",IF(INDEX(exp_month,MATCH(142,exp_wishno,0))="","",INDEX(exp_month,MATCH(142,exp_wishno,0))))</f>
        <v/>
      </c>
      <c r="G148" s="101">
        <f>IF($A148="","",IF(INDEX(exp_plan,MATCH(142,exp_wishno,0))="","",INDEX(exp_plan,MATCH(142,exp_wishno,0))))</f>
        <v/>
      </c>
      <c r="H148" s="102">
        <f>IF($A148="","",IF(INDEX(exp_fact,MATCH(142,exp_wishno,0))="","",INDEX(exp_fact,MATCH(142,exp_wishno,0))))</f>
        <v/>
      </c>
      <c r="I148" s="49">
        <f>IF($A148="","",IF(INDEX(exp_status,MATCH(142,exp_wishno,0))="","",INDEX(exp_status,MATCH(142,exp_wishno,0))))</f>
        <v/>
      </c>
    </row>
    <row r="149">
      <c r="A149" s="100">
        <f>IF(ISNA(MATCH(143,exp_wishno,0)),"",143)</f>
        <v/>
      </c>
      <c r="B149" s="49">
        <f>IF($A149="","",IF(INDEX(exp_desc,MATCH(143,exp_wishno,0))="","",INDEX(exp_desc,MATCH(143,exp_wishno,0))))</f>
        <v/>
      </c>
      <c r="C149" s="49">
        <f>IF($A149="","",IF(INDEX(exp_cat,MATCH(143,exp_wishno,0))="","",INDEX(exp_cat,MATCH(143,exp_wishno,0))))</f>
        <v/>
      </c>
      <c r="D149" s="100">
        <f>IF($A149="","",IF(INDEX(exp_prio,MATCH(143,exp_wishno,0))="","",INDEX(exp_prio,MATCH(143,exp_wishno,0))))</f>
        <v/>
      </c>
      <c r="E149" s="100">
        <f>IF($A149="","",IF(INDEX(exp_year,MATCH(143,exp_wishno,0))="","",INDEX(exp_year,MATCH(143,exp_wishno,0))))</f>
        <v/>
      </c>
      <c r="F149" s="100">
        <f>IF($A149="","",IF(INDEX(exp_month,MATCH(143,exp_wishno,0))="","",INDEX(exp_month,MATCH(143,exp_wishno,0))))</f>
        <v/>
      </c>
      <c r="G149" s="101">
        <f>IF($A149="","",IF(INDEX(exp_plan,MATCH(143,exp_wishno,0))="","",INDEX(exp_plan,MATCH(143,exp_wishno,0))))</f>
        <v/>
      </c>
      <c r="H149" s="102">
        <f>IF($A149="","",IF(INDEX(exp_fact,MATCH(143,exp_wishno,0))="","",INDEX(exp_fact,MATCH(143,exp_wishno,0))))</f>
        <v/>
      </c>
      <c r="I149" s="49">
        <f>IF($A149="","",IF(INDEX(exp_status,MATCH(143,exp_wishno,0))="","",INDEX(exp_status,MATCH(143,exp_wishno,0))))</f>
        <v/>
      </c>
    </row>
    <row r="150">
      <c r="A150" s="100">
        <f>IF(ISNA(MATCH(144,exp_wishno,0)),"",144)</f>
        <v/>
      </c>
      <c r="B150" s="49">
        <f>IF($A150="","",IF(INDEX(exp_desc,MATCH(144,exp_wishno,0))="","",INDEX(exp_desc,MATCH(144,exp_wishno,0))))</f>
        <v/>
      </c>
      <c r="C150" s="49">
        <f>IF($A150="","",IF(INDEX(exp_cat,MATCH(144,exp_wishno,0))="","",INDEX(exp_cat,MATCH(144,exp_wishno,0))))</f>
        <v/>
      </c>
      <c r="D150" s="100">
        <f>IF($A150="","",IF(INDEX(exp_prio,MATCH(144,exp_wishno,0))="","",INDEX(exp_prio,MATCH(144,exp_wishno,0))))</f>
        <v/>
      </c>
      <c r="E150" s="100">
        <f>IF($A150="","",IF(INDEX(exp_year,MATCH(144,exp_wishno,0))="","",INDEX(exp_year,MATCH(144,exp_wishno,0))))</f>
        <v/>
      </c>
      <c r="F150" s="100">
        <f>IF($A150="","",IF(INDEX(exp_month,MATCH(144,exp_wishno,0))="","",INDEX(exp_month,MATCH(144,exp_wishno,0))))</f>
        <v/>
      </c>
      <c r="G150" s="101">
        <f>IF($A150="","",IF(INDEX(exp_plan,MATCH(144,exp_wishno,0))="","",INDEX(exp_plan,MATCH(144,exp_wishno,0))))</f>
        <v/>
      </c>
      <c r="H150" s="102">
        <f>IF($A150="","",IF(INDEX(exp_fact,MATCH(144,exp_wishno,0))="","",INDEX(exp_fact,MATCH(144,exp_wishno,0))))</f>
        <v/>
      </c>
      <c r="I150" s="49">
        <f>IF($A150="","",IF(INDEX(exp_status,MATCH(144,exp_wishno,0))="","",INDEX(exp_status,MATCH(144,exp_wishno,0))))</f>
        <v/>
      </c>
    </row>
    <row r="151">
      <c r="A151" s="100">
        <f>IF(ISNA(MATCH(145,exp_wishno,0)),"",145)</f>
        <v/>
      </c>
      <c r="B151" s="49">
        <f>IF($A151="","",IF(INDEX(exp_desc,MATCH(145,exp_wishno,0))="","",INDEX(exp_desc,MATCH(145,exp_wishno,0))))</f>
        <v/>
      </c>
      <c r="C151" s="49">
        <f>IF($A151="","",IF(INDEX(exp_cat,MATCH(145,exp_wishno,0))="","",INDEX(exp_cat,MATCH(145,exp_wishno,0))))</f>
        <v/>
      </c>
      <c r="D151" s="100">
        <f>IF($A151="","",IF(INDEX(exp_prio,MATCH(145,exp_wishno,0))="","",INDEX(exp_prio,MATCH(145,exp_wishno,0))))</f>
        <v/>
      </c>
      <c r="E151" s="100">
        <f>IF($A151="","",IF(INDEX(exp_year,MATCH(145,exp_wishno,0))="","",INDEX(exp_year,MATCH(145,exp_wishno,0))))</f>
        <v/>
      </c>
      <c r="F151" s="100">
        <f>IF($A151="","",IF(INDEX(exp_month,MATCH(145,exp_wishno,0))="","",INDEX(exp_month,MATCH(145,exp_wishno,0))))</f>
        <v/>
      </c>
      <c r="G151" s="101">
        <f>IF($A151="","",IF(INDEX(exp_plan,MATCH(145,exp_wishno,0))="","",INDEX(exp_plan,MATCH(145,exp_wishno,0))))</f>
        <v/>
      </c>
      <c r="H151" s="102">
        <f>IF($A151="","",IF(INDEX(exp_fact,MATCH(145,exp_wishno,0))="","",INDEX(exp_fact,MATCH(145,exp_wishno,0))))</f>
        <v/>
      </c>
      <c r="I151" s="49">
        <f>IF($A151="","",IF(INDEX(exp_status,MATCH(145,exp_wishno,0))="","",INDEX(exp_status,MATCH(145,exp_wishno,0))))</f>
        <v/>
      </c>
    </row>
    <row r="152">
      <c r="A152" s="100">
        <f>IF(ISNA(MATCH(146,exp_wishno,0)),"",146)</f>
        <v/>
      </c>
      <c r="B152" s="49">
        <f>IF($A152="","",IF(INDEX(exp_desc,MATCH(146,exp_wishno,0))="","",INDEX(exp_desc,MATCH(146,exp_wishno,0))))</f>
        <v/>
      </c>
      <c r="C152" s="49">
        <f>IF($A152="","",IF(INDEX(exp_cat,MATCH(146,exp_wishno,0))="","",INDEX(exp_cat,MATCH(146,exp_wishno,0))))</f>
        <v/>
      </c>
      <c r="D152" s="100">
        <f>IF($A152="","",IF(INDEX(exp_prio,MATCH(146,exp_wishno,0))="","",INDEX(exp_prio,MATCH(146,exp_wishno,0))))</f>
        <v/>
      </c>
      <c r="E152" s="100">
        <f>IF($A152="","",IF(INDEX(exp_year,MATCH(146,exp_wishno,0))="","",INDEX(exp_year,MATCH(146,exp_wishno,0))))</f>
        <v/>
      </c>
      <c r="F152" s="100">
        <f>IF($A152="","",IF(INDEX(exp_month,MATCH(146,exp_wishno,0))="","",INDEX(exp_month,MATCH(146,exp_wishno,0))))</f>
        <v/>
      </c>
      <c r="G152" s="101">
        <f>IF($A152="","",IF(INDEX(exp_plan,MATCH(146,exp_wishno,0))="","",INDEX(exp_plan,MATCH(146,exp_wishno,0))))</f>
        <v/>
      </c>
      <c r="H152" s="102">
        <f>IF($A152="","",IF(INDEX(exp_fact,MATCH(146,exp_wishno,0))="","",INDEX(exp_fact,MATCH(146,exp_wishno,0))))</f>
        <v/>
      </c>
      <c r="I152" s="49">
        <f>IF($A152="","",IF(INDEX(exp_status,MATCH(146,exp_wishno,0))="","",INDEX(exp_status,MATCH(146,exp_wishno,0))))</f>
        <v/>
      </c>
    </row>
    <row r="153">
      <c r="A153" s="100">
        <f>IF(ISNA(MATCH(147,exp_wishno,0)),"",147)</f>
        <v/>
      </c>
      <c r="B153" s="49">
        <f>IF($A153="","",IF(INDEX(exp_desc,MATCH(147,exp_wishno,0))="","",INDEX(exp_desc,MATCH(147,exp_wishno,0))))</f>
        <v/>
      </c>
      <c r="C153" s="49">
        <f>IF($A153="","",IF(INDEX(exp_cat,MATCH(147,exp_wishno,0))="","",INDEX(exp_cat,MATCH(147,exp_wishno,0))))</f>
        <v/>
      </c>
      <c r="D153" s="100">
        <f>IF($A153="","",IF(INDEX(exp_prio,MATCH(147,exp_wishno,0))="","",INDEX(exp_prio,MATCH(147,exp_wishno,0))))</f>
        <v/>
      </c>
      <c r="E153" s="100">
        <f>IF($A153="","",IF(INDEX(exp_year,MATCH(147,exp_wishno,0))="","",INDEX(exp_year,MATCH(147,exp_wishno,0))))</f>
        <v/>
      </c>
      <c r="F153" s="100">
        <f>IF($A153="","",IF(INDEX(exp_month,MATCH(147,exp_wishno,0))="","",INDEX(exp_month,MATCH(147,exp_wishno,0))))</f>
        <v/>
      </c>
      <c r="G153" s="101">
        <f>IF($A153="","",IF(INDEX(exp_plan,MATCH(147,exp_wishno,0))="","",INDEX(exp_plan,MATCH(147,exp_wishno,0))))</f>
        <v/>
      </c>
      <c r="H153" s="102">
        <f>IF($A153="","",IF(INDEX(exp_fact,MATCH(147,exp_wishno,0))="","",INDEX(exp_fact,MATCH(147,exp_wishno,0))))</f>
        <v/>
      </c>
      <c r="I153" s="49">
        <f>IF($A153="","",IF(INDEX(exp_status,MATCH(147,exp_wishno,0))="","",INDEX(exp_status,MATCH(147,exp_wishno,0))))</f>
        <v/>
      </c>
    </row>
    <row r="154">
      <c r="A154" s="100">
        <f>IF(ISNA(MATCH(148,exp_wishno,0)),"",148)</f>
        <v/>
      </c>
      <c r="B154" s="49">
        <f>IF($A154="","",IF(INDEX(exp_desc,MATCH(148,exp_wishno,0))="","",INDEX(exp_desc,MATCH(148,exp_wishno,0))))</f>
        <v/>
      </c>
      <c r="C154" s="49">
        <f>IF($A154="","",IF(INDEX(exp_cat,MATCH(148,exp_wishno,0))="","",INDEX(exp_cat,MATCH(148,exp_wishno,0))))</f>
        <v/>
      </c>
      <c r="D154" s="100">
        <f>IF($A154="","",IF(INDEX(exp_prio,MATCH(148,exp_wishno,0))="","",INDEX(exp_prio,MATCH(148,exp_wishno,0))))</f>
        <v/>
      </c>
      <c r="E154" s="100">
        <f>IF($A154="","",IF(INDEX(exp_year,MATCH(148,exp_wishno,0))="","",INDEX(exp_year,MATCH(148,exp_wishno,0))))</f>
        <v/>
      </c>
      <c r="F154" s="100">
        <f>IF($A154="","",IF(INDEX(exp_month,MATCH(148,exp_wishno,0))="","",INDEX(exp_month,MATCH(148,exp_wishno,0))))</f>
        <v/>
      </c>
      <c r="G154" s="101">
        <f>IF($A154="","",IF(INDEX(exp_plan,MATCH(148,exp_wishno,0))="","",INDEX(exp_plan,MATCH(148,exp_wishno,0))))</f>
        <v/>
      </c>
      <c r="H154" s="102">
        <f>IF($A154="","",IF(INDEX(exp_fact,MATCH(148,exp_wishno,0))="","",INDEX(exp_fact,MATCH(148,exp_wishno,0))))</f>
        <v/>
      </c>
      <c r="I154" s="49">
        <f>IF($A154="","",IF(INDEX(exp_status,MATCH(148,exp_wishno,0))="","",INDEX(exp_status,MATCH(148,exp_wishno,0))))</f>
        <v/>
      </c>
    </row>
    <row r="155">
      <c r="A155" s="100">
        <f>IF(ISNA(MATCH(149,exp_wishno,0)),"",149)</f>
        <v/>
      </c>
      <c r="B155" s="49">
        <f>IF($A155="","",IF(INDEX(exp_desc,MATCH(149,exp_wishno,0))="","",INDEX(exp_desc,MATCH(149,exp_wishno,0))))</f>
        <v/>
      </c>
      <c r="C155" s="49">
        <f>IF($A155="","",IF(INDEX(exp_cat,MATCH(149,exp_wishno,0))="","",INDEX(exp_cat,MATCH(149,exp_wishno,0))))</f>
        <v/>
      </c>
      <c r="D155" s="100">
        <f>IF($A155="","",IF(INDEX(exp_prio,MATCH(149,exp_wishno,0))="","",INDEX(exp_prio,MATCH(149,exp_wishno,0))))</f>
        <v/>
      </c>
      <c r="E155" s="100">
        <f>IF($A155="","",IF(INDEX(exp_year,MATCH(149,exp_wishno,0))="","",INDEX(exp_year,MATCH(149,exp_wishno,0))))</f>
        <v/>
      </c>
      <c r="F155" s="100">
        <f>IF($A155="","",IF(INDEX(exp_month,MATCH(149,exp_wishno,0))="","",INDEX(exp_month,MATCH(149,exp_wishno,0))))</f>
        <v/>
      </c>
      <c r="G155" s="101">
        <f>IF($A155="","",IF(INDEX(exp_plan,MATCH(149,exp_wishno,0))="","",INDEX(exp_plan,MATCH(149,exp_wishno,0))))</f>
        <v/>
      </c>
      <c r="H155" s="102">
        <f>IF($A155="","",IF(INDEX(exp_fact,MATCH(149,exp_wishno,0))="","",INDEX(exp_fact,MATCH(149,exp_wishno,0))))</f>
        <v/>
      </c>
      <c r="I155" s="49">
        <f>IF($A155="","",IF(INDEX(exp_status,MATCH(149,exp_wishno,0))="","",INDEX(exp_status,MATCH(149,exp_wishno,0))))</f>
        <v/>
      </c>
    </row>
    <row r="156">
      <c r="A156" s="100">
        <f>IF(ISNA(MATCH(150,exp_wishno,0)),"",150)</f>
        <v/>
      </c>
      <c r="B156" s="49">
        <f>IF($A156="","",IF(INDEX(exp_desc,MATCH(150,exp_wishno,0))="","",INDEX(exp_desc,MATCH(150,exp_wishno,0))))</f>
        <v/>
      </c>
      <c r="C156" s="49">
        <f>IF($A156="","",IF(INDEX(exp_cat,MATCH(150,exp_wishno,0))="","",INDEX(exp_cat,MATCH(150,exp_wishno,0))))</f>
        <v/>
      </c>
      <c r="D156" s="100">
        <f>IF($A156="","",IF(INDEX(exp_prio,MATCH(150,exp_wishno,0))="","",INDEX(exp_prio,MATCH(150,exp_wishno,0))))</f>
        <v/>
      </c>
      <c r="E156" s="100">
        <f>IF($A156="","",IF(INDEX(exp_year,MATCH(150,exp_wishno,0))="","",INDEX(exp_year,MATCH(150,exp_wishno,0))))</f>
        <v/>
      </c>
      <c r="F156" s="100">
        <f>IF($A156="","",IF(INDEX(exp_month,MATCH(150,exp_wishno,0))="","",INDEX(exp_month,MATCH(150,exp_wishno,0))))</f>
        <v/>
      </c>
      <c r="G156" s="101">
        <f>IF($A156="","",IF(INDEX(exp_plan,MATCH(150,exp_wishno,0))="","",INDEX(exp_plan,MATCH(150,exp_wishno,0))))</f>
        <v/>
      </c>
      <c r="H156" s="102">
        <f>IF($A156="","",IF(INDEX(exp_fact,MATCH(150,exp_wishno,0))="","",INDEX(exp_fact,MATCH(150,exp_wishno,0))))</f>
        <v/>
      </c>
      <c r="I156" s="49">
        <f>IF($A156="","",IF(INDEX(exp_status,MATCH(150,exp_wishno,0))="","",INDEX(exp_status,MATCH(150,exp_wishno,0))))</f>
        <v/>
      </c>
    </row>
    <row r="157">
      <c r="A157" s="100">
        <f>IF(ISNA(MATCH(151,exp_wishno,0)),"",151)</f>
        <v/>
      </c>
      <c r="B157" s="49">
        <f>IF($A157="","",IF(INDEX(exp_desc,MATCH(151,exp_wishno,0))="","",INDEX(exp_desc,MATCH(151,exp_wishno,0))))</f>
        <v/>
      </c>
      <c r="C157" s="49">
        <f>IF($A157="","",IF(INDEX(exp_cat,MATCH(151,exp_wishno,0))="","",INDEX(exp_cat,MATCH(151,exp_wishno,0))))</f>
        <v/>
      </c>
      <c r="D157" s="100">
        <f>IF($A157="","",IF(INDEX(exp_prio,MATCH(151,exp_wishno,0))="","",INDEX(exp_prio,MATCH(151,exp_wishno,0))))</f>
        <v/>
      </c>
      <c r="E157" s="100">
        <f>IF($A157="","",IF(INDEX(exp_year,MATCH(151,exp_wishno,0))="","",INDEX(exp_year,MATCH(151,exp_wishno,0))))</f>
        <v/>
      </c>
      <c r="F157" s="100">
        <f>IF($A157="","",IF(INDEX(exp_month,MATCH(151,exp_wishno,0))="","",INDEX(exp_month,MATCH(151,exp_wishno,0))))</f>
        <v/>
      </c>
      <c r="G157" s="101">
        <f>IF($A157="","",IF(INDEX(exp_plan,MATCH(151,exp_wishno,0))="","",INDEX(exp_plan,MATCH(151,exp_wishno,0))))</f>
        <v/>
      </c>
      <c r="H157" s="102">
        <f>IF($A157="","",IF(INDEX(exp_fact,MATCH(151,exp_wishno,0))="","",INDEX(exp_fact,MATCH(151,exp_wishno,0))))</f>
        <v/>
      </c>
      <c r="I157" s="49">
        <f>IF($A157="","",IF(INDEX(exp_status,MATCH(151,exp_wishno,0))="","",INDEX(exp_status,MATCH(151,exp_wishno,0))))</f>
        <v/>
      </c>
    </row>
    <row r="158">
      <c r="A158" s="100">
        <f>IF(ISNA(MATCH(152,exp_wishno,0)),"",152)</f>
        <v/>
      </c>
      <c r="B158" s="49">
        <f>IF($A158="","",IF(INDEX(exp_desc,MATCH(152,exp_wishno,0))="","",INDEX(exp_desc,MATCH(152,exp_wishno,0))))</f>
        <v/>
      </c>
      <c r="C158" s="49">
        <f>IF($A158="","",IF(INDEX(exp_cat,MATCH(152,exp_wishno,0))="","",INDEX(exp_cat,MATCH(152,exp_wishno,0))))</f>
        <v/>
      </c>
      <c r="D158" s="100">
        <f>IF($A158="","",IF(INDEX(exp_prio,MATCH(152,exp_wishno,0))="","",INDEX(exp_prio,MATCH(152,exp_wishno,0))))</f>
        <v/>
      </c>
      <c r="E158" s="100">
        <f>IF($A158="","",IF(INDEX(exp_year,MATCH(152,exp_wishno,0))="","",INDEX(exp_year,MATCH(152,exp_wishno,0))))</f>
        <v/>
      </c>
      <c r="F158" s="100">
        <f>IF($A158="","",IF(INDEX(exp_month,MATCH(152,exp_wishno,0))="","",INDEX(exp_month,MATCH(152,exp_wishno,0))))</f>
        <v/>
      </c>
      <c r="G158" s="101">
        <f>IF($A158="","",IF(INDEX(exp_plan,MATCH(152,exp_wishno,0))="","",INDEX(exp_plan,MATCH(152,exp_wishno,0))))</f>
        <v/>
      </c>
      <c r="H158" s="102">
        <f>IF($A158="","",IF(INDEX(exp_fact,MATCH(152,exp_wishno,0))="","",INDEX(exp_fact,MATCH(152,exp_wishno,0))))</f>
        <v/>
      </c>
      <c r="I158" s="49">
        <f>IF($A158="","",IF(INDEX(exp_status,MATCH(152,exp_wishno,0))="","",INDEX(exp_status,MATCH(152,exp_wishno,0))))</f>
        <v/>
      </c>
    </row>
    <row r="159">
      <c r="A159" s="100">
        <f>IF(ISNA(MATCH(153,exp_wishno,0)),"",153)</f>
        <v/>
      </c>
      <c r="B159" s="49">
        <f>IF($A159="","",IF(INDEX(exp_desc,MATCH(153,exp_wishno,0))="","",INDEX(exp_desc,MATCH(153,exp_wishno,0))))</f>
        <v/>
      </c>
      <c r="C159" s="49">
        <f>IF($A159="","",IF(INDEX(exp_cat,MATCH(153,exp_wishno,0))="","",INDEX(exp_cat,MATCH(153,exp_wishno,0))))</f>
        <v/>
      </c>
      <c r="D159" s="100">
        <f>IF($A159="","",IF(INDEX(exp_prio,MATCH(153,exp_wishno,0))="","",INDEX(exp_prio,MATCH(153,exp_wishno,0))))</f>
        <v/>
      </c>
      <c r="E159" s="100">
        <f>IF($A159="","",IF(INDEX(exp_year,MATCH(153,exp_wishno,0))="","",INDEX(exp_year,MATCH(153,exp_wishno,0))))</f>
        <v/>
      </c>
      <c r="F159" s="100">
        <f>IF($A159="","",IF(INDEX(exp_month,MATCH(153,exp_wishno,0))="","",INDEX(exp_month,MATCH(153,exp_wishno,0))))</f>
        <v/>
      </c>
      <c r="G159" s="101">
        <f>IF($A159="","",IF(INDEX(exp_plan,MATCH(153,exp_wishno,0))="","",INDEX(exp_plan,MATCH(153,exp_wishno,0))))</f>
        <v/>
      </c>
      <c r="H159" s="102">
        <f>IF($A159="","",IF(INDEX(exp_fact,MATCH(153,exp_wishno,0))="","",INDEX(exp_fact,MATCH(153,exp_wishno,0))))</f>
        <v/>
      </c>
      <c r="I159" s="49">
        <f>IF($A159="","",IF(INDEX(exp_status,MATCH(153,exp_wishno,0))="","",INDEX(exp_status,MATCH(153,exp_wishno,0))))</f>
        <v/>
      </c>
    </row>
    <row r="160">
      <c r="A160" s="100">
        <f>IF(ISNA(MATCH(154,exp_wishno,0)),"",154)</f>
        <v/>
      </c>
      <c r="B160" s="49">
        <f>IF($A160="","",IF(INDEX(exp_desc,MATCH(154,exp_wishno,0))="","",INDEX(exp_desc,MATCH(154,exp_wishno,0))))</f>
        <v/>
      </c>
      <c r="C160" s="49">
        <f>IF($A160="","",IF(INDEX(exp_cat,MATCH(154,exp_wishno,0))="","",INDEX(exp_cat,MATCH(154,exp_wishno,0))))</f>
        <v/>
      </c>
      <c r="D160" s="100">
        <f>IF($A160="","",IF(INDEX(exp_prio,MATCH(154,exp_wishno,0))="","",INDEX(exp_prio,MATCH(154,exp_wishno,0))))</f>
        <v/>
      </c>
      <c r="E160" s="100">
        <f>IF($A160="","",IF(INDEX(exp_year,MATCH(154,exp_wishno,0))="","",INDEX(exp_year,MATCH(154,exp_wishno,0))))</f>
        <v/>
      </c>
      <c r="F160" s="100">
        <f>IF($A160="","",IF(INDEX(exp_month,MATCH(154,exp_wishno,0))="","",INDEX(exp_month,MATCH(154,exp_wishno,0))))</f>
        <v/>
      </c>
      <c r="G160" s="101">
        <f>IF($A160="","",IF(INDEX(exp_plan,MATCH(154,exp_wishno,0))="","",INDEX(exp_plan,MATCH(154,exp_wishno,0))))</f>
        <v/>
      </c>
      <c r="H160" s="102">
        <f>IF($A160="","",IF(INDEX(exp_fact,MATCH(154,exp_wishno,0))="","",INDEX(exp_fact,MATCH(154,exp_wishno,0))))</f>
        <v/>
      </c>
      <c r="I160" s="49">
        <f>IF($A160="","",IF(INDEX(exp_status,MATCH(154,exp_wishno,0))="","",INDEX(exp_status,MATCH(154,exp_wishno,0))))</f>
        <v/>
      </c>
    </row>
    <row r="161">
      <c r="A161" s="100">
        <f>IF(ISNA(MATCH(155,exp_wishno,0)),"",155)</f>
        <v/>
      </c>
      <c r="B161" s="49">
        <f>IF($A161="","",IF(INDEX(exp_desc,MATCH(155,exp_wishno,0))="","",INDEX(exp_desc,MATCH(155,exp_wishno,0))))</f>
        <v/>
      </c>
      <c r="C161" s="49">
        <f>IF($A161="","",IF(INDEX(exp_cat,MATCH(155,exp_wishno,0))="","",INDEX(exp_cat,MATCH(155,exp_wishno,0))))</f>
        <v/>
      </c>
      <c r="D161" s="100">
        <f>IF($A161="","",IF(INDEX(exp_prio,MATCH(155,exp_wishno,0))="","",INDEX(exp_prio,MATCH(155,exp_wishno,0))))</f>
        <v/>
      </c>
      <c r="E161" s="100">
        <f>IF($A161="","",IF(INDEX(exp_year,MATCH(155,exp_wishno,0))="","",INDEX(exp_year,MATCH(155,exp_wishno,0))))</f>
        <v/>
      </c>
      <c r="F161" s="100">
        <f>IF($A161="","",IF(INDEX(exp_month,MATCH(155,exp_wishno,0))="","",INDEX(exp_month,MATCH(155,exp_wishno,0))))</f>
        <v/>
      </c>
      <c r="G161" s="101">
        <f>IF($A161="","",IF(INDEX(exp_plan,MATCH(155,exp_wishno,0))="","",INDEX(exp_plan,MATCH(155,exp_wishno,0))))</f>
        <v/>
      </c>
      <c r="H161" s="102">
        <f>IF($A161="","",IF(INDEX(exp_fact,MATCH(155,exp_wishno,0))="","",INDEX(exp_fact,MATCH(155,exp_wishno,0))))</f>
        <v/>
      </c>
      <c r="I161" s="49">
        <f>IF($A161="","",IF(INDEX(exp_status,MATCH(155,exp_wishno,0))="","",INDEX(exp_status,MATCH(155,exp_wishno,0))))</f>
        <v/>
      </c>
    </row>
    <row r="162">
      <c r="A162" s="100">
        <f>IF(ISNA(MATCH(156,exp_wishno,0)),"",156)</f>
        <v/>
      </c>
      <c r="B162" s="49">
        <f>IF($A162="","",IF(INDEX(exp_desc,MATCH(156,exp_wishno,0))="","",INDEX(exp_desc,MATCH(156,exp_wishno,0))))</f>
        <v/>
      </c>
      <c r="C162" s="49">
        <f>IF($A162="","",IF(INDEX(exp_cat,MATCH(156,exp_wishno,0))="","",INDEX(exp_cat,MATCH(156,exp_wishno,0))))</f>
        <v/>
      </c>
      <c r="D162" s="100">
        <f>IF($A162="","",IF(INDEX(exp_prio,MATCH(156,exp_wishno,0))="","",INDEX(exp_prio,MATCH(156,exp_wishno,0))))</f>
        <v/>
      </c>
      <c r="E162" s="100">
        <f>IF($A162="","",IF(INDEX(exp_year,MATCH(156,exp_wishno,0))="","",INDEX(exp_year,MATCH(156,exp_wishno,0))))</f>
        <v/>
      </c>
      <c r="F162" s="100">
        <f>IF($A162="","",IF(INDEX(exp_month,MATCH(156,exp_wishno,0))="","",INDEX(exp_month,MATCH(156,exp_wishno,0))))</f>
        <v/>
      </c>
      <c r="G162" s="101">
        <f>IF($A162="","",IF(INDEX(exp_plan,MATCH(156,exp_wishno,0))="","",INDEX(exp_plan,MATCH(156,exp_wishno,0))))</f>
        <v/>
      </c>
      <c r="H162" s="102">
        <f>IF($A162="","",IF(INDEX(exp_fact,MATCH(156,exp_wishno,0))="","",INDEX(exp_fact,MATCH(156,exp_wishno,0))))</f>
        <v/>
      </c>
      <c r="I162" s="49">
        <f>IF($A162="","",IF(INDEX(exp_status,MATCH(156,exp_wishno,0))="","",INDEX(exp_status,MATCH(156,exp_wishno,0))))</f>
        <v/>
      </c>
    </row>
    <row r="163">
      <c r="A163" s="100">
        <f>IF(ISNA(MATCH(157,exp_wishno,0)),"",157)</f>
        <v/>
      </c>
      <c r="B163" s="49">
        <f>IF($A163="","",IF(INDEX(exp_desc,MATCH(157,exp_wishno,0))="","",INDEX(exp_desc,MATCH(157,exp_wishno,0))))</f>
        <v/>
      </c>
      <c r="C163" s="49">
        <f>IF($A163="","",IF(INDEX(exp_cat,MATCH(157,exp_wishno,0))="","",INDEX(exp_cat,MATCH(157,exp_wishno,0))))</f>
        <v/>
      </c>
      <c r="D163" s="100">
        <f>IF($A163="","",IF(INDEX(exp_prio,MATCH(157,exp_wishno,0))="","",INDEX(exp_prio,MATCH(157,exp_wishno,0))))</f>
        <v/>
      </c>
      <c r="E163" s="100">
        <f>IF($A163="","",IF(INDEX(exp_year,MATCH(157,exp_wishno,0))="","",INDEX(exp_year,MATCH(157,exp_wishno,0))))</f>
        <v/>
      </c>
      <c r="F163" s="100">
        <f>IF($A163="","",IF(INDEX(exp_month,MATCH(157,exp_wishno,0))="","",INDEX(exp_month,MATCH(157,exp_wishno,0))))</f>
        <v/>
      </c>
      <c r="G163" s="101">
        <f>IF($A163="","",IF(INDEX(exp_plan,MATCH(157,exp_wishno,0))="","",INDEX(exp_plan,MATCH(157,exp_wishno,0))))</f>
        <v/>
      </c>
      <c r="H163" s="102">
        <f>IF($A163="","",IF(INDEX(exp_fact,MATCH(157,exp_wishno,0))="","",INDEX(exp_fact,MATCH(157,exp_wishno,0))))</f>
        <v/>
      </c>
      <c r="I163" s="49">
        <f>IF($A163="","",IF(INDEX(exp_status,MATCH(157,exp_wishno,0))="","",INDEX(exp_status,MATCH(157,exp_wishno,0))))</f>
        <v/>
      </c>
    </row>
    <row r="164">
      <c r="A164" s="100">
        <f>IF(ISNA(MATCH(158,exp_wishno,0)),"",158)</f>
        <v/>
      </c>
      <c r="B164" s="49">
        <f>IF($A164="","",IF(INDEX(exp_desc,MATCH(158,exp_wishno,0))="","",INDEX(exp_desc,MATCH(158,exp_wishno,0))))</f>
        <v/>
      </c>
      <c r="C164" s="49">
        <f>IF($A164="","",IF(INDEX(exp_cat,MATCH(158,exp_wishno,0))="","",INDEX(exp_cat,MATCH(158,exp_wishno,0))))</f>
        <v/>
      </c>
      <c r="D164" s="100">
        <f>IF($A164="","",IF(INDEX(exp_prio,MATCH(158,exp_wishno,0))="","",INDEX(exp_prio,MATCH(158,exp_wishno,0))))</f>
        <v/>
      </c>
      <c r="E164" s="100">
        <f>IF($A164="","",IF(INDEX(exp_year,MATCH(158,exp_wishno,0))="","",INDEX(exp_year,MATCH(158,exp_wishno,0))))</f>
        <v/>
      </c>
      <c r="F164" s="100">
        <f>IF($A164="","",IF(INDEX(exp_month,MATCH(158,exp_wishno,0))="","",INDEX(exp_month,MATCH(158,exp_wishno,0))))</f>
        <v/>
      </c>
      <c r="G164" s="101">
        <f>IF($A164="","",IF(INDEX(exp_plan,MATCH(158,exp_wishno,0))="","",INDEX(exp_plan,MATCH(158,exp_wishno,0))))</f>
        <v/>
      </c>
      <c r="H164" s="102">
        <f>IF($A164="","",IF(INDEX(exp_fact,MATCH(158,exp_wishno,0))="","",INDEX(exp_fact,MATCH(158,exp_wishno,0))))</f>
        <v/>
      </c>
      <c r="I164" s="49">
        <f>IF($A164="","",IF(INDEX(exp_status,MATCH(158,exp_wishno,0))="","",INDEX(exp_status,MATCH(158,exp_wishno,0))))</f>
        <v/>
      </c>
    </row>
    <row r="165">
      <c r="A165" s="100">
        <f>IF(ISNA(MATCH(159,exp_wishno,0)),"",159)</f>
        <v/>
      </c>
      <c r="B165" s="49">
        <f>IF($A165="","",IF(INDEX(exp_desc,MATCH(159,exp_wishno,0))="","",INDEX(exp_desc,MATCH(159,exp_wishno,0))))</f>
        <v/>
      </c>
      <c r="C165" s="49">
        <f>IF($A165="","",IF(INDEX(exp_cat,MATCH(159,exp_wishno,0))="","",INDEX(exp_cat,MATCH(159,exp_wishno,0))))</f>
        <v/>
      </c>
      <c r="D165" s="100">
        <f>IF($A165="","",IF(INDEX(exp_prio,MATCH(159,exp_wishno,0))="","",INDEX(exp_prio,MATCH(159,exp_wishno,0))))</f>
        <v/>
      </c>
      <c r="E165" s="100">
        <f>IF($A165="","",IF(INDEX(exp_year,MATCH(159,exp_wishno,0))="","",INDEX(exp_year,MATCH(159,exp_wishno,0))))</f>
        <v/>
      </c>
      <c r="F165" s="100">
        <f>IF($A165="","",IF(INDEX(exp_month,MATCH(159,exp_wishno,0))="","",INDEX(exp_month,MATCH(159,exp_wishno,0))))</f>
        <v/>
      </c>
      <c r="G165" s="101">
        <f>IF($A165="","",IF(INDEX(exp_plan,MATCH(159,exp_wishno,0))="","",INDEX(exp_plan,MATCH(159,exp_wishno,0))))</f>
        <v/>
      </c>
      <c r="H165" s="102">
        <f>IF($A165="","",IF(INDEX(exp_fact,MATCH(159,exp_wishno,0))="","",INDEX(exp_fact,MATCH(159,exp_wishno,0))))</f>
        <v/>
      </c>
      <c r="I165" s="49">
        <f>IF($A165="","",IF(INDEX(exp_status,MATCH(159,exp_wishno,0))="","",INDEX(exp_status,MATCH(159,exp_wishno,0))))</f>
        <v/>
      </c>
    </row>
    <row r="166">
      <c r="A166" s="100">
        <f>IF(ISNA(MATCH(160,exp_wishno,0)),"",160)</f>
        <v/>
      </c>
      <c r="B166" s="49">
        <f>IF($A166="","",IF(INDEX(exp_desc,MATCH(160,exp_wishno,0))="","",INDEX(exp_desc,MATCH(160,exp_wishno,0))))</f>
        <v/>
      </c>
      <c r="C166" s="49">
        <f>IF($A166="","",IF(INDEX(exp_cat,MATCH(160,exp_wishno,0))="","",INDEX(exp_cat,MATCH(160,exp_wishno,0))))</f>
        <v/>
      </c>
      <c r="D166" s="100">
        <f>IF($A166="","",IF(INDEX(exp_prio,MATCH(160,exp_wishno,0))="","",INDEX(exp_prio,MATCH(160,exp_wishno,0))))</f>
        <v/>
      </c>
      <c r="E166" s="100">
        <f>IF($A166="","",IF(INDEX(exp_year,MATCH(160,exp_wishno,0))="","",INDEX(exp_year,MATCH(160,exp_wishno,0))))</f>
        <v/>
      </c>
      <c r="F166" s="100">
        <f>IF($A166="","",IF(INDEX(exp_month,MATCH(160,exp_wishno,0))="","",INDEX(exp_month,MATCH(160,exp_wishno,0))))</f>
        <v/>
      </c>
      <c r="G166" s="101">
        <f>IF($A166="","",IF(INDEX(exp_plan,MATCH(160,exp_wishno,0))="","",INDEX(exp_plan,MATCH(160,exp_wishno,0))))</f>
        <v/>
      </c>
      <c r="H166" s="102">
        <f>IF($A166="","",IF(INDEX(exp_fact,MATCH(160,exp_wishno,0))="","",INDEX(exp_fact,MATCH(160,exp_wishno,0))))</f>
        <v/>
      </c>
      <c r="I166" s="49">
        <f>IF($A166="","",IF(INDEX(exp_status,MATCH(160,exp_wishno,0))="","",INDEX(exp_status,MATCH(160,exp_wishno,0))))</f>
        <v/>
      </c>
    </row>
    <row r="167">
      <c r="A167" s="100">
        <f>IF(ISNA(MATCH(161,exp_wishno,0)),"",161)</f>
        <v/>
      </c>
      <c r="B167" s="49">
        <f>IF($A167="","",IF(INDEX(exp_desc,MATCH(161,exp_wishno,0))="","",INDEX(exp_desc,MATCH(161,exp_wishno,0))))</f>
        <v/>
      </c>
      <c r="C167" s="49">
        <f>IF($A167="","",IF(INDEX(exp_cat,MATCH(161,exp_wishno,0))="","",INDEX(exp_cat,MATCH(161,exp_wishno,0))))</f>
        <v/>
      </c>
      <c r="D167" s="100">
        <f>IF($A167="","",IF(INDEX(exp_prio,MATCH(161,exp_wishno,0))="","",INDEX(exp_prio,MATCH(161,exp_wishno,0))))</f>
        <v/>
      </c>
      <c r="E167" s="100">
        <f>IF($A167="","",IF(INDEX(exp_year,MATCH(161,exp_wishno,0))="","",INDEX(exp_year,MATCH(161,exp_wishno,0))))</f>
        <v/>
      </c>
      <c r="F167" s="100">
        <f>IF($A167="","",IF(INDEX(exp_month,MATCH(161,exp_wishno,0))="","",INDEX(exp_month,MATCH(161,exp_wishno,0))))</f>
        <v/>
      </c>
      <c r="G167" s="101">
        <f>IF($A167="","",IF(INDEX(exp_plan,MATCH(161,exp_wishno,0))="","",INDEX(exp_plan,MATCH(161,exp_wishno,0))))</f>
        <v/>
      </c>
      <c r="H167" s="102">
        <f>IF($A167="","",IF(INDEX(exp_fact,MATCH(161,exp_wishno,0))="","",INDEX(exp_fact,MATCH(161,exp_wishno,0))))</f>
        <v/>
      </c>
      <c r="I167" s="49">
        <f>IF($A167="","",IF(INDEX(exp_status,MATCH(161,exp_wishno,0))="","",INDEX(exp_status,MATCH(161,exp_wishno,0))))</f>
        <v/>
      </c>
    </row>
    <row r="168">
      <c r="A168" s="100">
        <f>IF(ISNA(MATCH(162,exp_wishno,0)),"",162)</f>
        <v/>
      </c>
      <c r="B168" s="49">
        <f>IF($A168="","",IF(INDEX(exp_desc,MATCH(162,exp_wishno,0))="","",INDEX(exp_desc,MATCH(162,exp_wishno,0))))</f>
        <v/>
      </c>
      <c r="C168" s="49">
        <f>IF($A168="","",IF(INDEX(exp_cat,MATCH(162,exp_wishno,0))="","",INDEX(exp_cat,MATCH(162,exp_wishno,0))))</f>
        <v/>
      </c>
      <c r="D168" s="100">
        <f>IF($A168="","",IF(INDEX(exp_prio,MATCH(162,exp_wishno,0))="","",INDEX(exp_prio,MATCH(162,exp_wishno,0))))</f>
        <v/>
      </c>
      <c r="E168" s="100">
        <f>IF($A168="","",IF(INDEX(exp_year,MATCH(162,exp_wishno,0))="","",INDEX(exp_year,MATCH(162,exp_wishno,0))))</f>
        <v/>
      </c>
      <c r="F168" s="100">
        <f>IF($A168="","",IF(INDEX(exp_month,MATCH(162,exp_wishno,0))="","",INDEX(exp_month,MATCH(162,exp_wishno,0))))</f>
        <v/>
      </c>
      <c r="G168" s="101">
        <f>IF($A168="","",IF(INDEX(exp_plan,MATCH(162,exp_wishno,0))="","",INDEX(exp_plan,MATCH(162,exp_wishno,0))))</f>
        <v/>
      </c>
      <c r="H168" s="102">
        <f>IF($A168="","",IF(INDEX(exp_fact,MATCH(162,exp_wishno,0))="","",INDEX(exp_fact,MATCH(162,exp_wishno,0))))</f>
        <v/>
      </c>
      <c r="I168" s="49">
        <f>IF($A168="","",IF(INDEX(exp_status,MATCH(162,exp_wishno,0))="","",INDEX(exp_status,MATCH(162,exp_wishno,0))))</f>
        <v/>
      </c>
    </row>
    <row r="169">
      <c r="A169" s="100">
        <f>IF(ISNA(MATCH(163,exp_wishno,0)),"",163)</f>
        <v/>
      </c>
      <c r="B169" s="49">
        <f>IF($A169="","",IF(INDEX(exp_desc,MATCH(163,exp_wishno,0))="","",INDEX(exp_desc,MATCH(163,exp_wishno,0))))</f>
        <v/>
      </c>
      <c r="C169" s="49">
        <f>IF($A169="","",IF(INDEX(exp_cat,MATCH(163,exp_wishno,0))="","",INDEX(exp_cat,MATCH(163,exp_wishno,0))))</f>
        <v/>
      </c>
      <c r="D169" s="100">
        <f>IF($A169="","",IF(INDEX(exp_prio,MATCH(163,exp_wishno,0))="","",INDEX(exp_prio,MATCH(163,exp_wishno,0))))</f>
        <v/>
      </c>
      <c r="E169" s="100">
        <f>IF($A169="","",IF(INDEX(exp_year,MATCH(163,exp_wishno,0))="","",INDEX(exp_year,MATCH(163,exp_wishno,0))))</f>
        <v/>
      </c>
      <c r="F169" s="100">
        <f>IF($A169="","",IF(INDEX(exp_month,MATCH(163,exp_wishno,0))="","",INDEX(exp_month,MATCH(163,exp_wishno,0))))</f>
        <v/>
      </c>
      <c r="G169" s="101">
        <f>IF($A169="","",IF(INDEX(exp_plan,MATCH(163,exp_wishno,0))="","",INDEX(exp_plan,MATCH(163,exp_wishno,0))))</f>
        <v/>
      </c>
      <c r="H169" s="102">
        <f>IF($A169="","",IF(INDEX(exp_fact,MATCH(163,exp_wishno,0))="","",INDEX(exp_fact,MATCH(163,exp_wishno,0))))</f>
        <v/>
      </c>
      <c r="I169" s="49">
        <f>IF($A169="","",IF(INDEX(exp_status,MATCH(163,exp_wishno,0))="","",INDEX(exp_status,MATCH(163,exp_wishno,0))))</f>
        <v/>
      </c>
    </row>
    <row r="170">
      <c r="A170" s="100">
        <f>IF(ISNA(MATCH(164,exp_wishno,0)),"",164)</f>
        <v/>
      </c>
      <c r="B170" s="49">
        <f>IF($A170="","",IF(INDEX(exp_desc,MATCH(164,exp_wishno,0))="","",INDEX(exp_desc,MATCH(164,exp_wishno,0))))</f>
        <v/>
      </c>
      <c r="C170" s="49">
        <f>IF($A170="","",IF(INDEX(exp_cat,MATCH(164,exp_wishno,0))="","",INDEX(exp_cat,MATCH(164,exp_wishno,0))))</f>
        <v/>
      </c>
      <c r="D170" s="100">
        <f>IF($A170="","",IF(INDEX(exp_prio,MATCH(164,exp_wishno,0))="","",INDEX(exp_prio,MATCH(164,exp_wishno,0))))</f>
        <v/>
      </c>
      <c r="E170" s="100">
        <f>IF($A170="","",IF(INDEX(exp_year,MATCH(164,exp_wishno,0))="","",INDEX(exp_year,MATCH(164,exp_wishno,0))))</f>
        <v/>
      </c>
      <c r="F170" s="100">
        <f>IF($A170="","",IF(INDEX(exp_month,MATCH(164,exp_wishno,0))="","",INDEX(exp_month,MATCH(164,exp_wishno,0))))</f>
        <v/>
      </c>
      <c r="G170" s="101">
        <f>IF($A170="","",IF(INDEX(exp_plan,MATCH(164,exp_wishno,0))="","",INDEX(exp_plan,MATCH(164,exp_wishno,0))))</f>
        <v/>
      </c>
      <c r="H170" s="102">
        <f>IF($A170="","",IF(INDEX(exp_fact,MATCH(164,exp_wishno,0))="","",INDEX(exp_fact,MATCH(164,exp_wishno,0))))</f>
        <v/>
      </c>
      <c r="I170" s="49">
        <f>IF($A170="","",IF(INDEX(exp_status,MATCH(164,exp_wishno,0))="","",INDEX(exp_status,MATCH(164,exp_wishno,0))))</f>
        <v/>
      </c>
    </row>
    <row r="171">
      <c r="A171" s="100">
        <f>IF(ISNA(MATCH(165,exp_wishno,0)),"",165)</f>
        <v/>
      </c>
      <c r="B171" s="49">
        <f>IF($A171="","",IF(INDEX(exp_desc,MATCH(165,exp_wishno,0))="","",INDEX(exp_desc,MATCH(165,exp_wishno,0))))</f>
        <v/>
      </c>
      <c r="C171" s="49">
        <f>IF($A171="","",IF(INDEX(exp_cat,MATCH(165,exp_wishno,0))="","",INDEX(exp_cat,MATCH(165,exp_wishno,0))))</f>
        <v/>
      </c>
      <c r="D171" s="100">
        <f>IF($A171="","",IF(INDEX(exp_prio,MATCH(165,exp_wishno,0))="","",INDEX(exp_prio,MATCH(165,exp_wishno,0))))</f>
        <v/>
      </c>
      <c r="E171" s="100">
        <f>IF($A171="","",IF(INDEX(exp_year,MATCH(165,exp_wishno,0))="","",INDEX(exp_year,MATCH(165,exp_wishno,0))))</f>
        <v/>
      </c>
      <c r="F171" s="100">
        <f>IF($A171="","",IF(INDEX(exp_month,MATCH(165,exp_wishno,0))="","",INDEX(exp_month,MATCH(165,exp_wishno,0))))</f>
        <v/>
      </c>
      <c r="G171" s="101">
        <f>IF($A171="","",IF(INDEX(exp_plan,MATCH(165,exp_wishno,0))="","",INDEX(exp_plan,MATCH(165,exp_wishno,0))))</f>
        <v/>
      </c>
      <c r="H171" s="102">
        <f>IF($A171="","",IF(INDEX(exp_fact,MATCH(165,exp_wishno,0))="","",INDEX(exp_fact,MATCH(165,exp_wishno,0))))</f>
        <v/>
      </c>
      <c r="I171" s="49">
        <f>IF($A171="","",IF(INDEX(exp_status,MATCH(165,exp_wishno,0))="","",INDEX(exp_status,MATCH(165,exp_wishno,0))))</f>
        <v/>
      </c>
    </row>
    <row r="172">
      <c r="A172" s="100">
        <f>IF(ISNA(MATCH(166,exp_wishno,0)),"",166)</f>
        <v/>
      </c>
      <c r="B172" s="49">
        <f>IF($A172="","",IF(INDEX(exp_desc,MATCH(166,exp_wishno,0))="","",INDEX(exp_desc,MATCH(166,exp_wishno,0))))</f>
        <v/>
      </c>
      <c r="C172" s="49">
        <f>IF($A172="","",IF(INDEX(exp_cat,MATCH(166,exp_wishno,0))="","",INDEX(exp_cat,MATCH(166,exp_wishno,0))))</f>
        <v/>
      </c>
      <c r="D172" s="100">
        <f>IF($A172="","",IF(INDEX(exp_prio,MATCH(166,exp_wishno,0))="","",INDEX(exp_prio,MATCH(166,exp_wishno,0))))</f>
        <v/>
      </c>
      <c r="E172" s="100">
        <f>IF($A172="","",IF(INDEX(exp_year,MATCH(166,exp_wishno,0))="","",INDEX(exp_year,MATCH(166,exp_wishno,0))))</f>
        <v/>
      </c>
      <c r="F172" s="100">
        <f>IF($A172="","",IF(INDEX(exp_month,MATCH(166,exp_wishno,0))="","",INDEX(exp_month,MATCH(166,exp_wishno,0))))</f>
        <v/>
      </c>
      <c r="G172" s="101">
        <f>IF($A172="","",IF(INDEX(exp_plan,MATCH(166,exp_wishno,0))="","",INDEX(exp_plan,MATCH(166,exp_wishno,0))))</f>
        <v/>
      </c>
      <c r="H172" s="102">
        <f>IF($A172="","",IF(INDEX(exp_fact,MATCH(166,exp_wishno,0))="","",INDEX(exp_fact,MATCH(166,exp_wishno,0))))</f>
        <v/>
      </c>
      <c r="I172" s="49">
        <f>IF($A172="","",IF(INDEX(exp_status,MATCH(166,exp_wishno,0))="","",INDEX(exp_status,MATCH(166,exp_wishno,0))))</f>
        <v/>
      </c>
    </row>
    <row r="173">
      <c r="A173" s="100">
        <f>IF(ISNA(MATCH(167,exp_wishno,0)),"",167)</f>
        <v/>
      </c>
      <c r="B173" s="49">
        <f>IF($A173="","",IF(INDEX(exp_desc,MATCH(167,exp_wishno,0))="","",INDEX(exp_desc,MATCH(167,exp_wishno,0))))</f>
        <v/>
      </c>
      <c r="C173" s="49">
        <f>IF($A173="","",IF(INDEX(exp_cat,MATCH(167,exp_wishno,0))="","",INDEX(exp_cat,MATCH(167,exp_wishno,0))))</f>
        <v/>
      </c>
      <c r="D173" s="100">
        <f>IF($A173="","",IF(INDEX(exp_prio,MATCH(167,exp_wishno,0))="","",INDEX(exp_prio,MATCH(167,exp_wishno,0))))</f>
        <v/>
      </c>
      <c r="E173" s="100">
        <f>IF($A173="","",IF(INDEX(exp_year,MATCH(167,exp_wishno,0))="","",INDEX(exp_year,MATCH(167,exp_wishno,0))))</f>
        <v/>
      </c>
      <c r="F173" s="100">
        <f>IF($A173="","",IF(INDEX(exp_month,MATCH(167,exp_wishno,0))="","",INDEX(exp_month,MATCH(167,exp_wishno,0))))</f>
        <v/>
      </c>
      <c r="G173" s="101">
        <f>IF($A173="","",IF(INDEX(exp_plan,MATCH(167,exp_wishno,0))="","",INDEX(exp_plan,MATCH(167,exp_wishno,0))))</f>
        <v/>
      </c>
      <c r="H173" s="102">
        <f>IF($A173="","",IF(INDEX(exp_fact,MATCH(167,exp_wishno,0))="","",INDEX(exp_fact,MATCH(167,exp_wishno,0))))</f>
        <v/>
      </c>
      <c r="I173" s="49">
        <f>IF($A173="","",IF(INDEX(exp_status,MATCH(167,exp_wishno,0))="","",INDEX(exp_status,MATCH(167,exp_wishno,0))))</f>
        <v/>
      </c>
    </row>
    <row r="174">
      <c r="A174" s="100">
        <f>IF(ISNA(MATCH(168,exp_wishno,0)),"",168)</f>
        <v/>
      </c>
      <c r="B174" s="49">
        <f>IF($A174="","",IF(INDEX(exp_desc,MATCH(168,exp_wishno,0))="","",INDEX(exp_desc,MATCH(168,exp_wishno,0))))</f>
        <v/>
      </c>
      <c r="C174" s="49">
        <f>IF($A174="","",IF(INDEX(exp_cat,MATCH(168,exp_wishno,0))="","",INDEX(exp_cat,MATCH(168,exp_wishno,0))))</f>
        <v/>
      </c>
      <c r="D174" s="100">
        <f>IF($A174="","",IF(INDEX(exp_prio,MATCH(168,exp_wishno,0))="","",INDEX(exp_prio,MATCH(168,exp_wishno,0))))</f>
        <v/>
      </c>
      <c r="E174" s="100">
        <f>IF($A174="","",IF(INDEX(exp_year,MATCH(168,exp_wishno,0))="","",INDEX(exp_year,MATCH(168,exp_wishno,0))))</f>
        <v/>
      </c>
      <c r="F174" s="100">
        <f>IF($A174="","",IF(INDEX(exp_month,MATCH(168,exp_wishno,0))="","",INDEX(exp_month,MATCH(168,exp_wishno,0))))</f>
        <v/>
      </c>
      <c r="G174" s="101">
        <f>IF($A174="","",IF(INDEX(exp_plan,MATCH(168,exp_wishno,0))="","",INDEX(exp_plan,MATCH(168,exp_wishno,0))))</f>
        <v/>
      </c>
      <c r="H174" s="102">
        <f>IF($A174="","",IF(INDEX(exp_fact,MATCH(168,exp_wishno,0))="","",INDEX(exp_fact,MATCH(168,exp_wishno,0))))</f>
        <v/>
      </c>
      <c r="I174" s="49">
        <f>IF($A174="","",IF(INDEX(exp_status,MATCH(168,exp_wishno,0))="","",INDEX(exp_status,MATCH(168,exp_wishno,0))))</f>
        <v/>
      </c>
    </row>
    <row r="175">
      <c r="A175" s="100">
        <f>IF(ISNA(MATCH(169,exp_wishno,0)),"",169)</f>
        <v/>
      </c>
      <c r="B175" s="49">
        <f>IF($A175="","",IF(INDEX(exp_desc,MATCH(169,exp_wishno,0))="","",INDEX(exp_desc,MATCH(169,exp_wishno,0))))</f>
        <v/>
      </c>
      <c r="C175" s="49">
        <f>IF($A175="","",IF(INDEX(exp_cat,MATCH(169,exp_wishno,0))="","",INDEX(exp_cat,MATCH(169,exp_wishno,0))))</f>
        <v/>
      </c>
      <c r="D175" s="100">
        <f>IF($A175="","",IF(INDEX(exp_prio,MATCH(169,exp_wishno,0))="","",INDEX(exp_prio,MATCH(169,exp_wishno,0))))</f>
        <v/>
      </c>
      <c r="E175" s="100">
        <f>IF($A175="","",IF(INDEX(exp_year,MATCH(169,exp_wishno,0))="","",INDEX(exp_year,MATCH(169,exp_wishno,0))))</f>
        <v/>
      </c>
      <c r="F175" s="100">
        <f>IF($A175="","",IF(INDEX(exp_month,MATCH(169,exp_wishno,0))="","",INDEX(exp_month,MATCH(169,exp_wishno,0))))</f>
        <v/>
      </c>
      <c r="G175" s="101">
        <f>IF($A175="","",IF(INDEX(exp_plan,MATCH(169,exp_wishno,0))="","",INDEX(exp_plan,MATCH(169,exp_wishno,0))))</f>
        <v/>
      </c>
      <c r="H175" s="102">
        <f>IF($A175="","",IF(INDEX(exp_fact,MATCH(169,exp_wishno,0))="","",INDEX(exp_fact,MATCH(169,exp_wishno,0))))</f>
        <v/>
      </c>
      <c r="I175" s="49">
        <f>IF($A175="","",IF(INDEX(exp_status,MATCH(169,exp_wishno,0))="","",INDEX(exp_status,MATCH(169,exp_wishno,0))))</f>
        <v/>
      </c>
    </row>
    <row r="176">
      <c r="A176" s="100">
        <f>IF(ISNA(MATCH(170,exp_wishno,0)),"",170)</f>
        <v/>
      </c>
      <c r="B176" s="49">
        <f>IF($A176="","",IF(INDEX(exp_desc,MATCH(170,exp_wishno,0))="","",INDEX(exp_desc,MATCH(170,exp_wishno,0))))</f>
        <v/>
      </c>
      <c r="C176" s="49">
        <f>IF($A176="","",IF(INDEX(exp_cat,MATCH(170,exp_wishno,0))="","",INDEX(exp_cat,MATCH(170,exp_wishno,0))))</f>
        <v/>
      </c>
      <c r="D176" s="100">
        <f>IF($A176="","",IF(INDEX(exp_prio,MATCH(170,exp_wishno,0))="","",INDEX(exp_prio,MATCH(170,exp_wishno,0))))</f>
        <v/>
      </c>
      <c r="E176" s="100">
        <f>IF($A176="","",IF(INDEX(exp_year,MATCH(170,exp_wishno,0))="","",INDEX(exp_year,MATCH(170,exp_wishno,0))))</f>
        <v/>
      </c>
      <c r="F176" s="100">
        <f>IF($A176="","",IF(INDEX(exp_month,MATCH(170,exp_wishno,0))="","",INDEX(exp_month,MATCH(170,exp_wishno,0))))</f>
        <v/>
      </c>
      <c r="G176" s="101">
        <f>IF($A176="","",IF(INDEX(exp_plan,MATCH(170,exp_wishno,0))="","",INDEX(exp_plan,MATCH(170,exp_wishno,0))))</f>
        <v/>
      </c>
      <c r="H176" s="102">
        <f>IF($A176="","",IF(INDEX(exp_fact,MATCH(170,exp_wishno,0))="","",INDEX(exp_fact,MATCH(170,exp_wishno,0))))</f>
        <v/>
      </c>
      <c r="I176" s="49">
        <f>IF($A176="","",IF(INDEX(exp_status,MATCH(170,exp_wishno,0))="","",INDEX(exp_status,MATCH(170,exp_wishno,0))))</f>
        <v/>
      </c>
    </row>
    <row r="177">
      <c r="A177" s="100">
        <f>IF(ISNA(MATCH(171,exp_wishno,0)),"",171)</f>
        <v/>
      </c>
      <c r="B177" s="49">
        <f>IF($A177="","",IF(INDEX(exp_desc,MATCH(171,exp_wishno,0))="","",INDEX(exp_desc,MATCH(171,exp_wishno,0))))</f>
        <v/>
      </c>
      <c r="C177" s="49">
        <f>IF($A177="","",IF(INDEX(exp_cat,MATCH(171,exp_wishno,0))="","",INDEX(exp_cat,MATCH(171,exp_wishno,0))))</f>
        <v/>
      </c>
      <c r="D177" s="100">
        <f>IF($A177="","",IF(INDEX(exp_prio,MATCH(171,exp_wishno,0))="","",INDEX(exp_prio,MATCH(171,exp_wishno,0))))</f>
        <v/>
      </c>
      <c r="E177" s="100">
        <f>IF($A177="","",IF(INDEX(exp_year,MATCH(171,exp_wishno,0))="","",INDEX(exp_year,MATCH(171,exp_wishno,0))))</f>
        <v/>
      </c>
      <c r="F177" s="100">
        <f>IF($A177="","",IF(INDEX(exp_month,MATCH(171,exp_wishno,0))="","",INDEX(exp_month,MATCH(171,exp_wishno,0))))</f>
        <v/>
      </c>
      <c r="G177" s="101">
        <f>IF($A177="","",IF(INDEX(exp_plan,MATCH(171,exp_wishno,0))="","",INDEX(exp_plan,MATCH(171,exp_wishno,0))))</f>
        <v/>
      </c>
      <c r="H177" s="102">
        <f>IF($A177="","",IF(INDEX(exp_fact,MATCH(171,exp_wishno,0))="","",INDEX(exp_fact,MATCH(171,exp_wishno,0))))</f>
        <v/>
      </c>
      <c r="I177" s="49">
        <f>IF($A177="","",IF(INDEX(exp_status,MATCH(171,exp_wishno,0))="","",INDEX(exp_status,MATCH(171,exp_wishno,0))))</f>
        <v/>
      </c>
    </row>
    <row r="178">
      <c r="A178" s="100">
        <f>IF(ISNA(MATCH(172,exp_wishno,0)),"",172)</f>
        <v/>
      </c>
      <c r="B178" s="49">
        <f>IF($A178="","",IF(INDEX(exp_desc,MATCH(172,exp_wishno,0))="","",INDEX(exp_desc,MATCH(172,exp_wishno,0))))</f>
        <v/>
      </c>
      <c r="C178" s="49">
        <f>IF($A178="","",IF(INDEX(exp_cat,MATCH(172,exp_wishno,0))="","",INDEX(exp_cat,MATCH(172,exp_wishno,0))))</f>
        <v/>
      </c>
      <c r="D178" s="100">
        <f>IF($A178="","",IF(INDEX(exp_prio,MATCH(172,exp_wishno,0))="","",INDEX(exp_prio,MATCH(172,exp_wishno,0))))</f>
        <v/>
      </c>
      <c r="E178" s="100">
        <f>IF($A178="","",IF(INDEX(exp_year,MATCH(172,exp_wishno,0))="","",INDEX(exp_year,MATCH(172,exp_wishno,0))))</f>
        <v/>
      </c>
      <c r="F178" s="100">
        <f>IF($A178="","",IF(INDEX(exp_month,MATCH(172,exp_wishno,0))="","",INDEX(exp_month,MATCH(172,exp_wishno,0))))</f>
        <v/>
      </c>
      <c r="G178" s="101">
        <f>IF($A178="","",IF(INDEX(exp_plan,MATCH(172,exp_wishno,0))="","",INDEX(exp_plan,MATCH(172,exp_wishno,0))))</f>
        <v/>
      </c>
      <c r="H178" s="102">
        <f>IF($A178="","",IF(INDEX(exp_fact,MATCH(172,exp_wishno,0))="","",INDEX(exp_fact,MATCH(172,exp_wishno,0))))</f>
        <v/>
      </c>
      <c r="I178" s="49">
        <f>IF($A178="","",IF(INDEX(exp_status,MATCH(172,exp_wishno,0))="","",INDEX(exp_status,MATCH(172,exp_wishno,0))))</f>
        <v/>
      </c>
    </row>
    <row r="179">
      <c r="A179" s="100">
        <f>IF(ISNA(MATCH(173,exp_wishno,0)),"",173)</f>
        <v/>
      </c>
      <c r="B179" s="49">
        <f>IF($A179="","",IF(INDEX(exp_desc,MATCH(173,exp_wishno,0))="","",INDEX(exp_desc,MATCH(173,exp_wishno,0))))</f>
        <v/>
      </c>
      <c r="C179" s="49">
        <f>IF($A179="","",IF(INDEX(exp_cat,MATCH(173,exp_wishno,0))="","",INDEX(exp_cat,MATCH(173,exp_wishno,0))))</f>
        <v/>
      </c>
      <c r="D179" s="100">
        <f>IF($A179="","",IF(INDEX(exp_prio,MATCH(173,exp_wishno,0))="","",INDEX(exp_prio,MATCH(173,exp_wishno,0))))</f>
        <v/>
      </c>
      <c r="E179" s="100">
        <f>IF($A179="","",IF(INDEX(exp_year,MATCH(173,exp_wishno,0))="","",INDEX(exp_year,MATCH(173,exp_wishno,0))))</f>
        <v/>
      </c>
      <c r="F179" s="100">
        <f>IF($A179="","",IF(INDEX(exp_month,MATCH(173,exp_wishno,0))="","",INDEX(exp_month,MATCH(173,exp_wishno,0))))</f>
        <v/>
      </c>
      <c r="G179" s="101">
        <f>IF($A179="","",IF(INDEX(exp_plan,MATCH(173,exp_wishno,0))="","",INDEX(exp_plan,MATCH(173,exp_wishno,0))))</f>
        <v/>
      </c>
      <c r="H179" s="102">
        <f>IF($A179="","",IF(INDEX(exp_fact,MATCH(173,exp_wishno,0))="","",INDEX(exp_fact,MATCH(173,exp_wishno,0))))</f>
        <v/>
      </c>
      <c r="I179" s="49">
        <f>IF($A179="","",IF(INDEX(exp_status,MATCH(173,exp_wishno,0))="","",INDEX(exp_status,MATCH(173,exp_wishno,0))))</f>
        <v/>
      </c>
    </row>
    <row r="180">
      <c r="A180" s="100">
        <f>IF(ISNA(MATCH(174,exp_wishno,0)),"",174)</f>
        <v/>
      </c>
      <c r="B180" s="49">
        <f>IF($A180="","",IF(INDEX(exp_desc,MATCH(174,exp_wishno,0))="","",INDEX(exp_desc,MATCH(174,exp_wishno,0))))</f>
        <v/>
      </c>
      <c r="C180" s="49">
        <f>IF($A180="","",IF(INDEX(exp_cat,MATCH(174,exp_wishno,0))="","",INDEX(exp_cat,MATCH(174,exp_wishno,0))))</f>
        <v/>
      </c>
      <c r="D180" s="100">
        <f>IF($A180="","",IF(INDEX(exp_prio,MATCH(174,exp_wishno,0))="","",INDEX(exp_prio,MATCH(174,exp_wishno,0))))</f>
        <v/>
      </c>
      <c r="E180" s="100">
        <f>IF($A180="","",IF(INDEX(exp_year,MATCH(174,exp_wishno,0))="","",INDEX(exp_year,MATCH(174,exp_wishno,0))))</f>
        <v/>
      </c>
      <c r="F180" s="100">
        <f>IF($A180="","",IF(INDEX(exp_month,MATCH(174,exp_wishno,0))="","",INDEX(exp_month,MATCH(174,exp_wishno,0))))</f>
        <v/>
      </c>
      <c r="G180" s="101">
        <f>IF($A180="","",IF(INDEX(exp_plan,MATCH(174,exp_wishno,0))="","",INDEX(exp_plan,MATCH(174,exp_wishno,0))))</f>
        <v/>
      </c>
      <c r="H180" s="102">
        <f>IF($A180="","",IF(INDEX(exp_fact,MATCH(174,exp_wishno,0))="","",INDEX(exp_fact,MATCH(174,exp_wishno,0))))</f>
        <v/>
      </c>
      <c r="I180" s="49">
        <f>IF($A180="","",IF(INDEX(exp_status,MATCH(174,exp_wishno,0))="","",INDEX(exp_status,MATCH(174,exp_wishno,0))))</f>
        <v/>
      </c>
    </row>
    <row r="181">
      <c r="A181" s="100">
        <f>IF(ISNA(MATCH(175,exp_wishno,0)),"",175)</f>
        <v/>
      </c>
      <c r="B181" s="49">
        <f>IF($A181="","",IF(INDEX(exp_desc,MATCH(175,exp_wishno,0))="","",INDEX(exp_desc,MATCH(175,exp_wishno,0))))</f>
        <v/>
      </c>
      <c r="C181" s="49">
        <f>IF($A181="","",IF(INDEX(exp_cat,MATCH(175,exp_wishno,0))="","",INDEX(exp_cat,MATCH(175,exp_wishno,0))))</f>
        <v/>
      </c>
      <c r="D181" s="100">
        <f>IF($A181="","",IF(INDEX(exp_prio,MATCH(175,exp_wishno,0))="","",INDEX(exp_prio,MATCH(175,exp_wishno,0))))</f>
        <v/>
      </c>
      <c r="E181" s="100">
        <f>IF($A181="","",IF(INDEX(exp_year,MATCH(175,exp_wishno,0))="","",INDEX(exp_year,MATCH(175,exp_wishno,0))))</f>
        <v/>
      </c>
      <c r="F181" s="100">
        <f>IF($A181="","",IF(INDEX(exp_month,MATCH(175,exp_wishno,0))="","",INDEX(exp_month,MATCH(175,exp_wishno,0))))</f>
        <v/>
      </c>
      <c r="G181" s="101">
        <f>IF($A181="","",IF(INDEX(exp_plan,MATCH(175,exp_wishno,0))="","",INDEX(exp_plan,MATCH(175,exp_wishno,0))))</f>
        <v/>
      </c>
      <c r="H181" s="102">
        <f>IF($A181="","",IF(INDEX(exp_fact,MATCH(175,exp_wishno,0))="","",INDEX(exp_fact,MATCH(175,exp_wishno,0))))</f>
        <v/>
      </c>
      <c r="I181" s="49">
        <f>IF($A181="","",IF(INDEX(exp_status,MATCH(175,exp_wishno,0))="","",INDEX(exp_status,MATCH(175,exp_wishno,0))))</f>
        <v/>
      </c>
    </row>
    <row r="182">
      <c r="A182" s="100">
        <f>IF(ISNA(MATCH(176,exp_wishno,0)),"",176)</f>
        <v/>
      </c>
      <c r="B182" s="49">
        <f>IF($A182="","",IF(INDEX(exp_desc,MATCH(176,exp_wishno,0))="","",INDEX(exp_desc,MATCH(176,exp_wishno,0))))</f>
        <v/>
      </c>
      <c r="C182" s="49">
        <f>IF($A182="","",IF(INDEX(exp_cat,MATCH(176,exp_wishno,0))="","",INDEX(exp_cat,MATCH(176,exp_wishno,0))))</f>
        <v/>
      </c>
      <c r="D182" s="100">
        <f>IF($A182="","",IF(INDEX(exp_prio,MATCH(176,exp_wishno,0))="","",INDEX(exp_prio,MATCH(176,exp_wishno,0))))</f>
        <v/>
      </c>
      <c r="E182" s="100">
        <f>IF($A182="","",IF(INDEX(exp_year,MATCH(176,exp_wishno,0))="","",INDEX(exp_year,MATCH(176,exp_wishno,0))))</f>
        <v/>
      </c>
      <c r="F182" s="100">
        <f>IF($A182="","",IF(INDEX(exp_month,MATCH(176,exp_wishno,0))="","",INDEX(exp_month,MATCH(176,exp_wishno,0))))</f>
        <v/>
      </c>
      <c r="G182" s="101">
        <f>IF($A182="","",IF(INDEX(exp_plan,MATCH(176,exp_wishno,0))="","",INDEX(exp_plan,MATCH(176,exp_wishno,0))))</f>
        <v/>
      </c>
      <c r="H182" s="102">
        <f>IF($A182="","",IF(INDEX(exp_fact,MATCH(176,exp_wishno,0))="","",INDEX(exp_fact,MATCH(176,exp_wishno,0))))</f>
        <v/>
      </c>
      <c r="I182" s="49">
        <f>IF($A182="","",IF(INDEX(exp_status,MATCH(176,exp_wishno,0))="","",INDEX(exp_status,MATCH(176,exp_wishno,0))))</f>
        <v/>
      </c>
    </row>
    <row r="183">
      <c r="A183" s="100">
        <f>IF(ISNA(MATCH(177,exp_wishno,0)),"",177)</f>
        <v/>
      </c>
      <c r="B183" s="49">
        <f>IF($A183="","",IF(INDEX(exp_desc,MATCH(177,exp_wishno,0))="","",INDEX(exp_desc,MATCH(177,exp_wishno,0))))</f>
        <v/>
      </c>
      <c r="C183" s="49">
        <f>IF($A183="","",IF(INDEX(exp_cat,MATCH(177,exp_wishno,0))="","",INDEX(exp_cat,MATCH(177,exp_wishno,0))))</f>
        <v/>
      </c>
      <c r="D183" s="100">
        <f>IF($A183="","",IF(INDEX(exp_prio,MATCH(177,exp_wishno,0))="","",INDEX(exp_prio,MATCH(177,exp_wishno,0))))</f>
        <v/>
      </c>
      <c r="E183" s="100">
        <f>IF($A183="","",IF(INDEX(exp_year,MATCH(177,exp_wishno,0))="","",INDEX(exp_year,MATCH(177,exp_wishno,0))))</f>
        <v/>
      </c>
      <c r="F183" s="100">
        <f>IF($A183="","",IF(INDEX(exp_month,MATCH(177,exp_wishno,0))="","",INDEX(exp_month,MATCH(177,exp_wishno,0))))</f>
        <v/>
      </c>
      <c r="G183" s="101">
        <f>IF($A183="","",IF(INDEX(exp_plan,MATCH(177,exp_wishno,0))="","",INDEX(exp_plan,MATCH(177,exp_wishno,0))))</f>
        <v/>
      </c>
      <c r="H183" s="102">
        <f>IF($A183="","",IF(INDEX(exp_fact,MATCH(177,exp_wishno,0))="","",INDEX(exp_fact,MATCH(177,exp_wishno,0))))</f>
        <v/>
      </c>
      <c r="I183" s="49">
        <f>IF($A183="","",IF(INDEX(exp_status,MATCH(177,exp_wishno,0))="","",INDEX(exp_status,MATCH(177,exp_wishno,0))))</f>
        <v/>
      </c>
    </row>
    <row r="184">
      <c r="A184" s="100">
        <f>IF(ISNA(MATCH(178,exp_wishno,0)),"",178)</f>
        <v/>
      </c>
      <c r="B184" s="49">
        <f>IF($A184="","",IF(INDEX(exp_desc,MATCH(178,exp_wishno,0))="","",INDEX(exp_desc,MATCH(178,exp_wishno,0))))</f>
        <v/>
      </c>
      <c r="C184" s="49">
        <f>IF($A184="","",IF(INDEX(exp_cat,MATCH(178,exp_wishno,0))="","",INDEX(exp_cat,MATCH(178,exp_wishno,0))))</f>
        <v/>
      </c>
      <c r="D184" s="100">
        <f>IF($A184="","",IF(INDEX(exp_prio,MATCH(178,exp_wishno,0))="","",INDEX(exp_prio,MATCH(178,exp_wishno,0))))</f>
        <v/>
      </c>
      <c r="E184" s="100">
        <f>IF($A184="","",IF(INDEX(exp_year,MATCH(178,exp_wishno,0))="","",INDEX(exp_year,MATCH(178,exp_wishno,0))))</f>
        <v/>
      </c>
      <c r="F184" s="100">
        <f>IF($A184="","",IF(INDEX(exp_month,MATCH(178,exp_wishno,0))="","",INDEX(exp_month,MATCH(178,exp_wishno,0))))</f>
        <v/>
      </c>
      <c r="G184" s="101">
        <f>IF($A184="","",IF(INDEX(exp_plan,MATCH(178,exp_wishno,0))="","",INDEX(exp_plan,MATCH(178,exp_wishno,0))))</f>
        <v/>
      </c>
      <c r="H184" s="102">
        <f>IF($A184="","",IF(INDEX(exp_fact,MATCH(178,exp_wishno,0))="","",INDEX(exp_fact,MATCH(178,exp_wishno,0))))</f>
        <v/>
      </c>
      <c r="I184" s="49">
        <f>IF($A184="","",IF(INDEX(exp_status,MATCH(178,exp_wishno,0))="","",INDEX(exp_status,MATCH(178,exp_wishno,0))))</f>
        <v/>
      </c>
    </row>
    <row r="185">
      <c r="A185" s="100">
        <f>IF(ISNA(MATCH(179,exp_wishno,0)),"",179)</f>
        <v/>
      </c>
      <c r="B185" s="49">
        <f>IF($A185="","",IF(INDEX(exp_desc,MATCH(179,exp_wishno,0))="","",INDEX(exp_desc,MATCH(179,exp_wishno,0))))</f>
        <v/>
      </c>
      <c r="C185" s="49">
        <f>IF($A185="","",IF(INDEX(exp_cat,MATCH(179,exp_wishno,0))="","",INDEX(exp_cat,MATCH(179,exp_wishno,0))))</f>
        <v/>
      </c>
      <c r="D185" s="100">
        <f>IF($A185="","",IF(INDEX(exp_prio,MATCH(179,exp_wishno,0))="","",INDEX(exp_prio,MATCH(179,exp_wishno,0))))</f>
        <v/>
      </c>
      <c r="E185" s="100">
        <f>IF($A185="","",IF(INDEX(exp_year,MATCH(179,exp_wishno,0))="","",INDEX(exp_year,MATCH(179,exp_wishno,0))))</f>
        <v/>
      </c>
      <c r="F185" s="100">
        <f>IF($A185="","",IF(INDEX(exp_month,MATCH(179,exp_wishno,0))="","",INDEX(exp_month,MATCH(179,exp_wishno,0))))</f>
        <v/>
      </c>
      <c r="G185" s="101">
        <f>IF($A185="","",IF(INDEX(exp_plan,MATCH(179,exp_wishno,0))="","",INDEX(exp_plan,MATCH(179,exp_wishno,0))))</f>
        <v/>
      </c>
      <c r="H185" s="102">
        <f>IF($A185="","",IF(INDEX(exp_fact,MATCH(179,exp_wishno,0))="","",INDEX(exp_fact,MATCH(179,exp_wishno,0))))</f>
        <v/>
      </c>
      <c r="I185" s="49">
        <f>IF($A185="","",IF(INDEX(exp_status,MATCH(179,exp_wishno,0))="","",INDEX(exp_status,MATCH(179,exp_wishno,0))))</f>
        <v/>
      </c>
    </row>
    <row r="186">
      <c r="A186" s="100">
        <f>IF(ISNA(MATCH(180,exp_wishno,0)),"",180)</f>
        <v/>
      </c>
      <c r="B186" s="49">
        <f>IF($A186="","",IF(INDEX(exp_desc,MATCH(180,exp_wishno,0))="","",INDEX(exp_desc,MATCH(180,exp_wishno,0))))</f>
        <v/>
      </c>
      <c r="C186" s="49">
        <f>IF($A186="","",IF(INDEX(exp_cat,MATCH(180,exp_wishno,0))="","",INDEX(exp_cat,MATCH(180,exp_wishno,0))))</f>
        <v/>
      </c>
      <c r="D186" s="100">
        <f>IF($A186="","",IF(INDEX(exp_prio,MATCH(180,exp_wishno,0))="","",INDEX(exp_prio,MATCH(180,exp_wishno,0))))</f>
        <v/>
      </c>
      <c r="E186" s="100">
        <f>IF($A186="","",IF(INDEX(exp_year,MATCH(180,exp_wishno,0))="","",INDEX(exp_year,MATCH(180,exp_wishno,0))))</f>
        <v/>
      </c>
      <c r="F186" s="100">
        <f>IF($A186="","",IF(INDEX(exp_month,MATCH(180,exp_wishno,0))="","",INDEX(exp_month,MATCH(180,exp_wishno,0))))</f>
        <v/>
      </c>
      <c r="G186" s="101">
        <f>IF($A186="","",IF(INDEX(exp_plan,MATCH(180,exp_wishno,0))="","",INDEX(exp_plan,MATCH(180,exp_wishno,0))))</f>
        <v/>
      </c>
      <c r="H186" s="102">
        <f>IF($A186="","",IF(INDEX(exp_fact,MATCH(180,exp_wishno,0))="","",INDEX(exp_fact,MATCH(180,exp_wishno,0))))</f>
        <v/>
      </c>
      <c r="I186" s="49">
        <f>IF($A186="","",IF(INDEX(exp_status,MATCH(180,exp_wishno,0))="","",INDEX(exp_status,MATCH(180,exp_wishno,0))))</f>
        <v/>
      </c>
    </row>
    <row r="187">
      <c r="A187" s="100">
        <f>IF(ISNA(MATCH(181,exp_wishno,0)),"",181)</f>
        <v/>
      </c>
      <c r="B187" s="49">
        <f>IF($A187="","",IF(INDEX(exp_desc,MATCH(181,exp_wishno,0))="","",INDEX(exp_desc,MATCH(181,exp_wishno,0))))</f>
        <v/>
      </c>
      <c r="C187" s="49">
        <f>IF($A187="","",IF(INDEX(exp_cat,MATCH(181,exp_wishno,0))="","",INDEX(exp_cat,MATCH(181,exp_wishno,0))))</f>
        <v/>
      </c>
      <c r="D187" s="100">
        <f>IF($A187="","",IF(INDEX(exp_prio,MATCH(181,exp_wishno,0))="","",INDEX(exp_prio,MATCH(181,exp_wishno,0))))</f>
        <v/>
      </c>
      <c r="E187" s="100">
        <f>IF($A187="","",IF(INDEX(exp_year,MATCH(181,exp_wishno,0))="","",INDEX(exp_year,MATCH(181,exp_wishno,0))))</f>
        <v/>
      </c>
      <c r="F187" s="100">
        <f>IF($A187="","",IF(INDEX(exp_month,MATCH(181,exp_wishno,0))="","",INDEX(exp_month,MATCH(181,exp_wishno,0))))</f>
        <v/>
      </c>
      <c r="G187" s="101">
        <f>IF($A187="","",IF(INDEX(exp_plan,MATCH(181,exp_wishno,0))="","",INDEX(exp_plan,MATCH(181,exp_wishno,0))))</f>
        <v/>
      </c>
      <c r="H187" s="102">
        <f>IF($A187="","",IF(INDEX(exp_fact,MATCH(181,exp_wishno,0))="","",INDEX(exp_fact,MATCH(181,exp_wishno,0))))</f>
        <v/>
      </c>
      <c r="I187" s="49">
        <f>IF($A187="","",IF(INDEX(exp_status,MATCH(181,exp_wishno,0))="","",INDEX(exp_status,MATCH(181,exp_wishno,0))))</f>
        <v/>
      </c>
    </row>
    <row r="188">
      <c r="A188" s="100">
        <f>IF(ISNA(MATCH(182,exp_wishno,0)),"",182)</f>
        <v/>
      </c>
      <c r="B188" s="49">
        <f>IF($A188="","",IF(INDEX(exp_desc,MATCH(182,exp_wishno,0))="","",INDEX(exp_desc,MATCH(182,exp_wishno,0))))</f>
        <v/>
      </c>
      <c r="C188" s="49">
        <f>IF($A188="","",IF(INDEX(exp_cat,MATCH(182,exp_wishno,0))="","",INDEX(exp_cat,MATCH(182,exp_wishno,0))))</f>
        <v/>
      </c>
      <c r="D188" s="100">
        <f>IF($A188="","",IF(INDEX(exp_prio,MATCH(182,exp_wishno,0))="","",INDEX(exp_prio,MATCH(182,exp_wishno,0))))</f>
        <v/>
      </c>
      <c r="E188" s="100">
        <f>IF($A188="","",IF(INDEX(exp_year,MATCH(182,exp_wishno,0))="","",INDEX(exp_year,MATCH(182,exp_wishno,0))))</f>
        <v/>
      </c>
      <c r="F188" s="100">
        <f>IF($A188="","",IF(INDEX(exp_month,MATCH(182,exp_wishno,0))="","",INDEX(exp_month,MATCH(182,exp_wishno,0))))</f>
        <v/>
      </c>
      <c r="G188" s="101">
        <f>IF($A188="","",IF(INDEX(exp_plan,MATCH(182,exp_wishno,0))="","",INDEX(exp_plan,MATCH(182,exp_wishno,0))))</f>
        <v/>
      </c>
      <c r="H188" s="102">
        <f>IF($A188="","",IF(INDEX(exp_fact,MATCH(182,exp_wishno,0))="","",INDEX(exp_fact,MATCH(182,exp_wishno,0))))</f>
        <v/>
      </c>
      <c r="I188" s="49">
        <f>IF($A188="","",IF(INDEX(exp_status,MATCH(182,exp_wishno,0))="","",INDEX(exp_status,MATCH(182,exp_wishno,0))))</f>
        <v/>
      </c>
    </row>
    <row r="189">
      <c r="A189" s="100">
        <f>IF(ISNA(MATCH(183,exp_wishno,0)),"",183)</f>
        <v/>
      </c>
      <c r="B189" s="49">
        <f>IF($A189="","",IF(INDEX(exp_desc,MATCH(183,exp_wishno,0))="","",INDEX(exp_desc,MATCH(183,exp_wishno,0))))</f>
        <v/>
      </c>
      <c r="C189" s="49">
        <f>IF($A189="","",IF(INDEX(exp_cat,MATCH(183,exp_wishno,0))="","",INDEX(exp_cat,MATCH(183,exp_wishno,0))))</f>
        <v/>
      </c>
      <c r="D189" s="100">
        <f>IF($A189="","",IF(INDEX(exp_prio,MATCH(183,exp_wishno,0))="","",INDEX(exp_prio,MATCH(183,exp_wishno,0))))</f>
        <v/>
      </c>
      <c r="E189" s="100">
        <f>IF($A189="","",IF(INDEX(exp_year,MATCH(183,exp_wishno,0))="","",INDEX(exp_year,MATCH(183,exp_wishno,0))))</f>
        <v/>
      </c>
      <c r="F189" s="100">
        <f>IF($A189="","",IF(INDEX(exp_month,MATCH(183,exp_wishno,0))="","",INDEX(exp_month,MATCH(183,exp_wishno,0))))</f>
        <v/>
      </c>
      <c r="G189" s="101">
        <f>IF($A189="","",IF(INDEX(exp_plan,MATCH(183,exp_wishno,0))="","",INDEX(exp_plan,MATCH(183,exp_wishno,0))))</f>
        <v/>
      </c>
      <c r="H189" s="102">
        <f>IF($A189="","",IF(INDEX(exp_fact,MATCH(183,exp_wishno,0))="","",INDEX(exp_fact,MATCH(183,exp_wishno,0))))</f>
        <v/>
      </c>
      <c r="I189" s="49">
        <f>IF($A189="","",IF(INDEX(exp_status,MATCH(183,exp_wishno,0))="","",INDEX(exp_status,MATCH(183,exp_wishno,0))))</f>
        <v/>
      </c>
    </row>
    <row r="190">
      <c r="A190" s="100">
        <f>IF(ISNA(MATCH(184,exp_wishno,0)),"",184)</f>
        <v/>
      </c>
      <c r="B190" s="49">
        <f>IF($A190="","",IF(INDEX(exp_desc,MATCH(184,exp_wishno,0))="","",INDEX(exp_desc,MATCH(184,exp_wishno,0))))</f>
        <v/>
      </c>
      <c r="C190" s="49">
        <f>IF($A190="","",IF(INDEX(exp_cat,MATCH(184,exp_wishno,0))="","",INDEX(exp_cat,MATCH(184,exp_wishno,0))))</f>
        <v/>
      </c>
      <c r="D190" s="100">
        <f>IF($A190="","",IF(INDEX(exp_prio,MATCH(184,exp_wishno,0))="","",INDEX(exp_prio,MATCH(184,exp_wishno,0))))</f>
        <v/>
      </c>
      <c r="E190" s="100">
        <f>IF($A190="","",IF(INDEX(exp_year,MATCH(184,exp_wishno,0))="","",INDEX(exp_year,MATCH(184,exp_wishno,0))))</f>
        <v/>
      </c>
      <c r="F190" s="100">
        <f>IF($A190="","",IF(INDEX(exp_month,MATCH(184,exp_wishno,0))="","",INDEX(exp_month,MATCH(184,exp_wishno,0))))</f>
        <v/>
      </c>
      <c r="G190" s="101">
        <f>IF($A190="","",IF(INDEX(exp_plan,MATCH(184,exp_wishno,0))="","",INDEX(exp_plan,MATCH(184,exp_wishno,0))))</f>
        <v/>
      </c>
      <c r="H190" s="102">
        <f>IF($A190="","",IF(INDEX(exp_fact,MATCH(184,exp_wishno,0))="","",INDEX(exp_fact,MATCH(184,exp_wishno,0))))</f>
        <v/>
      </c>
      <c r="I190" s="49">
        <f>IF($A190="","",IF(INDEX(exp_status,MATCH(184,exp_wishno,0))="","",INDEX(exp_status,MATCH(184,exp_wishno,0))))</f>
        <v/>
      </c>
    </row>
    <row r="191">
      <c r="A191" s="100">
        <f>IF(ISNA(MATCH(185,exp_wishno,0)),"",185)</f>
        <v/>
      </c>
      <c r="B191" s="49">
        <f>IF($A191="","",IF(INDEX(exp_desc,MATCH(185,exp_wishno,0))="","",INDEX(exp_desc,MATCH(185,exp_wishno,0))))</f>
        <v/>
      </c>
      <c r="C191" s="49">
        <f>IF($A191="","",IF(INDEX(exp_cat,MATCH(185,exp_wishno,0))="","",INDEX(exp_cat,MATCH(185,exp_wishno,0))))</f>
        <v/>
      </c>
      <c r="D191" s="100">
        <f>IF($A191="","",IF(INDEX(exp_prio,MATCH(185,exp_wishno,0))="","",INDEX(exp_prio,MATCH(185,exp_wishno,0))))</f>
        <v/>
      </c>
      <c r="E191" s="100">
        <f>IF($A191="","",IF(INDEX(exp_year,MATCH(185,exp_wishno,0))="","",INDEX(exp_year,MATCH(185,exp_wishno,0))))</f>
        <v/>
      </c>
      <c r="F191" s="100">
        <f>IF($A191="","",IF(INDEX(exp_month,MATCH(185,exp_wishno,0))="","",INDEX(exp_month,MATCH(185,exp_wishno,0))))</f>
        <v/>
      </c>
      <c r="G191" s="101">
        <f>IF($A191="","",IF(INDEX(exp_plan,MATCH(185,exp_wishno,0))="","",INDEX(exp_plan,MATCH(185,exp_wishno,0))))</f>
        <v/>
      </c>
      <c r="H191" s="102">
        <f>IF($A191="","",IF(INDEX(exp_fact,MATCH(185,exp_wishno,0))="","",INDEX(exp_fact,MATCH(185,exp_wishno,0))))</f>
        <v/>
      </c>
      <c r="I191" s="49">
        <f>IF($A191="","",IF(INDEX(exp_status,MATCH(185,exp_wishno,0))="","",INDEX(exp_status,MATCH(185,exp_wishno,0))))</f>
        <v/>
      </c>
    </row>
    <row r="192">
      <c r="A192" s="100">
        <f>IF(ISNA(MATCH(186,exp_wishno,0)),"",186)</f>
        <v/>
      </c>
      <c r="B192" s="49">
        <f>IF($A192="","",IF(INDEX(exp_desc,MATCH(186,exp_wishno,0))="","",INDEX(exp_desc,MATCH(186,exp_wishno,0))))</f>
        <v/>
      </c>
      <c r="C192" s="49">
        <f>IF($A192="","",IF(INDEX(exp_cat,MATCH(186,exp_wishno,0))="","",INDEX(exp_cat,MATCH(186,exp_wishno,0))))</f>
        <v/>
      </c>
      <c r="D192" s="100">
        <f>IF($A192="","",IF(INDEX(exp_prio,MATCH(186,exp_wishno,0))="","",INDEX(exp_prio,MATCH(186,exp_wishno,0))))</f>
        <v/>
      </c>
      <c r="E192" s="100">
        <f>IF($A192="","",IF(INDEX(exp_year,MATCH(186,exp_wishno,0))="","",INDEX(exp_year,MATCH(186,exp_wishno,0))))</f>
        <v/>
      </c>
      <c r="F192" s="100">
        <f>IF($A192="","",IF(INDEX(exp_month,MATCH(186,exp_wishno,0))="","",INDEX(exp_month,MATCH(186,exp_wishno,0))))</f>
        <v/>
      </c>
      <c r="G192" s="101">
        <f>IF($A192="","",IF(INDEX(exp_plan,MATCH(186,exp_wishno,0))="","",INDEX(exp_plan,MATCH(186,exp_wishno,0))))</f>
        <v/>
      </c>
      <c r="H192" s="102">
        <f>IF($A192="","",IF(INDEX(exp_fact,MATCH(186,exp_wishno,0))="","",INDEX(exp_fact,MATCH(186,exp_wishno,0))))</f>
        <v/>
      </c>
      <c r="I192" s="49">
        <f>IF($A192="","",IF(INDEX(exp_status,MATCH(186,exp_wishno,0))="","",INDEX(exp_status,MATCH(186,exp_wishno,0))))</f>
        <v/>
      </c>
    </row>
    <row r="193">
      <c r="A193" s="100">
        <f>IF(ISNA(MATCH(187,exp_wishno,0)),"",187)</f>
        <v/>
      </c>
      <c r="B193" s="49">
        <f>IF($A193="","",IF(INDEX(exp_desc,MATCH(187,exp_wishno,0))="","",INDEX(exp_desc,MATCH(187,exp_wishno,0))))</f>
        <v/>
      </c>
      <c r="C193" s="49">
        <f>IF($A193="","",IF(INDEX(exp_cat,MATCH(187,exp_wishno,0))="","",INDEX(exp_cat,MATCH(187,exp_wishno,0))))</f>
        <v/>
      </c>
      <c r="D193" s="100">
        <f>IF($A193="","",IF(INDEX(exp_prio,MATCH(187,exp_wishno,0))="","",INDEX(exp_prio,MATCH(187,exp_wishno,0))))</f>
        <v/>
      </c>
      <c r="E193" s="100">
        <f>IF($A193="","",IF(INDEX(exp_year,MATCH(187,exp_wishno,0))="","",INDEX(exp_year,MATCH(187,exp_wishno,0))))</f>
        <v/>
      </c>
      <c r="F193" s="100">
        <f>IF($A193="","",IF(INDEX(exp_month,MATCH(187,exp_wishno,0))="","",INDEX(exp_month,MATCH(187,exp_wishno,0))))</f>
        <v/>
      </c>
      <c r="G193" s="101">
        <f>IF($A193="","",IF(INDEX(exp_plan,MATCH(187,exp_wishno,0))="","",INDEX(exp_plan,MATCH(187,exp_wishno,0))))</f>
        <v/>
      </c>
      <c r="H193" s="102">
        <f>IF($A193="","",IF(INDEX(exp_fact,MATCH(187,exp_wishno,0))="","",INDEX(exp_fact,MATCH(187,exp_wishno,0))))</f>
        <v/>
      </c>
      <c r="I193" s="49">
        <f>IF($A193="","",IF(INDEX(exp_status,MATCH(187,exp_wishno,0))="","",INDEX(exp_status,MATCH(187,exp_wishno,0))))</f>
        <v/>
      </c>
    </row>
    <row r="194">
      <c r="A194" s="100">
        <f>IF(ISNA(MATCH(188,exp_wishno,0)),"",188)</f>
        <v/>
      </c>
      <c r="B194" s="49">
        <f>IF($A194="","",IF(INDEX(exp_desc,MATCH(188,exp_wishno,0))="","",INDEX(exp_desc,MATCH(188,exp_wishno,0))))</f>
        <v/>
      </c>
      <c r="C194" s="49">
        <f>IF($A194="","",IF(INDEX(exp_cat,MATCH(188,exp_wishno,0))="","",INDEX(exp_cat,MATCH(188,exp_wishno,0))))</f>
        <v/>
      </c>
      <c r="D194" s="100">
        <f>IF($A194="","",IF(INDEX(exp_prio,MATCH(188,exp_wishno,0))="","",INDEX(exp_prio,MATCH(188,exp_wishno,0))))</f>
        <v/>
      </c>
      <c r="E194" s="100">
        <f>IF($A194="","",IF(INDEX(exp_year,MATCH(188,exp_wishno,0))="","",INDEX(exp_year,MATCH(188,exp_wishno,0))))</f>
        <v/>
      </c>
      <c r="F194" s="100">
        <f>IF($A194="","",IF(INDEX(exp_month,MATCH(188,exp_wishno,0))="","",INDEX(exp_month,MATCH(188,exp_wishno,0))))</f>
        <v/>
      </c>
      <c r="G194" s="101">
        <f>IF($A194="","",IF(INDEX(exp_plan,MATCH(188,exp_wishno,0))="","",INDEX(exp_plan,MATCH(188,exp_wishno,0))))</f>
        <v/>
      </c>
      <c r="H194" s="102">
        <f>IF($A194="","",IF(INDEX(exp_fact,MATCH(188,exp_wishno,0))="","",INDEX(exp_fact,MATCH(188,exp_wishno,0))))</f>
        <v/>
      </c>
      <c r="I194" s="49">
        <f>IF($A194="","",IF(INDEX(exp_status,MATCH(188,exp_wishno,0))="","",INDEX(exp_status,MATCH(188,exp_wishno,0))))</f>
        <v/>
      </c>
    </row>
    <row r="195">
      <c r="A195" s="100">
        <f>IF(ISNA(MATCH(189,exp_wishno,0)),"",189)</f>
        <v/>
      </c>
      <c r="B195" s="49">
        <f>IF($A195="","",IF(INDEX(exp_desc,MATCH(189,exp_wishno,0))="","",INDEX(exp_desc,MATCH(189,exp_wishno,0))))</f>
        <v/>
      </c>
      <c r="C195" s="49">
        <f>IF($A195="","",IF(INDEX(exp_cat,MATCH(189,exp_wishno,0))="","",INDEX(exp_cat,MATCH(189,exp_wishno,0))))</f>
        <v/>
      </c>
      <c r="D195" s="100">
        <f>IF($A195="","",IF(INDEX(exp_prio,MATCH(189,exp_wishno,0))="","",INDEX(exp_prio,MATCH(189,exp_wishno,0))))</f>
        <v/>
      </c>
      <c r="E195" s="100">
        <f>IF($A195="","",IF(INDEX(exp_year,MATCH(189,exp_wishno,0))="","",INDEX(exp_year,MATCH(189,exp_wishno,0))))</f>
        <v/>
      </c>
      <c r="F195" s="100">
        <f>IF($A195="","",IF(INDEX(exp_month,MATCH(189,exp_wishno,0))="","",INDEX(exp_month,MATCH(189,exp_wishno,0))))</f>
        <v/>
      </c>
      <c r="G195" s="101">
        <f>IF($A195="","",IF(INDEX(exp_plan,MATCH(189,exp_wishno,0))="","",INDEX(exp_plan,MATCH(189,exp_wishno,0))))</f>
        <v/>
      </c>
      <c r="H195" s="102">
        <f>IF($A195="","",IF(INDEX(exp_fact,MATCH(189,exp_wishno,0))="","",INDEX(exp_fact,MATCH(189,exp_wishno,0))))</f>
        <v/>
      </c>
      <c r="I195" s="49">
        <f>IF($A195="","",IF(INDEX(exp_status,MATCH(189,exp_wishno,0))="","",INDEX(exp_status,MATCH(189,exp_wishno,0))))</f>
        <v/>
      </c>
    </row>
    <row r="196">
      <c r="A196" s="100">
        <f>IF(ISNA(MATCH(190,exp_wishno,0)),"",190)</f>
        <v/>
      </c>
      <c r="B196" s="49">
        <f>IF($A196="","",IF(INDEX(exp_desc,MATCH(190,exp_wishno,0))="","",INDEX(exp_desc,MATCH(190,exp_wishno,0))))</f>
        <v/>
      </c>
      <c r="C196" s="49">
        <f>IF($A196="","",IF(INDEX(exp_cat,MATCH(190,exp_wishno,0))="","",INDEX(exp_cat,MATCH(190,exp_wishno,0))))</f>
        <v/>
      </c>
      <c r="D196" s="100">
        <f>IF($A196="","",IF(INDEX(exp_prio,MATCH(190,exp_wishno,0))="","",INDEX(exp_prio,MATCH(190,exp_wishno,0))))</f>
        <v/>
      </c>
      <c r="E196" s="100">
        <f>IF($A196="","",IF(INDEX(exp_year,MATCH(190,exp_wishno,0))="","",INDEX(exp_year,MATCH(190,exp_wishno,0))))</f>
        <v/>
      </c>
      <c r="F196" s="100">
        <f>IF($A196="","",IF(INDEX(exp_month,MATCH(190,exp_wishno,0))="","",INDEX(exp_month,MATCH(190,exp_wishno,0))))</f>
        <v/>
      </c>
      <c r="G196" s="101">
        <f>IF($A196="","",IF(INDEX(exp_plan,MATCH(190,exp_wishno,0))="","",INDEX(exp_plan,MATCH(190,exp_wishno,0))))</f>
        <v/>
      </c>
      <c r="H196" s="102">
        <f>IF($A196="","",IF(INDEX(exp_fact,MATCH(190,exp_wishno,0))="","",INDEX(exp_fact,MATCH(190,exp_wishno,0))))</f>
        <v/>
      </c>
      <c r="I196" s="49">
        <f>IF($A196="","",IF(INDEX(exp_status,MATCH(190,exp_wishno,0))="","",INDEX(exp_status,MATCH(190,exp_wishno,0))))</f>
        <v/>
      </c>
    </row>
    <row r="197">
      <c r="A197" s="100">
        <f>IF(ISNA(MATCH(191,exp_wishno,0)),"",191)</f>
        <v/>
      </c>
      <c r="B197" s="49">
        <f>IF($A197="","",IF(INDEX(exp_desc,MATCH(191,exp_wishno,0))="","",INDEX(exp_desc,MATCH(191,exp_wishno,0))))</f>
        <v/>
      </c>
      <c r="C197" s="49">
        <f>IF($A197="","",IF(INDEX(exp_cat,MATCH(191,exp_wishno,0))="","",INDEX(exp_cat,MATCH(191,exp_wishno,0))))</f>
        <v/>
      </c>
      <c r="D197" s="100">
        <f>IF($A197="","",IF(INDEX(exp_prio,MATCH(191,exp_wishno,0))="","",INDEX(exp_prio,MATCH(191,exp_wishno,0))))</f>
        <v/>
      </c>
      <c r="E197" s="100">
        <f>IF($A197="","",IF(INDEX(exp_year,MATCH(191,exp_wishno,0))="","",INDEX(exp_year,MATCH(191,exp_wishno,0))))</f>
        <v/>
      </c>
      <c r="F197" s="100">
        <f>IF($A197="","",IF(INDEX(exp_month,MATCH(191,exp_wishno,0))="","",INDEX(exp_month,MATCH(191,exp_wishno,0))))</f>
        <v/>
      </c>
      <c r="G197" s="101">
        <f>IF($A197="","",IF(INDEX(exp_plan,MATCH(191,exp_wishno,0))="","",INDEX(exp_plan,MATCH(191,exp_wishno,0))))</f>
        <v/>
      </c>
      <c r="H197" s="102">
        <f>IF($A197="","",IF(INDEX(exp_fact,MATCH(191,exp_wishno,0))="","",INDEX(exp_fact,MATCH(191,exp_wishno,0))))</f>
        <v/>
      </c>
      <c r="I197" s="49">
        <f>IF($A197="","",IF(INDEX(exp_status,MATCH(191,exp_wishno,0))="","",INDEX(exp_status,MATCH(191,exp_wishno,0))))</f>
        <v/>
      </c>
    </row>
    <row r="198">
      <c r="A198" s="100">
        <f>IF(ISNA(MATCH(192,exp_wishno,0)),"",192)</f>
        <v/>
      </c>
      <c r="B198" s="49">
        <f>IF($A198="","",IF(INDEX(exp_desc,MATCH(192,exp_wishno,0))="","",INDEX(exp_desc,MATCH(192,exp_wishno,0))))</f>
        <v/>
      </c>
      <c r="C198" s="49">
        <f>IF($A198="","",IF(INDEX(exp_cat,MATCH(192,exp_wishno,0))="","",INDEX(exp_cat,MATCH(192,exp_wishno,0))))</f>
        <v/>
      </c>
      <c r="D198" s="100">
        <f>IF($A198="","",IF(INDEX(exp_prio,MATCH(192,exp_wishno,0))="","",INDEX(exp_prio,MATCH(192,exp_wishno,0))))</f>
        <v/>
      </c>
      <c r="E198" s="100">
        <f>IF($A198="","",IF(INDEX(exp_year,MATCH(192,exp_wishno,0))="","",INDEX(exp_year,MATCH(192,exp_wishno,0))))</f>
        <v/>
      </c>
      <c r="F198" s="100">
        <f>IF($A198="","",IF(INDEX(exp_month,MATCH(192,exp_wishno,0))="","",INDEX(exp_month,MATCH(192,exp_wishno,0))))</f>
        <v/>
      </c>
      <c r="G198" s="101">
        <f>IF($A198="","",IF(INDEX(exp_plan,MATCH(192,exp_wishno,0))="","",INDEX(exp_plan,MATCH(192,exp_wishno,0))))</f>
        <v/>
      </c>
      <c r="H198" s="102">
        <f>IF($A198="","",IF(INDEX(exp_fact,MATCH(192,exp_wishno,0))="","",INDEX(exp_fact,MATCH(192,exp_wishno,0))))</f>
        <v/>
      </c>
      <c r="I198" s="49">
        <f>IF($A198="","",IF(INDEX(exp_status,MATCH(192,exp_wishno,0))="","",INDEX(exp_status,MATCH(192,exp_wishno,0))))</f>
        <v/>
      </c>
    </row>
    <row r="199">
      <c r="A199" s="100">
        <f>IF(ISNA(MATCH(193,exp_wishno,0)),"",193)</f>
        <v/>
      </c>
      <c r="B199" s="49">
        <f>IF($A199="","",IF(INDEX(exp_desc,MATCH(193,exp_wishno,0))="","",INDEX(exp_desc,MATCH(193,exp_wishno,0))))</f>
        <v/>
      </c>
      <c r="C199" s="49">
        <f>IF($A199="","",IF(INDEX(exp_cat,MATCH(193,exp_wishno,0))="","",INDEX(exp_cat,MATCH(193,exp_wishno,0))))</f>
        <v/>
      </c>
      <c r="D199" s="100">
        <f>IF($A199="","",IF(INDEX(exp_prio,MATCH(193,exp_wishno,0))="","",INDEX(exp_prio,MATCH(193,exp_wishno,0))))</f>
        <v/>
      </c>
      <c r="E199" s="100">
        <f>IF($A199="","",IF(INDEX(exp_year,MATCH(193,exp_wishno,0))="","",INDEX(exp_year,MATCH(193,exp_wishno,0))))</f>
        <v/>
      </c>
      <c r="F199" s="100">
        <f>IF($A199="","",IF(INDEX(exp_month,MATCH(193,exp_wishno,0))="","",INDEX(exp_month,MATCH(193,exp_wishno,0))))</f>
        <v/>
      </c>
      <c r="G199" s="101">
        <f>IF($A199="","",IF(INDEX(exp_plan,MATCH(193,exp_wishno,0))="","",INDEX(exp_plan,MATCH(193,exp_wishno,0))))</f>
        <v/>
      </c>
      <c r="H199" s="102">
        <f>IF($A199="","",IF(INDEX(exp_fact,MATCH(193,exp_wishno,0))="","",INDEX(exp_fact,MATCH(193,exp_wishno,0))))</f>
        <v/>
      </c>
      <c r="I199" s="49">
        <f>IF($A199="","",IF(INDEX(exp_status,MATCH(193,exp_wishno,0))="","",INDEX(exp_status,MATCH(193,exp_wishno,0))))</f>
        <v/>
      </c>
    </row>
    <row r="200">
      <c r="A200" s="100">
        <f>IF(ISNA(MATCH(194,exp_wishno,0)),"",194)</f>
        <v/>
      </c>
      <c r="B200" s="49">
        <f>IF($A200="","",IF(INDEX(exp_desc,MATCH(194,exp_wishno,0))="","",INDEX(exp_desc,MATCH(194,exp_wishno,0))))</f>
        <v/>
      </c>
      <c r="C200" s="49">
        <f>IF($A200="","",IF(INDEX(exp_cat,MATCH(194,exp_wishno,0))="","",INDEX(exp_cat,MATCH(194,exp_wishno,0))))</f>
        <v/>
      </c>
      <c r="D200" s="100">
        <f>IF($A200="","",IF(INDEX(exp_prio,MATCH(194,exp_wishno,0))="","",INDEX(exp_prio,MATCH(194,exp_wishno,0))))</f>
        <v/>
      </c>
      <c r="E200" s="100">
        <f>IF($A200="","",IF(INDEX(exp_year,MATCH(194,exp_wishno,0))="","",INDEX(exp_year,MATCH(194,exp_wishno,0))))</f>
        <v/>
      </c>
      <c r="F200" s="100">
        <f>IF($A200="","",IF(INDEX(exp_month,MATCH(194,exp_wishno,0))="","",INDEX(exp_month,MATCH(194,exp_wishno,0))))</f>
        <v/>
      </c>
      <c r="G200" s="101">
        <f>IF($A200="","",IF(INDEX(exp_plan,MATCH(194,exp_wishno,0))="","",INDEX(exp_plan,MATCH(194,exp_wishno,0))))</f>
        <v/>
      </c>
      <c r="H200" s="102">
        <f>IF($A200="","",IF(INDEX(exp_fact,MATCH(194,exp_wishno,0))="","",INDEX(exp_fact,MATCH(194,exp_wishno,0))))</f>
        <v/>
      </c>
      <c r="I200" s="49">
        <f>IF($A200="","",IF(INDEX(exp_status,MATCH(194,exp_wishno,0))="","",INDEX(exp_status,MATCH(194,exp_wishno,0))))</f>
        <v/>
      </c>
    </row>
    <row r="201">
      <c r="A201" s="100">
        <f>IF(ISNA(MATCH(195,exp_wishno,0)),"",195)</f>
        <v/>
      </c>
      <c r="B201" s="49">
        <f>IF($A201="","",IF(INDEX(exp_desc,MATCH(195,exp_wishno,0))="","",INDEX(exp_desc,MATCH(195,exp_wishno,0))))</f>
        <v/>
      </c>
      <c r="C201" s="49">
        <f>IF($A201="","",IF(INDEX(exp_cat,MATCH(195,exp_wishno,0))="","",INDEX(exp_cat,MATCH(195,exp_wishno,0))))</f>
        <v/>
      </c>
      <c r="D201" s="100">
        <f>IF($A201="","",IF(INDEX(exp_prio,MATCH(195,exp_wishno,0))="","",INDEX(exp_prio,MATCH(195,exp_wishno,0))))</f>
        <v/>
      </c>
      <c r="E201" s="100">
        <f>IF($A201="","",IF(INDEX(exp_year,MATCH(195,exp_wishno,0))="","",INDEX(exp_year,MATCH(195,exp_wishno,0))))</f>
        <v/>
      </c>
      <c r="F201" s="100">
        <f>IF($A201="","",IF(INDEX(exp_month,MATCH(195,exp_wishno,0))="","",INDEX(exp_month,MATCH(195,exp_wishno,0))))</f>
        <v/>
      </c>
      <c r="G201" s="101">
        <f>IF($A201="","",IF(INDEX(exp_plan,MATCH(195,exp_wishno,0))="","",INDEX(exp_plan,MATCH(195,exp_wishno,0))))</f>
        <v/>
      </c>
      <c r="H201" s="102">
        <f>IF($A201="","",IF(INDEX(exp_fact,MATCH(195,exp_wishno,0))="","",INDEX(exp_fact,MATCH(195,exp_wishno,0))))</f>
        <v/>
      </c>
      <c r="I201" s="49">
        <f>IF($A201="","",IF(INDEX(exp_status,MATCH(195,exp_wishno,0))="","",INDEX(exp_status,MATCH(195,exp_wishno,0))))</f>
        <v/>
      </c>
    </row>
    <row r="202">
      <c r="A202" s="100">
        <f>IF(ISNA(MATCH(196,exp_wishno,0)),"",196)</f>
        <v/>
      </c>
      <c r="B202" s="49">
        <f>IF($A202="","",IF(INDEX(exp_desc,MATCH(196,exp_wishno,0))="","",INDEX(exp_desc,MATCH(196,exp_wishno,0))))</f>
        <v/>
      </c>
      <c r="C202" s="49">
        <f>IF($A202="","",IF(INDEX(exp_cat,MATCH(196,exp_wishno,0))="","",INDEX(exp_cat,MATCH(196,exp_wishno,0))))</f>
        <v/>
      </c>
      <c r="D202" s="100">
        <f>IF($A202="","",IF(INDEX(exp_prio,MATCH(196,exp_wishno,0))="","",INDEX(exp_prio,MATCH(196,exp_wishno,0))))</f>
        <v/>
      </c>
      <c r="E202" s="100">
        <f>IF($A202="","",IF(INDEX(exp_year,MATCH(196,exp_wishno,0))="","",INDEX(exp_year,MATCH(196,exp_wishno,0))))</f>
        <v/>
      </c>
      <c r="F202" s="100">
        <f>IF($A202="","",IF(INDEX(exp_month,MATCH(196,exp_wishno,0))="","",INDEX(exp_month,MATCH(196,exp_wishno,0))))</f>
        <v/>
      </c>
      <c r="G202" s="101">
        <f>IF($A202="","",IF(INDEX(exp_plan,MATCH(196,exp_wishno,0))="","",INDEX(exp_plan,MATCH(196,exp_wishno,0))))</f>
        <v/>
      </c>
      <c r="H202" s="102">
        <f>IF($A202="","",IF(INDEX(exp_fact,MATCH(196,exp_wishno,0))="","",INDEX(exp_fact,MATCH(196,exp_wishno,0))))</f>
        <v/>
      </c>
      <c r="I202" s="49">
        <f>IF($A202="","",IF(INDEX(exp_status,MATCH(196,exp_wishno,0))="","",INDEX(exp_status,MATCH(196,exp_wishno,0))))</f>
        <v/>
      </c>
    </row>
    <row r="203">
      <c r="A203" s="100">
        <f>IF(ISNA(MATCH(197,exp_wishno,0)),"",197)</f>
        <v/>
      </c>
      <c r="B203" s="49">
        <f>IF($A203="","",IF(INDEX(exp_desc,MATCH(197,exp_wishno,0))="","",INDEX(exp_desc,MATCH(197,exp_wishno,0))))</f>
        <v/>
      </c>
      <c r="C203" s="49">
        <f>IF($A203="","",IF(INDEX(exp_cat,MATCH(197,exp_wishno,0))="","",INDEX(exp_cat,MATCH(197,exp_wishno,0))))</f>
        <v/>
      </c>
      <c r="D203" s="100">
        <f>IF($A203="","",IF(INDEX(exp_prio,MATCH(197,exp_wishno,0))="","",INDEX(exp_prio,MATCH(197,exp_wishno,0))))</f>
        <v/>
      </c>
      <c r="E203" s="100">
        <f>IF($A203="","",IF(INDEX(exp_year,MATCH(197,exp_wishno,0))="","",INDEX(exp_year,MATCH(197,exp_wishno,0))))</f>
        <v/>
      </c>
      <c r="F203" s="100">
        <f>IF($A203="","",IF(INDEX(exp_month,MATCH(197,exp_wishno,0))="","",INDEX(exp_month,MATCH(197,exp_wishno,0))))</f>
        <v/>
      </c>
      <c r="G203" s="101">
        <f>IF($A203="","",IF(INDEX(exp_plan,MATCH(197,exp_wishno,0))="","",INDEX(exp_plan,MATCH(197,exp_wishno,0))))</f>
        <v/>
      </c>
      <c r="H203" s="102">
        <f>IF($A203="","",IF(INDEX(exp_fact,MATCH(197,exp_wishno,0))="","",INDEX(exp_fact,MATCH(197,exp_wishno,0))))</f>
        <v/>
      </c>
      <c r="I203" s="49">
        <f>IF($A203="","",IF(INDEX(exp_status,MATCH(197,exp_wishno,0))="","",INDEX(exp_status,MATCH(197,exp_wishno,0))))</f>
        <v/>
      </c>
    </row>
    <row r="204">
      <c r="A204" s="100">
        <f>IF(ISNA(MATCH(198,exp_wishno,0)),"",198)</f>
        <v/>
      </c>
      <c r="B204" s="49">
        <f>IF($A204="","",IF(INDEX(exp_desc,MATCH(198,exp_wishno,0))="","",INDEX(exp_desc,MATCH(198,exp_wishno,0))))</f>
        <v/>
      </c>
      <c r="C204" s="49">
        <f>IF($A204="","",IF(INDEX(exp_cat,MATCH(198,exp_wishno,0))="","",INDEX(exp_cat,MATCH(198,exp_wishno,0))))</f>
        <v/>
      </c>
      <c r="D204" s="100">
        <f>IF($A204="","",IF(INDEX(exp_prio,MATCH(198,exp_wishno,0))="","",INDEX(exp_prio,MATCH(198,exp_wishno,0))))</f>
        <v/>
      </c>
      <c r="E204" s="100">
        <f>IF($A204="","",IF(INDEX(exp_year,MATCH(198,exp_wishno,0))="","",INDEX(exp_year,MATCH(198,exp_wishno,0))))</f>
        <v/>
      </c>
      <c r="F204" s="100">
        <f>IF($A204="","",IF(INDEX(exp_month,MATCH(198,exp_wishno,0))="","",INDEX(exp_month,MATCH(198,exp_wishno,0))))</f>
        <v/>
      </c>
      <c r="G204" s="101">
        <f>IF($A204="","",IF(INDEX(exp_plan,MATCH(198,exp_wishno,0))="","",INDEX(exp_plan,MATCH(198,exp_wishno,0))))</f>
        <v/>
      </c>
      <c r="H204" s="102">
        <f>IF($A204="","",IF(INDEX(exp_fact,MATCH(198,exp_wishno,0))="","",INDEX(exp_fact,MATCH(198,exp_wishno,0))))</f>
        <v/>
      </c>
      <c r="I204" s="49">
        <f>IF($A204="","",IF(INDEX(exp_status,MATCH(198,exp_wishno,0))="","",INDEX(exp_status,MATCH(198,exp_wishno,0))))</f>
        <v/>
      </c>
    </row>
    <row r="205">
      <c r="A205" s="100">
        <f>IF(ISNA(MATCH(199,exp_wishno,0)),"",199)</f>
        <v/>
      </c>
      <c r="B205" s="49">
        <f>IF($A205="","",IF(INDEX(exp_desc,MATCH(199,exp_wishno,0))="","",INDEX(exp_desc,MATCH(199,exp_wishno,0))))</f>
        <v/>
      </c>
      <c r="C205" s="49">
        <f>IF($A205="","",IF(INDEX(exp_cat,MATCH(199,exp_wishno,0))="","",INDEX(exp_cat,MATCH(199,exp_wishno,0))))</f>
        <v/>
      </c>
      <c r="D205" s="100">
        <f>IF($A205="","",IF(INDEX(exp_prio,MATCH(199,exp_wishno,0))="","",INDEX(exp_prio,MATCH(199,exp_wishno,0))))</f>
        <v/>
      </c>
      <c r="E205" s="100">
        <f>IF($A205="","",IF(INDEX(exp_year,MATCH(199,exp_wishno,0))="","",INDEX(exp_year,MATCH(199,exp_wishno,0))))</f>
        <v/>
      </c>
      <c r="F205" s="100">
        <f>IF($A205="","",IF(INDEX(exp_month,MATCH(199,exp_wishno,0))="","",INDEX(exp_month,MATCH(199,exp_wishno,0))))</f>
        <v/>
      </c>
      <c r="G205" s="101">
        <f>IF($A205="","",IF(INDEX(exp_plan,MATCH(199,exp_wishno,0))="","",INDEX(exp_plan,MATCH(199,exp_wishno,0))))</f>
        <v/>
      </c>
      <c r="H205" s="102">
        <f>IF($A205="","",IF(INDEX(exp_fact,MATCH(199,exp_wishno,0))="","",INDEX(exp_fact,MATCH(199,exp_wishno,0))))</f>
        <v/>
      </c>
      <c r="I205" s="49">
        <f>IF($A205="","",IF(INDEX(exp_status,MATCH(199,exp_wishno,0))="","",INDEX(exp_status,MATCH(199,exp_wishno,0))))</f>
        <v/>
      </c>
    </row>
    <row r="206">
      <c r="A206" s="100">
        <f>IF(ISNA(MATCH(200,exp_wishno,0)),"",200)</f>
        <v/>
      </c>
      <c r="B206" s="49">
        <f>IF($A206="","",IF(INDEX(exp_desc,MATCH(200,exp_wishno,0))="","",INDEX(exp_desc,MATCH(200,exp_wishno,0))))</f>
        <v/>
      </c>
      <c r="C206" s="49">
        <f>IF($A206="","",IF(INDEX(exp_cat,MATCH(200,exp_wishno,0))="","",INDEX(exp_cat,MATCH(200,exp_wishno,0))))</f>
        <v/>
      </c>
      <c r="D206" s="100">
        <f>IF($A206="","",IF(INDEX(exp_prio,MATCH(200,exp_wishno,0))="","",INDEX(exp_prio,MATCH(200,exp_wishno,0))))</f>
        <v/>
      </c>
      <c r="E206" s="100">
        <f>IF($A206="","",IF(INDEX(exp_year,MATCH(200,exp_wishno,0))="","",INDEX(exp_year,MATCH(200,exp_wishno,0))))</f>
        <v/>
      </c>
      <c r="F206" s="100">
        <f>IF($A206="","",IF(INDEX(exp_month,MATCH(200,exp_wishno,0))="","",INDEX(exp_month,MATCH(200,exp_wishno,0))))</f>
        <v/>
      </c>
      <c r="G206" s="101">
        <f>IF($A206="","",IF(INDEX(exp_plan,MATCH(200,exp_wishno,0))="","",INDEX(exp_plan,MATCH(200,exp_wishno,0))))</f>
        <v/>
      </c>
      <c r="H206" s="102">
        <f>IF($A206="","",IF(INDEX(exp_fact,MATCH(200,exp_wishno,0))="","",INDEX(exp_fact,MATCH(200,exp_wishno,0))))</f>
        <v/>
      </c>
      <c r="I206" s="49">
        <f>IF($A206="","",IF(INDEX(exp_status,MATCH(200,exp_wishno,0))="","",INDEX(exp_status,MATCH(200,exp_wishno,0))))</f>
        <v/>
      </c>
    </row>
  </sheetData>
  <autoFilter ref="A6:I206"/>
  <mergeCells count="2">
    <mergeCell ref="A1:I1"/>
    <mergeCell ref="A2:I2"/>
  </mergeCells>
  <conditionalFormatting sqref="A7:I206">
    <cfRule type="expression" priority="1" dxfId="1" stopIfTrue="1">
      <formula>$I7="✅ Выполнено"</formula>
    </cfRule>
    <cfRule type="expression" priority="2" dxfId="2" stopIfTrue="1">
      <formula>$I7="❌ Отменено"</formula>
    </cfRule>
    <cfRule type="expression" priority="3" dxfId="14">
      <formula>$C7="🌟 Мечта"</formula>
    </cfRule>
    <cfRule type="expression" priority="4" dxfId="15">
      <formula>$C7="💫 Желание"</formula>
    </cfRule>
    <cfRule type="expression" priority="5" dxfId="16">
      <formula>$C7="🍭 Хотелка"</formula>
    </cfRule>
  </conditionalFormatting>
  <conditionalFormatting sqref="D4">
    <cfRule type="dataBar" priority="6">
      <dataBar>
        <cfvo type="num" val="0"/>
        <cfvo type="num" val="1"/>
        <color rgb="00FF5D8F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D62839"/>
    <outlinePr summaryBelow="1" summaryRight="1"/>
    <pageSetUpPr/>
  </sheetPr>
  <dimension ref="A1:T1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" customWidth="1" min="3" max="3"/>
    <col width="24" customWidth="1" min="4" max="4"/>
    <col width="13" customWidth="1" min="5" max="5"/>
    <col width="34" customWidth="1" min="6" max="6"/>
    <col width="3" customWidth="1" min="7" max="7"/>
    <col width="26" customWidth="1" min="8" max="8"/>
    <col width="24" customWidth="1" min="9" max="9"/>
    <col width="3" customWidth="1" min="10" max="10"/>
    <col width="22" customWidth="1" min="11" max="11"/>
    <col width="3" customWidth="1" min="12" max="12"/>
    <col width="30" customWidth="1" min="13" max="13"/>
    <col width="3" customWidth="1" min="14" max="14"/>
    <col width="18" customWidth="1" min="15" max="15"/>
    <col width="18" customWidth="1" min="16" max="16"/>
    <col width="3" customWidth="1" min="17" max="17"/>
    <col width="16" customWidth="1" min="18" max="18"/>
    <col width="3" customWidth="1" min="19" max="19"/>
    <col width="18" customWidth="1" min="20" max="20"/>
  </cols>
  <sheetData>
    <row r="1" ht="36" customHeight="1">
      <c r="A1" s="103" t="inlineStr">
        <is>
          <t>📚 Справочник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  <c r="L1" s="104" t="n"/>
      <c r="M1" s="104" t="n"/>
      <c r="N1" s="104" t="n"/>
      <c r="O1" s="104" t="n"/>
      <c r="P1" s="104" t="n"/>
      <c r="Q1" s="104" t="n"/>
    </row>
    <row r="2" ht="30" customHeight="1">
      <c r="A2" s="3" t="inlineStr">
        <is>
          <t>Здесь живут все выпадающие списки. Добавляйте свои статьи в пустые жёлтые строки — они сразу появятся в списках листов «Расходы» и «Доходы».</t>
        </is>
      </c>
    </row>
    <row r="3">
      <c r="D3" s="59" t="inlineStr">
        <is>
          <t>Категория с «Да» автоматически попадает в лист «✨ Хотелки»</t>
        </is>
      </c>
    </row>
    <row r="4" ht="34" customHeight="1">
      <c r="A4" s="105" t="inlineStr">
        <is>
          <t>📆 Год</t>
        </is>
      </c>
      <c r="B4" s="105" t="inlineStr">
        <is>
          <t>🗓 Месяц</t>
        </is>
      </c>
      <c r="D4" s="105" t="inlineStr">
        <is>
          <t>🏷 Категория расхода</t>
        </is>
      </c>
      <c r="E4" s="105" t="inlineStr">
        <is>
          <t>✨ В список хотелок?</t>
        </is>
      </c>
      <c r="F4" s="105" t="inlineStr">
        <is>
          <t>💬 Пояснение</t>
        </is>
      </c>
      <c r="H4" s="105" t="inlineStr">
        <is>
          <t>📝 Статьи расходов</t>
        </is>
      </c>
      <c r="I4" s="105" t="inlineStr">
        <is>
          <t>🏷 Категория статьи
(для дневника)</t>
        </is>
      </c>
      <c r="K4" s="105" t="inlineStr">
        <is>
          <t>💼 Тип дохода</t>
        </is>
      </c>
      <c r="M4" s="105" t="inlineStr">
        <is>
          <t>💰 Источники дохода</t>
        </is>
      </c>
      <c r="O4" s="105" t="inlineStr">
        <is>
          <t>🚦 Статус расхода</t>
        </is>
      </c>
      <c r="P4" s="105" t="inlineStr">
        <is>
          <t>🚦 Статус дохода</t>
        </is>
      </c>
      <c r="R4" s="105" t="inlineStr">
        <is>
          <t>🎯 Приоритет</t>
        </is>
      </c>
      <c r="T4" s="105" t="inlineStr">
        <is>
          <t>💳 Способ оплаты</t>
        </is>
      </c>
    </row>
    <row r="5">
      <c r="A5" s="61" t="n">
        <v>2026</v>
      </c>
      <c r="B5" s="61" t="inlineStr">
        <is>
          <t>Январь</t>
        </is>
      </c>
      <c r="D5" s="106" t="inlineStr">
        <is>
          <t>🛒 Нужда</t>
        </is>
      </c>
      <c r="E5" s="106" t="inlineStr">
        <is>
          <t>Нет</t>
        </is>
      </c>
      <c r="F5" s="107" t="inlineStr">
        <is>
          <t>Еда, жильё, транспорт — без этого никак</t>
        </is>
      </c>
      <c r="H5" s="106" t="inlineStr">
        <is>
          <t>Продукты</t>
        </is>
      </c>
      <c r="I5" s="106" t="inlineStr">
        <is>
          <t>🛒 Нужда</t>
        </is>
      </c>
      <c r="K5" s="106" t="inlineStr">
        <is>
          <t>💼 Зарплата</t>
        </is>
      </c>
      <c r="M5" s="106" t="inlineStr">
        <is>
          <t>Основная работа</t>
        </is>
      </c>
      <c r="O5" s="61" t="inlineStr">
        <is>
          <t>⏳ Запланировано</t>
        </is>
      </c>
      <c r="P5" s="61" t="inlineStr">
        <is>
          <t>⏳ Ожидается</t>
        </is>
      </c>
      <c r="R5" s="61" t="inlineStr">
        <is>
          <t>🔥 Высокий</t>
        </is>
      </c>
      <c r="T5" s="106" t="inlineStr">
        <is>
          <t>💳 Карта</t>
        </is>
      </c>
    </row>
    <row r="6">
      <c r="A6" s="61" t="n">
        <v>2027</v>
      </c>
      <c r="B6" s="61" t="inlineStr">
        <is>
          <t>Февраль</t>
        </is>
      </c>
      <c r="D6" s="106" t="inlineStr">
        <is>
          <t>🧾 Обязательный платёж</t>
        </is>
      </c>
      <c r="E6" s="106" t="inlineStr">
        <is>
          <t>Нет</t>
        </is>
      </c>
      <c r="F6" s="107" t="inlineStr">
        <is>
          <t>Кредиты, налоги, страховки, подписки</t>
        </is>
      </c>
      <c r="H6" s="106" t="inlineStr">
        <is>
          <t>Аренда / ипотека</t>
        </is>
      </c>
      <c r="I6" s="106" t="inlineStr">
        <is>
          <t>🧾 Обязательный платёж</t>
        </is>
      </c>
      <c r="K6" s="106" t="inlineStr">
        <is>
          <t>🚀 Проект</t>
        </is>
      </c>
      <c r="M6" s="106" t="inlineStr">
        <is>
          <t>Фриланс-проект</t>
        </is>
      </c>
      <c r="O6" s="61" t="inlineStr">
        <is>
          <t>✅ Выполнено</t>
        </is>
      </c>
      <c r="P6" s="61" t="inlineStr">
        <is>
          <t>✅ Получено</t>
        </is>
      </c>
      <c r="R6" s="61" t="inlineStr">
        <is>
          <t>⭐ Средний</t>
        </is>
      </c>
      <c r="T6" s="106" t="inlineStr">
        <is>
          <t>💵 Наличные</t>
        </is>
      </c>
    </row>
    <row r="7">
      <c r="A7" s="61" t="n">
        <v>2028</v>
      </c>
      <c r="B7" s="61" t="inlineStr">
        <is>
          <t>Март</t>
        </is>
      </c>
      <c r="D7" s="106" t="inlineStr">
        <is>
          <t>🍭 Хотелка</t>
        </is>
      </c>
      <c r="E7" s="106" t="inlineStr">
        <is>
          <t>Да</t>
        </is>
      </c>
      <c r="F7" s="107" t="inlineStr">
        <is>
          <t>Маленькие радости «хочу прямо сейчас»</t>
        </is>
      </c>
      <c r="H7" s="106" t="inlineStr">
        <is>
          <t>Коммунальные услуги</t>
        </is>
      </c>
      <c r="I7" s="106" t="inlineStr">
        <is>
          <t>🧾 Обязательный платёж</t>
        </is>
      </c>
      <c r="K7" s="106" t="inlineStr">
        <is>
          <t>🛠 Разовая услуга</t>
        </is>
      </c>
      <c r="M7" s="106" t="inlineStr">
        <is>
          <t>Консультация</t>
        </is>
      </c>
      <c r="O7" s="61" t="inlineStr">
        <is>
          <t>⏸ Отложено</t>
        </is>
      </c>
      <c r="P7" s="61" t="inlineStr">
        <is>
          <t>❌ Не получено</t>
        </is>
      </c>
      <c r="R7" s="61" t="inlineStr">
        <is>
          <t>💤 Низкий</t>
        </is>
      </c>
      <c r="T7" s="106" t="inlineStr">
        <is>
          <t>📱 Перевод</t>
        </is>
      </c>
    </row>
    <row r="8">
      <c r="A8" s="61" t="n">
        <v>2029</v>
      </c>
      <c r="B8" s="61" t="inlineStr">
        <is>
          <t>Апрель</t>
        </is>
      </c>
      <c r="D8" s="106" t="inlineStr">
        <is>
          <t>💫 Желание</t>
        </is>
      </c>
      <c r="E8" s="106" t="inlineStr">
        <is>
          <t>Да</t>
        </is>
      </c>
      <c r="F8" s="107" t="inlineStr">
        <is>
          <t>Крупнее хотелки, стоит накопить</t>
        </is>
      </c>
      <c r="H8" s="106" t="inlineStr">
        <is>
          <t>Транспорт / такси</t>
        </is>
      </c>
      <c r="I8" s="106" t="inlineStr">
        <is>
          <t>🛒 Нужда</t>
        </is>
      </c>
      <c r="K8" s="106" t="inlineStr">
        <is>
          <t>📈 Инвестиции</t>
        </is>
      </c>
      <c r="M8" s="106" t="inlineStr">
        <is>
          <t>Дивиденды</t>
        </is>
      </c>
      <c r="O8" s="61" t="inlineStr">
        <is>
          <t>❌ Отменено</t>
        </is>
      </c>
      <c r="T8" s="106" t="inlineStr">
        <is>
          <t>🔁 Автоплатёж</t>
        </is>
      </c>
    </row>
    <row r="9">
      <c r="A9" s="61" t="n">
        <v>2030</v>
      </c>
      <c r="B9" s="61" t="inlineStr">
        <is>
          <t>Май</t>
        </is>
      </c>
      <c r="D9" s="106" t="inlineStr">
        <is>
          <t>🌟 Мечта</t>
        </is>
      </c>
      <c r="E9" s="106" t="inlineStr">
        <is>
          <t>Да</t>
        </is>
      </c>
      <c r="F9" s="107" t="inlineStr">
        <is>
          <t>Большая цель: путешествие, машина, квартира</t>
        </is>
      </c>
      <c r="H9" s="106" t="inlineStr">
        <is>
          <t>Связь и интернет</t>
        </is>
      </c>
      <c r="I9" s="106" t="inlineStr">
        <is>
          <t>🧾 Обязательный платёж</t>
        </is>
      </c>
      <c r="K9" s="106" t="inlineStr">
        <is>
          <t>🏆 Премия / бонус</t>
        </is>
      </c>
      <c r="M9" s="106" t="inlineStr">
        <is>
          <t>Кэшбэк</t>
        </is>
      </c>
      <c r="T9" s="106" t="n"/>
    </row>
    <row r="10">
      <c r="B10" s="61" t="inlineStr">
        <is>
          <t>Июнь</t>
        </is>
      </c>
      <c r="D10" s="106" t="inlineStr">
        <is>
          <t>🎁 Подарок</t>
        </is>
      </c>
      <c r="E10" s="106" t="inlineStr">
        <is>
          <t>Нет</t>
        </is>
      </c>
      <c r="F10" s="107" t="inlineStr">
        <is>
          <t>Подарки близким</t>
        </is>
      </c>
      <c r="H10" s="106" t="inlineStr">
        <is>
          <t>Одежда</t>
        </is>
      </c>
      <c r="I10" s="106" t="inlineStr">
        <is>
          <t>🛒 Нужда</t>
        </is>
      </c>
      <c r="K10" s="106" t="inlineStr">
        <is>
          <t>🏠 Аренда</t>
        </is>
      </c>
      <c r="M10" s="106" t="inlineStr">
        <is>
          <t>Подработка</t>
        </is>
      </c>
      <c r="T10" s="106" t="n"/>
    </row>
    <row r="11">
      <c r="B11" s="61" t="inlineStr">
        <is>
          <t>Июль</t>
        </is>
      </c>
      <c r="D11" s="106" t="inlineStr">
        <is>
          <t>🏦 Накопление</t>
        </is>
      </c>
      <c r="E11" s="106" t="inlineStr">
        <is>
          <t>Нет</t>
        </is>
      </c>
      <c r="F11" s="107" t="inlineStr">
        <is>
          <t>Подушка безопасности, депозит</t>
        </is>
      </c>
      <c r="H11" s="106" t="inlineStr">
        <is>
          <t>Кафе и рестораны</t>
        </is>
      </c>
      <c r="I11" s="106" t="inlineStr">
        <is>
          <t>🎉 Развлечения</t>
        </is>
      </c>
      <c r="K11" s="106" t="inlineStr">
        <is>
          <t>🎁 Подарок</t>
        </is>
      </c>
      <c r="M11" s="106" t="n"/>
      <c r="T11" s="106" t="n"/>
    </row>
    <row r="12">
      <c r="B12" s="61" t="inlineStr">
        <is>
          <t>Август</t>
        </is>
      </c>
      <c r="D12" s="106" t="inlineStr">
        <is>
          <t>📈 Инвестиция</t>
        </is>
      </c>
      <c r="E12" s="106" t="inlineStr">
        <is>
          <t>Нет</t>
        </is>
      </c>
      <c r="F12" s="107" t="inlineStr">
        <is>
          <t>Акции, бизнес, активы</t>
        </is>
      </c>
      <c r="H12" s="106" t="inlineStr">
        <is>
          <t>Путешествия</t>
        </is>
      </c>
      <c r="I12" s="106" t="inlineStr">
        <is>
          <t>🌟 Мечта</t>
        </is>
      </c>
      <c r="K12" s="106" t="inlineStr">
        <is>
          <t>💡 Прочее</t>
        </is>
      </c>
      <c r="M12" s="106" t="n"/>
      <c r="T12" s="106" t="n"/>
    </row>
    <row r="13">
      <c r="B13" s="61" t="inlineStr">
        <is>
          <t>Сентябрь</t>
        </is>
      </c>
      <c r="D13" s="106" t="inlineStr">
        <is>
          <t>❤️ Здоровье</t>
        </is>
      </c>
      <c r="E13" s="106" t="inlineStr">
        <is>
          <t>Нет</t>
        </is>
      </c>
      <c r="F13" s="107" t="inlineStr">
        <is>
          <t>Врачи, спорт, лекарства</t>
        </is>
      </c>
      <c r="H13" s="106" t="inlineStr">
        <is>
          <t>Техника</t>
        </is>
      </c>
      <c r="I13" s="106" t="inlineStr">
        <is>
          <t>🍭 Хотелка</t>
        </is>
      </c>
      <c r="K13" s="106" t="n"/>
      <c r="M13" s="106" t="n"/>
      <c r="T13" s="106" t="n"/>
    </row>
    <row r="14">
      <c r="B14" s="61" t="inlineStr">
        <is>
          <t>Октябрь</t>
        </is>
      </c>
      <c r="D14" s="106" t="inlineStr">
        <is>
          <t>🎓 Образование</t>
        </is>
      </c>
      <c r="E14" s="106" t="inlineStr">
        <is>
          <t>Нет</t>
        </is>
      </c>
      <c r="F14" s="107" t="inlineStr">
        <is>
          <t>Курсы, книги, обучение</t>
        </is>
      </c>
      <c r="H14" s="106" t="inlineStr">
        <is>
          <t>Подушка безопасности</t>
        </is>
      </c>
      <c r="I14" s="106" t="inlineStr">
        <is>
          <t>🏦 Накопление</t>
        </is>
      </c>
      <c r="K14" s="106" t="n"/>
      <c r="M14" s="106" t="n"/>
      <c r="T14" s="106" t="n"/>
    </row>
    <row r="15">
      <c r="B15" s="61" t="inlineStr">
        <is>
          <t>Ноябрь</t>
        </is>
      </c>
      <c r="D15" s="106" t="inlineStr">
        <is>
          <t>🎉 Развлечения</t>
        </is>
      </c>
      <c r="E15" s="106" t="inlineStr">
        <is>
          <t>Нет</t>
        </is>
      </c>
      <c r="F15" s="107" t="inlineStr">
        <is>
          <t>Кафе, кино, отдых</t>
        </is>
      </c>
      <c r="H15" s="106" t="inlineStr">
        <is>
          <t>Подарки</t>
        </is>
      </c>
      <c r="I15" s="106" t="inlineStr">
        <is>
          <t>🎁 Подарок</t>
        </is>
      </c>
      <c r="K15" s="106" t="n"/>
      <c r="M15" s="106" t="n"/>
    </row>
    <row r="16">
      <c r="B16" s="61" t="inlineStr">
        <is>
          <t>Декабрь</t>
        </is>
      </c>
      <c r="D16" s="106" t="n"/>
      <c r="E16" s="106" t="n"/>
      <c r="F16" s="107" t="n"/>
      <c r="H16" s="106" t="inlineStr">
        <is>
          <t>Спорт</t>
        </is>
      </c>
      <c r="I16" s="106" t="inlineStr">
        <is>
          <t>❤️ Здоровье</t>
        </is>
      </c>
      <c r="K16" s="106" t="n"/>
      <c r="M16" s="106" t="n"/>
    </row>
    <row r="17">
      <c r="D17" s="106" t="n"/>
      <c r="E17" s="106" t="n"/>
      <c r="F17" s="107" t="n"/>
      <c r="H17" s="106" t="inlineStr">
        <is>
          <t>Курсы</t>
        </is>
      </c>
      <c r="I17" s="106" t="inlineStr">
        <is>
          <t>🎓 Образование</t>
        </is>
      </c>
      <c r="K17" s="106" t="n"/>
      <c r="M17" s="106" t="n"/>
    </row>
    <row r="18">
      <c r="D18" s="106" t="n"/>
      <c r="E18" s="106" t="n"/>
      <c r="F18" s="107" t="n"/>
      <c r="H18" s="106" t="n"/>
      <c r="I18" s="106" t="n"/>
      <c r="K18" s="106" t="n"/>
      <c r="M18" s="106" t="n"/>
    </row>
    <row r="19">
      <c r="D19" s="106" t="n"/>
      <c r="E19" s="106" t="n"/>
      <c r="F19" s="107" t="n"/>
      <c r="H19" s="106" t="n"/>
      <c r="I19" s="106" t="n"/>
      <c r="K19" s="106" t="n"/>
      <c r="M19" s="106" t="n"/>
    </row>
    <row r="20">
      <c r="D20" s="106" t="n"/>
      <c r="E20" s="106" t="n"/>
      <c r="F20" s="107" t="n"/>
      <c r="H20" s="106" t="n"/>
      <c r="I20" s="106" t="n"/>
      <c r="K20" s="106" t="n"/>
      <c r="M20" s="106" t="n"/>
    </row>
    <row r="21">
      <c r="D21" s="106" t="n"/>
      <c r="E21" s="106" t="n"/>
      <c r="F21" s="107" t="n"/>
      <c r="H21" s="106" t="n"/>
      <c r="I21" s="106" t="n"/>
      <c r="K21" s="106" t="n"/>
      <c r="M21" s="106" t="n"/>
    </row>
    <row r="22">
      <c r="D22" s="106" t="n"/>
      <c r="E22" s="106" t="n"/>
      <c r="F22" s="107" t="n"/>
      <c r="H22" s="106" t="n"/>
      <c r="I22" s="106" t="n"/>
      <c r="K22" s="106" t="n"/>
      <c r="M22" s="106" t="n"/>
    </row>
    <row r="23">
      <c r="D23" s="106" t="n"/>
      <c r="E23" s="106" t="n"/>
      <c r="F23" s="107" t="n"/>
      <c r="H23" s="106" t="n"/>
      <c r="I23" s="106" t="n"/>
      <c r="K23" s="106" t="n"/>
      <c r="M23" s="106" t="n"/>
    </row>
    <row r="24">
      <c r="D24" s="106" t="n"/>
      <c r="E24" s="106" t="n"/>
      <c r="F24" s="107" t="n"/>
      <c r="H24" s="106" t="n"/>
      <c r="I24" s="106" t="n"/>
      <c r="K24" s="106" t="n"/>
      <c r="M24" s="106" t="n"/>
    </row>
    <row r="25">
      <c r="D25" s="106" t="n"/>
      <c r="E25" s="106" t="n"/>
      <c r="F25" s="107" t="n"/>
      <c r="H25" s="106" t="n"/>
      <c r="I25" s="106" t="n"/>
      <c r="M25" s="106" t="n"/>
    </row>
    <row r="26">
      <c r="D26" s="106" t="n"/>
      <c r="E26" s="106" t="n"/>
      <c r="F26" s="107" t="n"/>
      <c r="H26" s="106" t="n"/>
      <c r="I26" s="106" t="n"/>
      <c r="M26" s="106" t="n"/>
    </row>
    <row r="27">
      <c r="D27" s="106" t="n"/>
      <c r="E27" s="106" t="n"/>
      <c r="F27" s="107" t="n"/>
      <c r="H27" s="106" t="n"/>
      <c r="I27" s="106" t="n"/>
      <c r="M27" s="106" t="n"/>
    </row>
    <row r="28">
      <c r="D28" s="106" t="n"/>
      <c r="E28" s="106" t="n"/>
      <c r="F28" s="107" t="n"/>
      <c r="H28" s="106" t="n"/>
      <c r="I28" s="106" t="n"/>
      <c r="M28" s="106" t="n"/>
    </row>
    <row r="29">
      <c r="D29" s="106" t="n"/>
      <c r="E29" s="106" t="n"/>
      <c r="F29" s="107" t="n"/>
      <c r="H29" s="106" t="n"/>
      <c r="I29" s="106" t="n"/>
      <c r="M29" s="106" t="n"/>
    </row>
    <row r="30">
      <c r="H30" s="106" t="n"/>
      <c r="I30" s="106" t="n"/>
      <c r="M30" s="106" t="n"/>
    </row>
    <row r="31">
      <c r="H31" s="106" t="n"/>
      <c r="I31" s="106" t="n"/>
      <c r="M31" s="106" t="n"/>
    </row>
    <row r="32">
      <c r="H32" s="106" t="n"/>
      <c r="I32" s="106" t="n"/>
      <c r="M32" s="106" t="n"/>
    </row>
    <row r="33">
      <c r="H33" s="106" t="n"/>
      <c r="I33" s="106" t="n"/>
      <c r="M33" s="106" t="n"/>
    </row>
    <row r="34">
      <c r="H34" s="106" t="n"/>
      <c r="I34" s="106" t="n"/>
      <c r="M34" s="106" t="n"/>
    </row>
    <row r="35">
      <c r="H35" s="106" t="n"/>
      <c r="I35" s="106" t="n"/>
      <c r="M35" s="106" t="n"/>
    </row>
    <row r="36">
      <c r="H36" s="106" t="n"/>
      <c r="I36" s="106" t="n"/>
      <c r="M36" s="106" t="n"/>
    </row>
    <row r="37">
      <c r="H37" s="106" t="n"/>
      <c r="I37" s="106" t="n"/>
      <c r="M37" s="106" t="n"/>
    </row>
    <row r="38">
      <c r="H38" s="106" t="n"/>
      <c r="I38" s="106" t="n"/>
      <c r="M38" s="106" t="n"/>
    </row>
    <row r="39">
      <c r="H39" s="106" t="n"/>
      <c r="I39" s="106" t="n"/>
      <c r="M39" s="106" t="n"/>
    </row>
    <row r="40">
      <c r="H40" s="106" t="n"/>
      <c r="I40" s="106" t="n"/>
      <c r="M40" s="106" t="n"/>
    </row>
    <row r="41">
      <c r="H41" s="106" t="n"/>
      <c r="I41" s="106" t="n"/>
      <c r="M41" s="106" t="n"/>
    </row>
    <row r="42">
      <c r="H42" s="106" t="n"/>
      <c r="I42" s="106" t="n"/>
      <c r="M42" s="106" t="n"/>
    </row>
    <row r="43">
      <c r="H43" s="106" t="n"/>
      <c r="I43" s="106" t="n"/>
      <c r="M43" s="106" t="n"/>
    </row>
    <row r="44">
      <c r="H44" s="106" t="n"/>
      <c r="I44" s="106" t="n"/>
      <c r="M44" s="106" t="n"/>
    </row>
    <row r="45">
      <c r="H45" s="106" t="n"/>
      <c r="I45" s="106" t="n"/>
      <c r="M45" s="106" t="n"/>
    </row>
    <row r="46">
      <c r="H46" s="106" t="n"/>
      <c r="I46" s="106" t="n"/>
      <c r="M46" s="106" t="n"/>
    </row>
    <row r="47">
      <c r="H47" s="106" t="n"/>
      <c r="I47" s="106" t="n"/>
      <c r="M47" s="106" t="n"/>
    </row>
    <row r="48">
      <c r="H48" s="106" t="n"/>
      <c r="I48" s="106" t="n"/>
      <c r="M48" s="106" t="n"/>
    </row>
    <row r="49">
      <c r="H49" s="106" t="n"/>
      <c r="I49" s="106" t="n"/>
      <c r="M49" s="106" t="n"/>
    </row>
    <row r="50">
      <c r="H50" s="106" t="n"/>
      <c r="I50" s="106" t="n"/>
      <c r="M50" s="106" t="n"/>
    </row>
    <row r="51">
      <c r="H51" s="106" t="n"/>
      <c r="I51" s="106" t="n"/>
      <c r="M51" s="106" t="n"/>
    </row>
    <row r="52">
      <c r="H52" s="106" t="n"/>
      <c r="I52" s="106" t="n"/>
      <c r="M52" s="106" t="n"/>
    </row>
    <row r="53">
      <c r="H53" s="106" t="n"/>
      <c r="I53" s="106" t="n"/>
      <c r="M53" s="106" t="n"/>
    </row>
    <row r="54">
      <c r="H54" s="106" t="n"/>
      <c r="I54" s="106" t="n"/>
      <c r="M54" s="106" t="n"/>
    </row>
    <row r="55">
      <c r="H55" s="106" t="n"/>
      <c r="I55" s="106" t="n"/>
      <c r="M55" s="106" t="n"/>
    </row>
    <row r="56">
      <c r="H56" s="106" t="n"/>
      <c r="I56" s="106" t="n"/>
      <c r="M56" s="106" t="n"/>
    </row>
    <row r="57">
      <c r="H57" s="106" t="n"/>
      <c r="I57" s="106" t="n"/>
      <c r="M57" s="106" t="n"/>
    </row>
    <row r="58">
      <c r="H58" s="106" t="n"/>
      <c r="I58" s="106" t="n"/>
      <c r="M58" s="106" t="n"/>
    </row>
    <row r="59">
      <c r="H59" s="106" t="n"/>
      <c r="I59" s="106" t="n"/>
      <c r="M59" s="106" t="n"/>
    </row>
    <row r="60">
      <c r="H60" s="106" t="n"/>
      <c r="I60" s="106" t="n"/>
      <c r="M60" s="106" t="n"/>
    </row>
    <row r="61">
      <c r="H61" s="106" t="n"/>
      <c r="I61" s="106" t="n"/>
      <c r="M61" s="106" t="n"/>
    </row>
    <row r="62">
      <c r="H62" s="106" t="n"/>
      <c r="I62" s="106" t="n"/>
      <c r="M62" s="106" t="n"/>
    </row>
    <row r="63">
      <c r="H63" s="106" t="n"/>
      <c r="I63" s="106" t="n"/>
      <c r="M63" s="106" t="n"/>
    </row>
    <row r="64">
      <c r="H64" s="106" t="n"/>
      <c r="I64" s="106" t="n"/>
      <c r="M64" s="106" t="n"/>
    </row>
    <row r="65">
      <c r="H65" s="106" t="n"/>
      <c r="I65" s="106" t="n"/>
      <c r="M65" s="106" t="n"/>
    </row>
    <row r="66">
      <c r="H66" s="106" t="n"/>
      <c r="I66" s="106" t="n"/>
      <c r="M66" s="106" t="n"/>
    </row>
    <row r="67">
      <c r="H67" s="106" t="n"/>
      <c r="I67" s="106" t="n"/>
      <c r="M67" s="106" t="n"/>
    </row>
    <row r="68">
      <c r="H68" s="106" t="n"/>
      <c r="I68" s="106" t="n"/>
      <c r="M68" s="106" t="n"/>
    </row>
    <row r="69">
      <c r="H69" s="106" t="n"/>
      <c r="I69" s="106" t="n"/>
      <c r="M69" s="106" t="n"/>
    </row>
    <row r="70">
      <c r="H70" s="106" t="n"/>
      <c r="I70" s="106" t="n"/>
      <c r="M70" s="106" t="n"/>
    </row>
    <row r="71">
      <c r="H71" s="106" t="n"/>
      <c r="I71" s="106" t="n"/>
      <c r="M71" s="106" t="n"/>
    </row>
    <row r="72">
      <c r="H72" s="106" t="n"/>
      <c r="I72" s="106" t="n"/>
      <c r="M72" s="106" t="n"/>
    </row>
    <row r="73">
      <c r="H73" s="106" t="n"/>
      <c r="I73" s="106" t="n"/>
      <c r="M73" s="106" t="n"/>
    </row>
    <row r="74">
      <c r="H74" s="106" t="n"/>
      <c r="I74" s="106" t="n"/>
      <c r="M74" s="106" t="n"/>
    </row>
    <row r="75">
      <c r="H75" s="106" t="n"/>
      <c r="I75" s="106" t="n"/>
      <c r="M75" s="106" t="n"/>
    </row>
    <row r="76">
      <c r="H76" s="106" t="n"/>
      <c r="I76" s="106" t="n"/>
      <c r="M76" s="106" t="n"/>
    </row>
    <row r="77">
      <c r="H77" s="106" t="n"/>
      <c r="I77" s="106" t="n"/>
      <c r="M77" s="106" t="n"/>
    </row>
    <row r="78">
      <c r="H78" s="106" t="n"/>
      <c r="I78" s="106" t="n"/>
      <c r="M78" s="106" t="n"/>
    </row>
    <row r="79">
      <c r="H79" s="106" t="n"/>
      <c r="I79" s="106" t="n"/>
      <c r="M79" s="106" t="n"/>
    </row>
    <row r="80">
      <c r="H80" s="106" t="n"/>
      <c r="I80" s="106" t="n"/>
      <c r="M80" s="106" t="n"/>
    </row>
    <row r="81">
      <c r="H81" s="106" t="n"/>
      <c r="I81" s="106" t="n"/>
      <c r="M81" s="106" t="n"/>
    </row>
    <row r="82">
      <c r="H82" s="106" t="n"/>
      <c r="I82" s="106" t="n"/>
      <c r="M82" s="106" t="n"/>
    </row>
    <row r="83">
      <c r="H83" s="106" t="n"/>
      <c r="I83" s="106" t="n"/>
      <c r="M83" s="106" t="n"/>
    </row>
    <row r="84">
      <c r="H84" s="106" t="n"/>
      <c r="I84" s="106" t="n"/>
      <c r="M84" s="106" t="n"/>
    </row>
    <row r="85">
      <c r="H85" s="106" t="n"/>
      <c r="I85" s="106" t="n"/>
      <c r="M85" s="106" t="n"/>
    </row>
    <row r="86">
      <c r="H86" s="106" t="n"/>
      <c r="I86" s="106" t="n"/>
      <c r="M86" s="106" t="n"/>
    </row>
    <row r="87">
      <c r="H87" s="106" t="n"/>
      <c r="I87" s="106" t="n"/>
      <c r="M87" s="106" t="n"/>
    </row>
    <row r="88">
      <c r="H88" s="106" t="n"/>
      <c r="I88" s="106" t="n"/>
      <c r="M88" s="106" t="n"/>
    </row>
    <row r="89">
      <c r="H89" s="106" t="n"/>
      <c r="I89" s="106" t="n"/>
      <c r="M89" s="106" t="n"/>
    </row>
    <row r="90">
      <c r="H90" s="106" t="n"/>
      <c r="I90" s="106" t="n"/>
      <c r="M90" s="106" t="n"/>
    </row>
    <row r="91">
      <c r="H91" s="106" t="n"/>
      <c r="I91" s="106" t="n"/>
      <c r="M91" s="106" t="n"/>
    </row>
    <row r="92">
      <c r="H92" s="106" t="n"/>
      <c r="I92" s="106" t="n"/>
      <c r="M92" s="106" t="n"/>
    </row>
    <row r="93">
      <c r="H93" s="106" t="n"/>
      <c r="I93" s="106" t="n"/>
      <c r="M93" s="106" t="n"/>
    </row>
    <row r="94">
      <c r="H94" s="106" t="n"/>
      <c r="I94" s="106" t="n"/>
      <c r="M94" s="106" t="n"/>
    </row>
    <row r="95">
      <c r="H95" s="106" t="n"/>
      <c r="I95" s="106" t="n"/>
      <c r="M95" s="106" t="n"/>
    </row>
    <row r="96">
      <c r="H96" s="106" t="n"/>
      <c r="I96" s="106" t="n"/>
      <c r="M96" s="106" t="n"/>
    </row>
    <row r="97">
      <c r="H97" s="106" t="n"/>
      <c r="I97" s="106" t="n"/>
      <c r="M97" s="106" t="n"/>
    </row>
    <row r="98">
      <c r="H98" s="106" t="n"/>
      <c r="I98" s="106" t="n"/>
      <c r="M98" s="106" t="n"/>
    </row>
    <row r="99">
      <c r="H99" s="106" t="n"/>
      <c r="I99" s="106" t="n"/>
      <c r="M99" s="106" t="n"/>
    </row>
    <row r="100">
      <c r="H100" s="106" t="n"/>
      <c r="I100" s="106" t="n"/>
      <c r="M100" s="106" t="n"/>
    </row>
    <row r="101">
      <c r="H101" s="106" t="n"/>
      <c r="I101" s="106" t="n"/>
      <c r="M101" s="106" t="n"/>
    </row>
    <row r="102">
      <c r="H102" s="106" t="n"/>
      <c r="I102" s="106" t="n"/>
      <c r="M102" s="106" t="n"/>
    </row>
    <row r="103">
      <c r="H103" s="106" t="n"/>
      <c r="I103" s="106" t="n"/>
      <c r="M103" s="106" t="n"/>
    </row>
    <row r="104">
      <c r="H104" s="106" t="n"/>
      <c r="I104" s="106" t="n"/>
      <c r="M104" s="106" t="n"/>
    </row>
  </sheetData>
  <mergeCells count="2">
    <mergeCell ref="A2:Q2"/>
    <mergeCell ref="A1:Q1"/>
  </mergeCells>
  <dataValidations count="2">
    <dataValidation sqref="E5:E29" showDropDown="0" showInputMessage="0" showErrorMessage="1" allowBlank="1" errorTitle="Значение не из справочника" error="Выберите значение из списка (его можно дополнить в листе «📚 Справочник»)" type="list">
      <formula1>"Да,Нет"</formula1>
    </dataValidation>
    <dataValidation sqref="I5:I104" showDropDown="0" showInputMessage="0" showErrorMessage="1" allowBlank="1" errorTitle="Значение не из справочника" error="Выберите значение из списка (его можно дополнить в листе «📚 Справочник»)" type="list">
      <formula1>'📚 Справочник'!$D$5:$D$29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2026-10-04T22:52:31Z</dcterms:created>
  <dcterms:modified xsi:type="dcterms:W3CDTF">2026-10-04T22:52:36Z</dcterms:modified>
</cp:coreProperties>
</file>